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enriquepabon/My Drive (epabon@oleoflores.com)/Informes Comite/2025/12- Diciembre/Segumiento Semanal/"/>
    </mc:Choice>
  </mc:AlternateContent>
  <xr:revisionPtr revIDLastSave="0" documentId="13_ncr:1_{50452DD6-37FD-894C-952B-B446CA6ABFCE}" xr6:coauthVersionLast="47" xr6:coauthVersionMax="47" xr10:uidLastSave="{00000000-0000-0000-0000-000000000000}"/>
  <bookViews>
    <workbookView xWindow="0" yWindow="0" windowWidth="28800" windowHeight="18000" activeTab="7" xr2:uid="{00000000-000D-0000-FFFF-FFFF00000000}"/>
  </bookViews>
  <sheets>
    <sheet name="UPSTREAM" sheetId="1" r:id="rId1"/>
    <sheet name="Resumen UPSTREAM" sheetId="8" r:id="rId2"/>
    <sheet name="DOWNSTREAM" sheetId="6" r:id="rId3"/>
    <sheet name="DOWNSTREAM (2)" sheetId="10" state="hidden" r:id="rId4"/>
    <sheet name="DOWNSTREAM mod" sheetId="11" state="hidden" r:id="rId5"/>
    <sheet name="Resumen DOWNSTREAM" sheetId="7" r:id="rId6"/>
    <sheet name="Lista" sheetId="9" state="hidden" r:id="rId7"/>
    <sheet name="PLANEACIÓN DICIEMBRE" sheetId="3" r:id="rId8"/>
    <sheet name="CENSO Y COSTOS" sheetId="13" r:id="rId9"/>
    <sheet name="ACUMULADO 2025" sheetId="15"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xlnm._FilterDatabase" localSheetId="5" hidden="1">'Resumen DOWNSTREAM'!$B$17:$B$17</definedName>
    <definedName name="_xlnm._FilterDatabase" localSheetId="1" hidden="1">'Resumen UPSTREAM'!$B$41:$B$41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5" i="1" l="1"/>
  <c r="N1" i="1" l="1"/>
  <c r="O1" i="1" s="1"/>
  <c r="N2" i="1"/>
  <c r="N3" i="1"/>
  <c r="N31" i="1" s="1"/>
  <c r="N5" i="1"/>
  <c r="N33" i="1" s="1"/>
  <c r="N6" i="1"/>
  <c r="N7" i="1"/>
  <c r="N8" i="1" s="1"/>
  <c r="N9" i="1"/>
  <c r="N10" i="1"/>
  <c r="N11" i="1" s="1"/>
  <c r="N12" i="1"/>
  <c r="N13" i="1"/>
  <c r="N14" i="1"/>
  <c r="N16" i="1"/>
  <c r="N30" i="1" s="1"/>
  <c r="N17" i="1"/>
  <c r="N18" i="1" s="1"/>
  <c r="N19" i="1"/>
  <c r="N20" i="1"/>
  <c r="N21" i="1"/>
  <c r="N22" i="1" s="1"/>
  <c r="N23" i="1"/>
  <c r="N24" i="1"/>
  <c r="N25" i="1" s="1"/>
  <c r="N26" i="1"/>
  <c r="N37" i="1" s="1"/>
  <c r="N27" i="1"/>
  <c r="N34" i="1" s="1"/>
  <c r="N28" i="1"/>
  <c r="N53" i="1"/>
  <c r="N54" i="1"/>
  <c r="N55" i="1"/>
  <c r="N56" i="1"/>
  <c r="AJ25" i="6"/>
  <c r="AI25" i="6"/>
  <c r="AH25" i="6"/>
  <c r="AF25" i="6"/>
  <c r="AE25" i="6"/>
  <c r="AD25" i="6"/>
  <c r="AC25" i="6"/>
  <c r="AB25" i="6"/>
  <c r="AA25" i="6"/>
  <c r="Z25" i="6"/>
  <c r="X25" i="6"/>
  <c r="W25" i="6"/>
  <c r="V25" i="6"/>
  <c r="U25" i="6"/>
  <c r="T25" i="6"/>
  <c r="S25" i="6"/>
  <c r="R25" i="6"/>
  <c r="P25" i="6"/>
  <c r="O25" i="6"/>
  <c r="N25" i="6"/>
  <c r="M25" i="6"/>
  <c r="L25" i="6"/>
  <c r="K25" i="6"/>
  <c r="I25" i="6"/>
  <c r="H25" i="6"/>
  <c r="G25" i="6"/>
  <c r="F25" i="6"/>
  <c r="E25" i="6"/>
  <c r="D25" i="6"/>
  <c r="C25" i="6"/>
  <c r="B25" i="6"/>
  <c r="AJ19" i="6"/>
  <c r="AI19" i="6"/>
  <c r="AH19" i="6"/>
  <c r="AF19" i="6"/>
  <c r="AE19" i="6"/>
  <c r="AD19" i="6"/>
  <c r="AC19" i="6"/>
  <c r="AB19" i="6"/>
  <c r="AA19" i="6"/>
  <c r="Z19" i="6"/>
  <c r="X19" i="6"/>
  <c r="W19" i="6"/>
  <c r="V19" i="6"/>
  <c r="U19" i="6"/>
  <c r="T19" i="6"/>
  <c r="S19" i="6"/>
  <c r="R19" i="6"/>
  <c r="P19" i="6"/>
  <c r="O19" i="6"/>
  <c r="N19" i="6"/>
  <c r="M19" i="6"/>
  <c r="L19" i="6"/>
  <c r="K19" i="6"/>
  <c r="I19" i="6"/>
  <c r="H19" i="6"/>
  <c r="G19" i="6"/>
  <c r="F19" i="6"/>
  <c r="E19" i="6"/>
  <c r="D19" i="6"/>
  <c r="C19" i="6"/>
  <c r="B19" i="6"/>
  <c r="AJ10" i="6"/>
  <c r="AI10" i="6"/>
  <c r="AH10" i="6"/>
  <c r="AF10" i="6"/>
  <c r="AE10" i="6"/>
  <c r="AD10" i="6"/>
  <c r="AC10" i="6"/>
  <c r="AB10" i="6"/>
  <c r="AA10" i="6"/>
  <c r="Z10" i="6"/>
  <c r="X10" i="6"/>
  <c r="W10" i="6"/>
  <c r="V10" i="6"/>
  <c r="U10" i="6"/>
  <c r="T10" i="6"/>
  <c r="S10" i="6"/>
  <c r="R10" i="6"/>
  <c r="P10" i="6"/>
  <c r="O10" i="6"/>
  <c r="N10" i="6"/>
  <c r="M10" i="6"/>
  <c r="L10" i="6"/>
  <c r="K10" i="6"/>
  <c r="I10" i="6"/>
  <c r="H10" i="6"/>
  <c r="G10" i="6"/>
  <c r="F10" i="6"/>
  <c r="E10" i="6"/>
  <c r="D10" i="6"/>
  <c r="C10" i="6"/>
  <c r="B10" i="6"/>
  <c r="AJ2" i="6"/>
  <c r="AI2" i="6"/>
  <c r="AH2" i="6"/>
  <c r="AF2" i="6"/>
  <c r="AE2" i="6"/>
  <c r="AD2" i="6"/>
  <c r="AC2" i="6"/>
  <c r="AB2" i="6"/>
  <c r="AA2" i="6"/>
  <c r="Z2" i="6"/>
  <c r="X2" i="6"/>
  <c r="W2" i="6"/>
  <c r="V2" i="6"/>
  <c r="U2" i="6"/>
  <c r="T2" i="6"/>
  <c r="S2" i="6"/>
  <c r="R2" i="6"/>
  <c r="P2" i="6"/>
  <c r="O2" i="6"/>
  <c r="N2" i="6"/>
  <c r="M2" i="6"/>
  <c r="L2" i="6"/>
  <c r="K2" i="6"/>
  <c r="I2" i="6"/>
  <c r="H2" i="6"/>
  <c r="G2" i="6"/>
  <c r="F2" i="6"/>
  <c r="E2" i="6"/>
  <c r="D2" i="6"/>
  <c r="C2" i="6"/>
  <c r="B2" i="6"/>
  <c r="AJ33" i="6"/>
  <c r="AI33" i="6"/>
  <c r="AH33" i="6"/>
  <c r="AF33" i="6"/>
  <c r="AE33" i="6"/>
  <c r="AD33" i="6"/>
  <c r="AC33" i="6"/>
  <c r="AB33" i="6"/>
  <c r="AA33" i="6"/>
  <c r="Z33" i="6"/>
  <c r="X33" i="6"/>
  <c r="W33" i="6"/>
  <c r="V33" i="6"/>
  <c r="U33" i="6"/>
  <c r="T33" i="6"/>
  <c r="S33" i="6"/>
  <c r="R33" i="6"/>
  <c r="P33" i="6"/>
  <c r="O33" i="6"/>
  <c r="N33" i="6"/>
  <c r="M33" i="6"/>
  <c r="L33" i="6"/>
  <c r="K33" i="6"/>
  <c r="C33" i="6"/>
  <c r="B33" i="6"/>
  <c r="N32" i="1" l="1"/>
  <c r="O6" i="1"/>
  <c r="O14" i="1"/>
  <c r="O20" i="1"/>
  <c r="O28" i="1"/>
  <c r="O29" i="1" s="1"/>
  <c r="O23" i="1"/>
  <c r="O9" i="1"/>
  <c r="P1" i="1"/>
  <c r="O7" i="1"/>
  <c r="O21" i="1"/>
  <c r="O53" i="1"/>
  <c r="O10" i="1"/>
  <c r="O11" i="1" s="1"/>
  <c r="O2" i="1"/>
  <c r="O5" i="1"/>
  <c r="O33" i="1" s="1"/>
  <c r="O13" i="1"/>
  <c r="O19" i="1"/>
  <c r="O27" i="1"/>
  <c r="O17" i="1"/>
  <c r="O18" i="1" s="1"/>
  <c r="O55" i="1"/>
  <c r="O12" i="1"/>
  <c r="O24" i="1"/>
  <c r="O54" i="1"/>
  <c r="O26" i="1"/>
  <c r="O3" i="1"/>
  <c r="N29" i="1"/>
  <c r="N35" i="1"/>
  <c r="N36" i="1" s="1"/>
  <c r="N4" i="1"/>
  <c r="B21" i="1"/>
  <c r="B20" i="1"/>
  <c r="B28" i="1"/>
  <c r="B27" i="1"/>
  <c r="O4" i="1" l="1"/>
  <c r="O31" i="1"/>
  <c r="P3" i="1"/>
  <c r="P17" i="1"/>
  <c r="P14" i="1"/>
  <c r="P20" i="1"/>
  <c r="P6" i="1"/>
  <c r="P12" i="1"/>
  <c r="P26" i="1"/>
  <c r="P7" i="1"/>
  <c r="P2" i="1"/>
  <c r="P10" i="1"/>
  <c r="P16" i="1"/>
  <c r="P24" i="1"/>
  <c r="P25" i="1" s="1"/>
  <c r="P5" i="1"/>
  <c r="P13" i="1"/>
  <c r="P19" i="1"/>
  <c r="P27" i="1"/>
  <c r="P54" i="1"/>
  <c r="P28" i="1"/>
  <c r="P29" i="1" s="1"/>
  <c r="P9" i="1"/>
  <c r="P55" i="1"/>
  <c r="P56" i="1" s="1"/>
  <c r="P21" i="1"/>
  <c r="P53" i="1"/>
  <c r="P23" i="1"/>
  <c r="O37" i="1"/>
  <c r="O30" i="1"/>
  <c r="O56" i="1"/>
  <c r="O15" i="1"/>
  <c r="O25" i="1"/>
  <c r="O22" i="1"/>
  <c r="O34" i="1"/>
  <c r="O35" i="1"/>
  <c r="O8" i="1"/>
  <c r="AJ32" i="6"/>
  <c r="AI32" i="6"/>
  <c r="AH32" i="6"/>
  <c r="AF32" i="6"/>
  <c r="AE32" i="6"/>
  <c r="AD32" i="6"/>
  <c r="AC32" i="6"/>
  <c r="I32" i="6"/>
  <c r="H32" i="6"/>
  <c r="G32" i="6"/>
  <c r="F32" i="6"/>
  <c r="E32" i="6"/>
  <c r="D32" i="6"/>
  <c r="C32" i="6"/>
  <c r="B32" i="6"/>
  <c r="M32" i="6"/>
  <c r="L32" i="6"/>
  <c r="K32" i="6"/>
  <c r="B7" i="1"/>
  <c r="B6" i="1"/>
  <c r="AI30" i="11"/>
  <c r="AH30" i="11"/>
  <c r="AG30" i="11"/>
  <c r="AF30" i="11"/>
  <c r="AE30" i="11"/>
  <c r="AD30" i="11"/>
  <c r="AB30" i="11"/>
  <c r="AA30" i="11"/>
  <c r="Z30" i="11"/>
  <c r="Y30" i="11"/>
  <c r="X30" i="11"/>
  <c r="W30" i="11"/>
  <c r="V30" i="11"/>
  <c r="U30" i="11"/>
  <c r="S30" i="11"/>
  <c r="R30" i="11"/>
  <c r="Q30" i="11"/>
  <c r="P30" i="11"/>
  <c r="O30" i="11"/>
  <c r="N30" i="11"/>
  <c r="M30" i="11"/>
  <c r="K30" i="11"/>
  <c r="J30" i="11"/>
  <c r="I30" i="11"/>
  <c r="H30" i="11"/>
  <c r="G30" i="11"/>
  <c r="F30" i="11"/>
  <c r="E30" i="11"/>
  <c r="C30" i="11"/>
  <c r="B30" i="11"/>
  <c r="U30" i="10"/>
  <c r="S30" i="10"/>
  <c r="R30" i="10"/>
  <c r="Q30" i="10"/>
  <c r="P30" i="10"/>
  <c r="O30" i="10"/>
  <c r="N30" i="10"/>
  <c r="M30" i="10"/>
  <c r="K30" i="10"/>
  <c r="J30" i="10"/>
  <c r="I30" i="10"/>
  <c r="H30" i="10"/>
  <c r="G30" i="10"/>
  <c r="F30" i="10"/>
  <c r="E30" i="10"/>
  <c r="C30" i="10"/>
  <c r="B30" i="10"/>
  <c r="AB32" i="6"/>
  <c r="AA32" i="6"/>
  <c r="Z32" i="6"/>
  <c r="X32" i="6"/>
  <c r="W32" i="6"/>
  <c r="V32" i="6"/>
  <c r="U32" i="6"/>
  <c r="T32" i="6"/>
  <c r="S32" i="6"/>
  <c r="R32" i="6"/>
  <c r="P32" i="6"/>
  <c r="O32" i="6"/>
  <c r="N32" i="6"/>
  <c r="M8" i="7"/>
  <c r="M6" i="7"/>
  <c r="K21" i="1"/>
  <c r="K20" i="1"/>
  <c r="D21" i="1"/>
  <c r="C21" i="1"/>
  <c r="D20" i="1"/>
  <c r="C20" i="1"/>
  <c r="I21" i="1"/>
  <c r="H21" i="1"/>
  <c r="G21" i="1"/>
  <c r="F21" i="1"/>
  <c r="E21" i="1"/>
  <c r="I20" i="1"/>
  <c r="H20" i="1"/>
  <c r="G20" i="1"/>
  <c r="F20" i="1"/>
  <c r="E20" i="1"/>
  <c r="M21" i="1"/>
  <c r="L21" i="1"/>
  <c r="M20" i="1"/>
  <c r="L20" i="1"/>
  <c r="K28" i="1"/>
  <c r="K27" i="1"/>
  <c r="K14" i="1"/>
  <c r="K13" i="1"/>
  <c r="K7" i="1"/>
  <c r="K6" i="1"/>
  <c r="D28" i="1"/>
  <c r="C28" i="1"/>
  <c r="D27" i="1"/>
  <c r="C27" i="1"/>
  <c r="D14" i="1"/>
  <c r="C14" i="1"/>
  <c r="B14" i="1"/>
  <c r="D13" i="1"/>
  <c r="C13" i="1"/>
  <c r="B13" i="1"/>
  <c r="B34" i="1" s="1"/>
  <c r="D7" i="1"/>
  <c r="C7" i="1"/>
  <c r="D6" i="1"/>
  <c r="C6" i="1"/>
  <c r="I28" i="1"/>
  <c r="H28" i="1"/>
  <c r="G28" i="1"/>
  <c r="F28" i="1"/>
  <c r="E28" i="1"/>
  <c r="I27" i="1"/>
  <c r="H27" i="1"/>
  <c r="G27" i="1"/>
  <c r="F27" i="1"/>
  <c r="E27" i="1"/>
  <c r="I14" i="1"/>
  <c r="H14" i="1"/>
  <c r="G14" i="1"/>
  <c r="F14" i="1"/>
  <c r="E14" i="1"/>
  <c r="I13" i="1"/>
  <c r="H13" i="1"/>
  <c r="G13" i="1"/>
  <c r="F13" i="1"/>
  <c r="E13" i="1"/>
  <c r="I7" i="1"/>
  <c r="H7" i="1"/>
  <c r="G7" i="1"/>
  <c r="F7" i="1"/>
  <c r="E7" i="1"/>
  <c r="I6" i="1"/>
  <c r="H6" i="1"/>
  <c r="G6" i="1"/>
  <c r="F6" i="1"/>
  <c r="E6" i="1"/>
  <c r="M28" i="1"/>
  <c r="L28" i="1"/>
  <c r="M27" i="1"/>
  <c r="L27" i="1"/>
  <c r="M14" i="1"/>
  <c r="L14" i="1"/>
  <c r="M13" i="1"/>
  <c r="L13" i="1"/>
  <c r="M7" i="1"/>
  <c r="L7" i="1"/>
  <c r="M6" i="1"/>
  <c r="L6" i="1"/>
  <c r="K55" i="1"/>
  <c r="K54" i="1"/>
  <c r="D55" i="1"/>
  <c r="C55" i="1"/>
  <c r="B55" i="1"/>
  <c r="D54" i="1"/>
  <c r="C54" i="1"/>
  <c r="B54" i="1"/>
  <c r="M55" i="1"/>
  <c r="L55" i="1"/>
  <c r="M54" i="1"/>
  <c r="L54" i="1"/>
  <c r="I55" i="1"/>
  <c r="H55" i="1"/>
  <c r="G55" i="1"/>
  <c r="F55" i="1"/>
  <c r="E55" i="1"/>
  <c r="I54" i="1"/>
  <c r="H54" i="1"/>
  <c r="G54" i="1"/>
  <c r="F54" i="1"/>
  <c r="E54" i="1"/>
  <c r="M23" i="15"/>
  <c r="M19" i="15"/>
  <c r="M20" i="15"/>
  <c r="M21" i="15"/>
  <c r="M22" i="15"/>
  <c r="G106" i="3"/>
  <c r="C106" i="3"/>
  <c r="E105" i="3"/>
  <c r="E104" i="3"/>
  <c r="E103" i="3"/>
  <c r="E102" i="3"/>
  <c r="E106" i="3" s="1"/>
  <c r="D106" i="3" s="1"/>
  <c r="J33" i="6"/>
  <c r="Q33" i="6" s="1"/>
  <c r="Y33" i="6" s="1"/>
  <c r="AG33" i="6" s="1"/>
  <c r="AK33" i="6" s="1"/>
  <c r="J26" i="6"/>
  <c r="Q26" i="6" s="1"/>
  <c r="Y26" i="6" s="1"/>
  <c r="AG26" i="6" s="1"/>
  <c r="J20" i="6"/>
  <c r="Q20" i="6" s="1"/>
  <c r="Y20" i="6" s="1"/>
  <c r="AG20" i="6" s="1"/>
  <c r="J13" i="6"/>
  <c r="Q13" i="6" s="1"/>
  <c r="Y13" i="6" s="1"/>
  <c r="AG13" i="6" s="1"/>
  <c r="AK13" i="6" s="1"/>
  <c r="J12" i="6"/>
  <c r="Q12" i="6" s="1"/>
  <c r="Y12" i="6" s="1"/>
  <c r="AG12" i="6" s="1"/>
  <c r="J3" i="6"/>
  <c r="Q3" i="6" s="1"/>
  <c r="Y3" i="6" s="1"/>
  <c r="AG3" i="6" s="1"/>
  <c r="Z11" i="6"/>
  <c r="Z39" i="6" s="1"/>
  <c r="Z36" i="6"/>
  <c r="Z42" i="6"/>
  <c r="Z45" i="6"/>
  <c r="B3" i="1"/>
  <c r="B23" i="1"/>
  <c r="B16" i="1"/>
  <c r="B9" i="1"/>
  <c r="B2" i="1"/>
  <c r="B53" i="1"/>
  <c r="A43" i="1"/>
  <c r="A42" i="1"/>
  <c r="A41" i="1"/>
  <c r="A40" i="1"/>
  <c r="B26" i="1"/>
  <c r="B19" i="1"/>
  <c r="B12" i="1"/>
  <c r="B5" i="1"/>
  <c r="P22" i="1" l="1"/>
  <c r="P33" i="1"/>
  <c r="P15" i="1"/>
  <c r="P18" i="1"/>
  <c r="P30" i="1"/>
  <c r="P4" i="1"/>
  <c r="P31" i="1"/>
  <c r="P32" i="1" s="1"/>
  <c r="P11" i="1"/>
  <c r="P34" i="1"/>
  <c r="P35" i="1"/>
  <c r="P36" i="1" s="1"/>
  <c r="P8" i="1"/>
  <c r="O32" i="1"/>
  <c r="O36" i="1"/>
  <c r="P37" i="1"/>
  <c r="CH9" i="13"/>
  <c r="CG9" i="13"/>
  <c r="CH8" i="13"/>
  <c r="CG8" i="13"/>
  <c r="CH7" i="13"/>
  <c r="CG7" i="13"/>
  <c r="CH6" i="13"/>
  <c r="CG6" i="13"/>
  <c r="I106" i="3" l="1"/>
  <c r="H106" i="3"/>
  <c r="AM6" i="1"/>
  <c r="AK20" i="6" l="1"/>
  <c r="AJ11" i="6"/>
  <c r="AJ39" i="6" s="1"/>
  <c r="AK12" i="6"/>
  <c r="AJ42" i="6"/>
  <c r="AK3" i="6"/>
  <c r="CC6" i="13"/>
  <c r="CD9" i="13"/>
  <c r="CC9" i="13"/>
  <c r="CD8" i="13"/>
  <c r="CC8" i="13"/>
  <c r="CD7" i="13"/>
  <c r="CC7" i="13"/>
  <c r="CD6" i="13"/>
  <c r="P11" i="6"/>
  <c r="P39" i="6" s="1"/>
  <c r="R11" i="6"/>
  <c r="S11" i="6"/>
  <c r="P36" i="6"/>
  <c r="R36" i="6"/>
  <c r="S36" i="6"/>
  <c r="P42" i="6"/>
  <c r="R42" i="6"/>
  <c r="S42" i="6"/>
  <c r="P45" i="6"/>
  <c r="R45" i="6"/>
  <c r="S45" i="6"/>
  <c r="AK26" i="6" l="1"/>
  <c r="AJ36" i="6"/>
  <c r="R39" i="6"/>
  <c r="S39" i="6"/>
  <c r="J32" i="6"/>
  <c r="H11" i="6" l="1"/>
  <c r="H39" i="6" s="1"/>
  <c r="I11" i="6"/>
  <c r="K11" i="6"/>
  <c r="H36" i="6"/>
  <c r="I36" i="6"/>
  <c r="K36" i="6"/>
  <c r="H42" i="6"/>
  <c r="I42" i="6"/>
  <c r="K42" i="6"/>
  <c r="H45" i="6"/>
  <c r="I45" i="6"/>
  <c r="K45" i="6"/>
  <c r="I39" i="6" l="1"/>
  <c r="K39" i="6"/>
  <c r="H34" i="6" l="1"/>
  <c r="H44" i="6"/>
  <c r="H46" i="6" s="1"/>
  <c r="I34" i="6"/>
  <c r="I44" i="6"/>
  <c r="I46" i="6" s="1"/>
  <c r="K44" i="6" l="1"/>
  <c r="K46" i="6" s="1"/>
  <c r="K34" i="6"/>
  <c r="G96" i="3" l="1"/>
  <c r="E96" i="3"/>
  <c r="D96" i="3" s="1"/>
  <c r="E93" i="3"/>
  <c r="E94" i="3"/>
  <c r="E95" i="3"/>
  <c r="E92" i="3"/>
  <c r="C96" i="3"/>
  <c r="K20" i="8" l="1"/>
  <c r="B24" i="1"/>
  <c r="B17" i="1"/>
  <c r="B10" i="1"/>
  <c r="AC5" i="8"/>
  <c r="K25" i="8" l="1"/>
  <c r="K23" i="8"/>
  <c r="K22" i="8"/>
  <c r="K24" i="8"/>
  <c r="AI46" i="1"/>
  <c r="C83" i="3" l="1"/>
  <c r="L19" i="15" l="1"/>
  <c r="L20" i="15"/>
  <c r="L21" i="15"/>
  <c r="L22" i="15"/>
  <c r="F87" i="3"/>
  <c r="G87" i="3" s="1"/>
  <c r="E86" i="3"/>
  <c r="E85" i="3"/>
  <c r="E84" i="3"/>
  <c r="E83" i="3"/>
  <c r="C87" i="3"/>
  <c r="T11" i="6"/>
  <c r="U11" i="6"/>
  <c r="U39" i="6" s="1"/>
  <c r="V11" i="6"/>
  <c r="V39" i="6" s="1"/>
  <c r="T36" i="6"/>
  <c r="U36" i="6"/>
  <c r="V36" i="6"/>
  <c r="T42" i="6"/>
  <c r="U42" i="6"/>
  <c r="V42" i="6"/>
  <c r="T45" i="6"/>
  <c r="U45" i="6"/>
  <c r="V45" i="6"/>
  <c r="E87" i="3" l="1"/>
  <c r="T39" i="6"/>
  <c r="D87" i="3"/>
  <c r="G77" i="3"/>
  <c r="BZ9" i="13"/>
  <c r="BY9" i="13"/>
  <c r="BZ8" i="13"/>
  <c r="BY8" i="13"/>
  <c r="BZ7" i="13"/>
  <c r="BY7" i="13"/>
  <c r="BZ6" i="13"/>
  <c r="BY6" i="13"/>
  <c r="J19" i="15" l="1"/>
  <c r="K19" i="15"/>
  <c r="J20" i="15"/>
  <c r="K20" i="15"/>
  <c r="J21" i="15"/>
  <c r="K21" i="15"/>
  <c r="J22" i="15"/>
  <c r="K22" i="15"/>
  <c r="G68" i="3" l="1"/>
  <c r="E65" i="3"/>
  <c r="E66" i="3"/>
  <c r="E67" i="3"/>
  <c r="E64" i="3"/>
  <c r="C68" i="3"/>
  <c r="D68" i="3" s="1"/>
  <c r="BV9" i="13" l="1"/>
  <c r="BU9" i="13"/>
  <c r="BV8" i="13"/>
  <c r="BU8" i="13"/>
  <c r="BV7" i="13"/>
  <c r="BU7" i="13"/>
  <c r="BV6" i="13"/>
  <c r="BU6" i="13"/>
  <c r="C58" i="3" l="1"/>
  <c r="F57" i="3"/>
  <c r="E57" i="3"/>
  <c r="F56" i="3"/>
  <c r="E56" i="3"/>
  <c r="F55" i="3"/>
  <c r="E55" i="3"/>
  <c r="H58" i="3"/>
  <c r="F54" i="3"/>
  <c r="E54" i="3"/>
  <c r="F58" i="3" l="1"/>
  <c r="G58" i="3" s="1"/>
  <c r="E58" i="3"/>
  <c r="D58" i="3" s="1"/>
  <c r="C49" i="3" l="1"/>
  <c r="F48" i="3"/>
  <c r="E48" i="3"/>
  <c r="F47" i="3"/>
  <c r="E47" i="3"/>
  <c r="H46" i="3"/>
  <c r="F46" i="3"/>
  <c r="E46" i="3"/>
  <c r="H45" i="3"/>
  <c r="F45" i="3"/>
  <c r="E45" i="3"/>
  <c r="H49" i="3" l="1"/>
  <c r="F49" i="3"/>
  <c r="G49" i="3" s="1"/>
  <c r="E49" i="3"/>
  <c r="D49" i="3" s="1"/>
  <c r="BR9" i="13" l="1"/>
  <c r="BQ9" i="13"/>
  <c r="BR8" i="13"/>
  <c r="BQ8" i="13"/>
  <c r="BR7" i="13"/>
  <c r="BQ7" i="13"/>
  <c r="BR6" i="13"/>
  <c r="BQ6" i="13"/>
  <c r="C39" i="3" l="1"/>
  <c r="F38" i="3"/>
  <c r="E38" i="3"/>
  <c r="F37" i="3"/>
  <c r="E37" i="3"/>
  <c r="H36" i="3"/>
  <c r="F36" i="3"/>
  <c r="E36" i="3"/>
  <c r="H35" i="3"/>
  <c r="H39" i="3" s="1"/>
  <c r="F35" i="3"/>
  <c r="E35" i="3"/>
  <c r="N36" i="6"/>
  <c r="O36" i="6"/>
  <c r="N42" i="6"/>
  <c r="O42" i="6"/>
  <c r="N45" i="6"/>
  <c r="O45" i="6"/>
  <c r="BN9" i="13"/>
  <c r="BM9" i="13"/>
  <c r="BN8" i="13"/>
  <c r="BM8" i="13"/>
  <c r="BN7" i="13"/>
  <c r="BM7" i="13"/>
  <c r="BN6" i="13"/>
  <c r="BM6" i="13"/>
  <c r="F39" i="3" l="1"/>
  <c r="G39" i="3" s="1"/>
  <c r="B47" i="1"/>
  <c r="B45" i="1"/>
  <c r="B44" i="1"/>
  <c r="E39" i="3"/>
  <c r="D39" i="3" s="1"/>
  <c r="B46" i="1"/>
  <c r="I28" i="3" l="1"/>
  <c r="H22" i="15" l="1"/>
  <c r="G22" i="15"/>
  <c r="F22" i="15"/>
  <c r="E22" i="15"/>
  <c r="D22" i="15"/>
  <c r="C22" i="15"/>
  <c r="H21" i="15"/>
  <c r="G21" i="15"/>
  <c r="F21" i="15"/>
  <c r="E21" i="15"/>
  <c r="D21" i="15"/>
  <c r="C21" i="15"/>
  <c r="H20" i="15"/>
  <c r="G20" i="15"/>
  <c r="F20" i="15"/>
  <c r="E20" i="15"/>
  <c r="D20" i="15"/>
  <c r="C20" i="15"/>
  <c r="H19" i="15"/>
  <c r="G19" i="15"/>
  <c r="F19" i="15"/>
  <c r="E19" i="15"/>
  <c r="D19" i="15"/>
  <c r="C19" i="15"/>
  <c r="O16" i="15"/>
  <c r="N16" i="15"/>
  <c r="N23" i="15" s="1"/>
  <c r="M16" i="15"/>
  <c r="L16" i="15"/>
  <c r="K16" i="15"/>
  <c r="J16" i="15"/>
  <c r="H16" i="15"/>
  <c r="H23" i="15" s="1"/>
  <c r="G16" i="15"/>
  <c r="G23" i="15" s="1"/>
  <c r="F16" i="15"/>
  <c r="F23" i="15" s="1"/>
  <c r="E16" i="15"/>
  <c r="E23" i="15" s="1"/>
  <c r="D16" i="15"/>
  <c r="D23" i="15" s="1"/>
  <c r="C16" i="15"/>
  <c r="C23" i="15" s="1"/>
  <c r="O15" i="15"/>
  <c r="O22" i="15" s="1"/>
  <c r="O14" i="15"/>
  <c r="O21" i="15" s="1"/>
  <c r="O13" i="15"/>
  <c r="O20" i="15" s="1"/>
  <c r="O12" i="15"/>
  <c r="O19" i="15" s="1"/>
  <c r="N9" i="15"/>
  <c r="M9" i="15"/>
  <c r="L9" i="15"/>
  <c r="K9" i="15"/>
  <c r="J9" i="15"/>
  <c r="H9" i="15"/>
  <c r="G9" i="15"/>
  <c r="F9" i="15"/>
  <c r="E9" i="15"/>
  <c r="D9" i="15"/>
  <c r="C9" i="15"/>
  <c r="O8" i="15"/>
  <c r="O7" i="15"/>
  <c r="O6" i="15"/>
  <c r="O5" i="15"/>
  <c r="O9" i="15" s="1"/>
  <c r="BJ9" i="13"/>
  <c r="BI9" i="13"/>
  <c r="BJ8" i="13"/>
  <c r="BI8" i="13"/>
  <c r="BJ7" i="13"/>
  <c r="BI7" i="13"/>
  <c r="BJ6" i="13"/>
  <c r="BI6" i="13"/>
  <c r="L23" i="15" l="1"/>
  <c r="K23" i="15"/>
  <c r="J23" i="15"/>
  <c r="O23" i="15"/>
  <c r="BF9" i="13" l="1"/>
  <c r="BE9" i="13"/>
  <c r="BF8" i="13"/>
  <c r="BE8" i="13"/>
  <c r="BF7" i="13"/>
  <c r="BE7" i="13"/>
  <c r="BF6" i="13"/>
  <c r="BE6" i="13"/>
  <c r="F35" i="6" l="1"/>
  <c r="F27" i="3" l="1"/>
  <c r="F26" i="3"/>
  <c r="F25" i="3"/>
  <c r="F24" i="3"/>
  <c r="E25" i="3"/>
  <c r="E26" i="3"/>
  <c r="E27" i="3"/>
  <c r="E24" i="3"/>
  <c r="C28" i="3"/>
  <c r="E28" i="3" l="1"/>
  <c r="D28" i="3" s="1"/>
  <c r="F28" i="3"/>
  <c r="G28" i="3" s="1"/>
  <c r="BB9" i="13"/>
  <c r="BA9" i="13"/>
  <c r="BB8" i="13"/>
  <c r="BA8" i="13"/>
  <c r="BB7" i="13"/>
  <c r="BA7" i="13"/>
  <c r="BB6" i="13"/>
  <c r="BA6" i="13"/>
  <c r="AE36" i="6" l="1"/>
  <c r="AF36" i="6"/>
  <c r="AH36" i="6"/>
  <c r="AE42" i="6"/>
  <c r="AW9" i="13" l="1"/>
  <c r="AW8" i="13"/>
  <c r="AW7" i="13"/>
  <c r="AW6" i="13"/>
  <c r="AX9" i="13"/>
  <c r="AX8" i="13"/>
  <c r="AX7" i="13"/>
  <c r="AX6" i="13"/>
  <c r="H24" i="3"/>
  <c r="H28" i="3" s="1"/>
  <c r="W11" i="6"/>
  <c r="X11" i="6"/>
  <c r="X39" i="6" s="1"/>
  <c r="AA11" i="6"/>
  <c r="AA39" i="6" s="1"/>
  <c r="W36" i="6"/>
  <c r="X36" i="6"/>
  <c r="AA36" i="6"/>
  <c r="W42" i="6"/>
  <c r="X42" i="6"/>
  <c r="AA42" i="6"/>
  <c r="W45" i="6"/>
  <c r="X45" i="6"/>
  <c r="AT9" i="13"/>
  <c r="AT8" i="13"/>
  <c r="AT7" i="13"/>
  <c r="AT6" i="13"/>
  <c r="AS9" i="13"/>
  <c r="AS8" i="13"/>
  <c r="AS7" i="13"/>
  <c r="AS6" i="13"/>
  <c r="W39" i="6" l="1"/>
  <c r="AP7" i="13" l="1"/>
  <c r="AP8" i="13"/>
  <c r="AP9" i="13"/>
  <c r="AP6" i="13"/>
  <c r="AO7" i="13"/>
  <c r="AO8" i="13"/>
  <c r="AO9" i="13"/>
  <c r="AO6" i="13"/>
  <c r="AL9" i="13"/>
  <c r="AK9" i="13"/>
  <c r="AH9" i="13"/>
  <c r="AG9" i="13"/>
  <c r="AD9" i="13"/>
  <c r="AC9" i="13"/>
  <c r="Z9" i="13"/>
  <c r="Y9" i="13"/>
  <c r="V9" i="13"/>
  <c r="U9" i="13"/>
  <c r="AL8" i="13"/>
  <c r="AK8" i="13"/>
  <c r="AH8" i="13"/>
  <c r="AG8" i="13"/>
  <c r="AD8" i="13"/>
  <c r="AC8" i="13"/>
  <c r="Z8" i="13"/>
  <c r="Y8" i="13"/>
  <c r="V8" i="13"/>
  <c r="U8" i="13"/>
  <c r="AL7" i="13"/>
  <c r="AK7" i="13"/>
  <c r="AH7" i="13"/>
  <c r="AG7" i="13"/>
  <c r="AD7" i="13"/>
  <c r="AC7" i="13"/>
  <c r="Z7" i="13"/>
  <c r="Y7" i="13"/>
  <c r="V7" i="13"/>
  <c r="U7" i="13"/>
  <c r="AL6" i="13"/>
  <c r="AK6" i="13"/>
  <c r="AH6" i="13"/>
  <c r="AG6" i="13"/>
  <c r="AD6" i="13"/>
  <c r="AC6" i="13"/>
  <c r="Z6" i="13"/>
  <c r="Y6" i="13"/>
  <c r="V6" i="13"/>
  <c r="U6" i="13"/>
  <c r="C19" i="3" l="1"/>
  <c r="F18" i="3"/>
  <c r="E18" i="3"/>
  <c r="F17" i="3"/>
  <c r="E17" i="3"/>
  <c r="F16" i="3"/>
  <c r="E16" i="3"/>
  <c r="F15" i="3"/>
  <c r="E15" i="3"/>
  <c r="E19" i="3" l="1"/>
  <c r="D19" i="3" s="1"/>
  <c r="F19" i="3"/>
  <c r="G19" i="3" s="1"/>
  <c r="AD11" i="6"/>
  <c r="AC11" i="6"/>
  <c r="AB11" i="6"/>
  <c r="O11" i="6"/>
  <c r="O39" i="6" s="1"/>
  <c r="N11" i="6"/>
  <c r="N39" i="6" s="1"/>
  <c r="M11" i="6"/>
  <c r="L11" i="6"/>
  <c r="G11" i="6"/>
  <c r="F11" i="6"/>
  <c r="E11" i="6"/>
  <c r="D11" i="6"/>
  <c r="C11" i="6"/>
  <c r="B11" i="6"/>
  <c r="J11" i="6" l="1"/>
  <c r="Q11" i="6" s="1"/>
  <c r="Y11" i="6" s="1"/>
  <c r="Q9" i="13"/>
  <c r="Q8" i="13"/>
  <c r="Q7" i="13"/>
  <c r="Q6" i="13"/>
  <c r="R9" i="13" l="1"/>
  <c r="R8" i="13"/>
  <c r="R7" i="13"/>
  <c r="R6" i="13"/>
  <c r="M39" i="6"/>
  <c r="L39" i="6"/>
  <c r="K7" i="13"/>
  <c r="K8" i="13"/>
  <c r="K9" i="13"/>
  <c r="K6" i="13"/>
  <c r="CM11" i="13"/>
  <c r="CR5" i="13"/>
  <c r="CR11" i="13" s="1"/>
  <c r="CQ5" i="13"/>
  <c r="CQ11" i="13" s="1"/>
  <c r="CP5" i="13"/>
  <c r="CP11" i="13" s="1"/>
  <c r="CO5" i="13"/>
  <c r="CO11" i="13" s="1"/>
  <c r="CN5" i="13"/>
  <c r="CN11" i="13" s="1"/>
  <c r="CM5" i="13"/>
  <c r="L9" i="13"/>
  <c r="L8" i="13"/>
  <c r="L7" i="13"/>
  <c r="L6" i="13"/>
  <c r="L42" i="6"/>
  <c r="M42" i="6"/>
  <c r="L45" i="6"/>
  <c r="M45" i="6"/>
  <c r="L36" i="6"/>
  <c r="M36" i="6"/>
  <c r="L46" i="1"/>
  <c r="B31" i="1" l="1"/>
  <c r="B35" i="1"/>
  <c r="AE46" i="11" l="1"/>
  <c r="X31" i="11" l="1"/>
  <c r="X24" i="11"/>
  <c r="X18" i="11"/>
  <c r="X11" i="11"/>
  <c r="X3" i="11"/>
  <c r="G11" i="7" l="1"/>
  <c r="W31" i="11"/>
  <c r="W24" i="11"/>
  <c r="W18" i="11"/>
  <c r="W11" i="11"/>
  <c r="W3" i="11" l="1"/>
  <c r="V3" i="11"/>
  <c r="X43" i="11" l="1"/>
  <c r="W43" i="11"/>
  <c r="V31" i="11"/>
  <c r="U31" i="11"/>
  <c r="U43" i="11" s="1"/>
  <c r="V24" i="11"/>
  <c r="U24" i="11"/>
  <c r="X40" i="11"/>
  <c r="W40" i="11"/>
  <c r="V18" i="11"/>
  <c r="U18" i="11"/>
  <c r="X37" i="11"/>
  <c r="W37" i="11"/>
  <c r="V11" i="11"/>
  <c r="V37" i="11" s="1"/>
  <c r="U11" i="11"/>
  <c r="X34" i="11"/>
  <c r="W34" i="11"/>
  <c r="V34" i="11"/>
  <c r="U3" i="11"/>
  <c r="B25" i="11"/>
  <c r="B12" i="11"/>
  <c r="C12" i="11"/>
  <c r="B4" i="11"/>
  <c r="R61" i="11"/>
  <c r="Q61" i="11"/>
  <c r="V60" i="11"/>
  <c r="V59" i="11"/>
  <c r="V58" i="11"/>
  <c r="V57" i="11"/>
  <c r="V56" i="11"/>
  <c r="V55" i="11"/>
  <c r="V54" i="11"/>
  <c r="V53" i="11"/>
  <c r="V52" i="11"/>
  <c r="V51" i="11"/>
  <c r="S43" i="11"/>
  <c r="R43" i="11"/>
  <c r="Q43" i="11"/>
  <c r="P43" i="11"/>
  <c r="O43" i="11"/>
  <c r="N43" i="11"/>
  <c r="M43" i="11"/>
  <c r="K43" i="11"/>
  <c r="J43" i="11"/>
  <c r="I43" i="11"/>
  <c r="H43" i="11"/>
  <c r="G43" i="11"/>
  <c r="F43" i="11"/>
  <c r="E43" i="11"/>
  <c r="C43" i="11"/>
  <c r="B43" i="11"/>
  <c r="S40" i="11"/>
  <c r="R40" i="11"/>
  <c r="Q40" i="11"/>
  <c r="P40" i="11"/>
  <c r="O40" i="11"/>
  <c r="N40" i="11"/>
  <c r="M40" i="11"/>
  <c r="K40" i="11"/>
  <c r="J40" i="11"/>
  <c r="I40" i="11"/>
  <c r="H40" i="11"/>
  <c r="G40" i="11"/>
  <c r="F40" i="11"/>
  <c r="E40" i="11"/>
  <c r="C40" i="11"/>
  <c r="B40" i="11"/>
  <c r="S37" i="11"/>
  <c r="R37" i="11"/>
  <c r="Q37" i="11"/>
  <c r="P37" i="11"/>
  <c r="O37" i="11"/>
  <c r="N37" i="11"/>
  <c r="M37" i="11"/>
  <c r="K37" i="11"/>
  <c r="J37" i="11"/>
  <c r="I37" i="11"/>
  <c r="H37" i="11"/>
  <c r="G37" i="11"/>
  <c r="F37" i="11"/>
  <c r="E37" i="11"/>
  <c r="C37" i="11"/>
  <c r="B37" i="11"/>
  <c r="S34" i="11"/>
  <c r="R34" i="11"/>
  <c r="Q34" i="11"/>
  <c r="P34" i="11"/>
  <c r="O34" i="11"/>
  <c r="N34" i="11"/>
  <c r="M34" i="11"/>
  <c r="K34" i="11"/>
  <c r="J34" i="11"/>
  <c r="I34" i="11"/>
  <c r="H34" i="11"/>
  <c r="G34" i="11"/>
  <c r="F34" i="11"/>
  <c r="E34" i="11"/>
  <c r="C34" i="11"/>
  <c r="B34" i="11"/>
  <c r="G33" i="11"/>
  <c r="D31" i="11"/>
  <c r="D43" i="11" s="1"/>
  <c r="D24" i="11"/>
  <c r="L24" i="11" s="1"/>
  <c r="T24" i="11" s="1"/>
  <c r="D18" i="11"/>
  <c r="D11" i="11"/>
  <c r="D37" i="11" s="1"/>
  <c r="D3" i="11"/>
  <c r="D34" i="11" s="1"/>
  <c r="C1" i="11"/>
  <c r="V40" i="11" l="1"/>
  <c r="U37" i="11"/>
  <c r="U34" i="11"/>
  <c r="V43" i="11"/>
  <c r="L3" i="11"/>
  <c r="L34" i="11" s="1"/>
  <c r="L46" i="11" s="1"/>
  <c r="L31" i="11"/>
  <c r="L43" i="11" s="1"/>
  <c r="L49" i="11" s="1"/>
  <c r="T31" i="11"/>
  <c r="T43" i="11" s="1"/>
  <c r="T49" i="11" s="1"/>
  <c r="L11" i="11"/>
  <c r="G35" i="11"/>
  <c r="V61" i="11"/>
  <c r="U40" i="11"/>
  <c r="D49" i="11"/>
  <c r="D47" i="11"/>
  <c r="B39" i="11"/>
  <c r="B41" i="11" s="1"/>
  <c r="D17" i="11"/>
  <c r="B19" i="11"/>
  <c r="C36" i="11"/>
  <c r="C38" i="11" s="1"/>
  <c r="B36" i="11"/>
  <c r="B38" i="11" s="1"/>
  <c r="D10" i="11"/>
  <c r="E1" i="11"/>
  <c r="D30" i="11"/>
  <c r="D32" i="11" s="1"/>
  <c r="D2" i="11"/>
  <c r="B33" i="11"/>
  <c r="B35" i="11" s="1"/>
  <c r="D46" i="11"/>
  <c r="D40" i="11"/>
  <c r="L18" i="11"/>
  <c r="B42" i="11"/>
  <c r="B44" i="11" s="1"/>
  <c r="B32" i="11"/>
  <c r="T3" i="11" l="1"/>
  <c r="T11" i="11"/>
  <c r="L37" i="11"/>
  <c r="L47" i="11" s="1"/>
  <c r="T34" i="11"/>
  <c r="C42" i="11"/>
  <c r="C44" i="11" s="1"/>
  <c r="C32" i="11"/>
  <c r="D23" i="11"/>
  <c r="D39" i="11" s="1"/>
  <c r="C25" i="11"/>
  <c r="D19" i="11"/>
  <c r="D33" i="11"/>
  <c r="D4" i="11"/>
  <c r="T18" i="11"/>
  <c r="L40" i="11"/>
  <c r="F1" i="11"/>
  <c r="E25" i="11"/>
  <c r="D48" i="11"/>
  <c r="C39" i="11"/>
  <c r="C41" i="11" s="1"/>
  <c r="C19" i="11"/>
  <c r="D42" i="11"/>
  <c r="D36" i="11"/>
  <c r="D12" i="11"/>
  <c r="C33" i="11"/>
  <c r="C35" i="11" s="1"/>
  <c r="C4" i="11"/>
  <c r="T37" i="11" l="1"/>
  <c r="T47" i="11" s="1"/>
  <c r="C48" i="11"/>
  <c r="D41" i="11"/>
  <c r="E39" i="11"/>
  <c r="E41" i="11" s="1"/>
  <c r="E19" i="11"/>
  <c r="C46" i="11"/>
  <c r="D35" i="11"/>
  <c r="T40" i="11"/>
  <c r="L48" i="11"/>
  <c r="E36" i="11"/>
  <c r="E38" i="11" s="1"/>
  <c r="E12" i="11"/>
  <c r="F25" i="11"/>
  <c r="G1" i="11"/>
  <c r="F48" i="11"/>
  <c r="E48" i="11"/>
  <c r="D50" i="11"/>
  <c r="C49" i="11"/>
  <c r="D44" i="11"/>
  <c r="E4" i="11"/>
  <c r="E33" i="11"/>
  <c r="E35" i="11" s="1"/>
  <c r="D25" i="11"/>
  <c r="C47" i="11"/>
  <c r="D38" i="11"/>
  <c r="E42" i="11"/>
  <c r="E44" i="11" s="1"/>
  <c r="E32" i="11"/>
  <c r="T46" i="11"/>
  <c r="F47" i="11" l="1"/>
  <c r="E47" i="11"/>
  <c r="F19" i="11"/>
  <c r="F39" i="11"/>
  <c r="F41" i="11" s="1"/>
  <c r="F36" i="11"/>
  <c r="F38" i="11" s="1"/>
  <c r="F12" i="11"/>
  <c r="L50" i="11"/>
  <c r="T48" i="11"/>
  <c r="T50" i="11" s="1"/>
  <c r="F33" i="11"/>
  <c r="F35" i="11" s="1"/>
  <c r="F4" i="11"/>
  <c r="E49" i="11"/>
  <c r="F49" i="11"/>
  <c r="H1" i="11"/>
  <c r="G25" i="11"/>
  <c r="G4" i="11"/>
  <c r="C50" i="11"/>
  <c r="F50" i="11" s="1"/>
  <c r="F46" i="11"/>
  <c r="E46" i="11"/>
  <c r="F42" i="11"/>
  <c r="F44" i="11" s="1"/>
  <c r="F32" i="11"/>
  <c r="E50" i="11" l="1"/>
  <c r="G42" i="11"/>
  <c r="G44" i="11" s="1"/>
  <c r="G32" i="11"/>
  <c r="G36" i="11"/>
  <c r="G38" i="11" s="1"/>
  <c r="G12" i="11"/>
  <c r="I1" i="11"/>
  <c r="G19" i="11"/>
  <c r="G39" i="11"/>
  <c r="G41" i="11" s="1"/>
  <c r="H39" i="11" l="1"/>
  <c r="H41" i="11" s="1"/>
  <c r="H19" i="11"/>
  <c r="H33" i="11"/>
  <c r="H35" i="11" s="1"/>
  <c r="H4" i="11"/>
  <c r="H25" i="11"/>
  <c r="H32" i="11"/>
  <c r="H42" i="11"/>
  <c r="H44" i="11" s="1"/>
  <c r="H12" i="11"/>
  <c r="H36" i="11"/>
  <c r="H38" i="11" s="1"/>
  <c r="I25" i="11"/>
  <c r="J1" i="11"/>
  <c r="I39" i="11" l="1"/>
  <c r="I41" i="11" s="1"/>
  <c r="I19" i="11"/>
  <c r="J25" i="11"/>
  <c r="K1" i="11"/>
  <c r="I42" i="11"/>
  <c r="I44" i="11" s="1"/>
  <c r="I32" i="11"/>
  <c r="I36" i="11"/>
  <c r="I38" i="11" s="1"/>
  <c r="I12" i="11"/>
  <c r="I33" i="11"/>
  <c r="I35" i="11" s="1"/>
  <c r="I4" i="11"/>
  <c r="K25" i="11" l="1"/>
  <c r="M1" i="11"/>
  <c r="J42" i="11"/>
  <c r="J44" i="11" s="1"/>
  <c r="J32" i="11"/>
  <c r="J33" i="11"/>
  <c r="J35" i="11" s="1"/>
  <c r="J4" i="11"/>
  <c r="L23" i="11"/>
  <c r="J36" i="11"/>
  <c r="J38" i="11" s="1"/>
  <c r="J12" i="11"/>
  <c r="J19" i="11"/>
  <c r="J39" i="11"/>
  <c r="J41" i="11" s="1"/>
  <c r="K42" i="11" l="1"/>
  <c r="K44" i="11" s="1"/>
  <c r="K32" i="11"/>
  <c r="K39" i="11"/>
  <c r="K41" i="11" s="1"/>
  <c r="K19" i="11"/>
  <c r="L17" i="11"/>
  <c r="K33" i="11"/>
  <c r="K35" i="11" s="1"/>
  <c r="K4" i="11"/>
  <c r="L2" i="11"/>
  <c r="K36" i="11"/>
  <c r="K38" i="11" s="1"/>
  <c r="K12" i="11"/>
  <c r="L10" i="11"/>
  <c r="N1" i="11"/>
  <c r="M25" i="11"/>
  <c r="L25" i="11"/>
  <c r="L30" i="11"/>
  <c r="M33" i="11" l="1"/>
  <c r="M35" i="11" s="1"/>
  <c r="M4" i="11"/>
  <c r="L39" i="11"/>
  <c r="L19" i="11"/>
  <c r="L36" i="11"/>
  <c r="L12" i="11"/>
  <c r="O1" i="11"/>
  <c r="N25" i="11"/>
  <c r="M19" i="11"/>
  <c r="M39" i="11"/>
  <c r="M41" i="11" s="1"/>
  <c r="L4" i="11"/>
  <c r="L33" i="11"/>
  <c r="M42" i="11"/>
  <c r="M44" i="11" s="1"/>
  <c r="M32" i="11"/>
  <c r="L42" i="11"/>
  <c r="L32" i="11"/>
  <c r="M36" i="11"/>
  <c r="M38" i="11" s="1"/>
  <c r="M12" i="11"/>
  <c r="O25" i="11" l="1"/>
  <c r="K47" i="11"/>
  <c r="L38" i="11"/>
  <c r="K49" i="11"/>
  <c r="L44" i="11"/>
  <c r="N36" i="11"/>
  <c r="N38" i="11" s="1"/>
  <c r="N12" i="11"/>
  <c r="K48" i="11"/>
  <c r="L41" i="11"/>
  <c r="N4" i="11"/>
  <c r="N33" i="11"/>
  <c r="N35" i="11" s="1"/>
  <c r="N39" i="11"/>
  <c r="N41" i="11" s="1"/>
  <c r="N19" i="11"/>
  <c r="K46" i="11"/>
  <c r="L35" i="11"/>
  <c r="P1" i="11"/>
  <c r="N42" i="11"/>
  <c r="N44" i="11" s="1"/>
  <c r="N32" i="11"/>
  <c r="O42" i="11" l="1"/>
  <c r="O44" i="11" s="1"/>
  <c r="O32" i="11"/>
  <c r="K50" i="11"/>
  <c r="N46" i="11"/>
  <c r="M46" i="11"/>
  <c r="O36" i="11"/>
  <c r="O38" i="11" s="1"/>
  <c r="O12" i="11"/>
  <c r="N49" i="11"/>
  <c r="M49" i="11"/>
  <c r="M48" i="11"/>
  <c r="N48" i="11"/>
  <c r="O4" i="11"/>
  <c r="O33" i="11"/>
  <c r="O35" i="11" s="1"/>
  <c r="O19" i="11"/>
  <c r="O39" i="11"/>
  <c r="O41" i="11" s="1"/>
  <c r="Q1" i="11"/>
  <c r="N47" i="11"/>
  <c r="M47" i="11"/>
  <c r="Q25" i="11" l="1"/>
  <c r="P39" i="11"/>
  <c r="P41" i="11" s="1"/>
  <c r="P19" i="11"/>
  <c r="P25" i="11"/>
  <c r="R1" i="11"/>
  <c r="P36" i="11"/>
  <c r="P38" i="11" s="1"/>
  <c r="P12" i="11"/>
  <c r="P32" i="11"/>
  <c r="P42" i="11"/>
  <c r="P44" i="11" s="1"/>
  <c r="N50" i="11"/>
  <c r="M50" i="11"/>
  <c r="P33" i="11"/>
  <c r="P35" i="11" s="1"/>
  <c r="P4" i="11"/>
  <c r="R25" i="11" l="1"/>
  <c r="Q32" i="11"/>
  <c r="Q42" i="11"/>
  <c r="Q44" i="11" s="1"/>
  <c r="S1" i="11"/>
  <c r="Q12" i="11"/>
  <c r="Q36" i="11"/>
  <c r="Q38" i="11" s="1"/>
  <c r="Q39" i="11"/>
  <c r="Q41" i="11" s="1"/>
  <c r="Q19" i="11"/>
  <c r="Q33" i="11"/>
  <c r="Q35" i="11" s="1"/>
  <c r="Q4" i="11"/>
  <c r="R32" i="11" l="1"/>
  <c r="R42" i="11"/>
  <c r="R44" i="11" s="1"/>
  <c r="R12" i="11"/>
  <c r="R36" i="11"/>
  <c r="R38" i="11" s="1"/>
  <c r="R19" i="11"/>
  <c r="R39" i="11"/>
  <c r="R41" i="11" s="1"/>
  <c r="R4" i="11"/>
  <c r="R33" i="11"/>
  <c r="R35" i="11" s="1"/>
  <c r="U1" i="11"/>
  <c r="U25" i="11" l="1"/>
  <c r="S36" i="11"/>
  <c r="S38" i="11" s="1"/>
  <c r="S12" i="11"/>
  <c r="T10" i="11"/>
  <c r="S19" i="11"/>
  <c r="S39" i="11"/>
  <c r="S41" i="11" s="1"/>
  <c r="V1" i="11"/>
  <c r="S25" i="11"/>
  <c r="T23" i="11"/>
  <c r="S42" i="11"/>
  <c r="S44" i="11" s="1"/>
  <c r="S32" i="11"/>
  <c r="T30" i="11"/>
  <c r="S33" i="11"/>
  <c r="S35" i="11" s="1"/>
  <c r="S4" i="11"/>
  <c r="T2" i="11"/>
  <c r="T17" i="11"/>
  <c r="V25" i="11" l="1"/>
  <c r="T42" i="11"/>
  <c r="T32" i="11"/>
  <c r="U39" i="11"/>
  <c r="U41" i="11" s="1"/>
  <c r="U19" i="11"/>
  <c r="T39" i="11"/>
  <c r="T19" i="11"/>
  <c r="W1" i="11"/>
  <c r="U33" i="11"/>
  <c r="U35" i="11" s="1"/>
  <c r="U4" i="11"/>
  <c r="U42" i="11"/>
  <c r="U44" i="11" s="1"/>
  <c r="U32" i="11"/>
  <c r="T25" i="11"/>
  <c r="T33" i="11"/>
  <c r="T4" i="11"/>
  <c r="T36" i="11"/>
  <c r="T12" i="11"/>
  <c r="U36" i="11"/>
  <c r="U38" i="11" s="1"/>
  <c r="U12" i="11"/>
  <c r="W25" i="11" l="1"/>
  <c r="S47" i="11"/>
  <c r="T38" i="11"/>
  <c r="X1" i="11"/>
  <c r="V33" i="11"/>
  <c r="V35" i="11" s="1"/>
  <c r="V4" i="11"/>
  <c r="V39" i="11"/>
  <c r="V41" i="11" s="1"/>
  <c r="V19" i="11"/>
  <c r="S48" i="11"/>
  <c r="T41" i="11"/>
  <c r="S46" i="11"/>
  <c r="T35" i="11"/>
  <c r="V36" i="11"/>
  <c r="V38" i="11" s="1"/>
  <c r="V12" i="11"/>
  <c r="V42" i="11"/>
  <c r="V44" i="11" s="1"/>
  <c r="V32" i="11"/>
  <c r="S49" i="11"/>
  <c r="T44" i="11"/>
  <c r="X25" i="11" l="1"/>
  <c r="W33" i="11"/>
  <c r="W35" i="11" s="1"/>
  <c r="W4" i="11"/>
  <c r="V49" i="11"/>
  <c r="U49" i="11"/>
  <c r="S50" i="11"/>
  <c r="V46" i="11"/>
  <c r="U46" i="11"/>
  <c r="U48" i="11"/>
  <c r="V48" i="11"/>
  <c r="Y1" i="11"/>
  <c r="W36" i="11"/>
  <c r="W38" i="11" s="1"/>
  <c r="W12" i="11"/>
  <c r="W42" i="11"/>
  <c r="W44" i="11" s="1"/>
  <c r="W32" i="11"/>
  <c r="W19" i="11"/>
  <c r="W39" i="11"/>
  <c r="W41" i="11" s="1"/>
  <c r="U47" i="11"/>
  <c r="V47" i="11"/>
  <c r="V50" i="11" l="1"/>
  <c r="U50" i="11"/>
  <c r="X39" i="11"/>
  <c r="X41" i="11" s="1"/>
  <c r="X19" i="11"/>
  <c r="X33" i="11"/>
  <c r="X35" i="11" s="1"/>
  <c r="X4" i="11"/>
  <c r="Z1" i="11"/>
  <c r="X42" i="11"/>
  <c r="X44" i="11" s="1"/>
  <c r="X32" i="11"/>
  <c r="X36" i="11"/>
  <c r="X38" i="11" s="1"/>
  <c r="X12" i="11"/>
  <c r="Y36" i="11" l="1"/>
  <c r="AA1" i="11"/>
  <c r="Y33" i="11"/>
  <c r="Y39" i="11"/>
  <c r="Y42" i="11"/>
  <c r="Z36" i="11" l="1"/>
  <c r="Z39" i="11"/>
  <c r="AB1" i="11"/>
  <c r="Z42" i="11"/>
  <c r="Z33" i="11"/>
  <c r="AC17" i="11" l="1"/>
  <c r="AC23" i="11"/>
  <c r="AC2" i="11"/>
  <c r="AC10" i="11"/>
  <c r="AA42" i="11"/>
  <c r="AA33" i="11"/>
  <c r="AA39" i="11"/>
  <c r="AD1" i="11"/>
  <c r="AC30" i="11"/>
  <c r="AA36" i="11"/>
  <c r="AB36" i="11" l="1"/>
  <c r="AB42" i="11"/>
  <c r="AC33" i="11"/>
  <c r="AE1" i="11"/>
  <c r="AC36" i="11"/>
  <c r="AB39" i="11"/>
  <c r="AB33" i="11"/>
  <c r="AC42" i="11"/>
  <c r="AC39" i="11"/>
  <c r="AA47" i="11" l="1"/>
  <c r="AD33" i="11"/>
  <c r="AD39" i="11"/>
  <c r="AA48" i="11"/>
  <c r="AA49" i="11"/>
  <c r="AF1" i="11"/>
  <c r="AA46" i="11"/>
  <c r="AD36" i="11"/>
  <c r="AD42" i="11"/>
  <c r="AE36" i="11" l="1"/>
  <c r="AE42" i="11"/>
  <c r="AG1" i="11"/>
  <c r="AE33" i="11"/>
  <c r="AE39" i="11"/>
  <c r="AA50" i="11"/>
  <c r="AF33" i="11" l="1"/>
  <c r="AF36" i="11"/>
  <c r="AF39" i="11"/>
  <c r="AH1" i="11"/>
  <c r="AF42" i="11"/>
  <c r="AG33" i="11" l="1"/>
  <c r="AI1" i="11"/>
  <c r="AG39" i="11"/>
  <c r="AG36" i="11"/>
  <c r="AG42" i="11"/>
  <c r="AH36" i="11" l="1"/>
  <c r="AH42" i="11"/>
  <c r="AH39" i="11"/>
  <c r="AH33" i="11"/>
  <c r="AJ2" i="11" l="1"/>
  <c r="AJ17" i="11"/>
  <c r="AJ23" i="11"/>
  <c r="AJ10" i="11"/>
  <c r="AI42" i="11"/>
  <c r="AI39" i="11"/>
  <c r="AI36" i="11"/>
  <c r="AJ30" i="11"/>
  <c r="AI33" i="11"/>
  <c r="AJ39" i="11" l="1"/>
  <c r="D8" i="7" s="1"/>
  <c r="AJ36" i="11"/>
  <c r="D7" i="7" s="1"/>
  <c r="AJ42" i="11"/>
  <c r="D9" i="7" s="1"/>
  <c r="AJ33" i="11"/>
  <c r="D6" i="7" s="1"/>
  <c r="BM46" i="11" l="1"/>
  <c r="AG46" i="11"/>
  <c r="BM49" i="11"/>
  <c r="AG49" i="11"/>
  <c r="AG47" i="11"/>
  <c r="BM47" i="11"/>
  <c r="AG48" i="11"/>
  <c r="BM48" i="11"/>
  <c r="AG50" i="11" l="1"/>
  <c r="BM50" i="11"/>
  <c r="C7" i="3" l="1"/>
  <c r="F6" i="3"/>
  <c r="E6" i="3"/>
  <c r="F5" i="3"/>
  <c r="E5" i="3"/>
  <c r="F4" i="3"/>
  <c r="E4" i="3"/>
  <c r="F3" i="3"/>
  <c r="E3" i="3"/>
  <c r="K27" i="8"/>
  <c r="F7" i="3" l="1"/>
  <c r="G7" i="3" s="1"/>
  <c r="E7" i="3"/>
  <c r="D7" i="3" s="1"/>
  <c r="X31" i="10" l="1"/>
  <c r="X24" i="10"/>
  <c r="X18" i="10"/>
  <c r="X11" i="10"/>
  <c r="X3" i="10"/>
  <c r="AG11" i="10"/>
  <c r="AF11" i="10"/>
  <c r="AE11" i="10"/>
  <c r="AD11" i="10"/>
  <c r="AC11" i="10"/>
  <c r="AG3" i="10"/>
  <c r="AF3" i="10"/>
  <c r="AE3" i="10"/>
  <c r="AD3" i="10"/>
  <c r="AC3" i="10"/>
  <c r="C10" i="10"/>
  <c r="B10" i="10"/>
  <c r="E10" i="10"/>
  <c r="F10" i="10"/>
  <c r="G10" i="10"/>
  <c r="H10" i="10"/>
  <c r="I10" i="10"/>
  <c r="J10" i="10"/>
  <c r="K10" i="10"/>
  <c r="M10" i="10"/>
  <c r="N10" i="10"/>
  <c r="O10" i="10"/>
  <c r="P10" i="10"/>
  <c r="Q10" i="10"/>
  <c r="R10" i="10"/>
  <c r="S10" i="10"/>
  <c r="U10" i="10"/>
  <c r="V10" i="10"/>
  <c r="V2" i="10"/>
  <c r="U2" i="10"/>
  <c r="S2" i="10"/>
  <c r="R2" i="10"/>
  <c r="Q2" i="10"/>
  <c r="P2" i="10"/>
  <c r="O2" i="10"/>
  <c r="N2" i="10"/>
  <c r="M2" i="10"/>
  <c r="K2" i="10"/>
  <c r="J2" i="10"/>
  <c r="I2" i="10"/>
  <c r="H2" i="10"/>
  <c r="G2" i="10"/>
  <c r="F2" i="10"/>
  <c r="E2" i="10"/>
  <c r="C2" i="10"/>
  <c r="B2" i="10"/>
  <c r="V17" i="10"/>
  <c r="U17" i="10"/>
  <c r="S17" i="10"/>
  <c r="R17" i="10"/>
  <c r="Q17" i="10"/>
  <c r="P17" i="10"/>
  <c r="O17" i="10"/>
  <c r="N17" i="10"/>
  <c r="M17" i="10"/>
  <c r="K17" i="10"/>
  <c r="J17" i="10"/>
  <c r="I17" i="10"/>
  <c r="H17" i="10"/>
  <c r="G17" i="10"/>
  <c r="F17" i="10"/>
  <c r="E17" i="10"/>
  <c r="C17" i="10"/>
  <c r="B17" i="10"/>
  <c r="V23" i="10"/>
  <c r="U23" i="10"/>
  <c r="S23" i="10"/>
  <c r="R23" i="10"/>
  <c r="Q23" i="10"/>
  <c r="P23" i="10"/>
  <c r="O23" i="10"/>
  <c r="N23" i="10"/>
  <c r="M23" i="10"/>
  <c r="K23" i="10"/>
  <c r="J23" i="10"/>
  <c r="I23" i="10"/>
  <c r="H23" i="10"/>
  <c r="G23" i="10"/>
  <c r="F23" i="10"/>
  <c r="E23" i="10"/>
  <c r="C23" i="10"/>
  <c r="B23" i="10"/>
  <c r="R61" i="10" l="1"/>
  <c r="V61" i="10" s="1"/>
  <c r="Q61" i="10"/>
  <c r="V60" i="10"/>
  <c r="V59" i="10"/>
  <c r="V58" i="10"/>
  <c r="V57" i="10"/>
  <c r="V56" i="10"/>
  <c r="V55" i="10"/>
  <c r="V54" i="10"/>
  <c r="V53" i="10"/>
  <c r="V52" i="10"/>
  <c r="V51" i="10"/>
  <c r="AF44" i="10"/>
  <c r="AG43" i="10"/>
  <c r="AG44" i="10" s="1"/>
  <c r="AF43" i="10"/>
  <c r="AE43" i="10"/>
  <c r="AE44" i="10" s="1"/>
  <c r="AD43" i="10"/>
  <c r="AD44" i="10" s="1"/>
  <c r="AC43" i="10"/>
  <c r="AC44" i="10" s="1"/>
  <c r="X43" i="10"/>
  <c r="X44" i="10" s="1"/>
  <c r="W43" i="10"/>
  <c r="W44" i="10" s="1"/>
  <c r="V43" i="10"/>
  <c r="V44" i="10" s="1"/>
  <c r="U43" i="10"/>
  <c r="S43" i="10"/>
  <c r="R43" i="10"/>
  <c r="Q43" i="10"/>
  <c r="P43" i="10"/>
  <c r="O43" i="10"/>
  <c r="N43" i="10"/>
  <c r="M43" i="10"/>
  <c r="K43" i="10"/>
  <c r="J43" i="10"/>
  <c r="I43" i="10"/>
  <c r="H43" i="10"/>
  <c r="G43" i="10"/>
  <c r="F43" i="10"/>
  <c r="E43" i="10"/>
  <c r="C43" i="10"/>
  <c r="B43" i="10"/>
  <c r="AG42" i="10"/>
  <c r="AF42" i="10"/>
  <c r="AE42" i="10"/>
  <c r="AD42" i="10"/>
  <c r="AC42" i="10"/>
  <c r="AA42" i="10"/>
  <c r="Z42" i="10"/>
  <c r="Y42" i="10"/>
  <c r="X42" i="10"/>
  <c r="W42" i="10"/>
  <c r="V42" i="10"/>
  <c r="W40" i="10"/>
  <c r="V40" i="10"/>
  <c r="U40" i="10"/>
  <c r="S40" i="10"/>
  <c r="R40" i="10"/>
  <c r="Q40" i="10"/>
  <c r="P40" i="10"/>
  <c r="O40" i="10"/>
  <c r="N40" i="10"/>
  <c r="M40" i="10"/>
  <c r="K40" i="10"/>
  <c r="J40" i="10"/>
  <c r="I40" i="10"/>
  <c r="H40" i="10"/>
  <c r="G40" i="10"/>
  <c r="F40" i="10"/>
  <c r="E40" i="10"/>
  <c r="C40" i="10"/>
  <c r="B40" i="10"/>
  <c r="B39" i="10"/>
  <c r="W37" i="10"/>
  <c r="V37" i="10"/>
  <c r="U37" i="10"/>
  <c r="S37" i="10"/>
  <c r="R37" i="10"/>
  <c r="Q37" i="10"/>
  <c r="P37" i="10"/>
  <c r="O37" i="10"/>
  <c r="N37" i="10"/>
  <c r="M37" i="10"/>
  <c r="K37" i="10"/>
  <c r="J37" i="10"/>
  <c r="I37" i="10"/>
  <c r="H37" i="10"/>
  <c r="G37" i="10"/>
  <c r="F37" i="10"/>
  <c r="E37" i="10"/>
  <c r="D37" i="10"/>
  <c r="C37" i="10"/>
  <c r="B37" i="10"/>
  <c r="W34" i="10"/>
  <c r="V34" i="10"/>
  <c r="U34" i="10"/>
  <c r="S34" i="10"/>
  <c r="R34" i="10"/>
  <c r="Q34" i="10"/>
  <c r="P34" i="10"/>
  <c r="O34" i="10"/>
  <c r="N34" i="10"/>
  <c r="M34" i="10"/>
  <c r="K34" i="10"/>
  <c r="J34" i="10"/>
  <c r="I34" i="10"/>
  <c r="H34" i="10"/>
  <c r="G34" i="10"/>
  <c r="F34" i="10"/>
  <c r="E34" i="10"/>
  <c r="C34" i="10"/>
  <c r="B34" i="10"/>
  <c r="G33" i="10"/>
  <c r="AG32" i="10"/>
  <c r="AF32" i="10"/>
  <c r="AE32" i="10"/>
  <c r="AD32" i="10"/>
  <c r="AC32" i="10"/>
  <c r="X32" i="10"/>
  <c r="W32" i="10"/>
  <c r="V32" i="10"/>
  <c r="D31" i="10"/>
  <c r="D43" i="10" s="1"/>
  <c r="D49" i="10" s="1"/>
  <c r="C32" i="10"/>
  <c r="B25" i="10"/>
  <c r="D24" i="10"/>
  <c r="L24" i="10" s="1"/>
  <c r="D18" i="10"/>
  <c r="L18" i="10" s="1"/>
  <c r="B19" i="10"/>
  <c r="D11" i="10"/>
  <c r="L11" i="10" s="1"/>
  <c r="C36" i="10"/>
  <c r="C38" i="10" s="1"/>
  <c r="L3" i="10"/>
  <c r="D3" i="10"/>
  <c r="B33" i="10"/>
  <c r="C1" i="10"/>
  <c r="E1" i="10" s="1"/>
  <c r="F1" i="10" s="1"/>
  <c r="B41" i="10" l="1"/>
  <c r="L34" i="10"/>
  <c r="T3" i="10"/>
  <c r="D34" i="10"/>
  <c r="B36" i="10"/>
  <c r="B38" i="10" s="1"/>
  <c r="B12" i="10"/>
  <c r="D10" i="10"/>
  <c r="D47" i="10"/>
  <c r="F25" i="10"/>
  <c r="G1" i="10"/>
  <c r="T11" i="10"/>
  <c r="L37" i="10"/>
  <c r="T24" i="10"/>
  <c r="C12" i="10"/>
  <c r="T18" i="10"/>
  <c r="D40" i="10"/>
  <c r="B32" i="10"/>
  <c r="D30" i="10"/>
  <c r="D32" i="10" s="1"/>
  <c r="B35" i="10"/>
  <c r="C42" i="10"/>
  <c r="C44" i="10" s="1"/>
  <c r="L31" i="10"/>
  <c r="L40" i="10"/>
  <c r="B42" i="10"/>
  <c r="B44" i="10" s="1"/>
  <c r="E25" i="10"/>
  <c r="B4" i="10"/>
  <c r="D2" i="10"/>
  <c r="G35" i="10"/>
  <c r="C39" i="10" l="1"/>
  <c r="C41" i="10" s="1"/>
  <c r="C19" i="10"/>
  <c r="D12" i="10"/>
  <c r="D36" i="10"/>
  <c r="L43" i="10"/>
  <c r="T31" i="10"/>
  <c r="D33" i="10"/>
  <c r="C46" i="10" s="1"/>
  <c r="T40" i="10"/>
  <c r="D17" i="10"/>
  <c r="E33" i="10"/>
  <c r="E35" i="10" s="1"/>
  <c r="E4" i="10"/>
  <c r="D4" i="10"/>
  <c r="D48" i="10"/>
  <c r="F42" i="10"/>
  <c r="F44" i="10" s="1"/>
  <c r="F32" i="10"/>
  <c r="T34" i="10"/>
  <c r="E19" i="10"/>
  <c r="E39" i="10"/>
  <c r="E41" i="10" s="1"/>
  <c r="E42" i="10"/>
  <c r="E44" i="10" s="1"/>
  <c r="E32" i="10"/>
  <c r="G25" i="10"/>
  <c r="H1" i="10"/>
  <c r="G4" i="10"/>
  <c r="F19" i="10"/>
  <c r="F39" i="10"/>
  <c r="F41" i="10" s="1"/>
  <c r="E12" i="10"/>
  <c r="E36" i="10"/>
  <c r="E38" i="10" s="1"/>
  <c r="L47" i="10"/>
  <c r="F33" i="10"/>
  <c r="F35" i="10" s="1"/>
  <c r="F4" i="10"/>
  <c r="F36" i="10"/>
  <c r="F38" i="10" s="1"/>
  <c r="F12" i="10"/>
  <c r="D42" i="10"/>
  <c r="D46" i="10"/>
  <c r="L48" i="10"/>
  <c r="C4" i="10"/>
  <c r="C33" i="10"/>
  <c r="C35" i="10" s="1"/>
  <c r="D23" i="10"/>
  <c r="C25" i="10"/>
  <c r="T37" i="10"/>
  <c r="L46" i="10"/>
  <c r="D35" i="10" l="1"/>
  <c r="L49" i="10"/>
  <c r="T48" i="10"/>
  <c r="F46" i="10"/>
  <c r="E46" i="10"/>
  <c r="D50" i="10"/>
  <c r="H25" i="10"/>
  <c r="I1" i="10"/>
  <c r="G19" i="10"/>
  <c r="G39" i="10"/>
  <c r="G41" i="10" s="1"/>
  <c r="T43" i="10"/>
  <c r="D39" i="10"/>
  <c r="D19" i="10"/>
  <c r="T47" i="10"/>
  <c r="G36" i="10"/>
  <c r="G38" i="10" s="1"/>
  <c r="G12" i="10"/>
  <c r="T46" i="10"/>
  <c r="G42" i="10"/>
  <c r="G44" i="10" s="1"/>
  <c r="G32" i="10"/>
  <c r="C47" i="10"/>
  <c r="D38" i="10"/>
  <c r="D25" i="10"/>
  <c r="C49" i="10"/>
  <c r="D44" i="10"/>
  <c r="N36" i="8"/>
  <c r="N35" i="8"/>
  <c r="N34" i="8"/>
  <c r="N33" i="8"/>
  <c r="N32" i="8"/>
  <c r="M33" i="8"/>
  <c r="M34" i="8"/>
  <c r="M35" i="8"/>
  <c r="F36" i="6"/>
  <c r="H12" i="10" l="1"/>
  <c r="H36" i="10"/>
  <c r="H38" i="10" s="1"/>
  <c r="F49" i="10"/>
  <c r="E49" i="10"/>
  <c r="J1" i="10"/>
  <c r="T49" i="10"/>
  <c r="T50" i="10" s="1"/>
  <c r="H39" i="10"/>
  <c r="H41" i="10" s="1"/>
  <c r="H19" i="10"/>
  <c r="L50" i="10"/>
  <c r="H33" i="10"/>
  <c r="H35" i="10" s="1"/>
  <c r="H4" i="10"/>
  <c r="H42" i="10"/>
  <c r="H44" i="10" s="1"/>
  <c r="H32" i="10"/>
  <c r="F47" i="10"/>
  <c r="E47" i="10"/>
  <c r="C48" i="10"/>
  <c r="D41" i="10"/>
  <c r="J25" i="10" l="1"/>
  <c r="K1" i="10"/>
  <c r="E48" i="10"/>
  <c r="F48" i="10"/>
  <c r="C50" i="10"/>
  <c r="I36" i="10"/>
  <c r="I38" i="10" s="1"/>
  <c r="I12" i="10"/>
  <c r="I39" i="10"/>
  <c r="I41" i="10" s="1"/>
  <c r="I19" i="10"/>
  <c r="I33" i="10"/>
  <c r="I35" i="10" s="1"/>
  <c r="I4" i="10"/>
  <c r="I42" i="10"/>
  <c r="I44" i="10" s="1"/>
  <c r="I32" i="10"/>
  <c r="I25" i="10"/>
  <c r="J39" i="10" l="1"/>
  <c r="J41" i="10" s="1"/>
  <c r="J19" i="10"/>
  <c r="M1" i="10"/>
  <c r="L10" i="10"/>
  <c r="J32" i="10"/>
  <c r="J42" i="10"/>
  <c r="J44" i="10" s="1"/>
  <c r="J33" i="10"/>
  <c r="J35" i="10" s="1"/>
  <c r="J4" i="10"/>
  <c r="E50" i="10"/>
  <c r="F50" i="10"/>
  <c r="J36" i="10"/>
  <c r="J38" i="10" s="1"/>
  <c r="J12" i="10"/>
  <c r="S9" i="8"/>
  <c r="S8" i="8"/>
  <c r="S7" i="8"/>
  <c r="S6" i="8"/>
  <c r="K37" i="8"/>
  <c r="AB23" i="8"/>
  <c r="AA23" i="8"/>
  <c r="AB22" i="8"/>
  <c r="AA22" i="8"/>
  <c r="L37" i="8"/>
  <c r="AB21" i="8"/>
  <c r="AA21" i="8"/>
  <c r="M32" i="8"/>
  <c r="L36" i="10" l="1"/>
  <c r="L12" i="10"/>
  <c r="K39" i="10"/>
  <c r="K41" i="10" s="1"/>
  <c r="K19" i="10"/>
  <c r="M25" i="10"/>
  <c r="N1" i="10"/>
  <c r="K25" i="10"/>
  <c r="L23" i="10"/>
  <c r="K4" i="10"/>
  <c r="K33" i="10"/>
  <c r="K35" i="10" s="1"/>
  <c r="L2" i="10"/>
  <c r="K32" i="10"/>
  <c r="K42" i="10"/>
  <c r="K44" i="10" s="1"/>
  <c r="L30" i="10"/>
  <c r="K36" i="10"/>
  <c r="K38" i="10" s="1"/>
  <c r="K12" i="10"/>
  <c r="L17" i="10"/>
  <c r="N37" i="8"/>
  <c r="M37" i="8"/>
  <c r="L39" i="10" l="1"/>
  <c r="L19" i="10"/>
  <c r="M32" i="10"/>
  <c r="M42" i="10"/>
  <c r="M44" i="10" s="1"/>
  <c r="M39" i="10"/>
  <c r="M41" i="10" s="1"/>
  <c r="M19" i="10"/>
  <c r="L25" i="10"/>
  <c r="M4" i="10"/>
  <c r="M33" i="10"/>
  <c r="M35" i="10" s="1"/>
  <c r="L42" i="10"/>
  <c r="L32" i="10"/>
  <c r="M12" i="10"/>
  <c r="M36" i="10"/>
  <c r="M38" i="10" s="1"/>
  <c r="L33" i="10"/>
  <c r="L4" i="10"/>
  <c r="N25" i="10"/>
  <c r="O1" i="10"/>
  <c r="K47" i="10"/>
  <c r="L38" i="10"/>
  <c r="N33" i="10" l="1"/>
  <c r="N35" i="10" s="1"/>
  <c r="N4" i="10"/>
  <c r="K49" i="10"/>
  <c r="L44" i="10"/>
  <c r="N19" i="10"/>
  <c r="N39" i="10"/>
  <c r="N41" i="10" s="1"/>
  <c r="N32" i="10"/>
  <c r="N42" i="10"/>
  <c r="N44" i="10" s="1"/>
  <c r="K46" i="10"/>
  <c r="L35" i="10"/>
  <c r="N47" i="10"/>
  <c r="M47" i="10"/>
  <c r="P1" i="10"/>
  <c r="N36" i="10"/>
  <c r="N38" i="10" s="1"/>
  <c r="N12" i="10"/>
  <c r="K48" i="10"/>
  <c r="L41" i="10"/>
  <c r="M48" i="10" l="1"/>
  <c r="N48" i="10"/>
  <c r="O42" i="10"/>
  <c r="O44" i="10" s="1"/>
  <c r="O32" i="10"/>
  <c r="O36" i="10"/>
  <c r="O38" i="10" s="1"/>
  <c r="O12" i="10"/>
  <c r="Q1" i="10"/>
  <c r="P25" i="10"/>
  <c r="O33" i="10"/>
  <c r="O35" i="10" s="1"/>
  <c r="O4" i="10"/>
  <c r="K50" i="10"/>
  <c r="N46" i="10"/>
  <c r="M46" i="10"/>
  <c r="O25" i="10"/>
  <c r="N49" i="10"/>
  <c r="M49" i="10"/>
  <c r="O19" i="10"/>
  <c r="O39" i="10"/>
  <c r="O41" i="10" s="1"/>
  <c r="A15" i="1"/>
  <c r="A29" i="1"/>
  <c r="A22" i="1"/>
  <c r="A8" i="1"/>
  <c r="N50" i="10" l="1"/>
  <c r="M50" i="10"/>
  <c r="P19" i="10"/>
  <c r="P39" i="10"/>
  <c r="P41" i="10" s="1"/>
  <c r="P42" i="10"/>
  <c r="P44" i="10" s="1"/>
  <c r="P32" i="10"/>
  <c r="P36" i="10"/>
  <c r="P38" i="10" s="1"/>
  <c r="P12" i="10"/>
  <c r="Q25" i="10"/>
  <c r="R1" i="10"/>
  <c r="P33" i="10"/>
  <c r="P35" i="10" s="1"/>
  <c r="P4" i="10"/>
  <c r="B27" i="6"/>
  <c r="Q36" i="10" l="1"/>
  <c r="Q38" i="10" s="1"/>
  <c r="Q12" i="10"/>
  <c r="Q42" i="10"/>
  <c r="Q44" i="10" s="1"/>
  <c r="Q32" i="10"/>
  <c r="R25" i="10"/>
  <c r="S1" i="10"/>
  <c r="Q19" i="10"/>
  <c r="Q39" i="10"/>
  <c r="Q41" i="10" s="1"/>
  <c r="Q33" i="10"/>
  <c r="Q35" i="10" s="1"/>
  <c r="Q4" i="10"/>
  <c r="R39" i="10" l="1"/>
  <c r="R41" i="10" s="1"/>
  <c r="R19" i="10"/>
  <c r="R32" i="10"/>
  <c r="R42" i="10"/>
  <c r="R44" i="10" s="1"/>
  <c r="R12" i="10"/>
  <c r="R36" i="10"/>
  <c r="R38" i="10" s="1"/>
  <c r="R33" i="10"/>
  <c r="R35" i="10" s="1"/>
  <c r="R4" i="10"/>
  <c r="U1" i="10"/>
  <c r="S32" i="10" l="1"/>
  <c r="S42" i="10"/>
  <c r="S44" i="10" s="1"/>
  <c r="T30" i="10"/>
  <c r="S36" i="10"/>
  <c r="S38" i="10" s="1"/>
  <c r="S12" i="10"/>
  <c r="T10" i="10"/>
  <c r="S25" i="10"/>
  <c r="T23" i="10"/>
  <c r="U25" i="10"/>
  <c r="V1" i="10"/>
  <c r="S33" i="10"/>
  <c r="S35" i="10" s="1"/>
  <c r="S4" i="10"/>
  <c r="S39" i="10"/>
  <c r="S41" i="10" s="1"/>
  <c r="S19" i="10"/>
  <c r="T17" i="10"/>
  <c r="T2" i="10"/>
  <c r="T25" i="10" l="1"/>
  <c r="U4" i="10"/>
  <c r="U33" i="10"/>
  <c r="U35" i="10" s="1"/>
  <c r="T39" i="10"/>
  <c r="T19" i="10"/>
  <c r="U36" i="10"/>
  <c r="U38" i="10" s="1"/>
  <c r="U12" i="10"/>
  <c r="T33" i="10"/>
  <c r="T4" i="10"/>
  <c r="V25" i="10"/>
  <c r="W1" i="10"/>
  <c r="T36" i="10"/>
  <c r="T12" i="10"/>
  <c r="U39" i="10"/>
  <c r="U41" i="10" s="1"/>
  <c r="U19" i="10"/>
  <c r="AB30" i="10"/>
  <c r="T42" i="10"/>
  <c r="T32" i="10"/>
  <c r="U42" i="10"/>
  <c r="U44" i="10" s="1"/>
  <c r="U32" i="10"/>
  <c r="V33" i="10" l="1"/>
  <c r="V35" i="10" s="1"/>
  <c r="V4" i="10"/>
  <c r="V19" i="10"/>
  <c r="V39" i="10"/>
  <c r="V41" i="10" s="1"/>
  <c r="S49" i="10"/>
  <c r="T44" i="10"/>
  <c r="AB42" i="10"/>
  <c r="D11" i="7" s="1"/>
  <c r="AH30" i="10"/>
  <c r="S48" i="10"/>
  <c r="T41" i="10"/>
  <c r="S47" i="10"/>
  <c r="T38" i="10"/>
  <c r="S46" i="10"/>
  <c r="T35" i="10"/>
  <c r="W25" i="10"/>
  <c r="X1" i="10"/>
  <c r="V36" i="10"/>
  <c r="V38" i="10" s="1"/>
  <c r="V12" i="10"/>
  <c r="G42" i="6"/>
  <c r="G39" i="6"/>
  <c r="G36" i="6"/>
  <c r="E36" i="6"/>
  <c r="D39" i="6"/>
  <c r="C45" i="6"/>
  <c r="D45" i="6"/>
  <c r="B45" i="6"/>
  <c r="B42" i="6"/>
  <c r="E39" i="6"/>
  <c r="C39" i="6"/>
  <c r="D36" i="6"/>
  <c r="C36" i="6"/>
  <c r="C1" i="6"/>
  <c r="J2" i="6" l="1"/>
  <c r="J25" i="6"/>
  <c r="J27" i="6" s="1"/>
  <c r="J10" i="6"/>
  <c r="J19" i="6"/>
  <c r="AA49" i="10"/>
  <c r="V47" i="10"/>
  <c r="U47" i="10"/>
  <c r="W33" i="10"/>
  <c r="W35" i="10" s="1"/>
  <c r="W4" i="10"/>
  <c r="S50" i="10"/>
  <c r="V46" i="10"/>
  <c r="U46" i="10"/>
  <c r="W19" i="10"/>
  <c r="W39" i="10"/>
  <c r="W41" i="10" s="1"/>
  <c r="W36" i="10"/>
  <c r="W38" i="10" s="1"/>
  <c r="W12" i="10"/>
  <c r="V48" i="10"/>
  <c r="U48" i="10"/>
  <c r="V49" i="10"/>
  <c r="U49" i="10"/>
  <c r="Y1" i="10"/>
  <c r="AH42" i="10"/>
  <c r="C42" i="6"/>
  <c r="D42" i="6"/>
  <c r="B39" i="6"/>
  <c r="B36" i="6"/>
  <c r="E45" i="6"/>
  <c r="B14" i="6"/>
  <c r="F45" i="6"/>
  <c r="G45" i="6"/>
  <c r="E42" i="6"/>
  <c r="F42" i="6"/>
  <c r="F39" i="6"/>
  <c r="D1" i="6"/>
  <c r="B38" i="6"/>
  <c r="B35" i="6"/>
  <c r="B4" i="6"/>
  <c r="B21" i="6"/>
  <c r="B41" i="6"/>
  <c r="B43" i="6" s="1"/>
  <c r="B34" i="6"/>
  <c r="B44" i="6"/>
  <c r="B46" i="6" s="1"/>
  <c r="X39" i="10" l="1"/>
  <c r="X36" i="10"/>
  <c r="V50" i="10"/>
  <c r="U50" i="10"/>
  <c r="Z1" i="10"/>
  <c r="X25" i="10"/>
  <c r="X33" i="10"/>
  <c r="BK49" i="10"/>
  <c r="AG49" i="10"/>
  <c r="C27" i="6"/>
  <c r="C14" i="6"/>
  <c r="C38" i="6"/>
  <c r="C40" i="6" s="1"/>
  <c r="B37" i="6"/>
  <c r="B40" i="6"/>
  <c r="C4" i="6"/>
  <c r="C35" i="6"/>
  <c r="C37" i="6" s="1"/>
  <c r="C44" i="6"/>
  <c r="C46" i="6" s="1"/>
  <c r="C34" i="6"/>
  <c r="C21" i="6"/>
  <c r="C41" i="6"/>
  <c r="C43" i="6" s="1"/>
  <c r="E1" i="6"/>
  <c r="Y36" i="10" l="1"/>
  <c r="X37" i="10"/>
  <c r="X38" i="10" s="1"/>
  <c r="X12" i="10"/>
  <c r="Y33" i="10"/>
  <c r="Y39" i="10"/>
  <c r="X34" i="10"/>
  <c r="X35" i="10" s="1"/>
  <c r="X4" i="10"/>
  <c r="AA1" i="10"/>
  <c r="X19" i="10"/>
  <c r="X40" i="10"/>
  <c r="X41" i="10" s="1"/>
  <c r="D27" i="6"/>
  <c r="D14" i="6"/>
  <c r="D38" i="6"/>
  <c r="D40" i="6" s="1"/>
  <c r="D41" i="6"/>
  <c r="D43" i="6" s="1"/>
  <c r="D21" i="6"/>
  <c r="D4" i="6"/>
  <c r="D35" i="6"/>
  <c r="D37" i="6" s="1"/>
  <c r="F1" i="6"/>
  <c r="D34" i="6"/>
  <c r="D44" i="6"/>
  <c r="D46" i="6" s="1"/>
  <c r="AC1" i="10" l="1"/>
  <c r="Z36" i="10"/>
  <c r="Z39" i="10"/>
  <c r="Z33" i="10"/>
  <c r="E27" i="6"/>
  <c r="E35" i="6"/>
  <c r="E37" i="6" s="1"/>
  <c r="E4" i="6"/>
  <c r="E21" i="6"/>
  <c r="E41" i="6"/>
  <c r="E43" i="6" s="1"/>
  <c r="E38" i="6"/>
  <c r="E40" i="6" s="1"/>
  <c r="E14" i="6"/>
  <c r="G1" i="6"/>
  <c r="E44" i="6"/>
  <c r="E46" i="6" s="1"/>
  <c r="E34" i="6"/>
  <c r="H1" i="6" l="1"/>
  <c r="F4" i="6"/>
  <c r="F27" i="6"/>
  <c r="AA39" i="10"/>
  <c r="AB17" i="10"/>
  <c r="AA36" i="10"/>
  <c r="AB23" i="10"/>
  <c r="AC24" i="10"/>
  <c r="AC25" i="10" s="1"/>
  <c r="AD1" i="10"/>
  <c r="AA33" i="10"/>
  <c r="AB2" i="10"/>
  <c r="AB10" i="10"/>
  <c r="F37" i="6"/>
  <c r="F38" i="6"/>
  <c r="F40" i="6" s="1"/>
  <c r="F14" i="6"/>
  <c r="F41" i="6"/>
  <c r="F43" i="6" s="1"/>
  <c r="F21" i="6"/>
  <c r="F44" i="6"/>
  <c r="F46" i="6" s="1"/>
  <c r="F34" i="6"/>
  <c r="I1" i="6" l="1"/>
  <c r="H27" i="6"/>
  <c r="G27" i="6"/>
  <c r="AB36" i="10"/>
  <c r="AA47" i="10" s="1"/>
  <c r="AB33" i="10"/>
  <c r="AA46" i="10" s="1"/>
  <c r="AC33" i="10"/>
  <c r="AC36" i="10"/>
  <c r="AD24" i="10"/>
  <c r="AD25" i="10" s="1"/>
  <c r="AE1" i="10"/>
  <c r="AC39" i="10"/>
  <c r="AC18" i="10"/>
  <c r="AB39" i="10"/>
  <c r="AA48" i="10" s="1"/>
  <c r="G38" i="6"/>
  <c r="G40" i="6" s="1"/>
  <c r="G14" i="6"/>
  <c r="G34" i="6"/>
  <c r="G44" i="6"/>
  <c r="G46" i="6" s="1"/>
  <c r="G41" i="6"/>
  <c r="G43" i="6" s="1"/>
  <c r="G21" i="6"/>
  <c r="G35" i="6"/>
  <c r="G37" i="6" s="1"/>
  <c r="G4" i="6"/>
  <c r="H35" i="6" l="1"/>
  <c r="H37" i="6" s="1"/>
  <c r="H4" i="6"/>
  <c r="H38" i="6"/>
  <c r="H40" i="6" s="1"/>
  <c r="H14" i="6"/>
  <c r="H21" i="6"/>
  <c r="H41" i="6"/>
  <c r="H43" i="6" s="1"/>
  <c r="I27" i="6"/>
  <c r="K1" i="6"/>
  <c r="AD36" i="10"/>
  <c r="AC37" i="10"/>
  <c r="AC38" i="10" s="1"/>
  <c r="AC12" i="10"/>
  <c r="AD33" i="10"/>
  <c r="AD39" i="10"/>
  <c r="AD18" i="10"/>
  <c r="AA50" i="10"/>
  <c r="AC40" i="10"/>
  <c r="AC41" i="10" s="1"/>
  <c r="AC19" i="10"/>
  <c r="AF1" i="10"/>
  <c r="AC4" i="10"/>
  <c r="AC34" i="10"/>
  <c r="AC35" i="10" s="1"/>
  <c r="Q19" i="6" l="1"/>
  <c r="Q2" i="6"/>
  <c r="Q10" i="6"/>
  <c r="Q25" i="6"/>
  <c r="I21" i="6"/>
  <c r="I41" i="6"/>
  <c r="I43" i="6" s="1"/>
  <c r="I35" i="6"/>
  <c r="I37" i="6" s="1"/>
  <c r="I4" i="6"/>
  <c r="I38" i="6"/>
  <c r="I40" i="6" s="1"/>
  <c r="I14" i="6"/>
  <c r="L1" i="6"/>
  <c r="AE18" i="10"/>
  <c r="AE39" i="10"/>
  <c r="AF24" i="10"/>
  <c r="AF25" i="10" s="1"/>
  <c r="AG1" i="10"/>
  <c r="AE36" i="10"/>
  <c r="AD19" i="10"/>
  <c r="AD40" i="10"/>
  <c r="AD41" i="10" s="1"/>
  <c r="AD37" i="10"/>
  <c r="AD38" i="10" s="1"/>
  <c r="AD12" i="10"/>
  <c r="AD34" i="10"/>
  <c r="AD35" i="10" s="1"/>
  <c r="AD4" i="10"/>
  <c r="AE24" i="10"/>
  <c r="AE33" i="10"/>
  <c r="K27" i="6" l="1"/>
  <c r="K14" i="6"/>
  <c r="K38" i="6"/>
  <c r="K40" i="6" s="1"/>
  <c r="K35" i="6"/>
  <c r="K37" i="6" s="1"/>
  <c r="K4" i="6"/>
  <c r="K21" i="6"/>
  <c r="K41" i="6"/>
  <c r="K43" i="6" s="1"/>
  <c r="M1" i="6"/>
  <c r="AE34" i="10"/>
  <c r="AE35" i="10" s="1"/>
  <c r="AE4" i="10"/>
  <c r="AF33" i="10"/>
  <c r="AH2" i="10"/>
  <c r="AH33" i="10" s="1"/>
  <c r="AE12" i="10"/>
  <c r="AE37" i="10"/>
  <c r="AE38" i="10" s="1"/>
  <c r="AF36" i="10"/>
  <c r="AH23" i="10"/>
  <c r="AG24" i="10"/>
  <c r="AG25" i="10" s="1"/>
  <c r="AH10" i="10"/>
  <c r="AH36" i="10" s="1"/>
  <c r="AE25" i="10"/>
  <c r="AF18" i="10"/>
  <c r="AF39" i="10"/>
  <c r="AE19" i="10"/>
  <c r="AE40" i="10"/>
  <c r="AE41" i="10" s="1"/>
  <c r="M14" i="6" l="1"/>
  <c r="L44" i="6"/>
  <c r="L46" i="6" s="1"/>
  <c r="L14" i="6"/>
  <c r="L27" i="6"/>
  <c r="L35" i="6"/>
  <c r="L37" i="6" s="1"/>
  <c r="N1" i="6"/>
  <c r="Q32" i="6" s="1"/>
  <c r="L21" i="6"/>
  <c r="L4" i="6"/>
  <c r="L34" i="6"/>
  <c r="L41" i="6"/>
  <c r="L43" i="6" s="1"/>
  <c r="L38" i="6"/>
  <c r="L40" i="6" s="1"/>
  <c r="BK47" i="10"/>
  <c r="AG47" i="10"/>
  <c r="AF37" i="10"/>
  <c r="AF38" i="10" s="1"/>
  <c r="AF12" i="10"/>
  <c r="AG39" i="10"/>
  <c r="AG18" i="10"/>
  <c r="AH17" i="10"/>
  <c r="AH39" i="10" s="1"/>
  <c r="AG33" i="10"/>
  <c r="AF40" i="10"/>
  <c r="AF41" i="10" s="1"/>
  <c r="AF19" i="10"/>
  <c r="BK46" i="10"/>
  <c r="AG46" i="10"/>
  <c r="AF34" i="10"/>
  <c r="AF35" i="10" s="1"/>
  <c r="AF4" i="10"/>
  <c r="AG36" i="10"/>
  <c r="M21" i="6" l="1"/>
  <c r="M4" i="6"/>
  <c r="N38" i="6"/>
  <c r="N40" i="6" s="1"/>
  <c r="N4" i="6"/>
  <c r="M27" i="6"/>
  <c r="O1" i="6"/>
  <c r="M44" i="6"/>
  <c r="M46" i="6" s="1"/>
  <c r="M35" i="6"/>
  <c r="M37" i="6" s="1"/>
  <c r="M38" i="6"/>
  <c r="M40" i="6" s="1"/>
  <c r="M34" i="6"/>
  <c r="M41" i="6"/>
  <c r="M43" i="6" s="1"/>
  <c r="AG40" i="10"/>
  <c r="AG41" i="10" s="1"/>
  <c r="AG19" i="10"/>
  <c r="BK48" i="10"/>
  <c r="BK50" i="10" s="1"/>
  <c r="AG48" i="10"/>
  <c r="AG50" i="10" s="1"/>
  <c r="AG37" i="10"/>
  <c r="AG38" i="10" s="1"/>
  <c r="AG12" i="10"/>
  <c r="AG34" i="10"/>
  <c r="AG35" i="10" s="1"/>
  <c r="AG4" i="10"/>
  <c r="P1" i="6" l="1"/>
  <c r="N44" i="6"/>
  <c r="N46" i="6" s="1"/>
  <c r="N34" i="6"/>
  <c r="N27" i="6"/>
  <c r="N14" i="6"/>
  <c r="N41" i="6"/>
  <c r="N43" i="6" s="1"/>
  <c r="N21" i="6"/>
  <c r="N35" i="6"/>
  <c r="N37" i="6" s="1"/>
  <c r="R1" i="6" l="1"/>
  <c r="P27" i="6"/>
  <c r="O35" i="6"/>
  <c r="O37" i="6" s="1"/>
  <c r="O38" i="6"/>
  <c r="O40" i="6" s="1"/>
  <c r="O27" i="6"/>
  <c r="O44" i="6"/>
  <c r="O46" i="6" s="1"/>
  <c r="O41" i="6"/>
  <c r="O43" i="6" s="1"/>
  <c r="O4" i="6"/>
  <c r="O34" i="6"/>
  <c r="O14" i="6"/>
  <c r="O21" i="6"/>
  <c r="P34" i="6" l="1"/>
  <c r="P44" i="6"/>
  <c r="P46" i="6" s="1"/>
  <c r="P38" i="6"/>
  <c r="P40" i="6" s="1"/>
  <c r="P14" i="6"/>
  <c r="P21" i="6"/>
  <c r="P41" i="6"/>
  <c r="P43" i="6" s="1"/>
  <c r="P4" i="6"/>
  <c r="P35" i="6"/>
  <c r="P37" i="6" s="1"/>
  <c r="S1" i="6"/>
  <c r="Y2" i="6"/>
  <c r="Y19" i="6"/>
  <c r="Y32" i="6"/>
  <c r="Y10" i="6"/>
  <c r="T1" i="6"/>
  <c r="Y18" i="11"/>
  <c r="Y18" i="10"/>
  <c r="Y3" i="11"/>
  <c r="Y3" i="10"/>
  <c r="Y31" i="11"/>
  <c r="Y31" i="10"/>
  <c r="R27" i="6" l="1"/>
  <c r="Y25" i="6"/>
  <c r="R38" i="6"/>
  <c r="R40" i="6" s="1"/>
  <c r="R14" i="6"/>
  <c r="R34" i="6"/>
  <c r="R44" i="6"/>
  <c r="R46" i="6" s="1"/>
  <c r="R4" i="6"/>
  <c r="R35" i="6"/>
  <c r="R37" i="6" s="1"/>
  <c r="R21" i="6"/>
  <c r="R41" i="6"/>
  <c r="R43" i="6" s="1"/>
  <c r="S27" i="6"/>
  <c r="U1" i="6"/>
  <c r="Y34" i="11"/>
  <c r="Y35" i="11" s="1"/>
  <c r="Y4" i="11"/>
  <c r="Z11" i="11"/>
  <c r="Z11" i="10"/>
  <c r="Y43" i="10"/>
  <c r="Y44" i="10" s="1"/>
  <c r="Y32" i="10"/>
  <c r="Y19" i="10"/>
  <c r="Y34" i="10"/>
  <c r="Y35" i="10" s="1"/>
  <c r="Y4" i="10"/>
  <c r="Z18" i="11"/>
  <c r="Z18" i="10"/>
  <c r="Y19" i="11"/>
  <c r="Y24" i="11"/>
  <c r="Y40" i="11" s="1"/>
  <c r="Y41" i="11" s="1"/>
  <c r="Y24" i="10"/>
  <c r="Y40" i="10" s="1"/>
  <c r="Y41" i="10" s="1"/>
  <c r="Y11" i="11"/>
  <c r="Y11" i="10"/>
  <c r="Z3" i="11"/>
  <c r="Z3" i="10"/>
  <c r="Y43" i="11"/>
  <c r="Y44" i="11" s="1"/>
  <c r="Y32" i="11"/>
  <c r="S38" i="6" l="1"/>
  <c r="S40" i="6" s="1"/>
  <c r="S14" i="6"/>
  <c r="S34" i="6"/>
  <c r="S44" i="6"/>
  <c r="S46" i="6" s="1"/>
  <c r="S4" i="6"/>
  <c r="S35" i="6"/>
  <c r="S37" i="6" s="1"/>
  <c r="S21" i="6"/>
  <c r="S41" i="6"/>
  <c r="S43" i="6" s="1"/>
  <c r="T14" i="6"/>
  <c r="T38" i="6"/>
  <c r="T40" i="6" s="1"/>
  <c r="T27" i="6"/>
  <c r="U27" i="6"/>
  <c r="V1" i="6"/>
  <c r="T4" i="6"/>
  <c r="T35" i="6"/>
  <c r="T37" i="6" s="1"/>
  <c r="T41" i="6"/>
  <c r="T43" i="6" s="1"/>
  <c r="T21" i="6"/>
  <c r="T34" i="6"/>
  <c r="T44" i="6"/>
  <c r="T46" i="6" s="1"/>
  <c r="AA24" i="11"/>
  <c r="AA25" i="11" s="1"/>
  <c r="AA24" i="10"/>
  <c r="AA25" i="10" s="1"/>
  <c r="Y12" i="10"/>
  <c r="Y37" i="10"/>
  <c r="Y38" i="10" s="1"/>
  <c r="AA18" i="11"/>
  <c r="AA18" i="10"/>
  <c r="Z37" i="11"/>
  <c r="Z38" i="11" s="1"/>
  <c r="Z12" i="11"/>
  <c r="Y37" i="11"/>
  <c r="Y38" i="11" s="1"/>
  <c r="Y12" i="11"/>
  <c r="Z37" i="10"/>
  <c r="Z38" i="10" s="1"/>
  <c r="Z12" i="10"/>
  <c r="AA11" i="11"/>
  <c r="AA11" i="10"/>
  <c r="AA3" i="11"/>
  <c r="AA3" i="10"/>
  <c r="AB3" i="10" s="1"/>
  <c r="Z34" i="10"/>
  <c r="Z35" i="10" s="1"/>
  <c r="Z4" i="10"/>
  <c r="Z19" i="10"/>
  <c r="Z24" i="11"/>
  <c r="Z25" i="11" s="1"/>
  <c r="Z24" i="10"/>
  <c r="Z25" i="10" s="1"/>
  <c r="Z34" i="11"/>
  <c r="Z35" i="11" s="1"/>
  <c r="Z4" i="11"/>
  <c r="Y25" i="10"/>
  <c r="Z19" i="11"/>
  <c r="Y25" i="11"/>
  <c r="AB24" i="11"/>
  <c r="AB25" i="11" s="1"/>
  <c r="U21" i="6" l="1"/>
  <c r="U41" i="6"/>
  <c r="U43" i="6" s="1"/>
  <c r="U34" i="6"/>
  <c r="U44" i="6"/>
  <c r="U46" i="6" s="1"/>
  <c r="W1" i="6"/>
  <c r="U4" i="6"/>
  <c r="U35" i="6"/>
  <c r="U37" i="6" s="1"/>
  <c r="U38" i="6"/>
  <c r="U40" i="6" s="1"/>
  <c r="U14" i="6"/>
  <c r="AB24" i="10"/>
  <c r="AH24" i="10" s="1"/>
  <c r="AH25" i="10" s="1"/>
  <c r="AB34" i="10"/>
  <c r="AB4" i="10"/>
  <c r="AH3" i="10"/>
  <c r="Z40" i="11"/>
  <c r="Z41" i="11" s="1"/>
  <c r="AA37" i="11"/>
  <c r="AA38" i="11" s="1"/>
  <c r="AA12" i="11"/>
  <c r="AB39" i="6"/>
  <c r="AB11" i="11"/>
  <c r="AA34" i="11"/>
  <c r="AA35" i="11" s="1"/>
  <c r="AA4" i="11"/>
  <c r="AC24" i="11"/>
  <c r="AC25" i="11" s="1"/>
  <c r="AA40" i="11"/>
  <c r="AA41" i="11" s="1"/>
  <c r="AA19" i="11"/>
  <c r="AB3" i="11"/>
  <c r="AB36" i="6"/>
  <c r="AA40" i="10"/>
  <c r="AA41" i="10" s="1"/>
  <c r="AA19" i="10"/>
  <c r="AB18" i="10"/>
  <c r="AA34" i="10"/>
  <c r="AA35" i="10" s="1"/>
  <c r="AA4" i="10"/>
  <c r="Z40" i="10"/>
  <c r="Z41" i="10" s="1"/>
  <c r="AA37" i="10"/>
  <c r="AA38" i="10" s="1"/>
  <c r="AA12" i="10"/>
  <c r="AB11" i="10"/>
  <c r="AD24" i="11"/>
  <c r="AD25" i="11" s="1"/>
  <c r="V27" i="6" l="1"/>
  <c r="V21" i="6"/>
  <c r="V41" i="6"/>
  <c r="V43" i="6" s="1"/>
  <c r="V4" i="6"/>
  <c r="V35" i="6"/>
  <c r="V37" i="6" s="1"/>
  <c r="V34" i="6"/>
  <c r="V44" i="6"/>
  <c r="V46" i="6" s="1"/>
  <c r="W27" i="6"/>
  <c r="X1" i="6"/>
  <c r="V14" i="6"/>
  <c r="V38" i="6"/>
  <c r="V40" i="6" s="1"/>
  <c r="AB25" i="10"/>
  <c r="AD3" i="11"/>
  <c r="AC36" i="6"/>
  <c r="AB34" i="11"/>
  <c r="AB35" i="11" s="1"/>
  <c r="AB4" i="11"/>
  <c r="AB37" i="11"/>
  <c r="AB38" i="11" s="1"/>
  <c r="AB12" i="11"/>
  <c r="AD18" i="11"/>
  <c r="AC42" i="6"/>
  <c r="AC3" i="11"/>
  <c r="AD11" i="11"/>
  <c r="AC39" i="6"/>
  <c r="AB40" i="10"/>
  <c r="AB19" i="10"/>
  <c r="AH18" i="10"/>
  <c r="AH4" i="10"/>
  <c r="AH34" i="10"/>
  <c r="AB35" i="10"/>
  <c r="AB46" i="10"/>
  <c r="AC11" i="11"/>
  <c r="AB37" i="10"/>
  <c r="AB12" i="10"/>
  <c r="AH11" i="10"/>
  <c r="AB42" i="6"/>
  <c r="AB18" i="11"/>
  <c r="Z1" i="6" l="1"/>
  <c r="W41" i="6"/>
  <c r="W43" i="6" s="1"/>
  <c r="W21" i="6"/>
  <c r="W44" i="6"/>
  <c r="W46" i="6" s="1"/>
  <c r="W34" i="6"/>
  <c r="X27" i="6"/>
  <c r="W14" i="6"/>
  <c r="W38" i="6"/>
  <c r="W40" i="6" s="1"/>
  <c r="W4" i="6"/>
  <c r="W35" i="6"/>
  <c r="W37" i="6" s="1"/>
  <c r="AD46" i="10"/>
  <c r="AC46" i="10"/>
  <c r="AB48" i="10"/>
  <c r="AB41" i="10"/>
  <c r="AC34" i="11"/>
  <c r="AC4" i="11"/>
  <c r="AE3" i="11"/>
  <c r="AD36" i="6"/>
  <c r="AD37" i="11"/>
  <c r="AD38" i="11" s="1"/>
  <c r="AD12" i="11"/>
  <c r="AE24" i="11"/>
  <c r="AE25" i="11" s="1"/>
  <c r="AH35" i="10"/>
  <c r="BL46" i="10"/>
  <c r="AH46" i="10"/>
  <c r="AE18" i="11"/>
  <c r="AD42" i="6"/>
  <c r="AD40" i="11"/>
  <c r="AD41" i="11" s="1"/>
  <c r="AD19" i="11"/>
  <c r="AH19" i="10"/>
  <c r="AH40" i="10"/>
  <c r="AH37" i="10"/>
  <c r="AH12" i="10"/>
  <c r="AE11" i="11"/>
  <c r="AD39" i="6"/>
  <c r="AB47" i="10"/>
  <c r="AB38" i="10"/>
  <c r="AC37" i="11"/>
  <c r="AC12" i="11"/>
  <c r="AD34" i="11"/>
  <c r="AD35" i="11" s="1"/>
  <c r="AD4" i="11"/>
  <c r="AC18" i="11"/>
  <c r="AB40" i="11"/>
  <c r="AB41" i="11" s="1"/>
  <c r="AB19" i="11"/>
  <c r="AG2" i="6" l="1"/>
  <c r="AG32" i="6"/>
  <c r="AG10" i="6"/>
  <c r="AG19" i="6"/>
  <c r="Z31" i="11"/>
  <c r="Z31" i="10"/>
  <c r="X34" i="6"/>
  <c r="X44" i="6"/>
  <c r="X46" i="6" s="1"/>
  <c r="X41" i="6"/>
  <c r="X43" i="6" s="1"/>
  <c r="X21" i="6"/>
  <c r="AA1" i="6"/>
  <c r="X4" i="6"/>
  <c r="X35" i="6"/>
  <c r="X37" i="6" s="1"/>
  <c r="X38" i="6"/>
  <c r="X40" i="6" s="1"/>
  <c r="X14" i="6"/>
  <c r="AG24" i="11"/>
  <c r="AG25" i="11" s="1"/>
  <c r="AB46" i="11"/>
  <c r="AC35" i="11"/>
  <c r="AE40" i="11"/>
  <c r="AE41" i="11" s="1"/>
  <c r="AE19" i="11"/>
  <c r="AJ46" i="10"/>
  <c r="AI46" i="10"/>
  <c r="BL48" i="10"/>
  <c r="AH41" i="10"/>
  <c r="AH48" i="10"/>
  <c r="AC47" i="10"/>
  <c r="AD47" i="10"/>
  <c r="BN46" i="10"/>
  <c r="BM46" i="10"/>
  <c r="AD48" i="10"/>
  <c r="AC48" i="10"/>
  <c r="AE37" i="11"/>
  <c r="AE38" i="11" s="1"/>
  <c r="AE12" i="11"/>
  <c r="AE34" i="11"/>
  <c r="AE35" i="11" s="1"/>
  <c r="AE4" i="11"/>
  <c r="AB47" i="11"/>
  <c r="AC38" i="11"/>
  <c r="AH38" i="10"/>
  <c r="AH47" i="10"/>
  <c r="BL47" i="10"/>
  <c r="AC40" i="11"/>
  <c r="AC19" i="11"/>
  <c r="Z27" i="6" l="1"/>
  <c r="AG25" i="6"/>
  <c r="Z14" i="6"/>
  <c r="Z38" i="6"/>
  <c r="Z40" i="6" s="1"/>
  <c r="Z34" i="6"/>
  <c r="Z44" i="6"/>
  <c r="Z46" i="6" s="1"/>
  <c r="Z4" i="6"/>
  <c r="Z35" i="6"/>
  <c r="Z37" i="6" s="1"/>
  <c r="Z41" i="6"/>
  <c r="Z43" i="6" s="1"/>
  <c r="Z21" i="6"/>
  <c r="Z43" i="10"/>
  <c r="Z44" i="10" s="1"/>
  <c r="Z32" i="10"/>
  <c r="Z43" i="11"/>
  <c r="Z44" i="11" s="1"/>
  <c r="Z32" i="11"/>
  <c r="AB7" i="6"/>
  <c r="AC1" i="6" s="1"/>
  <c r="AB1" i="6"/>
  <c r="AF42" i="6"/>
  <c r="AH42" i="6"/>
  <c r="BM48" i="10"/>
  <c r="BN48" i="10"/>
  <c r="AG3" i="11"/>
  <c r="AG18" i="11"/>
  <c r="BN47" i="10"/>
  <c r="BM47" i="10"/>
  <c r="AJ48" i="10"/>
  <c r="AI48" i="10"/>
  <c r="AF24" i="11"/>
  <c r="AF25" i="11" s="1"/>
  <c r="AF18" i="11"/>
  <c r="AD47" i="11"/>
  <c r="AC47" i="11"/>
  <c r="AF3" i="11"/>
  <c r="AI47" i="10"/>
  <c r="AJ47" i="10"/>
  <c r="AD46" i="11"/>
  <c r="AC46" i="11"/>
  <c r="AB48" i="11"/>
  <c r="AC41" i="11"/>
  <c r="AB45" i="6" l="1"/>
  <c r="AB31" i="11"/>
  <c r="AD31" i="11"/>
  <c r="AC45" i="6"/>
  <c r="AA45" i="6"/>
  <c r="AA31" i="11"/>
  <c r="AA31" i="10"/>
  <c r="AA27" i="6"/>
  <c r="AA34" i="6"/>
  <c r="AA44" i="6"/>
  <c r="AC27" i="6"/>
  <c r="AD1" i="6"/>
  <c r="AA38" i="6"/>
  <c r="AA40" i="6" s="1"/>
  <c r="AA14" i="6"/>
  <c r="AA35" i="6"/>
  <c r="AA37" i="6" s="1"/>
  <c r="AA4" i="6"/>
  <c r="AA41" i="6"/>
  <c r="AA43" i="6" s="1"/>
  <c r="AA21" i="6"/>
  <c r="AF40" i="11"/>
  <c r="AF41" i="11" s="1"/>
  <c r="AF19" i="11"/>
  <c r="AH24" i="11"/>
  <c r="AH25" i="11" s="1"/>
  <c r="AF34" i="11"/>
  <c r="AF35" i="11" s="1"/>
  <c r="AF4" i="11"/>
  <c r="AG40" i="11"/>
  <c r="AG41" i="11" s="1"/>
  <c r="AG19" i="11"/>
  <c r="AG34" i="11"/>
  <c r="AG35" i="11" s="1"/>
  <c r="AG4" i="11"/>
  <c r="AD48" i="11"/>
  <c r="AC48" i="11"/>
  <c r="B4" i="1"/>
  <c r="B25" i="1"/>
  <c r="B22" i="1"/>
  <c r="B18" i="1"/>
  <c r="B15" i="1"/>
  <c r="B11" i="1"/>
  <c r="B8" i="1"/>
  <c r="AE31" i="11" l="1"/>
  <c r="AD45" i="6"/>
  <c r="AB31" i="10"/>
  <c r="AA43" i="10"/>
  <c r="AA44" i="10" s="1"/>
  <c r="AA32" i="10"/>
  <c r="AA43" i="11"/>
  <c r="AA44" i="11" s="1"/>
  <c r="AA32" i="11"/>
  <c r="AC31" i="11"/>
  <c r="AA46" i="6"/>
  <c r="AD43" i="11"/>
  <c r="AD44" i="11" s="1"/>
  <c r="AD32" i="11"/>
  <c r="AB43" i="11"/>
  <c r="AB44" i="11" s="1"/>
  <c r="AB32" i="11"/>
  <c r="AC21" i="6"/>
  <c r="AC41" i="6"/>
  <c r="AC43" i="6" s="1"/>
  <c r="AB27" i="6"/>
  <c r="AD27" i="6"/>
  <c r="AE1" i="6"/>
  <c r="AC4" i="6"/>
  <c r="AC35" i="6"/>
  <c r="AC37" i="6" s="1"/>
  <c r="AB21" i="6"/>
  <c r="AB41" i="6"/>
  <c r="AB43" i="6" s="1"/>
  <c r="AB4" i="6"/>
  <c r="AB35" i="6"/>
  <c r="AB37" i="6" s="1"/>
  <c r="AB14" i="6"/>
  <c r="AB38" i="6"/>
  <c r="AB40" i="6" s="1"/>
  <c r="AC44" i="6"/>
  <c r="AC46" i="6" s="1"/>
  <c r="AC34" i="6"/>
  <c r="AC38" i="6"/>
  <c r="AC40" i="6" s="1"/>
  <c r="AC14" i="6"/>
  <c r="AB44" i="6"/>
  <c r="AB46" i="6" s="1"/>
  <c r="AB34" i="6"/>
  <c r="AH3" i="11"/>
  <c r="AH18" i="11"/>
  <c r="B56" i="1"/>
  <c r="AE45" i="6" l="1"/>
  <c r="AF31" i="11"/>
  <c r="AH31" i="10"/>
  <c r="AB43" i="10"/>
  <c r="AB32" i="10"/>
  <c r="AE43" i="11"/>
  <c r="AE44" i="11" s="1"/>
  <c r="AE32" i="11"/>
  <c r="AC32" i="11"/>
  <c r="AC43" i="11"/>
  <c r="AE47" i="11"/>
  <c r="AE48" i="11" s="1"/>
  <c r="AD35" i="6"/>
  <c r="AD37" i="6" s="1"/>
  <c r="AD4" i="6"/>
  <c r="AD14" i="6"/>
  <c r="AD38" i="6"/>
  <c r="AD40" i="6" s="1"/>
  <c r="AE27" i="6"/>
  <c r="AE38" i="6"/>
  <c r="AF1" i="6"/>
  <c r="AD44" i="6"/>
  <c r="AD46" i="6" s="1"/>
  <c r="AD34" i="6"/>
  <c r="AD21" i="6"/>
  <c r="AD41" i="6"/>
  <c r="AD43" i="6" s="1"/>
  <c r="AH34" i="11"/>
  <c r="AH35" i="11" s="1"/>
  <c r="AH4" i="11"/>
  <c r="AI24" i="11"/>
  <c r="AI25" i="11" s="1"/>
  <c r="AH40" i="11"/>
  <c r="AH41" i="11" s="1"/>
  <c r="AH19" i="11"/>
  <c r="AC44" i="11" l="1"/>
  <c r="AB49" i="11"/>
  <c r="AF45" i="6"/>
  <c r="AG31" i="11"/>
  <c r="AB49" i="10"/>
  <c r="AB44" i="10"/>
  <c r="AH43" i="10"/>
  <c r="AH32" i="10"/>
  <c r="AF43" i="11"/>
  <c r="AF44" i="11" s="1"/>
  <c r="AF32" i="11"/>
  <c r="AF27" i="6"/>
  <c r="AF38" i="6"/>
  <c r="AH1" i="6"/>
  <c r="AK32" i="6" s="1"/>
  <c r="AE4" i="6"/>
  <c r="AE35" i="6"/>
  <c r="AE37" i="6" s="1"/>
  <c r="AE21" i="6"/>
  <c r="AE41" i="6"/>
  <c r="AE43" i="6" s="1"/>
  <c r="AE34" i="6"/>
  <c r="AE44" i="6"/>
  <c r="AE46" i="6" s="1"/>
  <c r="AJ24" i="11"/>
  <c r="AJ25" i="11" s="1"/>
  <c r="AH45" i="6" l="1"/>
  <c r="AH31" i="11"/>
  <c r="AC49" i="10"/>
  <c r="AD49" i="10"/>
  <c r="AB50" i="10"/>
  <c r="AG43" i="11"/>
  <c r="AG44" i="11" s="1"/>
  <c r="AG32" i="11"/>
  <c r="BL49" i="10"/>
  <c r="AH49" i="10"/>
  <c r="AH44" i="10"/>
  <c r="AC49" i="11"/>
  <c r="AD49" i="11"/>
  <c r="AB50" i="11"/>
  <c r="AF41" i="6"/>
  <c r="AF43" i="6" s="1"/>
  <c r="AF21" i="6"/>
  <c r="AK19" i="6"/>
  <c r="AK2" i="6"/>
  <c r="AI1" i="6"/>
  <c r="AF35" i="6"/>
  <c r="AF37" i="6" s="1"/>
  <c r="AF4" i="6"/>
  <c r="AF34" i="6"/>
  <c r="AF44" i="6"/>
  <c r="AF46" i="6" s="1"/>
  <c r="AI36" i="6"/>
  <c r="AI3" i="11"/>
  <c r="AI18" i="11"/>
  <c r="AI42" i="6"/>
  <c r="AH46" i="1"/>
  <c r="AA46" i="1"/>
  <c r="Z46" i="1"/>
  <c r="S46" i="1"/>
  <c r="R46" i="1"/>
  <c r="K46" i="1"/>
  <c r="B29" i="1"/>
  <c r="C1" i="1"/>
  <c r="AH27" i="6" l="1"/>
  <c r="AK25" i="6"/>
  <c r="AH38" i="6"/>
  <c r="AK10" i="6"/>
  <c r="AJ1" i="6"/>
  <c r="C53" i="1"/>
  <c r="C2" i="1"/>
  <c r="C23" i="1"/>
  <c r="C3" i="1"/>
  <c r="C9" i="1"/>
  <c r="C16" i="1"/>
  <c r="C12" i="1"/>
  <c r="C19" i="1"/>
  <c r="C26" i="1"/>
  <c r="C5" i="1"/>
  <c r="BN49" i="10"/>
  <c r="BM49" i="10"/>
  <c r="BL50" i="10"/>
  <c r="AC50" i="11"/>
  <c r="AD50" i="11"/>
  <c r="AI45" i="6"/>
  <c r="AI31" i="11"/>
  <c r="AD50" i="10"/>
  <c r="AC50" i="10"/>
  <c r="AI49" i="10"/>
  <c r="AJ49" i="10"/>
  <c r="AH50" i="10"/>
  <c r="AH32" i="11"/>
  <c r="AH43" i="11"/>
  <c r="AH44" i="11" s="1"/>
  <c r="C24" i="1"/>
  <c r="C17" i="1"/>
  <c r="C10" i="1"/>
  <c r="AI38" i="6"/>
  <c r="AH34" i="6"/>
  <c r="AH44" i="6"/>
  <c r="AH46" i="6" s="1"/>
  <c r="AH35" i="6"/>
  <c r="AH37" i="6" s="1"/>
  <c r="AH4" i="6"/>
  <c r="AH21" i="6"/>
  <c r="AH41" i="6"/>
  <c r="AH43" i="6" s="1"/>
  <c r="AJ3" i="11"/>
  <c r="AI4" i="11"/>
  <c r="AI34" i="11"/>
  <c r="AI35" i="11" s="1"/>
  <c r="AJ18" i="11"/>
  <c r="AI40" i="11"/>
  <c r="AI41" i="11" s="1"/>
  <c r="AI19" i="11"/>
  <c r="D1" i="1"/>
  <c r="B30" i="1"/>
  <c r="B36" i="1"/>
  <c r="AJ27" i="6" l="1"/>
  <c r="D53" i="1"/>
  <c r="D16" i="1"/>
  <c r="D2" i="1"/>
  <c r="D9" i="1"/>
  <c r="D23" i="1"/>
  <c r="D3" i="1"/>
  <c r="D12" i="1"/>
  <c r="D19" i="1"/>
  <c r="D26" i="1"/>
  <c r="D5" i="1"/>
  <c r="AI32" i="11"/>
  <c r="AI43" i="11"/>
  <c r="AI44" i="11" s="1"/>
  <c r="AJ31" i="11"/>
  <c r="BN50" i="10"/>
  <c r="BM50" i="10"/>
  <c r="AJ50" i="10"/>
  <c r="AI50" i="10"/>
  <c r="D24" i="1"/>
  <c r="D17" i="1"/>
  <c r="D10" i="1"/>
  <c r="AI27" i="6"/>
  <c r="AI34" i="6"/>
  <c r="AI44" i="6"/>
  <c r="AI46" i="6" s="1"/>
  <c r="AI21" i="6"/>
  <c r="AI41" i="6"/>
  <c r="AI43" i="6" s="1"/>
  <c r="AI35" i="6"/>
  <c r="AI37" i="6" s="1"/>
  <c r="AI4" i="6"/>
  <c r="C56" i="1"/>
  <c r="C15" i="1"/>
  <c r="C22" i="1"/>
  <c r="C31" i="1"/>
  <c r="C34" i="1"/>
  <c r="C35" i="1"/>
  <c r="C8" i="1"/>
  <c r="C29" i="1"/>
  <c r="AJ34" i="11"/>
  <c r="AJ4" i="11"/>
  <c r="AJ19" i="11"/>
  <c r="AJ40" i="11"/>
  <c r="E1" i="1"/>
  <c r="C11" i="1"/>
  <c r="C25" i="1"/>
  <c r="C18" i="1"/>
  <c r="B32" i="1"/>
  <c r="AJ44" i="6" l="1"/>
  <c r="AJ41" i="6"/>
  <c r="AJ43" i="6" s="1"/>
  <c r="AJ21" i="6"/>
  <c r="AJ38" i="6"/>
  <c r="AJ40" i="6" s="1"/>
  <c r="AJ14" i="6"/>
  <c r="AJ35" i="6"/>
  <c r="AJ37" i="6" s="1"/>
  <c r="AJ4" i="6"/>
  <c r="E53" i="1"/>
  <c r="E23" i="1"/>
  <c r="E9" i="1"/>
  <c r="E2" i="1"/>
  <c r="E3" i="1"/>
  <c r="E16" i="1"/>
  <c r="E19" i="1"/>
  <c r="E26" i="1"/>
  <c r="E5" i="1"/>
  <c r="E12" i="1"/>
  <c r="AJ32" i="11"/>
  <c r="AJ43" i="11"/>
  <c r="E24" i="1"/>
  <c r="E17" i="1"/>
  <c r="E10" i="1"/>
  <c r="C36" i="1"/>
  <c r="D22" i="1"/>
  <c r="D34" i="1"/>
  <c r="D15" i="1"/>
  <c r="D56" i="1"/>
  <c r="D31" i="1"/>
  <c r="D8" i="1"/>
  <c r="D35" i="1"/>
  <c r="F1" i="1"/>
  <c r="D29" i="1"/>
  <c r="AJ46" i="11"/>
  <c r="BN46" i="11"/>
  <c r="AJ35" i="11"/>
  <c r="AJ48" i="11"/>
  <c r="AJ41" i="11"/>
  <c r="BN48" i="11"/>
  <c r="D11" i="1"/>
  <c r="D18" i="1"/>
  <c r="AJ34" i="6" l="1"/>
  <c r="AJ45" i="6"/>
  <c r="AJ46" i="6" s="1"/>
  <c r="F53" i="1"/>
  <c r="F23" i="1"/>
  <c r="F2" i="1"/>
  <c r="F3" i="1"/>
  <c r="F9" i="1"/>
  <c r="F16" i="1"/>
  <c r="F19" i="1"/>
  <c r="F26" i="1"/>
  <c r="F5" i="1"/>
  <c r="F12" i="1"/>
  <c r="AJ49" i="11"/>
  <c r="AJ44" i="11"/>
  <c r="BN49" i="11"/>
  <c r="F10" i="1"/>
  <c r="F24" i="1"/>
  <c r="F17" i="1"/>
  <c r="E15" i="1"/>
  <c r="E56" i="1"/>
  <c r="E22" i="1"/>
  <c r="E34" i="1"/>
  <c r="E8" i="1"/>
  <c r="E35" i="1"/>
  <c r="D36" i="1"/>
  <c r="G1" i="1"/>
  <c r="E29" i="1"/>
  <c r="E11" i="1"/>
  <c r="E31" i="1"/>
  <c r="E18" i="1"/>
  <c r="BO48" i="11"/>
  <c r="BP48" i="11"/>
  <c r="AK48" i="11"/>
  <c r="AL48" i="11"/>
  <c r="BP46" i="11"/>
  <c r="BO46" i="11"/>
  <c r="AK46" i="11"/>
  <c r="AL46" i="11"/>
  <c r="E33" i="1"/>
  <c r="E37" i="1"/>
  <c r="G53" i="1" l="1"/>
  <c r="G23" i="1"/>
  <c r="G2" i="1"/>
  <c r="G3" i="1"/>
  <c r="G16" i="1"/>
  <c r="G9" i="1"/>
  <c r="G26" i="1"/>
  <c r="G5" i="1"/>
  <c r="G12" i="1"/>
  <c r="G19" i="1"/>
  <c r="BO49" i="11"/>
  <c r="BP49" i="11"/>
  <c r="AK49" i="11"/>
  <c r="AL49" i="11"/>
  <c r="H1" i="1"/>
  <c r="G24" i="1"/>
  <c r="G10" i="1"/>
  <c r="G17" i="1"/>
  <c r="F37" i="1"/>
  <c r="F18" i="1"/>
  <c r="F33" i="1"/>
  <c r="F15" i="1"/>
  <c r="F29" i="1"/>
  <c r="F8" i="1"/>
  <c r="F35" i="1"/>
  <c r="F11" i="1"/>
  <c r="F22" i="1"/>
  <c r="F31" i="1"/>
  <c r="E36" i="1"/>
  <c r="F56" i="1"/>
  <c r="F34" i="1"/>
  <c r="H53" i="1" l="1"/>
  <c r="H2" i="1"/>
  <c r="H3" i="1"/>
  <c r="H9" i="1"/>
  <c r="H16" i="1"/>
  <c r="H23" i="1"/>
  <c r="H26" i="1"/>
  <c r="H5" i="1"/>
  <c r="H12" i="1"/>
  <c r="H19" i="1"/>
  <c r="I1" i="1"/>
  <c r="H24" i="1"/>
  <c r="H17" i="1"/>
  <c r="H10" i="1"/>
  <c r="G37" i="1"/>
  <c r="G31" i="1"/>
  <c r="G33" i="1"/>
  <c r="G15" i="1"/>
  <c r="G8" i="1"/>
  <c r="G35" i="1"/>
  <c r="F36" i="1"/>
  <c r="G22" i="1"/>
  <c r="G34" i="1"/>
  <c r="G29" i="1"/>
  <c r="G18" i="1"/>
  <c r="G56" i="1"/>
  <c r="G11" i="1"/>
  <c r="J54" i="1" l="1"/>
  <c r="I53" i="1"/>
  <c r="J53" i="1" s="1"/>
  <c r="J55" i="1"/>
  <c r="I3" i="1"/>
  <c r="J3" i="1" s="1"/>
  <c r="I9" i="1"/>
  <c r="J9" i="1" s="1"/>
  <c r="I23" i="1"/>
  <c r="J23" i="1" s="1"/>
  <c r="I16" i="1"/>
  <c r="J16" i="1" s="1"/>
  <c r="I2" i="1"/>
  <c r="J2" i="1" s="1"/>
  <c r="I5" i="1"/>
  <c r="J5" i="1" s="1"/>
  <c r="I12" i="1"/>
  <c r="J12" i="1" s="1"/>
  <c r="I19" i="1"/>
  <c r="J19" i="1" s="1"/>
  <c r="I26" i="1"/>
  <c r="J26" i="1" s="1"/>
  <c r="H18" i="1"/>
  <c r="H15" i="1"/>
  <c r="H37" i="1"/>
  <c r="H29" i="1"/>
  <c r="H25" i="1"/>
  <c r="H11" i="1"/>
  <c r="H56" i="1"/>
  <c r="H31" i="1"/>
  <c r="H4" i="1"/>
  <c r="H35" i="1"/>
  <c r="H8" i="1"/>
  <c r="H22" i="1"/>
  <c r="J28" i="1"/>
  <c r="J6" i="1"/>
  <c r="I10" i="1"/>
  <c r="J10" i="1" s="1"/>
  <c r="J20" i="1"/>
  <c r="J21" i="1"/>
  <c r="J14" i="1"/>
  <c r="J7" i="1"/>
  <c r="J27" i="1"/>
  <c r="I17" i="1"/>
  <c r="J17" i="1" s="1"/>
  <c r="I24" i="1"/>
  <c r="J24" i="1" s="1"/>
  <c r="J13" i="1"/>
  <c r="K1" i="1"/>
  <c r="H30" i="1"/>
  <c r="H33" i="1"/>
  <c r="H34" i="1"/>
  <c r="G36" i="1"/>
  <c r="K53" i="1" l="1"/>
  <c r="K9" i="1"/>
  <c r="K16" i="1"/>
  <c r="K23" i="1"/>
  <c r="K2" i="1"/>
  <c r="K3" i="1"/>
  <c r="K5" i="1"/>
  <c r="K12" i="1"/>
  <c r="K19" i="1"/>
  <c r="K26" i="1"/>
  <c r="I25" i="1"/>
  <c r="I22" i="1"/>
  <c r="I29" i="1"/>
  <c r="I33" i="1"/>
  <c r="K24" i="1"/>
  <c r="K10" i="1"/>
  <c r="K17" i="1"/>
  <c r="I18" i="1"/>
  <c r="I56" i="1"/>
  <c r="H36" i="1"/>
  <c r="I15" i="1"/>
  <c r="I37" i="1"/>
  <c r="I30" i="1"/>
  <c r="I8" i="1"/>
  <c r="I35" i="1"/>
  <c r="J35" i="1" s="1"/>
  <c r="L1" i="1"/>
  <c r="I4" i="1"/>
  <c r="I31" i="1"/>
  <c r="J31" i="1" s="1"/>
  <c r="I34" i="1"/>
  <c r="J34" i="1" s="1"/>
  <c r="I11" i="1"/>
  <c r="H32" i="1"/>
  <c r="L53" i="1" l="1"/>
  <c r="L16" i="1"/>
  <c r="L23" i="1"/>
  <c r="L2" i="1"/>
  <c r="L3" i="1"/>
  <c r="L9" i="1"/>
  <c r="L12" i="1"/>
  <c r="L19" i="1"/>
  <c r="L26" i="1"/>
  <c r="L5" i="1"/>
  <c r="K29" i="1"/>
  <c r="K22" i="1"/>
  <c r="I32" i="1"/>
  <c r="K15" i="1"/>
  <c r="I36" i="1"/>
  <c r="K56" i="1"/>
  <c r="K33" i="1"/>
  <c r="K35" i="1"/>
  <c r="K8" i="1"/>
  <c r="L24" i="1"/>
  <c r="K30" i="1"/>
  <c r="L17" i="1"/>
  <c r="K34" i="1"/>
  <c r="M1" i="1"/>
  <c r="L10" i="1"/>
  <c r="K31" i="1"/>
  <c r="K4" i="1"/>
  <c r="K37" i="1"/>
  <c r="K25" i="1"/>
  <c r="K11" i="1"/>
  <c r="K18" i="1"/>
  <c r="M53" i="1" l="1"/>
  <c r="L29" i="1"/>
  <c r="M16" i="1"/>
  <c r="M3" i="1"/>
  <c r="M23" i="1"/>
  <c r="M2" i="1"/>
  <c r="M9" i="1"/>
  <c r="M12" i="1"/>
  <c r="M19" i="1"/>
  <c r="M26" i="1"/>
  <c r="M5" i="1"/>
  <c r="M10" i="1"/>
  <c r="L25" i="1"/>
  <c r="L56" i="1"/>
  <c r="L35" i="1"/>
  <c r="L8" i="1"/>
  <c r="L22" i="1"/>
  <c r="M24" i="1"/>
  <c r="L31" i="1"/>
  <c r="L37" i="1"/>
  <c r="L11" i="1"/>
  <c r="L15" i="1"/>
  <c r="M17" i="1"/>
  <c r="K36" i="1"/>
  <c r="L34" i="1"/>
  <c r="L30" i="1"/>
  <c r="L4" i="1"/>
  <c r="L33" i="1"/>
  <c r="K32" i="1"/>
  <c r="M25" i="1" l="1"/>
  <c r="M15" i="1"/>
  <c r="L36" i="1"/>
  <c r="M37" i="1"/>
  <c r="M8" i="1"/>
  <c r="M33" i="1"/>
  <c r="M22" i="1"/>
  <c r="M18" i="1"/>
  <c r="M56" i="1"/>
  <c r="M29" i="1"/>
  <c r="M4" i="1"/>
  <c r="M31" i="1"/>
  <c r="M34" i="1"/>
  <c r="M30" i="1"/>
  <c r="L32" i="1"/>
  <c r="M11" i="1"/>
  <c r="M35" i="1"/>
  <c r="T65" i="1" s="1"/>
  <c r="M36" i="1" l="1"/>
  <c r="M32" i="1"/>
  <c r="Q55" i="1" l="1"/>
  <c r="P50" i="1" s="1"/>
  <c r="Q54" i="1"/>
  <c r="P49" i="1" s="1"/>
  <c r="Q53" i="1"/>
  <c r="O49" i="1" s="1"/>
  <c r="O50" i="1" s="1"/>
  <c r="O51" i="1" s="1"/>
  <c r="Q23" i="1"/>
  <c r="Q3" i="1"/>
  <c r="Q9" i="1"/>
  <c r="Q16" i="1"/>
  <c r="Q2" i="1"/>
  <c r="Q26" i="1"/>
  <c r="P41" i="1" s="1"/>
  <c r="Q5" i="1"/>
  <c r="P39" i="1" s="1"/>
  <c r="Q12" i="1"/>
  <c r="P40" i="1" s="1"/>
  <c r="Q19" i="1"/>
  <c r="P42" i="1" s="1"/>
  <c r="Q6" i="1"/>
  <c r="Q17" i="1"/>
  <c r="Q28" i="1"/>
  <c r="Q7" i="1"/>
  <c r="Q13" i="1"/>
  <c r="Q20" i="1"/>
  <c r="R1" i="1"/>
  <c r="Q24" i="1"/>
  <c r="Q14" i="1"/>
  <c r="Q27" i="1"/>
  <c r="Q10" i="1"/>
  <c r="Q21" i="1"/>
  <c r="P45" i="1" l="1"/>
  <c r="P47" i="1" s="1"/>
  <c r="P43" i="1"/>
  <c r="P51" i="1"/>
  <c r="R14" i="1"/>
  <c r="R55" i="1"/>
  <c r="R6" i="1"/>
  <c r="R27" i="1"/>
  <c r="R7" i="1"/>
  <c r="R28" i="1"/>
  <c r="R21" i="1"/>
  <c r="R13" i="1"/>
  <c r="R54" i="1"/>
  <c r="R20" i="1"/>
  <c r="R53" i="1"/>
  <c r="R2" i="1"/>
  <c r="R3" i="1"/>
  <c r="R9" i="1"/>
  <c r="R23" i="1"/>
  <c r="R16" i="1"/>
  <c r="Q34" i="1"/>
  <c r="R26" i="1"/>
  <c r="R5" i="1"/>
  <c r="R12" i="1"/>
  <c r="R19" i="1"/>
  <c r="Q31" i="1"/>
  <c r="S1" i="1"/>
  <c r="R17" i="1"/>
  <c r="R24" i="1"/>
  <c r="R10" i="1"/>
  <c r="Q35" i="1"/>
  <c r="S6" i="1" l="1"/>
  <c r="S28" i="1"/>
  <c r="S7" i="1"/>
  <c r="S14" i="1"/>
  <c r="S55" i="1"/>
  <c r="S13" i="1"/>
  <c r="S54" i="1"/>
  <c r="S27" i="1"/>
  <c r="S21" i="1"/>
  <c r="S20" i="1"/>
  <c r="R15" i="1"/>
  <c r="S53" i="1"/>
  <c r="S3" i="1"/>
  <c r="S16" i="1"/>
  <c r="S2" i="1"/>
  <c r="S9" i="1"/>
  <c r="S23" i="1"/>
  <c r="R22" i="1"/>
  <c r="R29" i="1"/>
  <c r="S5" i="1"/>
  <c r="S12" i="1"/>
  <c r="S19" i="1"/>
  <c r="S26" i="1"/>
  <c r="R25" i="1"/>
  <c r="R37" i="1"/>
  <c r="R18" i="1"/>
  <c r="R30" i="1"/>
  <c r="R8" i="1"/>
  <c r="R35" i="1"/>
  <c r="R11" i="1"/>
  <c r="R4" i="1"/>
  <c r="R31" i="1"/>
  <c r="S24" i="1"/>
  <c r="T1" i="1"/>
  <c r="S17" i="1"/>
  <c r="S10" i="1"/>
  <c r="R33" i="1"/>
  <c r="R34" i="1"/>
  <c r="R56" i="1"/>
  <c r="T28" i="1" l="1"/>
  <c r="T13" i="1"/>
  <c r="T54" i="1"/>
  <c r="T14" i="1"/>
  <c r="T21" i="1"/>
  <c r="T27" i="1"/>
  <c r="T7" i="1"/>
  <c r="T20" i="1"/>
  <c r="T6" i="1"/>
  <c r="T55" i="1"/>
  <c r="T53" i="1"/>
  <c r="T9" i="1"/>
  <c r="T23" i="1"/>
  <c r="T16" i="1"/>
  <c r="T2" i="1"/>
  <c r="T3" i="1"/>
  <c r="U1" i="1"/>
  <c r="T5" i="1"/>
  <c r="T12" i="1"/>
  <c r="T19" i="1"/>
  <c r="T26" i="1"/>
  <c r="S18" i="1"/>
  <c r="S34" i="1"/>
  <c r="R32" i="1"/>
  <c r="S4" i="1"/>
  <c r="S31" i="1"/>
  <c r="S22" i="1"/>
  <c r="S11" i="1"/>
  <c r="S56" i="1"/>
  <c r="S15" i="1"/>
  <c r="S37" i="1"/>
  <c r="S25" i="1"/>
  <c r="S30" i="1"/>
  <c r="T17" i="1"/>
  <c r="T10" i="1"/>
  <c r="T24" i="1"/>
  <c r="R36" i="1"/>
  <c r="S8" i="1"/>
  <c r="S35" i="1"/>
  <c r="S29" i="1"/>
  <c r="S33" i="1"/>
  <c r="U54" i="1" l="1"/>
  <c r="U20" i="1"/>
  <c r="U6" i="1"/>
  <c r="U28" i="1"/>
  <c r="U14" i="1"/>
  <c r="U7" i="1"/>
  <c r="U55" i="1"/>
  <c r="U13" i="1"/>
  <c r="U21" i="1"/>
  <c r="U27" i="1"/>
  <c r="U53" i="1"/>
  <c r="V1" i="1"/>
  <c r="U17" i="1"/>
  <c r="U3" i="1"/>
  <c r="U10" i="1"/>
  <c r="U16" i="1"/>
  <c r="U23" i="1"/>
  <c r="U9" i="1"/>
  <c r="U2" i="1"/>
  <c r="U24" i="1"/>
  <c r="T15" i="1"/>
  <c r="S36" i="1"/>
  <c r="T56" i="1"/>
  <c r="U12" i="1"/>
  <c r="U19" i="1"/>
  <c r="U26" i="1"/>
  <c r="U5" i="1"/>
  <c r="T37" i="1"/>
  <c r="T30" i="1"/>
  <c r="T31" i="1"/>
  <c r="T4" i="1"/>
  <c r="T11" i="1"/>
  <c r="T34" i="1"/>
  <c r="T33" i="1"/>
  <c r="T29" i="1"/>
  <c r="S32" i="1"/>
  <c r="T22" i="1"/>
  <c r="T25" i="1"/>
  <c r="T35" i="1"/>
  <c r="T8" i="1"/>
  <c r="T18" i="1"/>
  <c r="V19" i="1" l="1"/>
  <c r="V20" i="1"/>
  <c r="V27" i="1"/>
  <c r="V6" i="1"/>
  <c r="V54" i="1"/>
  <c r="V28" i="1"/>
  <c r="V14" i="1"/>
  <c r="V7" i="1"/>
  <c r="V55" i="1"/>
  <c r="V21" i="1"/>
  <c r="V13" i="1"/>
  <c r="W1" i="1"/>
  <c r="W12" i="1" s="1"/>
  <c r="U11" i="1"/>
  <c r="V2" i="1"/>
  <c r="V23" i="1"/>
  <c r="V24" i="1"/>
  <c r="V3" i="1"/>
  <c r="V17" i="1"/>
  <c r="U4" i="1"/>
  <c r="V26" i="1"/>
  <c r="V5" i="1"/>
  <c r="V53" i="1"/>
  <c r="V12" i="1"/>
  <c r="W53" i="1"/>
  <c r="V10" i="1"/>
  <c r="V9" i="1"/>
  <c r="V16" i="1"/>
  <c r="U34" i="1"/>
  <c r="U30" i="1"/>
  <c r="U18" i="1"/>
  <c r="U25" i="1"/>
  <c r="U33" i="1"/>
  <c r="U31" i="1"/>
  <c r="U37" i="1"/>
  <c r="T32" i="1"/>
  <c r="W19" i="1"/>
  <c r="T36" i="1"/>
  <c r="W17" i="1"/>
  <c r="W24" i="1" l="1"/>
  <c r="W9" i="1"/>
  <c r="W3" i="1"/>
  <c r="W2" i="1"/>
  <c r="W10" i="1"/>
  <c r="W28" i="1"/>
  <c r="W14" i="1"/>
  <c r="W7" i="1"/>
  <c r="W55" i="1"/>
  <c r="W27" i="1"/>
  <c r="W13" i="1"/>
  <c r="W6" i="1"/>
  <c r="W21" i="1"/>
  <c r="W54" i="1"/>
  <c r="W20" i="1"/>
  <c r="W23" i="1"/>
  <c r="W5" i="1"/>
  <c r="W16" i="1"/>
  <c r="W18" i="1" s="1"/>
  <c r="X1" i="1"/>
  <c r="X53" i="1" s="1"/>
  <c r="Y53" i="1" s="1"/>
  <c r="W26" i="1"/>
  <c r="W33" i="1" s="1"/>
  <c r="V25" i="1"/>
  <c r="U32" i="1"/>
  <c r="V4" i="1"/>
  <c r="V31" i="1"/>
  <c r="V37" i="1"/>
  <c r="V18" i="1"/>
  <c r="V11" i="1"/>
  <c r="V30" i="1"/>
  <c r="V34" i="1"/>
  <c r="V33" i="1"/>
  <c r="X2" i="1"/>
  <c r="Y2" i="1" s="1"/>
  <c r="X9" i="1"/>
  <c r="Y9" i="1" s="1"/>
  <c r="X3" i="1"/>
  <c r="Y3" i="1" s="1"/>
  <c r="X24" i="1"/>
  <c r="Y24" i="1" s="1"/>
  <c r="X10" i="1"/>
  <c r="Y10" i="1" s="1"/>
  <c r="W31" i="1"/>
  <c r="Z1" i="1"/>
  <c r="W11" i="1"/>
  <c r="W34" i="1" l="1"/>
  <c r="X16" i="1"/>
  <c r="Y16" i="1" s="1"/>
  <c r="Z28" i="1"/>
  <c r="Z7" i="1"/>
  <c r="Z21" i="1"/>
  <c r="Z14" i="1"/>
  <c r="Z55" i="1"/>
  <c r="Z20" i="1"/>
  <c r="Z13" i="1"/>
  <c r="Z27" i="1"/>
  <c r="Z6" i="1"/>
  <c r="Z54" i="1"/>
  <c r="X17" i="1"/>
  <c r="Y17" i="1" s="1"/>
  <c r="W37" i="1"/>
  <c r="X23" i="1"/>
  <c r="Y23" i="1" s="1"/>
  <c r="X26" i="1"/>
  <c r="Y26" i="1" s="1"/>
  <c r="X41" i="1" s="1"/>
  <c r="X28" i="1"/>
  <c r="Y28" i="1" s="1"/>
  <c r="X14" i="1"/>
  <c r="Y14" i="1" s="1"/>
  <c r="X7" i="1"/>
  <c r="Y7" i="1" s="1"/>
  <c r="X55" i="1"/>
  <c r="Y55" i="1" s="1"/>
  <c r="X21" i="1"/>
  <c r="Y21" i="1" s="1"/>
  <c r="X6" i="1"/>
  <c r="Y6" i="1" s="1"/>
  <c r="X54" i="1"/>
  <c r="Y54" i="1" s="1"/>
  <c r="X27" i="1"/>
  <c r="Y27" i="1" s="1"/>
  <c r="X13" i="1"/>
  <c r="Y13" i="1" s="1"/>
  <c r="X20" i="1"/>
  <c r="Y20" i="1" s="1"/>
  <c r="X12" i="1"/>
  <c r="Y12" i="1" s="1"/>
  <c r="X40" i="1" s="1"/>
  <c r="X5" i="1"/>
  <c r="Y5" i="1" s="1"/>
  <c r="X19" i="1"/>
  <c r="Y19" i="1" s="1"/>
  <c r="V32" i="1"/>
  <c r="X42" i="1"/>
  <c r="X39" i="1"/>
  <c r="X49" i="1"/>
  <c r="X50" i="1" s="1"/>
  <c r="X51" i="1" s="1"/>
  <c r="Z53" i="1"/>
  <c r="Z23" i="1"/>
  <c r="Z2" i="1"/>
  <c r="Z16" i="1"/>
  <c r="Z9" i="1"/>
  <c r="Z26" i="1"/>
  <c r="Z5" i="1"/>
  <c r="Z12" i="1"/>
  <c r="Z19" i="1"/>
  <c r="X11" i="1"/>
  <c r="Z17" i="1"/>
  <c r="Z3" i="1"/>
  <c r="Z24" i="1"/>
  <c r="Z10" i="1"/>
  <c r="AA1" i="1"/>
  <c r="X18" i="1" l="1"/>
  <c r="X31" i="1"/>
  <c r="Y31" i="1" s="1"/>
  <c r="X37" i="1"/>
  <c r="X34" i="1"/>
  <c r="Y34" i="1" s="1"/>
  <c r="AA28" i="1"/>
  <c r="AA7" i="1"/>
  <c r="AA13" i="1"/>
  <c r="AA54" i="1"/>
  <c r="AA27" i="1"/>
  <c r="AA6" i="1"/>
  <c r="AA14" i="1"/>
  <c r="AA21" i="1"/>
  <c r="AA55" i="1"/>
  <c r="AA20" i="1"/>
  <c r="X33" i="1"/>
  <c r="X8" i="1"/>
  <c r="X45" i="1"/>
  <c r="X47" i="1" s="1"/>
  <c r="X43" i="1"/>
  <c r="AA53" i="1"/>
  <c r="AA2" i="1"/>
  <c r="AA9" i="1"/>
  <c r="AA23" i="1"/>
  <c r="AA16" i="1"/>
  <c r="AA26" i="1"/>
  <c r="AA5" i="1"/>
  <c r="AA12" i="1"/>
  <c r="AA19" i="1"/>
  <c r="AA3" i="1"/>
  <c r="AA24" i="1"/>
  <c r="AA10" i="1"/>
  <c r="AA17" i="1"/>
  <c r="Z11" i="1"/>
  <c r="AB1" i="1"/>
  <c r="Z18" i="1"/>
  <c r="Z31" i="1"/>
  <c r="Z37" i="1"/>
  <c r="Z34" i="1"/>
  <c r="Z33" i="1"/>
  <c r="AB55" i="1" l="1"/>
  <c r="AB27" i="1"/>
  <c r="AB6" i="1"/>
  <c r="AB20" i="1"/>
  <c r="AB13" i="1"/>
  <c r="AB54" i="1"/>
  <c r="AB21" i="1"/>
  <c r="AB14" i="1"/>
  <c r="AB28" i="1"/>
  <c r="AB7" i="1"/>
  <c r="AB53" i="1"/>
  <c r="AB9" i="1"/>
  <c r="AB16" i="1"/>
  <c r="AB23" i="1"/>
  <c r="AB2" i="1"/>
  <c r="AB3" i="1"/>
  <c r="AB5" i="1"/>
  <c r="AB12" i="1"/>
  <c r="AB19" i="1"/>
  <c r="AB26" i="1"/>
  <c r="AB24" i="1"/>
  <c r="AB10" i="1"/>
  <c r="AB17" i="1"/>
  <c r="AA18" i="1"/>
  <c r="AA11" i="1"/>
  <c r="AA33" i="1"/>
  <c r="AA37" i="1"/>
  <c r="AC1" i="1"/>
  <c r="AA31" i="1"/>
  <c r="B33" i="1"/>
  <c r="B37" i="1"/>
  <c r="AC27" i="1" l="1"/>
  <c r="AC6" i="1"/>
  <c r="AC28" i="1"/>
  <c r="AC7" i="1"/>
  <c r="AC55" i="1"/>
  <c r="AC21" i="1"/>
  <c r="AC14" i="1"/>
  <c r="AC20" i="1"/>
  <c r="AC13" i="1"/>
  <c r="AC54" i="1"/>
  <c r="AC53" i="1"/>
  <c r="AC9" i="1"/>
  <c r="AC16" i="1"/>
  <c r="AC3" i="1"/>
  <c r="AC23" i="1"/>
  <c r="AC2" i="1"/>
  <c r="AC5" i="1"/>
  <c r="AC12" i="1"/>
  <c r="AC19" i="1"/>
  <c r="AC26" i="1"/>
  <c r="AA34" i="1"/>
  <c r="AC24" i="1"/>
  <c r="AC10" i="1"/>
  <c r="AC17" i="1"/>
  <c r="AB18" i="1"/>
  <c r="AB33" i="1"/>
  <c r="AB34" i="1"/>
  <c r="AD1" i="1"/>
  <c r="AB31" i="1"/>
  <c r="AB11" i="1"/>
  <c r="AB37" i="1"/>
  <c r="C37" i="1"/>
  <c r="C33" i="1"/>
  <c r="AD21" i="1" l="1"/>
  <c r="AD14" i="1"/>
  <c r="AD28" i="1"/>
  <c r="AD7" i="1"/>
  <c r="AD6" i="1"/>
  <c r="AD27" i="1"/>
  <c r="AD20" i="1"/>
  <c r="AD13" i="1"/>
  <c r="AD54" i="1"/>
  <c r="AD55" i="1"/>
  <c r="AD53" i="1"/>
  <c r="AD16" i="1"/>
  <c r="AD23" i="1"/>
  <c r="AD2" i="1"/>
  <c r="AD3" i="1"/>
  <c r="AD9" i="1"/>
  <c r="AD12" i="1"/>
  <c r="AD19" i="1"/>
  <c r="AD26" i="1"/>
  <c r="AD5" i="1"/>
  <c r="AD24" i="1"/>
  <c r="AD10" i="1"/>
  <c r="AD17" i="1"/>
  <c r="AC18" i="1"/>
  <c r="AC11" i="1"/>
  <c r="AC37" i="1"/>
  <c r="AC34" i="1"/>
  <c r="AC33" i="1"/>
  <c r="AC31" i="1"/>
  <c r="AE1" i="1"/>
  <c r="D37" i="1"/>
  <c r="D33" i="1"/>
  <c r="J33" i="1" s="1"/>
  <c r="Q33" i="1" s="1"/>
  <c r="Y33" i="1" s="1"/>
  <c r="AE21" i="1" l="1"/>
  <c r="AE14" i="1"/>
  <c r="AE55" i="1"/>
  <c r="AE27" i="1"/>
  <c r="AE20" i="1"/>
  <c r="AE13" i="1"/>
  <c r="AE54" i="1"/>
  <c r="AE7" i="1"/>
  <c r="AE28" i="1"/>
  <c r="AE6" i="1"/>
  <c r="AE53" i="1"/>
  <c r="AE16" i="1"/>
  <c r="AE2" i="1"/>
  <c r="AE9" i="1"/>
  <c r="AE3" i="1"/>
  <c r="AE23" i="1"/>
  <c r="AE12" i="1"/>
  <c r="AE19" i="1"/>
  <c r="AE26" i="1"/>
  <c r="AE5" i="1"/>
  <c r="AE10" i="1"/>
  <c r="AE17" i="1"/>
  <c r="AE24" i="1"/>
  <c r="AD31" i="1"/>
  <c r="AD34" i="1"/>
  <c r="AF1" i="1"/>
  <c r="AD33" i="1"/>
  <c r="AD18" i="1"/>
  <c r="AD37" i="1"/>
  <c r="AD11" i="1"/>
  <c r="AF20" i="1" l="1"/>
  <c r="AG20" i="1" s="1"/>
  <c r="AF13" i="1"/>
  <c r="AG13" i="1" s="1"/>
  <c r="AF54" i="1"/>
  <c r="AF27" i="1"/>
  <c r="AG27" i="1" s="1"/>
  <c r="AF6" i="1"/>
  <c r="AG6" i="1" s="1"/>
  <c r="AF14" i="1"/>
  <c r="AG14" i="1" s="1"/>
  <c r="AF21" i="1"/>
  <c r="AG21" i="1" s="1"/>
  <c r="AF28" i="1"/>
  <c r="AG28" i="1" s="1"/>
  <c r="AF7" i="1"/>
  <c r="AG7" i="1" s="1"/>
  <c r="AF55" i="1"/>
  <c r="AG55" i="1"/>
  <c r="AF53" i="1"/>
  <c r="AG53" i="1" s="1"/>
  <c r="AG54" i="1"/>
  <c r="AF16" i="1"/>
  <c r="AG16" i="1" s="1"/>
  <c r="AF3" i="1"/>
  <c r="AG3" i="1" s="1"/>
  <c r="AF23" i="1"/>
  <c r="AG23" i="1" s="1"/>
  <c r="AF9" i="1"/>
  <c r="AG9" i="1" s="1"/>
  <c r="AF2" i="1"/>
  <c r="AG2" i="1" s="1"/>
  <c r="AF19" i="1"/>
  <c r="AG19" i="1" s="1"/>
  <c r="AF26" i="1"/>
  <c r="AG26" i="1" s="1"/>
  <c r="AF5" i="1"/>
  <c r="AG5" i="1" s="1"/>
  <c r="AF12" i="1"/>
  <c r="AG12" i="1" s="1"/>
  <c r="AE18" i="1"/>
  <c r="AE11" i="1"/>
  <c r="AF17" i="1"/>
  <c r="AG17" i="1" s="1"/>
  <c r="AF24" i="1"/>
  <c r="AG24" i="1" s="1"/>
  <c r="AF10" i="1"/>
  <c r="AG10" i="1" s="1"/>
  <c r="AE33" i="1"/>
  <c r="AE31" i="1"/>
  <c r="AE34" i="1"/>
  <c r="AE37" i="1"/>
  <c r="AH1" i="1"/>
  <c r="Y8" i="8"/>
  <c r="AH20" i="1" l="1"/>
  <c r="AH13" i="1"/>
  <c r="AH54" i="1"/>
  <c r="AH28" i="1"/>
  <c r="AH7" i="1"/>
  <c r="AH55" i="1"/>
  <c r="AH27" i="1"/>
  <c r="AH6" i="1"/>
  <c r="AH21" i="1"/>
  <c r="AH14" i="1"/>
  <c r="AH53" i="1"/>
  <c r="AH3" i="1"/>
  <c r="AH2" i="1"/>
  <c r="AH9" i="1"/>
  <c r="AH16" i="1"/>
  <c r="AH23" i="1"/>
  <c r="AH19" i="1"/>
  <c r="AH26" i="1"/>
  <c r="AH5" i="1"/>
  <c r="AH12" i="1"/>
  <c r="AF25" i="1"/>
  <c r="AH17" i="1"/>
  <c r="AH10" i="1"/>
  <c r="AH24" i="1"/>
  <c r="AF18" i="1"/>
  <c r="AF33" i="1"/>
  <c r="AG33" i="1" s="1"/>
  <c r="AF34" i="1"/>
  <c r="AG34" i="1" s="1"/>
  <c r="AF31" i="1"/>
  <c r="AG31" i="1" s="1"/>
  <c r="AF4" i="1"/>
  <c r="AF30" i="1"/>
  <c r="AI1" i="1"/>
  <c r="AF11" i="1"/>
  <c r="AF37" i="1"/>
  <c r="AI28" i="1" l="1"/>
  <c r="AI7" i="1"/>
  <c r="AI55" i="1"/>
  <c r="AI21" i="1"/>
  <c r="AI14" i="1"/>
  <c r="AI54" i="1"/>
  <c r="AI27" i="1"/>
  <c r="AI6" i="1"/>
  <c r="AI20" i="1"/>
  <c r="AI13" i="1"/>
  <c r="AI53" i="1"/>
  <c r="AJ1" i="1"/>
  <c r="AI3" i="1"/>
  <c r="AI23" i="1"/>
  <c r="AI9" i="1"/>
  <c r="AI2" i="1"/>
  <c r="AI16" i="1"/>
  <c r="AI26" i="1"/>
  <c r="AI5" i="1"/>
  <c r="AI12" i="1"/>
  <c r="AI19" i="1"/>
  <c r="AH25" i="1"/>
  <c r="AI17" i="1"/>
  <c r="AI24" i="1"/>
  <c r="AI10" i="1"/>
  <c r="AH33" i="1"/>
  <c r="AH30" i="1"/>
  <c r="AH37" i="1"/>
  <c r="AH34" i="1"/>
  <c r="AH31" i="1"/>
  <c r="AH4" i="1"/>
  <c r="AH11" i="1"/>
  <c r="AH18" i="1"/>
  <c r="AF32" i="1"/>
  <c r="AJ28" i="1" l="1"/>
  <c r="AK28" i="1" s="1"/>
  <c r="AJ7" i="1"/>
  <c r="AK7" i="1" s="1"/>
  <c r="AJ55" i="1"/>
  <c r="AK55" i="1" s="1"/>
  <c r="AJ13" i="1"/>
  <c r="AK13" i="1" s="1"/>
  <c r="AJ27" i="1"/>
  <c r="AK27" i="1" s="1"/>
  <c r="AJ6" i="1"/>
  <c r="AK6" i="1" s="1"/>
  <c r="AJ54" i="1"/>
  <c r="AK54" i="1" s="1"/>
  <c r="AJ21" i="1"/>
  <c r="AK21" i="1" s="1"/>
  <c r="AJ14" i="1"/>
  <c r="AK14" i="1" s="1"/>
  <c r="AJ20" i="1"/>
  <c r="AK20" i="1" s="1"/>
  <c r="AJ2" i="1"/>
  <c r="AK2" i="1" s="1"/>
  <c r="AJ53" i="1"/>
  <c r="AK53" i="1" s="1"/>
  <c r="AJ23" i="1"/>
  <c r="AK23" i="1" s="1"/>
  <c r="AJ5" i="1"/>
  <c r="AK5" i="1" s="1"/>
  <c r="AJ10" i="1"/>
  <c r="AK10" i="1" s="1"/>
  <c r="AJ24" i="1"/>
  <c r="AK24" i="1" s="1"/>
  <c r="AJ16" i="1"/>
  <c r="AK16" i="1" s="1"/>
  <c r="AJ12" i="1"/>
  <c r="AK12" i="1" s="1"/>
  <c r="AJ26" i="1"/>
  <c r="AK26" i="1" s="1"/>
  <c r="AJ19" i="1"/>
  <c r="AK19" i="1" s="1"/>
  <c r="AJ17" i="1"/>
  <c r="AK17" i="1" s="1"/>
  <c r="AJ9" i="1"/>
  <c r="AK9" i="1" s="1"/>
  <c r="AJ3" i="1"/>
  <c r="AK3" i="1" s="1"/>
  <c r="AI25" i="1"/>
  <c r="AH32" i="1"/>
  <c r="AI30" i="1"/>
  <c r="AI37" i="1"/>
  <c r="AI33" i="1"/>
  <c r="AI11" i="1"/>
  <c r="AI18" i="1"/>
  <c r="AI31" i="1"/>
  <c r="AI4" i="1"/>
  <c r="AJ25" i="1" l="1"/>
  <c r="AJ33" i="1"/>
  <c r="AK33" i="1" s="1"/>
  <c r="AJ11" i="1"/>
  <c r="AJ4" i="1"/>
  <c r="AJ31" i="1"/>
  <c r="AK31" i="1" s="1"/>
  <c r="AJ18" i="1"/>
  <c r="AJ37" i="1"/>
  <c r="AJ34" i="1"/>
  <c r="AJ30" i="1"/>
  <c r="AI34" i="1"/>
  <c r="AI32" i="1"/>
  <c r="I9" i="15"/>
  <c r="AK34" i="1" l="1"/>
  <c r="AJ32" i="1"/>
  <c r="I19" i="15"/>
  <c r="I22" i="15"/>
  <c r="I21" i="15" l="1"/>
  <c r="I16" i="15" l="1"/>
  <c r="I23" i="15" s="1"/>
  <c r="I20" i="15" l="1"/>
  <c r="AC4" i="1" l="1"/>
  <c r="D4" i="1"/>
  <c r="AB4" i="1"/>
  <c r="C30" i="1"/>
  <c r="C4" i="1"/>
  <c r="X4" i="1"/>
  <c r="AD4" i="1"/>
  <c r="W4" i="1"/>
  <c r="AA4" i="1"/>
  <c r="Z4" i="1"/>
  <c r="AE4" i="1"/>
  <c r="G4" i="1"/>
  <c r="F4" i="1"/>
  <c r="E4" i="1"/>
  <c r="C32" i="1" l="1"/>
  <c r="D25" i="1" l="1"/>
  <c r="D30" i="1"/>
  <c r="D32" i="1" l="1"/>
  <c r="E25" i="1" l="1"/>
  <c r="E30" i="1"/>
  <c r="E32" i="1" l="1"/>
  <c r="F25" i="1" l="1"/>
  <c r="F30" i="1"/>
  <c r="F32" i="1" l="1"/>
  <c r="G25" i="1" l="1"/>
  <c r="G30" i="1"/>
  <c r="G32" i="1" l="1"/>
  <c r="J30" i="1"/>
  <c r="Q30" i="1" s="1"/>
  <c r="W25" i="1"/>
  <c r="W30" i="1"/>
  <c r="W32" i="1" l="1"/>
  <c r="X25" i="1"/>
  <c r="X30" i="1"/>
  <c r="X32" i="1" s="1"/>
  <c r="Y30" i="1" l="1"/>
  <c r="Z25" i="1"/>
  <c r="Z30" i="1"/>
  <c r="Z32" i="1" s="1"/>
  <c r="AA25" i="1" l="1"/>
  <c r="AA30" i="1"/>
  <c r="AB25" i="1" l="1"/>
  <c r="AB30" i="1"/>
  <c r="AB32" i="1" s="1"/>
  <c r="AA32" i="1"/>
  <c r="AC25" i="1" l="1"/>
  <c r="AC30" i="1"/>
  <c r="AD25" i="1" l="1"/>
  <c r="AD30" i="1"/>
  <c r="AD32" i="1" s="1"/>
  <c r="AC32" i="1"/>
  <c r="AE25" i="1" l="1"/>
  <c r="AE30" i="1"/>
  <c r="AE32" i="1" l="1"/>
  <c r="AG30" i="1"/>
  <c r="AK30" i="1" s="1"/>
  <c r="AK32" i="1" s="1"/>
  <c r="Y44" i="6"/>
  <c r="Y51" i="6" l="1"/>
  <c r="C75" i="3" l="1"/>
  <c r="E75" i="3" s="1"/>
  <c r="C76" i="3"/>
  <c r="E76" i="3" s="1"/>
  <c r="C73" i="3"/>
  <c r="E73" i="3" s="1"/>
  <c r="C74" i="3"/>
  <c r="E74" i="3" s="1"/>
  <c r="E77" i="3" l="1"/>
  <c r="C77" i="3"/>
  <c r="D77" i="3" s="1"/>
  <c r="AE11" i="6"/>
  <c r="AE39" i="6" l="1"/>
  <c r="AE40" i="6" s="1"/>
  <c r="AF11" i="11"/>
  <c r="AE14" i="6"/>
  <c r="AF12" i="11" l="1"/>
  <c r="AF37" i="11"/>
  <c r="AF38" i="11" s="1"/>
  <c r="AH11" i="6"/>
  <c r="AH14" i="6" s="1"/>
  <c r="AI11" i="6"/>
  <c r="AI14" i="6" s="1"/>
  <c r="AF11" i="6"/>
  <c r="AG11" i="6" s="1"/>
  <c r="AK11" i="6" s="1"/>
  <c r="AF39" i="6" l="1"/>
  <c r="AF40" i="6" s="1"/>
  <c r="AI11" i="11"/>
  <c r="AI37" i="11" s="1"/>
  <c r="AI38" i="11" s="1"/>
  <c r="AI39" i="6"/>
  <c r="AI40" i="6" s="1"/>
  <c r="AH11" i="11"/>
  <c r="AH12" i="11" s="1"/>
  <c r="AG11" i="11"/>
  <c r="AG37" i="11" s="1"/>
  <c r="AG38" i="11" s="1"/>
  <c r="AF14" i="6"/>
  <c r="AH39" i="6"/>
  <c r="AH40" i="6" s="1"/>
  <c r="AH37" i="11" l="1"/>
  <c r="AH38" i="11" s="1"/>
  <c r="AI12" i="11"/>
  <c r="AJ11" i="11"/>
  <c r="AJ37" i="11" s="1"/>
  <c r="AG12" i="11"/>
  <c r="AJ12" i="11" l="1"/>
  <c r="BN47" i="11"/>
  <c r="AJ47" i="11"/>
  <c r="AJ38" i="11"/>
  <c r="AK47" i="11" l="1"/>
  <c r="AJ50" i="11"/>
  <c r="AL47" i="11"/>
  <c r="BP47" i="11"/>
  <c r="BN50" i="11"/>
  <c r="BO47" i="11"/>
  <c r="BO50" i="11" l="1"/>
  <c r="BP50" i="11"/>
  <c r="AK50" i="11"/>
  <c r="AL50" i="11"/>
  <c r="J4" i="1" l="1"/>
  <c r="I39" i="1"/>
  <c r="J39" i="1"/>
  <c r="J8" i="1"/>
  <c r="K39" i="1" l="1"/>
  <c r="L39" i="1"/>
  <c r="J11" i="1"/>
  <c r="I40" i="1"/>
  <c r="J15" i="1"/>
  <c r="J40" i="1"/>
  <c r="J18" i="1"/>
  <c r="I42" i="1"/>
  <c r="J22" i="1"/>
  <c r="J42" i="1"/>
  <c r="J25" i="1"/>
  <c r="I41" i="1"/>
  <c r="J37" i="1"/>
  <c r="J29" i="1"/>
  <c r="J41" i="1"/>
  <c r="K42" i="1" l="1"/>
  <c r="I45" i="1"/>
  <c r="I47" i="1" s="1"/>
  <c r="K40" i="1"/>
  <c r="L42" i="1"/>
  <c r="I43" i="1"/>
  <c r="J45" i="1"/>
  <c r="L41" i="1"/>
  <c r="L40" i="1"/>
  <c r="K41" i="1"/>
  <c r="J43" i="1"/>
  <c r="J32" i="1"/>
  <c r="K45" i="1" l="1"/>
  <c r="J47" i="1"/>
  <c r="L47" i="1" s="1"/>
  <c r="K43" i="1"/>
  <c r="L45" i="1"/>
  <c r="L43" i="1"/>
  <c r="J36" i="1"/>
  <c r="Q4" i="1"/>
  <c r="Q8" i="1"/>
  <c r="Q39" i="1"/>
  <c r="K47" i="1" l="1"/>
  <c r="S39" i="1"/>
  <c r="R39" i="1"/>
  <c r="Q11" i="1"/>
  <c r="Q15" i="1"/>
  <c r="Q40" i="1"/>
  <c r="R40" i="1" s="1"/>
  <c r="S40" i="1" l="1"/>
  <c r="Q18" i="1"/>
  <c r="Q22" i="1"/>
  <c r="Q42" i="1"/>
  <c r="S42" i="1" l="1"/>
  <c r="R42" i="1"/>
  <c r="Q25" i="1"/>
  <c r="Q37" i="1"/>
  <c r="T67" i="1" s="1"/>
  <c r="T70" i="1" s="1"/>
  <c r="Q29" i="1"/>
  <c r="Q41" i="1"/>
  <c r="R41" i="1" l="1"/>
  <c r="Q43" i="1"/>
  <c r="R43" i="1" s="1"/>
  <c r="Q45" i="1"/>
  <c r="Q47" i="1" s="1"/>
  <c r="R47" i="1" s="1"/>
  <c r="S41" i="1"/>
  <c r="Q32" i="1"/>
  <c r="Q36" i="1"/>
  <c r="T66" i="1" s="1"/>
  <c r="Y4" i="1"/>
  <c r="Y8" i="1"/>
  <c r="Y39" i="1"/>
  <c r="AJ8" i="1" l="1"/>
  <c r="AA39" i="1"/>
  <c r="R45" i="1"/>
  <c r="S47" i="1"/>
  <c r="S45" i="1"/>
  <c r="S43" i="1"/>
  <c r="Z39" i="1"/>
  <c r="Y11" i="1"/>
  <c r="Y15" i="1"/>
  <c r="AJ15" i="1" s="1"/>
  <c r="Y40" i="1"/>
  <c r="AC8" i="1" l="1"/>
  <c r="V15" i="1"/>
  <c r="W15" i="1"/>
  <c r="X15" i="1"/>
  <c r="AA15" i="1"/>
  <c r="AB15" i="1"/>
  <c r="AC15" i="1"/>
  <c r="AD15" i="1"/>
  <c r="AE15" i="1"/>
  <c r="AF15" i="1"/>
  <c r="AH15" i="1"/>
  <c r="AI15" i="1"/>
  <c r="W8" i="1"/>
  <c r="AH8" i="1"/>
  <c r="AE8" i="1"/>
  <c r="AI8" i="1"/>
  <c r="V8" i="1"/>
  <c r="AF8" i="1"/>
  <c r="U8" i="1"/>
  <c r="AD8" i="1"/>
  <c r="AB8" i="1"/>
  <c r="AA40" i="1"/>
  <c r="Z40" i="1"/>
  <c r="Y18" i="1"/>
  <c r="Y42" i="1"/>
  <c r="Y22" i="1"/>
  <c r="AJ22" i="1" l="1"/>
  <c r="V22" i="1"/>
  <c r="W22" i="1"/>
  <c r="X22" i="1"/>
  <c r="AC22" i="1"/>
  <c r="AE22" i="1"/>
  <c r="AH22" i="1"/>
  <c r="U15" i="1"/>
  <c r="Z42" i="1"/>
  <c r="AA42" i="1"/>
  <c r="Y25" i="1"/>
  <c r="Y37" i="1"/>
  <c r="AA22" i="1" l="1"/>
  <c r="Z22" i="1"/>
  <c r="AI22" i="1"/>
  <c r="AF22" i="1"/>
  <c r="U22" i="1"/>
  <c r="AD22" i="1"/>
  <c r="AB22" i="1"/>
  <c r="Y29" i="1"/>
  <c r="Y41" i="1"/>
  <c r="Y43" i="1" s="1"/>
  <c r="AJ29" i="1" l="1"/>
  <c r="AJ35" i="1"/>
  <c r="AJ36" i="1" s="1"/>
  <c r="AA29" i="1"/>
  <c r="Z29" i="1"/>
  <c r="Y45" i="1"/>
  <c r="Z45" i="1" s="1"/>
  <c r="AA41" i="1"/>
  <c r="Z41" i="1"/>
  <c r="AA43" i="1"/>
  <c r="Z43" i="1"/>
  <c r="AC29" i="1" l="1"/>
  <c r="AC35" i="1"/>
  <c r="AC36" i="1" s="1"/>
  <c r="AA35" i="1"/>
  <c r="AB29" i="1"/>
  <c r="AB35" i="1"/>
  <c r="AH29" i="1"/>
  <c r="AH35" i="1"/>
  <c r="AH36" i="1" s="1"/>
  <c r="AI29" i="1"/>
  <c r="AI35" i="1"/>
  <c r="AI36" i="1" s="1"/>
  <c r="Z35" i="1"/>
  <c r="Z36" i="1" s="1"/>
  <c r="X29" i="1"/>
  <c r="X35" i="1"/>
  <c r="AF29" i="1"/>
  <c r="AF35" i="1"/>
  <c r="AF36" i="1" s="1"/>
  <c r="W29" i="1"/>
  <c r="W35" i="1"/>
  <c r="W36" i="1" s="1"/>
  <c r="AE29" i="1"/>
  <c r="AE35" i="1"/>
  <c r="AE36" i="1" s="1"/>
  <c r="V29" i="1"/>
  <c r="V35" i="1"/>
  <c r="V36" i="1" s="1"/>
  <c r="AD29" i="1"/>
  <c r="AD35" i="1"/>
  <c r="AD36" i="1" s="1"/>
  <c r="U29" i="1"/>
  <c r="U35" i="1"/>
  <c r="U36" i="1" s="1"/>
  <c r="AA45" i="1"/>
  <c r="Y47" i="1"/>
  <c r="AA47" i="1" s="1"/>
  <c r="Y32" i="1"/>
  <c r="AK4" i="1"/>
  <c r="AG4" i="1"/>
  <c r="AF39" i="1"/>
  <c r="K6" i="8"/>
  <c r="X36" i="1" l="1"/>
  <c r="Y35" i="1"/>
  <c r="Y36" i="1" s="1"/>
  <c r="AB36" i="1"/>
  <c r="AA36" i="1"/>
  <c r="Z47" i="1"/>
  <c r="C6" i="8"/>
  <c r="AN39" i="1"/>
  <c r="AL6" i="1"/>
  <c r="AG35" i="1" l="1"/>
  <c r="AK35" i="1" s="1"/>
  <c r="D6" i="8"/>
  <c r="F6" i="8" l="1"/>
  <c r="E6" i="8"/>
  <c r="AG8" i="1"/>
  <c r="AG39" i="1"/>
  <c r="AI39" i="1" s="1"/>
  <c r="AO39" i="1"/>
  <c r="L6" i="8"/>
  <c r="AH39" i="1" l="1"/>
  <c r="N6" i="8"/>
  <c r="M6" i="8"/>
  <c r="AQ39" i="1"/>
  <c r="AP39" i="1"/>
  <c r="AK8" i="1"/>
  <c r="T6" i="8" s="1"/>
  <c r="U6" i="8" s="1"/>
  <c r="AK11" i="1"/>
  <c r="AG11" i="1"/>
  <c r="AN40" i="1"/>
  <c r="K7" i="8"/>
  <c r="C7" i="8"/>
  <c r="AF40" i="1"/>
  <c r="AL13" i="1"/>
  <c r="D7" i="8"/>
  <c r="E7" i="8" l="1"/>
  <c r="F7" i="8"/>
  <c r="AK15" i="1"/>
  <c r="AG15" i="1"/>
  <c r="AG40" i="1"/>
  <c r="AH40" i="1" s="1"/>
  <c r="L7" i="8"/>
  <c r="M7" i="8" s="1"/>
  <c r="T7" i="8" l="1"/>
  <c r="U7" i="8" s="1"/>
  <c r="N7" i="8"/>
  <c r="AI40" i="1"/>
  <c r="AO40" i="1"/>
  <c r="AP40" i="1" l="1"/>
  <c r="AQ40" i="1"/>
  <c r="AK18" i="1"/>
  <c r="AG18" i="1"/>
  <c r="K9" i="8"/>
  <c r="AF42" i="1"/>
  <c r="AN42" i="1" l="1"/>
  <c r="C9" i="8"/>
  <c r="D9" i="8"/>
  <c r="AL20" i="1"/>
  <c r="F9" i="8" l="1"/>
  <c r="E9" i="8"/>
  <c r="AG42" i="1"/>
  <c r="AI42" i="1" s="1"/>
  <c r="AG22" i="1"/>
  <c r="AK22" i="1"/>
  <c r="T9" i="8" s="1"/>
  <c r="U9" i="8" s="1"/>
  <c r="L9" i="8"/>
  <c r="AO42" i="1"/>
  <c r="AP42" i="1" s="1"/>
  <c r="AH42" i="1" l="1"/>
  <c r="AQ42" i="1"/>
  <c r="N9" i="8"/>
  <c r="M9" i="8"/>
  <c r="AK25" i="1"/>
  <c r="AG25" i="1"/>
  <c r="AG37" i="1"/>
  <c r="C8" i="8"/>
  <c r="C14" i="8" s="1"/>
  <c r="AL33" i="1"/>
  <c r="AN41" i="1"/>
  <c r="AN43" i="1" s="1"/>
  <c r="AF41" i="1"/>
  <c r="AF43" i="1" s="1"/>
  <c r="AN45" i="1" l="1"/>
  <c r="AN47" i="1" s="1"/>
  <c r="C11" i="8"/>
  <c r="AK37" i="1"/>
  <c r="K8" i="8"/>
  <c r="AF45" i="1"/>
  <c r="AF47" i="1" s="1"/>
  <c r="K14" i="8" l="1"/>
  <c r="K11" i="8"/>
  <c r="S11" i="8" s="1"/>
  <c r="AL27" i="1"/>
  <c r="D8" i="8"/>
  <c r="D11" i="8" l="1"/>
  <c r="F8" i="8"/>
  <c r="E8" i="8"/>
  <c r="D14" i="8"/>
  <c r="AL34" i="1"/>
  <c r="F14" i="8" l="1"/>
  <c r="E14" i="8"/>
  <c r="F11" i="8"/>
  <c r="E11" i="8"/>
  <c r="AK29" i="1"/>
  <c r="L8" i="8"/>
  <c r="L11" i="8" s="1"/>
  <c r="N11" i="8" s="1"/>
  <c r="AG29" i="1"/>
  <c r="AO41" i="1"/>
  <c r="AO45" i="1" s="1"/>
  <c r="AL35" i="1"/>
  <c r="AG41" i="1"/>
  <c r="AH41" i="1" s="1"/>
  <c r="T8" i="8" l="1"/>
  <c r="U8" i="8" s="1"/>
  <c r="AG45" i="1"/>
  <c r="AI45" i="1" s="1"/>
  <c r="AI41" i="1"/>
  <c r="AG43" i="1"/>
  <c r="AO43" i="1"/>
  <c r="AQ43" i="1" s="1"/>
  <c r="AP41" i="1"/>
  <c r="N8" i="8"/>
  <c r="L14" i="8"/>
  <c r="M14" i="8" s="1"/>
  <c r="T11" i="8"/>
  <c r="U11" i="8" s="1"/>
  <c r="M11" i="8"/>
  <c r="AQ45" i="1"/>
  <c r="AP45" i="1"/>
  <c r="AO47" i="1"/>
  <c r="AQ41" i="1"/>
  <c r="M8" i="8"/>
  <c r="AH45" i="1" l="1"/>
  <c r="AG47" i="1"/>
  <c r="AI47" i="1" s="1"/>
  <c r="AP43" i="1"/>
  <c r="AH43" i="1"/>
  <c r="AI43" i="1"/>
  <c r="N14" i="8"/>
  <c r="AP47" i="1"/>
  <c r="AQ47" i="1"/>
  <c r="AG32" i="1"/>
  <c r="AL30" i="1"/>
  <c r="A44" i="1"/>
  <c r="AL31" i="1"/>
  <c r="AG36" i="1"/>
  <c r="AK36" i="1"/>
  <c r="AH47" i="1" l="1"/>
  <c r="AL32" i="1"/>
  <c r="I49" i="1"/>
  <c r="I50" i="1" s="1"/>
  <c r="I51" i="1" s="1"/>
  <c r="J49" i="1"/>
  <c r="J50" i="1"/>
  <c r="J56" i="1"/>
  <c r="Y49" i="1"/>
  <c r="K49" i="1" l="1"/>
  <c r="K50" i="1"/>
  <c r="L49" i="1"/>
  <c r="R49" i="1"/>
  <c r="Z49" i="1"/>
  <c r="AA49" i="1"/>
  <c r="J51" i="1"/>
  <c r="K51" i="1" s="1"/>
  <c r="Q49" i="1"/>
  <c r="L50" i="1"/>
  <c r="AF49" i="1" l="1"/>
  <c r="AF50" i="1" s="1"/>
  <c r="AF51" i="1" s="1"/>
  <c r="L51" i="1"/>
  <c r="AG49" i="1"/>
  <c r="Q56" i="1"/>
  <c r="Q50" i="1"/>
  <c r="Y56" i="1"/>
  <c r="AJ56" i="1" s="1"/>
  <c r="AC56" i="1" l="1"/>
  <c r="AD56" i="1"/>
  <c r="V56" i="1"/>
  <c r="AE56" i="1"/>
  <c r="AF56" i="1"/>
  <c r="AH56" i="1"/>
  <c r="AI56" i="1"/>
  <c r="W56" i="1"/>
  <c r="X56" i="1"/>
  <c r="Z56" i="1"/>
  <c r="AB56" i="1"/>
  <c r="AA56" i="1"/>
  <c r="AN49" i="1"/>
  <c r="AN50" i="1" s="1"/>
  <c r="Y6" i="8"/>
  <c r="Y7" i="8" s="1"/>
  <c r="AO49" i="1"/>
  <c r="Z6" i="8"/>
  <c r="AC6" i="8" s="1"/>
  <c r="R50" i="1"/>
  <c r="AI49" i="1"/>
  <c r="AH49" i="1"/>
  <c r="R51" i="1"/>
  <c r="Y50" i="1"/>
  <c r="AA50" i="1" s="1"/>
  <c r="AP49" i="1" l="1"/>
  <c r="AQ49" i="1"/>
  <c r="U56" i="1"/>
  <c r="AG56" i="1"/>
  <c r="AB6" i="8"/>
  <c r="AA6" i="8"/>
  <c r="Z50" i="1"/>
  <c r="Q51" i="1"/>
  <c r="Y51" i="1"/>
  <c r="AA51" i="1" s="1"/>
  <c r="AK56" i="1" l="1"/>
  <c r="AG50" i="1"/>
  <c r="AH50" i="1" s="1"/>
  <c r="Z51" i="1"/>
  <c r="Z7" i="8"/>
  <c r="AI50" i="1" l="1"/>
  <c r="AG51" i="1"/>
  <c r="AI51" i="1" s="1"/>
  <c r="AO50" i="1"/>
  <c r="AO51" i="1" s="1"/>
  <c r="AQ51" i="1" s="1"/>
  <c r="Z8" i="8"/>
  <c r="AA7" i="8"/>
  <c r="AB7" i="8"/>
  <c r="AH51" i="1" l="1"/>
  <c r="AP51" i="1"/>
  <c r="AA8" i="8"/>
  <c r="AB8" i="8"/>
  <c r="J35" i="6"/>
  <c r="I48" i="6" s="1"/>
  <c r="J4" i="6"/>
  <c r="J36" i="6"/>
  <c r="J48" i="6" s="1"/>
  <c r="K48" i="6" l="1"/>
  <c r="J37" i="6"/>
  <c r="L48" i="6"/>
  <c r="J38" i="6"/>
  <c r="I49" i="6" s="1"/>
  <c r="J14" i="6"/>
  <c r="J39" i="6"/>
  <c r="J49" i="6" s="1"/>
  <c r="L49" i="6" l="1"/>
  <c r="K49" i="6"/>
  <c r="J40" i="6"/>
  <c r="J21" i="6"/>
  <c r="J41" i="6"/>
  <c r="I50" i="6" s="1"/>
  <c r="J42" i="6"/>
  <c r="J50" i="6" s="1"/>
  <c r="J43" i="6" l="1"/>
  <c r="K50" i="6"/>
  <c r="L50" i="6"/>
  <c r="J44" i="6"/>
  <c r="I51" i="6" s="1"/>
  <c r="I52" i="6" s="1"/>
  <c r="J34" i="6"/>
  <c r="J45" i="6"/>
  <c r="J51" i="6" s="1"/>
  <c r="K51" i="6" l="1"/>
  <c r="J46" i="6"/>
  <c r="L51" i="6"/>
  <c r="J52" i="6"/>
  <c r="K52" i="6" l="1"/>
  <c r="L52" i="6"/>
  <c r="Q35" i="6"/>
  <c r="R48" i="6" s="1"/>
  <c r="Q36" i="6"/>
  <c r="S48" i="6" s="1"/>
  <c r="Q4" i="6"/>
  <c r="U48" i="6" l="1"/>
  <c r="Q37" i="6"/>
  <c r="T48" i="6"/>
  <c r="Q38" i="6"/>
  <c r="R49" i="6" s="1"/>
  <c r="Q14" i="6"/>
  <c r="Q39" i="6"/>
  <c r="Q40" i="6" l="1"/>
  <c r="S49" i="6"/>
  <c r="U49" i="6" s="1"/>
  <c r="Q21" i="6"/>
  <c r="Q41" i="6"/>
  <c r="R50" i="6" s="1"/>
  <c r="Q27" i="6"/>
  <c r="Q42" i="6"/>
  <c r="T49" i="6" l="1"/>
  <c r="Q43" i="6"/>
  <c r="S50" i="6"/>
  <c r="U50" i="6" s="1"/>
  <c r="Q44" i="6"/>
  <c r="R51" i="6" s="1"/>
  <c r="R52" i="6" s="1"/>
  <c r="Q34" i="6"/>
  <c r="Q45" i="6"/>
  <c r="S51" i="6" s="1"/>
  <c r="T50" i="6" l="1"/>
  <c r="U51" i="6"/>
  <c r="T51" i="6"/>
  <c r="S52" i="6"/>
  <c r="Q46" i="6"/>
  <c r="T52" i="6" l="1"/>
  <c r="U52" i="6"/>
  <c r="Y35" i="6"/>
  <c r="Y48" i="6" s="1"/>
  <c r="Y4" i="6"/>
  <c r="Y36" i="6"/>
  <c r="Z48" i="6" s="1"/>
  <c r="AA48" i="6" l="1"/>
  <c r="Y37" i="6"/>
  <c r="AB48" i="6"/>
  <c r="Y38" i="6"/>
  <c r="Y49" i="6" s="1"/>
  <c r="Y14" i="6"/>
  <c r="Y39" i="6"/>
  <c r="Z49" i="6" s="1"/>
  <c r="Y40" i="6" l="1"/>
  <c r="AA49" i="6"/>
  <c r="AB49" i="6"/>
  <c r="Y21" i="6"/>
  <c r="Y41" i="6"/>
  <c r="Y50" i="6" s="1"/>
  <c r="Y27" i="6"/>
  <c r="Y42" i="6"/>
  <c r="Z50" i="6" s="1"/>
  <c r="Y34" i="6"/>
  <c r="Y45" i="6"/>
  <c r="Z51" i="6" s="1"/>
  <c r="Y43" i="6" l="1"/>
  <c r="Y52" i="6"/>
  <c r="AA50" i="6"/>
  <c r="AB50" i="6"/>
  <c r="AA51" i="6"/>
  <c r="AB51" i="6"/>
  <c r="Z52" i="6"/>
  <c r="Y46" i="6"/>
  <c r="AA52" i="6" l="1"/>
  <c r="AB52" i="6"/>
  <c r="AG35" i="6"/>
  <c r="AG48" i="6" s="1"/>
  <c r="AK35" i="6"/>
  <c r="C6" i="7" l="1"/>
  <c r="AM48" i="6"/>
  <c r="AT48" i="6"/>
  <c r="AG4" i="6"/>
  <c r="AK4" i="6"/>
  <c r="AK36" i="6"/>
  <c r="AN48" i="6" s="1"/>
  <c r="E6" i="7"/>
  <c r="AG36" i="6"/>
  <c r="AG37" i="6" s="1"/>
  <c r="F6" i="7" l="1"/>
  <c r="J6" i="7"/>
  <c r="H6" i="7"/>
  <c r="I6" i="7" s="1"/>
  <c r="AO48" i="6"/>
  <c r="AP48" i="6"/>
  <c r="AU48" i="6"/>
  <c r="AK37" i="6"/>
  <c r="AH48" i="6"/>
  <c r="K6" i="7" l="1"/>
  <c r="AV48" i="6"/>
  <c r="AW48" i="6"/>
  <c r="AI48" i="6"/>
  <c r="AJ48" i="6"/>
  <c r="AK38" i="6"/>
  <c r="AG38" i="6"/>
  <c r="AG49" i="6" s="1"/>
  <c r="AM49" i="6" l="1"/>
  <c r="C7" i="7"/>
  <c r="AT49" i="6"/>
  <c r="AG14" i="6"/>
  <c r="AG39" i="6"/>
  <c r="AG40" i="6" s="1"/>
  <c r="AH49" i="6" l="1"/>
  <c r="AJ49" i="6" s="1"/>
  <c r="AK39" i="6"/>
  <c r="AK14" i="6"/>
  <c r="AI49" i="6" l="1"/>
  <c r="AK40" i="6"/>
  <c r="E7" i="7"/>
  <c r="AU49" i="6"/>
  <c r="AN49" i="6"/>
  <c r="AO49" i="6" l="1"/>
  <c r="AP49" i="6"/>
  <c r="H7" i="7"/>
  <c r="F7" i="7"/>
  <c r="J7" i="7"/>
  <c r="AW49" i="6"/>
  <c r="AV49" i="6"/>
  <c r="K7" i="7" l="1"/>
  <c r="I7" i="7"/>
  <c r="AK21" i="6"/>
  <c r="AG21" i="6"/>
  <c r="AG41" i="6"/>
  <c r="AG50" i="6" s="1"/>
  <c r="AK41" i="6"/>
  <c r="AT50" i="6" s="1"/>
  <c r="C8" i="7" l="1"/>
  <c r="AM50" i="6"/>
  <c r="AG27" i="6"/>
  <c r="AG42" i="6"/>
  <c r="AG43" i="6" s="1"/>
  <c r="AK27" i="6"/>
  <c r="AK42" i="6"/>
  <c r="AK43" i="6" s="1"/>
  <c r="E8" i="7" l="1"/>
  <c r="F8" i="7" s="1"/>
  <c r="AN50" i="6"/>
  <c r="AU50" i="6"/>
  <c r="AH50" i="6"/>
  <c r="H8" i="7" l="1"/>
  <c r="I8" i="7" s="1"/>
  <c r="J8" i="7"/>
  <c r="AJ50" i="6"/>
  <c r="AI50" i="6"/>
  <c r="AV50" i="6"/>
  <c r="AW50" i="6"/>
  <c r="AP50" i="6"/>
  <c r="AO50" i="6"/>
  <c r="AG44" i="6"/>
  <c r="AG51" i="6" s="1"/>
  <c r="AG52" i="6" s="1"/>
  <c r="AK44" i="6"/>
  <c r="K8" i="7" l="1"/>
  <c r="AT51" i="6"/>
  <c r="AT52" i="6" s="1"/>
  <c r="AM51" i="6"/>
  <c r="AM52" i="6" s="1"/>
  <c r="C9" i="7"/>
  <c r="C11" i="7" s="1"/>
  <c r="AK34" i="6"/>
  <c r="AG45" i="6"/>
  <c r="AH51" i="6" s="1"/>
  <c r="AG34" i="6"/>
  <c r="AK45" i="6"/>
  <c r="AU51" i="6" s="1"/>
  <c r="E9" i="7" l="1"/>
  <c r="H9" i="7" s="1"/>
  <c r="AI51" i="6"/>
  <c r="AH52" i="6"/>
  <c r="AG46" i="6"/>
  <c r="AK46" i="6"/>
  <c r="AN51" i="6"/>
  <c r="AP51" i="6" s="1"/>
  <c r="AJ51" i="6"/>
  <c r="AU52" i="6"/>
  <c r="AV51" i="6"/>
  <c r="AW51" i="6"/>
  <c r="J9" i="7" l="1"/>
  <c r="F9" i="7"/>
  <c r="F11" i="7" s="1"/>
  <c r="E11" i="7"/>
  <c r="J11" i="7" s="1"/>
  <c r="AO51" i="6"/>
  <c r="AN52" i="6"/>
  <c r="AP52" i="6" s="1"/>
  <c r="AJ52" i="6"/>
  <c r="AI52" i="6"/>
  <c r="AV52" i="6"/>
  <c r="AW52" i="6"/>
  <c r="H11" i="7"/>
  <c r="K9" i="7"/>
  <c r="I9" i="7"/>
  <c r="AO52" i="6" l="1"/>
  <c r="K11" i="7"/>
  <c r="I1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tc={96FA9E45-32C7-B648-B2B1-97BEC5AD3691}</author>
  </authors>
  <commentList>
    <comment ref="AH10" authorId="0" shapeId="0" xr:uid="{96FA9E45-32C7-B648-B2B1-97BEC5AD369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836 RBD PALMISTE
140 RBD PALMA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Enrique Pabon</author>
  </authors>
  <commentList>
    <comment ref="C83" authorId="0" shapeId="0" xr:uid="{DB081D99-6336-F441-9692-E9315EF0BEE4}">
      <text>
        <r>
          <rPr>
            <b/>
            <sz val="10"/>
            <color rgb="FF000000"/>
            <rFont val="Tahoma"/>
            <family val="2"/>
          </rPr>
          <t>Enrique Pabon:</t>
        </r>
        <r>
          <rPr>
            <sz val="10"/>
            <color rgb="FF000000"/>
            <rFont val="Tahoma"/>
            <family val="2"/>
          </rPr>
          <t xml:space="preserve">
</t>
        </r>
        <r>
          <rPr>
            <sz val="10"/>
            <color rgb="FF000000"/>
            <rFont val="Tahoma"/>
            <family val="2"/>
          </rPr>
          <t xml:space="preserve">19770
</t>
        </r>
        <r>
          <rPr>
            <sz val="10"/>
            <color rgb="FF000000"/>
            <rFont val="Tahoma"/>
            <family val="2"/>
          </rPr>
          <t xml:space="preserve">+500 MLB
</t>
        </r>
      </text>
    </comment>
    <comment ref="C84" authorId="0" shapeId="0" xr:uid="{27A4909F-9245-C140-8F9A-C77152C4F92B}">
      <text>
        <r>
          <rPr>
            <b/>
            <sz val="10"/>
            <color rgb="FF000000"/>
            <rFont val="Tahoma"/>
            <family val="2"/>
          </rPr>
          <t>Enrique Pabon:</t>
        </r>
        <r>
          <rPr>
            <sz val="10"/>
            <color rgb="FF000000"/>
            <rFont val="Tahoma"/>
            <family val="2"/>
          </rPr>
          <t xml:space="preserve">
</t>
        </r>
        <r>
          <rPr>
            <sz val="10"/>
            <color rgb="FF000000"/>
            <rFont val="Tahoma"/>
            <family val="2"/>
          </rPr>
          <t xml:space="preserve">6560
</t>
        </r>
        <r>
          <rPr>
            <sz val="10"/>
            <color rgb="FF000000"/>
            <rFont val="Tahoma"/>
            <family val="2"/>
          </rPr>
          <t xml:space="preserve">-500 CZZ
</t>
        </r>
        <r>
          <rPr>
            <sz val="10"/>
            <color rgb="FF000000"/>
            <rFont val="Tahoma"/>
            <family val="2"/>
          </rPr>
          <t>-500 SINU</t>
        </r>
      </text>
    </comment>
    <comment ref="C86" authorId="0" shapeId="0" xr:uid="{CA565DB7-5696-4943-AE5A-4AC7F44B1546}">
      <text>
        <r>
          <rPr>
            <b/>
            <sz val="10"/>
            <color rgb="FF000000"/>
            <rFont val="Tahoma"/>
            <family val="2"/>
          </rPr>
          <t>Enrique Pabon:</t>
        </r>
        <r>
          <rPr>
            <sz val="10"/>
            <color rgb="FF000000"/>
            <rFont val="Tahoma"/>
            <family val="2"/>
          </rPr>
          <t xml:space="preserve">
</t>
        </r>
        <r>
          <rPr>
            <sz val="10"/>
            <color rgb="FF000000"/>
            <rFont val="Tahoma"/>
            <family val="2"/>
          </rPr>
          <t xml:space="preserve">6300
</t>
        </r>
        <r>
          <rPr>
            <sz val="10"/>
            <color rgb="FF000000"/>
            <rFont val="Tahoma"/>
            <family val="2"/>
          </rPr>
          <t>500 MLB</t>
        </r>
      </text>
    </comment>
  </commentList>
</comments>
</file>

<file path=xl/sharedStrings.xml><?xml version="1.0" encoding="utf-8"?>
<sst xmlns="http://schemas.openxmlformats.org/spreadsheetml/2006/main" count="981" uniqueCount="221">
  <si>
    <t>ZONA</t>
  </si>
  <si>
    <t>Codazzi Proyección</t>
  </si>
  <si>
    <t>Codazzi Real</t>
  </si>
  <si>
    <t>% Cumplimiento</t>
  </si>
  <si>
    <t>Ext Codazzi Proy</t>
  </si>
  <si>
    <t>Ext Codazzi Real</t>
  </si>
  <si>
    <t>CPO</t>
  </si>
  <si>
    <t>MLB Proyección</t>
  </si>
  <si>
    <t>MLB Real</t>
  </si>
  <si>
    <t>Ext MLB Proy</t>
  </si>
  <si>
    <t>Ext MLB Real</t>
  </si>
  <si>
    <t>Córdoba Proyección</t>
  </si>
  <si>
    <t>Córdoba Real</t>
  </si>
  <si>
    <t>Ext SINÚ Proy</t>
  </si>
  <si>
    <t>Ext SINÚ Real</t>
  </si>
  <si>
    <t>A&amp;G Proyección</t>
  </si>
  <si>
    <t>A&amp;G Real</t>
  </si>
  <si>
    <t>Ext A&amp;GC Proy</t>
  </si>
  <si>
    <t>Ext A&amp;GC Real</t>
  </si>
  <si>
    <t>TOTAL Proyección</t>
  </si>
  <si>
    <t>TOTAL Real</t>
  </si>
  <si>
    <t>Proyección inicio mes Fruta procesada sin Sinú</t>
  </si>
  <si>
    <t>RFF Procesada</t>
  </si>
  <si>
    <t>Cierre Fruta procesada sin Sinú</t>
  </si>
  <si>
    <t>CPO Real</t>
  </si>
  <si>
    <t>Diferencia</t>
  </si>
  <si>
    <t>TEA% 21,5%</t>
  </si>
  <si>
    <t xml:space="preserve">Proyección CPO </t>
  </si>
  <si>
    <t>PLANTA</t>
  </si>
  <si>
    <t>CPO ME</t>
  </si>
  <si>
    <t>CPO REAL</t>
  </si>
  <si>
    <t>% CUMPL</t>
  </si>
  <si>
    <t>DIF TM</t>
  </si>
  <si>
    <t>TEA ME</t>
  </si>
  <si>
    <t>Ext. Codazzi</t>
  </si>
  <si>
    <t>Ext. MLB</t>
  </si>
  <si>
    <t>Ext. A&amp;G</t>
  </si>
  <si>
    <t>Ext. Sinú</t>
  </si>
  <si>
    <t>TOTAL</t>
  </si>
  <si>
    <t>CPO PROD</t>
  </si>
  <si>
    <t>CPO COMPRA SINÚ</t>
  </si>
  <si>
    <t>TOTAL Oleoflores</t>
  </si>
  <si>
    <t>TOTAL Oleofl</t>
  </si>
  <si>
    <t>ALMENDRA</t>
  </si>
  <si>
    <t>KPO</t>
  </si>
  <si>
    <t>EXTRACCIÓN</t>
  </si>
  <si>
    <t>PK Proy</t>
  </si>
  <si>
    <t>PK Real</t>
  </si>
  <si>
    <t>TEA% 41%</t>
  </si>
  <si>
    <t>Refinería 1 ME</t>
  </si>
  <si>
    <t>Refinería 1 Real</t>
  </si>
  <si>
    <t>Rendimiento (94,5%)</t>
  </si>
  <si>
    <t>Acidez Ingreso</t>
  </si>
  <si>
    <t>Rojo Recepción</t>
  </si>
  <si>
    <t>Rojo Saponif</t>
  </si>
  <si>
    <t>Inventario Inicio</t>
  </si>
  <si>
    <t>Refinería 2 ME</t>
  </si>
  <si>
    <t>Refineria 2 Real</t>
  </si>
  <si>
    <t>Rendimiento (93,5%)</t>
  </si>
  <si>
    <t>Fracc 1 ME</t>
  </si>
  <si>
    <t>Fracc 1 Real</t>
  </si>
  <si>
    <t>Rendimiento (75,2%)</t>
  </si>
  <si>
    <t>Fracc 2 ME</t>
  </si>
  <si>
    <t>Fracc 2 Real</t>
  </si>
  <si>
    <t>Rendimiento (77,3%)</t>
  </si>
  <si>
    <t>Cold Test</t>
  </si>
  <si>
    <t>Rojo</t>
  </si>
  <si>
    <t>Margarinas ME</t>
  </si>
  <si>
    <t>Margarinas Real</t>
  </si>
  <si>
    <t>TOTAL PALMA RBD ME</t>
  </si>
  <si>
    <t>TOTAL PALMA RBD Real</t>
  </si>
  <si>
    <t>TOTAL PALMISTE RBD ME</t>
  </si>
  <si>
    <t>TOTAL PALMISTE RBD Real</t>
  </si>
  <si>
    <t>TOTAL OLEINA ME</t>
  </si>
  <si>
    <t>TOTAL OLEINA Real</t>
  </si>
  <si>
    <t>TOTAL MARGARINAS ME</t>
  </si>
  <si>
    <t>TOTAL MARGARINAS Real</t>
  </si>
  <si>
    <t>ME</t>
  </si>
  <si>
    <t>REAL</t>
  </si>
  <si>
    <t>REFINERIA 1</t>
  </si>
  <si>
    <t>REFINERIA 2</t>
  </si>
  <si>
    <t>OLEINA</t>
  </si>
  <si>
    <t>MARGARINAS</t>
  </si>
  <si>
    <t>TM</t>
  </si>
  <si>
    <t>EXT</t>
  </si>
  <si>
    <t>PK</t>
  </si>
  <si>
    <t>Dif</t>
  </si>
  <si>
    <t>CODAZZI</t>
  </si>
  <si>
    <t>MLB</t>
  </si>
  <si>
    <t>CATATUMBO</t>
  </si>
  <si>
    <t>SINÚ</t>
  </si>
  <si>
    <t>Real</t>
  </si>
  <si>
    <t>%</t>
  </si>
  <si>
    <t>RFF Producción sin Sinú</t>
  </si>
  <si>
    <t>CPO PROD sin Sinú</t>
  </si>
  <si>
    <t>ALMENDRA Y KPO</t>
  </si>
  <si>
    <t>TAE%</t>
  </si>
  <si>
    <t>TEA REAL</t>
  </si>
  <si>
    <t>DIF</t>
  </si>
  <si>
    <t>ACUMULADO S1</t>
  </si>
  <si>
    <t>ACUMULADO S2</t>
  </si>
  <si>
    <t>ACUMULADO S3</t>
  </si>
  <si>
    <t>ACUMULADO S4</t>
  </si>
  <si>
    <t>DOWNSTREAM</t>
  </si>
  <si>
    <t>ME PK</t>
  </si>
  <si>
    <t>Real PK</t>
  </si>
  <si>
    <t>Ingreso CPO</t>
  </si>
  <si>
    <t>Despacho CPO</t>
  </si>
  <si>
    <t>Ext. Sinú*</t>
  </si>
  <si>
    <t>INVENTARIO CPO</t>
  </si>
  <si>
    <t>Venta CPO</t>
  </si>
  <si>
    <t>Cliente</t>
  </si>
  <si>
    <t>Objetivo</t>
  </si>
  <si>
    <t>RECUPERACIÓN DE ALMENDRA</t>
  </si>
  <si>
    <t>INVENTARIO ALMENDRA</t>
  </si>
  <si>
    <t>Acumulado FEB 25</t>
  </si>
  <si>
    <t>Inventario</t>
  </si>
  <si>
    <t>RBD Palma</t>
  </si>
  <si>
    <t>Oleina</t>
  </si>
  <si>
    <t>Prestamo Acepalma CPO</t>
  </si>
  <si>
    <t>ME 1</t>
  </si>
  <si>
    <t>ME 2</t>
  </si>
  <si>
    <t xml:space="preserve">  -   </t>
  </si>
  <si>
    <t>Dif 2</t>
  </si>
  <si>
    <t>Dif 1</t>
  </si>
  <si>
    <t>Ext. Codazzi*</t>
  </si>
  <si>
    <t>Ext. MLB*</t>
  </si>
  <si>
    <t>*Nuez</t>
  </si>
  <si>
    <t>Golden Agri 1</t>
  </si>
  <si>
    <t>CPO Alto Estearico</t>
  </si>
  <si>
    <t>RBD Rep</t>
  </si>
  <si>
    <t>Real T</t>
  </si>
  <si>
    <t>PROCESO ABRIL 2025</t>
  </si>
  <si>
    <t>Acumulado ABR 25</t>
  </si>
  <si>
    <t xml:space="preserve">  859,88 </t>
  </si>
  <si>
    <t>18,45%</t>
  </si>
  <si>
    <t xml:space="preserve">  904,26 </t>
  </si>
  <si>
    <t>19,40%</t>
  </si>
  <si>
    <t xml:space="preserve">  823,81 </t>
  </si>
  <si>
    <t>17,67%</t>
  </si>
  <si>
    <t>19,81%</t>
  </si>
  <si>
    <t>Venta Acepalma</t>
  </si>
  <si>
    <t>Costos Abril 07</t>
  </si>
  <si>
    <t>Costos 27 Marzo</t>
  </si>
  <si>
    <t>Costos 31 Marzo</t>
  </si>
  <si>
    <t>EXTRACTORA</t>
  </si>
  <si>
    <t>$</t>
  </si>
  <si>
    <t>VAR</t>
  </si>
  <si>
    <t>ABRIL</t>
  </si>
  <si>
    <t>MAYO</t>
  </si>
  <si>
    <t>JUNIO</t>
  </si>
  <si>
    <t>JULIO</t>
  </si>
  <si>
    <t>AGOSTO</t>
  </si>
  <si>
    <t>SEPTIEMBRE</t>
  </si>
  <si>
    <t>REPELON</t>
  </si>
  <si>
    <t>CENSO ABRIL - JULIO</t>
  </si>
  <si>
    <t>COSTOS</t>
  </si>
  <si>
    <t>RBD Palmiste</t>
  </si>
  <si>
    <t>Costos 7 Abril</t>
  </si>
  <si>
    <t>Costos 17 Abril</t>
  </si>
  <si>
    <t>Promedio díario</t>
  </si>
  <si>
    <t>Costos 24 Abril</t>
  </si>
  <si>
    <t>Efeciencia</t>
  </si>
  <si>
    <t>RBD</t>
  </si>
  <si>
    <t>PROCESO JUNIO 2025</t>
  </si>
  <si>
    <t>Costos 07 Junio</t>
  </si>
  <si>
    <t>Costos 11 Mayo</t>
  </si>
  <si>
    <t>Costos 17 Mayo</t>
  </si>
  <si>
    <t>Costos 22 Mayo</t>
  </si>
  <si>
    <t>Costos 31Mayo</t>
  </si>
  <si>
    <t>Costos JUNIO</t>
  </si>
  <si>
    <t>PROCESO JULIO 2025</t>
  </si>
  <si>
    <t>CENSO</t>
  </si>
  <si>
    <t>Costos 19 Junio</t>
  </si>
  <si>
    <t>Incremento 3%</t>
  </si>
  <si>
    <t>Costos 26 Junio</t>
  </si>
  <si>
    <t>RFF Procesada 2025</t>
  </si>
  <si>
    <t>Producción CPO 2025</t>
  </si>
  <si>
    <t>Extracción 2025</t>
  </si>
  <si>
    <t>A&amp;G</t>
  </si>
  <si>
    <t>Codazzi</t>
  </si>
  <si>
    <t>Sinu</t>
  </si>
  <si>
    <t>Enero</t>
  </si>
  <si>
    <t>Febrero</t>
  </si>
  <si>
    <t>Marzo</t>
  </si>
  <si>
    <t>Abril</t>
  </si>
  <si>
    <t>Mayo</t>
  </si>
  <si>
    <t>Junio</t>
  </si>
  <si>
    <t>Julio</t>
  </si>
  <si>
    <t>Agosto</t>
  </si>
  <si>
    <t>Septiembre</t>
  </si>
  <si>
    <t>Octubre</t>
  </si>
  <si>
    <t>Noviembre</t>
  </si>
  <si>
    <t>Diciembre</t>
  </si>
  <si>
    <t>ACUMULADO 2025</t>
  </si>
  <si>
    <t>Costos 30 Junio</t>
  </si>
  <si>
    <t>Costos 17 Julio</t>
  </si>
  <si>
    <t>Precio</t>
  </si>
  <si>
    <t>Censo</t>
  </si>
  <si>
    <t>Costos 14 Agosto</t>
  </si>
  <si>
    <t>PROCESO SEPTIEMBRE 2025</t>
  </si>
  <si>
    <t>Costos 31 Agosto</t>
  </si>
  <si>
    <t>PROCESO SEPTIEMBRE V2 2025</t>
  </si>
  <si>
    <t>Fruta Inventario</t>
  </si>
  <si>
    <t>PROCESO OCTUBRE V2 2025</t>
  </si>
  <si>
    <t>Margarinas</t>
  </si>
  <si>
    <t>Costos 18 Sept</t>
  </si>
  <si>
    <t>PROCESO OCTUBRE 2025</t>
  </si>
  <si>
    <t>Costos 3 Oct</t>
  </si>
  <si>
    <t>CI CARIBBEAN</t>
  </si>
  <si>
    <t>PROCESO NOVIEMBRE 2025</t>
  </si>
  <si>
    <t>Costos 16 Nov</t>
  </si>
  <si>
    <t>PROCESO DICIEMBRE 2025</t>
  </si>
  <si>
    <t>NOV</t>
  </si>
  <si>
    <t>25 DOMINGO</t>
  </si>
  <si>
    <t>31 DOMINGO</t>
  </si>
  <si>
    <t>SINU</t>
  </si>
  <si>
    <t>17,11%</t>
  </si>
  <si>
    <t>19,00%</t>
  </si>
  <si>
    <t>20,41%</t>
  </si>
  <si>
    <t>ACUMULADO DIC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</si>
</sst>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240A]ddd\,\ dd&quot;    &quot;"/>
    <numFmt numFmtId="166" formatCode="0.0%"/>
    <numFmt numFmtId="167" formatCode="0.0"/>
    <numFmt numFmtId="168" formatCode="#,##0.0"/>
    <numFmt numFmtId="169" formatCode="_(* #,##0_);_(* \(#,##0\);_(* &quot;-&quot;??_);_(@_)"/>
    <numFmt numFmtId="170" formatCode="0.000"/>
    <numFmt numFmtId="171" formatCode="_(* #,##0.0000_);_(* \(#,##0.0000\);_(* &quot;-&quot;??_);_(@_)"/>
  </numFmts>
  <fonts count="45" x14ac:knownFonts="1">
    <font>
      <sz val="11"/>
      <color theme="1"/>
      <name val="Calibri"/>
      <scheme val="minor"/>
    </font>
    <font>
      <b/>
      <sz val="8"/>
      <color theme="1"/>
      <name val="Calibri"/>
      <family val="2"/>
    </font>
    <font>
      <b/>
      <sz val="9"/>
      <color theme="1"/>
      <name val="Calibri"/>
      <family val="2"/>
    </font>
    <font>
      <sz val="9"/>
      <color theme="1"/>
      <name val="Calibri"/>
      <family val="2"/>
    </font>
    <font>
      <sz val="8"/>
      <color theme="1"/>
      <name val="Calibri"/>
      <family val="2"/>
    </font>
    <font>
      <b/>
      <sz val="9"/>
      <color rgb="FFFF0000"/>
      <name val="Calibri"/>
      <family val="2"/>
    </font>
    <font>
      <b/>
      <sz val="9"/>
      <color rgb="FF00B050"/>
      <name val="Calibri"/>
      <family val="2"/>
    </font>
    <font>
      <sz val="11"/>
      <color theme="1"/>
      <name val="Calibri"/>
      <family val="2"/>
    </font>
    <font>
      <sz val="9"/>
      <color theme="0"/>
      <name val="Calibri"/>
      <family val="2"/>
    </font>
    <font>
      <sz val="6"/>
      <color theme="1"/>
      <name val="Calibri"/>
      <family val="2"/>
    </font>
    <font>
      <b/>
      <sz val="6"/>
      <color theme="1"/>
      <name val="Calibri"/>
      <family val="2"/>
    </font>
    <font>
      <b/>
      <sz val="11"/>
      <color theme="1"/>
      <name val="Calibri"/>
      <family val="2"/>
    </font>
    <font>
      <b/>
      <sz val="12"/>
      <color theme="1"/>
      <name val="Calibri"/>
      <family val="2"/>
    </font>
    <font>
      <sz val="11"/>
      <color theme="1"/>
      <name val="Calibri"/>
      <family val="2"/>
      <scheme val="minor"/>
    </font>
    <font>
      <b/>
      <sz val="18"/>
      <color theme="1"/>
      <name val="Calibri"/>
      <family val="2"/>
      <scheme val="minor"/>
    </font>
    <font>
      <sz val="18"/>
      <color theme="1"/>
      <name val="Calibri"/>
      <family val="2"/>
      <scheme val="minor"/>
    </font>
    <font>
      <b/>
      <sz val="24"/>
      <color theme="1"/>
      <name val="Calibri"/>
      <family val="2"/>
      <scheme val="minor"/>
    </font>
    <font>
      <sz val="18"/>
      <color rgb="FF000000"/>
      <name val="Calibri"/>
      <family val="2"/>
      <scheme val="minor"/>
    </font>
    <font>
      <b/>
      <sz val="14"/>
      <color theme="1"/>
      <name val="Calibri"/>
      <family val="2"/>
      <scheme val="minor"/>
    </font>
    <font>
      <b/>
      <sz val="16"/>
      <color theme="1"/>
      <name val="Calibri"/>
      <family val="2"/>
      <scheme val="minor"/>
    </font>
    <font>
      <sz val="21"/>
      <color rgb="FF000000"/>
      <name val="Arial"/>
      <family val="2"/>
    </font>
    <font>
      <sz val="8"/>
      <color theme="1"/>
      <name val="Calibri"/>
      <family val="2"/>
      <scheme val="minor"/>
    </font>
    <font>
      <sz val="11"/>
      <color theme="1"/>
      <name val="Calibri (Body)"/>
    </font>
    <font>
      <b/>
      <sz val="9"/>
      <color theme="1"/>
      <name val="Calibri (Body)"/>
    </font>
    <font>
      <b/>
      <sz val="11"/>
      <color theme="1"/>
      <name val="Calibri"/>
      <family val="2"/>
      <scheme val="minor"/>
    </font>
    <font>
      <b/>
      <sz val="20"/>
      <color theme="1"/>
      <name val="Calibri"/>
      <family val="2"/>
      <scheme val="minor"/>
    </font>
    <font>
      <sz val="9"/>
      <color rgb="FFFF0000"/>
      <name val="Calibri"/>
      <family val="2"/>
    </font>
    <font>
      <sz val="9"/>
      <color theme="4"/>
      <name val="Calibri"/>
      <family val="2"/>
    </font>
    <font>
      <sz val="8"/>
      <name val="Calibri"/>
      <family val="2"/>
      <scheme val="minor"/>
    </font>
    <font>
      <sz val="18"/>
      <color rgb="FFFF0000"/>
      <name val="Calibri"/>
      <family val="2"/>
      <scheme val="minor"/>
    </font>
    <font>
      <sz val="11"/>
      <color theme="1"/>
      <name val="Calibri"/>
      <family val="2"/>
      <scheme val="minor"/>
    </font>
    <font>
      <u/>
      <sz val="11"/>
      <color theme="10"/>
      <name val="Calibri"/>
      <family val="2"/>
      <scheme val="minor"/>
    </font>
    <font>
      <b/>
      <sz val="12"/>
      <color rgb="FF000000"/>
      <name val="Calibri"/>
      <family val="2"/>
      <scheme val="minor"/>
    </font>
    <font>
      <sz val="11"/>
      <color rgb="FF000000"/>
      <name val="Calibri"/>
      <family val="2"/>
      <scheme val="minor"/>
    </font>
    <font>
      <sz val="10"/>
      <color rgb="FF000000"/>
      <name val="Arial"/>
      <family val="2"/>
    </font>
    <font>
      <b/>
      <sz val="11"/>
      <color rgb="FF000000"/>
      <name val="Calibri"/>
      <family val="2"/>
      <scheme val="minor"/>
    </font>
    <font>
      <b/>
      <sz val="9"/>
      <name val="Calibri"/>
      <family val="2"/>
    </font>
    <font>
      <sz val="10"/>
      <name val="Calibri"/>
      <family val="2"/>
    </font>
    <font>
      <b/>
      <sz val="10"/>
      <name val="Calibri"/>
      <family val="2"/>
    </font>
    <font>
      <b/>
      <sz val="10"/>
      <color rgb="FF000000"/>
      <name val="Calibri"/>
      <family val="2"/>
      <scheme val="minor"/>
    </font>
    <font>
      <sz val="10"/>
      <color rgb="FF000000"/>
      <name val="Calibri"/>
      <family val="2"/>
      <scheme val="minor"/>
    </font>
    <font>
      <sz val="11"/>
      <color theme="0"/>
      <name val="Calibri"/>
      <family val="2"/>
      <scheme val="minor"/>
    </font>
    <font>
      <sz val="10"/>
      <color rgb="FF000000"/>
      <name val="Tahoma"/>
      <family val="2"/>
    </font>
    <font>
      <b/>
      <sz val="10"/>
      <color rgb="FF000000"/>
      <name val="Tahoma"/>
      <family val="2"/>
    </font>
    <font>
      <sz val="18"/>
      <color theme="0"/>
      <name val="Calibri"/>
      <family val="2"/>
      <scheme val="minor"/>
    </font>
  </fonts>
  <fills count="16">
    <fill>
      <patternFill patternType="none"/>
    </fill>
    <fill>
      <patternFill patternType="gray125"/>
    </fill>
    <fill>
      <patternFill patternType="solid">
        <fgColor rgb="FFCCFF99"/>
        <bgColor rgb="FFCCFF99"/>
      </patternFill>
    </fill>
    <fill>
      <patternFill patternType="solid">
        <fgColor theme="0"/>
        <bgColor theme="0"/>
      </patternFill>
    </fill>
    <fill>
      <patternFill patternType="solid">
        <fgColor rgb="FFD8D8D8"/>
        <bgColor rgb="FFD8D8D8"/>
      </patternFill>
    </fill>
    <fill>
      <patternFill patternType="solid">
        <fgColor rgb="FFFEF2CB"/>
        <bgColor rgb="FFFEF2CB"/>
      </patternFill>
    </fill>
    <fill>
      <patternFill patternType="solid">
        <fgColor rgb="FFF2F2F2"/>
        <bgColor rgb="FFF2F2F2"/>
      </patternFill>
    </fill>
    <fill>
      <patternFill patternType="solid">
        <fgColor rgb="FFE7E6E6"/>
        <bgColor rgb="FFE7E6E6"/>
      </patternFill>
    </fill>
    <fill>
      <patternFill patternType="solid">
        <fgColor rgb="FFC5E0B3"/>
        <bgColor rgb="FFC5E0B3"/>
      </patternFill>
    </fill>
    <fill>
      <patternFill patternType="solid">
        <fgColor rgb="FFB4C6E7"/>
        <bgColor rgb="FFB4C6E7"/>
      </patternFill>
    </fill>
    <fill>
      <patternFill patternType="solid">
        <fgColor rgb="FFFBE4D5"/>
        <bgColor rgb="FFFBE4D5"/>
      </patternFill>
    </fill>
    <fill>
      <patternFill patternType="solid">
        <fgColor rgb="FFFFE598"/>
        <bgColor rgb="FFFFE598"/>
      </patternFill>
    </fill>
    <fill>
      <patternFill patternType="solid">
        <fgColor rgb="FFFFFFFF"/>
        <bgColor rgb="FFFFFFFF"/>
      </patternFill>
    </fill>
    <fill>
      <patternFill patternType="solid">
        <fgColor theme="2" tint="-0.14999847407452621"/>
        <bgColor indexed="64"/>
      </patternFill>
    </fill>
    <fill>
      <patternFill patternType="solid">
        <fgColor theme="0"/>
        <bgColor indexed="64"/>
      </patternFill>
    </fill>
    <fill>
      <patternFill patternType="solid">
        <fgColor theme="0" tint="-0.14999847407452621"/>
        <bgColor indexed="64"/>
      </patternFill>
    </fill>
  </fills>
  <borders count="64">
    <border>
      <left/>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style="thin">
        <color rgb="FF000000"/>
      </top>
      <bottom/>
      <diagonal/>
    </border>
    <border>
      <left/>
      <right/>
      <top style="medium">
        <color rgb="FF000000"/>
      </top>
      <bottom/>
      <diagonal/>
    </border>
    <border>
      <left/>
      <right/>
      <top/>
      <bottom style="medium">
        <color rgb="FF000000"/>
      </bottom>
      <diagonal/>
    </border>
    <border>
      <left style="medium">
        <color indexed="64"/>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rgb="FF000000"/>
      </right>
      <top style="medium">
        <color indexed="64"/>
      </top>
      <bottom/>
      <diagonal/>
    </border>
    <border>
      <left/>
      <right style="medium">
        <color rgb="FF000000"/>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rgb="FF000000"/>
      </left>
      <right style="medium">
        <color indexed="64"/>
      </right>
      <top/>
      <bottom/>
      <diagonal/>
    </border>
    <border>
      <left style="medium">
        <color indexed="64"/>
      </left>
      <right/>
      <top style="medium">
        <color indexed="64"/>
      </top>
      <bottom style="medium">
        <color rgb="FF000000"/>
      </bottom>
      <diagonal/>
    </border>
    <border>
      <left style="medium">
        <color rgb="FF000000"/>
      </left>
      <right style="thin">
        <color rgb="FF000000"/>
      </right>
      <top style="medium">
        <color indexed="64"/>
      </top>
      <bottom style="medium">
        <color rgb="FF000000"/>
      </bottom>
      <diagonal/>
    </border>
    <border>
      <left style="medium">
        <color rgb="FF000000"/>
      </left>
      <right style="thin">
        <color rgb="FF000000"/>
      </right>
      <top style="medium">
        <color indexed="64"/>
      </top>
      <bottom/>
      <diagonal/>
    </border>
    <border>
      <left style="medium">
        <color rgb="FF000000"/>
      </left>
      <right style="medium">
        <color indexed="64"/>
      </right>
      <top style="medium">
        <color indexed="64"/>
      </top>
      <bottom style="medium">
        <color rgb="FF000000"/>
      </bottom>
      <diagonal/>
    </border>
    <border>
      <left style="medium">
        <color indexed="64"/>
      </left>
      <right style="medium">
        <color rgb="FF000000"/>
      </right>
      <top style="medium">
        <color rgb="FF000000"/>
      </top>
      <bottom/>
      <diagonal/>
    </border>
    <border>
      <left style="medium">
        <color indexed="64"/>
      </left>
      <right style="medium">
        <color rgb="FF000000"/>
      </right>
      <top/>
      <bottom/>
      <diagonal/>
    </border>
    <border>
      <left style="medium">
        <color indexed="64"/>
      </left>
      <right style="medium">
        <color rgb="FF000000"/>
      </right>
      <top/>
      <bottom style="medium">
        <color rgb="FF000000"/>
      </bottom>
      <diagonal/>
    </border>
    <border>
      <left style="medium">
        <color rgb="FF000000"/>
      </left>
      <right style="medium">
        <color indexed="64"/>
      </right>
      <top/>
      <bottom style="medium">
        <color rgb="FF000000"/>
      </bottom>
      <diagonal/>
    </border>
    <border>
      <left style="medium">
        <color indexed="64"/>
      </left>
      <right/>
      <top style="medium">
        <color rgb="FF000000"/>
      </top>
      <bottom/>
      <diagonal/>
    </border>
    <border>
      <left style="medium">
        <color rgb="FF000000"/>
      </left>
      <right style="medium">
        <color indexed="64"/>
      </right>
      <top style="medium">
        <color rgb="FF000000"/>
      </top>
      <bottom/>
      <diagonal/>
    </border>
    <border>
      <left style="medium">
        <color indexed="64"/>
      </left>
      <right/>
      <top/>
      <bottom style="medium">
        <color rgb="FF000000"/>
      </bottom>
      <diagonal/>
    </border>
    <border>
      <left style="medium">
        <color rgb="FF000000"/>
      </left>
      <right style="medium">
        <color rgb="FF000000"/>
      </right>
      <top/>
      <bottom style="medium">
        <color indexed="64"/>
      </bottom>
      <diagonal/>
    </border>
    <border>
      <left style="medium">
        <color rgb="FF000000"/>
      </left>
      <right style="medium">
        <color indexed="64"/>
      </right>
      <top/>
      <bottom style="medium">
        <color indexed="64"/>
      </bottom>
      <diagonal/>
    </border>
  </borders>
  <cellStyleXfs count="7">
    <xf numFmtId="0" fontId="0" fillId="0" borderId="0"/>
    <xf numFmtId="9" fontId="13" fillId="0" borderId="0" applyFont="0" applyFill="0" applyBorder="0" applyAlignment="0" applyProtection="0"/>
    <xf numFmtId="0" fontId="13" fillId="0" borderId="4"/>
    <xf numFmtId="9" fontId="13" fillId="0" borderId="4" applyFont="0" applyFill="0" applyBorder="0" applyAlignment="0" applyProtection="0"/>
    <xf numFmtId="164" fontId="13" fillId="0" borderId="4" applyFont="0" applyFill="0" applyBorder="0" applyAlignment="0" applyProtection="0"/>
    <xf numFmtId="164" fontId="30" fillId="0" borderId="0" applyFont="0" applyFill="0" applyBorder="0" applyAlignment="0" applyProtection="0"/>
    <xf numFmtId="0" fontId="31" fillId="0" borderId="0" applyNumberFormat="0" applyFill="0" applyBorder="0" applyAlignment="0" applyProtection="0"/>
  </cellStyleXfs>
  <cellXfs count="505">
    <xf numFmtId="0" fontId="0" fillId="0" borderId="0" xfId="0"/>
    <xf numFmtId="0" fontId="1" fillId="2" borderId="1" xfId="0" applyFont="1" applyFill="1" applyBorder="1" applyAlignment="1">
      <alignment horizontal="center" vertical="center"/>
    </xf>
    <xf numFmtId="165" fontId="2" fillId="3" borderId="2" xfId="0" applyNumberFormat="1" applyFont="1" applyFill="1" applyBorder="1" applyAlignment="1">
      <alignment horizontal="center" vertical="center"/>
    </xf>
    <xf numFmtId="165" fontId="2" fillId="3" borderId="3" xfId="0" applyNumberFormat="1" applyFont="1" applyFill="1" applyBorder="1" applyAlignment="1">
      <alignment horizontal="center" vertical="center"/>
    </xf>
    <xf numFmtId="0" fontId="3" fillId="3" borderId="4" xfId="0" applyFont="1" applyFill="1" applyBorder="1" applyAlignment="1">
      <alignment horizontal="center" vertical="center"/>
    </xf>
    <xf numFmtId="0" fontId="4" fillId="2" borderId="5" xfId="0" applyFont="1" applyFill="1" applyBorder="1" applyAlignment="1">
      <alignment horizontal="center" vertical="center" wrapText="1"/>
    </xf>
    <xf numFmtId="3" fontId="3" fillId="3" borderId="4" xfId="0" applyNumberFormat="1" applyFont="1" applyFill="1" applyBorder="1" applyAlignment="1">
      <alignment horizontal="center" vertical="center" wrapText="1"/>
    </xf>
    <xf numFmtId="3" fontId="2" fillId="3" borderId="6" xfId="0" applyNumberFormat="1" applyFont="1" applyFill="1" applyBorder="1" applyAlignment="1">
      <alignment horizontal="center" vertical="center" wrapText="1"/>
    </xf>
    <xf numFmtId="0" fontId="3" fillId="3" borderId="4" xfId="0" applyFont="1" applyFill="1" applyBorder="1" applyAlignment="1">
      <alignment horizontal="center" vertical="center" wrapText="1"/>
    </xf>
    <xf numFmtId="0" fontId="1" fillId="2" borderId="6" xfId="0" applyFont="1" applyFill="1" applyBorder="1" applyAlignment="1">
      <alignment horizontal="center" vertical="center" wrapText="1"/>
    </xf>
    <xf numFmtId="3" fontId="5" fillId="3" borderId="4"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9" fontId="6" fillId="4" borderId="4" xfId="0" applyNumberFormat="1" applyFont="1" applyFill="1" applyBorder="1" applyAlignment="1">
      <alignment horizontal="center" vertical="center" wrapText="1"/>
    </xf>
    <xf numFmtId="9" fontId="6" fillId="4" borderId="6" xfId="0" applyNumberFormat="1" applyFont="1" applyFill="1" applyBorder="1" applyAlignment="1">
      <alignment horizontal="center" vertical="center" wrapText="1"/>
    </xf>
    <xf numFmtId="10" fontId="6" fillId="4" borderId="4" xfId="0" applyNumberFormat="1" applyFont="1" applyFill="1" applyBorder="1" applyAlignment="1">
      <alignment horizontal="center" vertical="center" wrapText="1"/>
    </xf>
    <xf numFmtId="10" fontId="6" fillId="4" borderId="6" xfId="0" applyNumberFormat="1" applyFont="1" applyFill="1" applyBorder="1" applyAlignment="1">
      <alignment horizontal="center" vertical="center" wrapText="1"/>
    </xf>
    <xf numFmtId="0" fontId="4" fillId="2" borderId="6" xfId="0" applyFont="1" applyFill="1" applyBorder="1" applyAlignment="1">
      <alignment horizontal="center" vertical="center" wrapText="1"/>
    </xf>
    <xf numFmtId="10" fontId="6" fillId="4" borderId="7" xfId="0" applyNumberFormat="1" applyFont="1" applyFill="1" applyBorder="1" applyAlignment="1">
      <alignment horizontal="center" vertical="center" wrapText="1"/>
    </xf>
    <xf numFmtId="10" fontId="6" fillId="4" borderId="8" xfId="0" applyNumberFormat="1" applyFont="1" applyFill="1" applyBorder="1" applyAlignment="1">
      <alignment horizontal="center" vertical="center" wrapText="1"/>
    </xf>
    <xf numFmtId="0" fontId="4" fillId="2" borderId="9" xfId="0" applyFont="1" applyFill="1" applyBorder="1" applyAlignment="1">
      <alignment horizontal="center" vertical="center" wrapText="1"/>
    </xf>
    <xf numFmtId="3" fontId="2" fillId="3" borderId="10" xfId="0" applyNumberFormat="1" applyFont="1" applyFill="1" applyBorder="1" applyAlignment="1">
      <alignment horizontal="center" vertical="center" wrapText="1"/>
    </xf>
    <xf numFmtId="3" fontId="2" fillId="3" borderId="4" xfId="0" applyNumberFormat="1"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3" fillId="3" borderId="4" xfId="0" applyFont="1" applyFill="1" applyBorder="1" applyAlignment="1">
      <alignment horizontal="left" vertical="center" wrapText="1"/>
    </xf>
    <xf numFmtId="0" fontId="1" fillId="5" borderId="1" xfId="0" applyFont="1" applyFill="1" applyBorder="1" applyAlignment="1">
      <alignment horizontal="center" vertical="center" wrapText="1"/>
    </xf>
    <xf numFmtId="3" fontId="5" fillId="5" borderId="1" xfId="0" applyNumberFormat="1" applyFont="1" applyFill="1" applyBorder="1" applyAlignment="1">
      <alignment horizontal="center" vertical="center" wrapText="1"/>
    </xf>
    <xf numFmtId="3" fontId="5" fillId="5" borderId="12" xfId="0" applyNumberFormat="1" applyFont="1" applyFill="1" applyBorder="1" applyAlignment="1">
      <alignment horizontal="center" vertical="center" wrapText="1"/>
    </xf>
    <xf numFmtId="3" fontId="5" fillId="5" borderId="13" xfId="0" applyNumberFormat="1"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14" xfId="0" applyFont="1" applyFill="1" applyBorder="1" applyAlignment="1">
      <alignment vertical="center" wrapText="1"/>
    </xf>
    <xf numFmtId="0" fontId="2" fillId="3" borderId="1"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14" xfId="0" applyFont="1" applyFill="1" applyBorder="1" applyAlignment="1">
      <alignment horizontal="center" vertical="center" wrapText="1"/>
    </xf>
    <xf numFmtId="9" fontId="3" fillId="3" borderId="4" xfId="0" applyNumberFormat="1" applyFont="1" applyFill="1" applyBorder="1" applyAlignment="1">
      <alignment horizontal="center" vertical="center" wrapText="1"/>
    </xf>
    <xf numFmtId="0" fontId="2" fillId="3" borderId="5" xfId="0" applyFont="1" applyFill="1" applyBorder="1" applyAlignment="1">
      <alignment vertical="center" wrapText="1"/>
    </xf>
    <xf numFmtId="3" fontId="3" fillId="3" borderId="9" xfId="0" applyNumberFormat="1" applyFont="1" applyFill="1" applyBorder="1" applyAlignment="1">
      <alignment horizontal="center" vertical="center" wrapText="1"/>
    </xf>
    <xf numFmtId="3" fontId="3" fillId="3" borderId="15" xfId="0" applyNumberFormat="1" applyFont="1" applyFill="1" applyBorder="1" applyAlignment="1">
      <alignment horizontal="center" vertical="center" wrapText="1"/>
    </xf>
    <xf numFmtId="0" fontId="2" fillId="3" borderId="6" xfId="0" applyFont="1" applyFill="1" applyBorder="1" applyAlignment="1">
      <alignment vertical="center" wrapText="1"/>
    </xf>
    <xf numFmtId="3" fontId="3" fillId="3" borderId="11" xfId="0" applyNumberFormat="1" applyFont="1" applyFill="1" applyBorder="1" applyAlignment="1">
      <alignment horizontal="center" vertical="center" wrapText="1"/>
    </xf>
    <xf numFmtId="3" fontId="3" fillId="3" borderId="16" xfId="0" applyNumberFormat="1" applyFont="1" applyFill="1" applyBorder="1" applyAlignment="1">
      <alignment horizontal="center" vertical="center" wrapText="1"/>
    </xf>
    <xf numFmtId="0" fontId="2" fillId="3" borderId="17" xfId="0" applyFont="1" applyFill="1" applyBorder="1" applyAlignment="1">
      <alignment vertical="center" wrapText="1"/>
    </xf>
    <xf numFmtId="3" fontId="3" fillId="3" borderId="17" xfId="0" applyNumberFormat="1" applyFont="1" applyFill="1" applyBorder="1" applyAlignment="1">
      <alignment horizontal="center" vertical="center" wrapText="1"/>
    </xf>
    <xf numFmtId="3" fontId="3" fillId="3" borderId="14" xfId="0" applyNumberFormat="1" applyFont="1" applyFill="1" applyBorder="1" applyAlignment="1">
      <alignment horizontal="center" vertical="center" wrapText="1"/>
    </xf>
    <xf numFmtId="0" fontId="2" fillId="6" borderId="3" xfId="0" applyFont="1" applyFill="1" applyBorder="1" applyAlignment="1">
      <alignment vertical="center" wrapText="1"/>
    </xf>
    <xf numFmtId="3" fontId="2" fillId="6" borderId="1" xfId="0" applyNumberFormat="1" applyFont="1" applyFill="1" applyBorder="1" applyAlignment="1">
      <alignment horizontal="center" vertical="center" wrapText="1"/>
    </xf>
    <xf numFmtId="3" fontId="2" fillId="6" borderId="3" xfId="0" applyNumberFormat="1" applyFont="1" applyFill="1" applyBorder="1" applyAlignment="1">
      <alignment horizontal="center" vertical="center" wrapText="1"/>
    </xf>
    <xf numFmtId="9" fontId="2" fillId="6" borderId="4" xfId="0" applyNumberFormat="1" applyFont="1" applyFill="1" applyBorder="1" applyAlignment="1">
      <alignment horizontal="center" vertical="center" wrapText="1"/>
    </xf>
    <xf numFmtId="3" fontId="2" fillId="6" borderId="4" xfId="0" applyNumberFormat="1" applyFont="1" applyFill="1" applyBorder="1" applyAlignment="1">
      <alignment horizontal="center" vertical="center" wrapText="1"/>
    </xf>
    <xf numFmtId="0" fontId="4"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3" fontId="3" fillId="3" borderId="10" xfId="0" applyNumberFormat="1" applyFont="1" applyFill="1" applyBorder="1" applyAlignment="1">
      <alignment horizontal="center" vertical="center" wrapText="1"/>
    </xf>
    <xf numFmtId="0" fontId="1" fillId="3" borderId="7" xfId="0" applyFont="1" applyFill="1" applyBorder="1" applyAlignment="1">
      <alignment horizontal="center" vertical="center" wrapText="1"/>
    </xf>
    <xf numFmtId="0" fontId="3" fillId="3" borderId="14" xfId="0" applyFont="1" applyFill="1" applyBorder="1" applyAlignment="1">
      <alignment horizontal="center" vertical="center" wrapText="1"/>
    </xf>
    <xf numFmtId="3" fontId="3" fillId="3" borderId="8" xfId="0" applyNumberFormat="1" applyFont="1" applyFill="1" applyBorder="1" applyAlignment="1">
      <alignment horizontal="center" vertical="center" wrapText="1"/>
    </xf>
    <xf numFmtId="1" fontId="3" fillId="3" borderId="14" xfId="0" applyNumberFormat="1" applyFont="1" applyFill="1" applyBorder="1" applyAlignment="1">
      <alignment horizontal="center" vertical="center" wrapText="1"/>
    </xf>
    <xf numFmtId="0" fontId="2" fillId="3" borderId="5" xfId="0" applyFont="1" applyFill="1" applyBorder="1" applyAlignment="1">
      <alignment horizontal="center" vertical="center" wrapText="1"/>
    </xf>
    <xf numFmtId="1" fontId="3" fillId="3" borderId="15" xfId="0" applyNumberFormat="1" applyFont="1" applyFill="1" applyBorder="1" applyAlignment="1">
      <alignment horizontal="center" vertical="center" wrapText="1"/>
    </xf>
    <xf numFmtId="0" fontId="2" fillId="3" borderId="3" xfId="0" applyFont="1" applyFill="1" applyBorder="1" applyAlignment="1">
      <alignment horizontal="center" vertical="center" wrapText="1"/>
    </xf>
    <xf numFmtId="3" fontId="7" fillId="3" borderId="4" xfId="0" applyNumberFormat="1" applyFont="1" applyFill="1" applyBorder="1" applyAlignment="1">
      <alignment horizontal="center" vertical="center"/>
    </xf>
    <xf numFmtId="0" fontId="2" fillId="3" borderId="7" xfId="0" applyFont="1" applyFill="1" applyBorder="1" applyAlignment="1">
      <alignment horizontal="center" vertical="center" wrapText="1"/>
    </xf>
    <xf numFmtId="1" fontId="3" fillId="3" borderId="17" xfId="0" applyNumberFormat="1" applyFont="1" applyFill="1" applyBorder="1" applyAlignment="1">
      <alignment horizontal="center" vertical="center" wrapText="1"/>
    </xf>
    <xf numFmtId="166" fontId="3" fillId="3" borderId="4" xfId="0" applyNumberFormat="1"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166" fontId="3" fillId="3" borderId="13" xfId="0" applyNumberFormat="1" applyFont="1" applyFill="1" applyBorder="1" applyAlignment="1">
      <alignment horizontal="center" vertical="center" wrapText="1"/>
    </xf>
    <xf numFmtId="3" fontId="8" fillId="3" borderId="4" xfId="0" applyNumberFormat="1" applyFont="1" applyFill="1" applyBorder="1" applyAlignment="1">
      <alignment horizontal="center" vertical="center" wrapText="1"/>
    </xf>
    <xf numFmtId="0" fontId="8" fillId="3" borderId="4" xfId="0" applyFont="1" applyFill="1" applyBorder="1" applyAlignment="1">
      <alignment horizontal="center" vertical="center" wrapText="1"/>
    </xf>
    <xf numFmtId="0" fontId="11" fillId="0" borderId="0" xfId="0" applyFont="1"/>
    <xf numFmtId="0" fontId="12" fillId="7" borderId="4" xfId="0" applyFont="1" applyFill="1" applyBorder="1"/>
    <xf numFmtId="0" fontId="7" fillId="7" borderId="4" xfId="0" applyFont="1" applyFill="1" applyBorder="1"/>
    <xf numFmtId="0" fontId="11" fillId="0" borderId="0" xfId="0" applyFont="1" applyAlignment="1">
      <alignment horizontal="center"/>
    </xf>
    <xf numFmtId="3" fontId="7" fillId="0" borderId="0" xfId="0" applyNumberFormat="1" applyFont="1"/>
    <xf numFmtId="166" fontId="7" fillId="0" borderId="0" xfId="0" applyNumberFormat="1" applyFont="1" applyAlignment="1">
      <alignment horizontal="center"/>
    </xf>
    <xf numFmtId="3" fontId="11" fillId="7" borderId="4" xfId="0" applyNumberFormat="1" applyFont="1" applyFill="1" applyBorder="1"/>
    <xf numFmtId="166" fontId="11" fillId="7" borderId="4" xfId="0" applyNumberFormat="1" applyFont="1" applyFill="1" applyBorder="1" applyAlignment="1">
      <alignment horizontal="center"/>
    </xf>
    <xf numFmtId="3" fontId="0" fillId="0" borderId="0" xfId="0" applyNumberFormat="1"/>
    <xf numFmtId="0" fontId="14" fillId="0" borderId="0" xfId="0" applyFont="1" applyAlignment="1">
      <alignment horizontal="center" vertical="center"/>
    </xf>
    <xf numFmtId="0" fontId="15" fillId="0" borderId="0" xfId="0" applyFont="1"/>
    <xf numFmtId="9" fontId="15" fillId="0" borderId="4" xfId="1" applyFont="1" applyBorder="1" applyAlignment="1">
      <alignment horizontal="center" vertical="center"/>
    </xf>
    <xf numFmtId="3" fontId="15" fillId="0" borderId="4" xfId="0" applyNumberFormat="1" applyFont="1" applyBorder="1" applyAlignment="1">
      <alignment horizontal="center" vertical="center"/>
    </xf>
    <xf numFmtId="3" fontId="15" fillId="0" borderId="26" xfId="0" applyNumberFormat="1" applyFont="1" applyBorder="1" applyAlignment="1">
      <alignment horizontal="center" vertical="center"/>
    </xf>
    <xf numFmtId="3" fontId="15" fillId="0" borderId="31" xfId="0" applyNumberFormat="1" applyFont="1" applyBorder="1" applyAlignment="1">
      <alignment horizontal="center" vertical="center"/>
    </xf>
    <xf numFmtId="0" fontId="16" fillId="0" borderId="0" xfId="0" applyFont="1"/>
    <xf numFmtId="166" fontId="15" fillId="0" borderId="4" xfId="1" applyNumberFormat="1" applyFont="1" applyBorder="1" applyAlignment="1">
      <alignment horizontal="center" vertical="center"/>
    </xf>
    <xf numFmtId="166" fontId="15" fillId="0" borderId="26" xfId="1" applyNumberFormat="1" applyFont="1" applyBorder="1" applyAlignment="1">
      <alignment horizontal="center" vertical="center"/>
    </xf>
    <xf numFmtId="166" fontId="15" fillId="0" borderId="31" xfId="1" applyNumberFormat="1" applyFont="1" applyBorder="1" applyAlignment="1">
      <alignment horizontal="center" vertical="center"/>
    </xf>
    <xf numFmtId="0" fontId="14" fillId="3" borderId="4" xfId="0" applyFont="1" applyFill="1" applyBorder="1" applyAlignment="1">
      <alignment vertical="center" wrapText="1"/>
    </xf>
    <xf numFmtId="166" fontId="15" fillId="0" borderId="31" xfId="0" applyNumberFormat="1" applyFont="1" applyBorder="1" applyAlignment="1">
      <alignment horizontal="center" vertical="center"/>
    </xf>
    <xf numFmtId="0" fontId="14" fillId="13" borderId="4" xfId="0" applyFont="1" applyFill="1" applyBorder="1"/>
    <xf numFmtId="3" fontId="14" fillId="13" borderId="4" xfId="0" applyNumberFormat="1" applyFont="1" applyFill="1" applyBorder="1" applyAlignment="1">
      <alignment horizontal="center" vertical="center"/>
    </xf>
    <xf numFmtId="0" fontId="14" fillId="3" borderId="25" xfId="0" applyFont="1" applyFill="1" applyBorder="1" applyAlignment="1">
      <alignment horizontal="left" vertical="center" wrapText="1"/>
    </xf>
    <xf numFmtId="0" fontId="14" fillId="3" borderId="28" xfId="0" applyFont="1" applyFill="1" applyBorder="1" applyAlignment="1">
      <alignment horizontal="left" vertical="center" wrapText="1"/>
    </xf>
    <xf numFmtId="0" fontId="14" fillId="3" borderId="30" xfId="0" applyFont="1" applyFill="1" applyBorder="1" applyAlignment="1">
      <alignment horizontal="left" vertical="center" wrapText="1"/>
    </xf>
    <xf numFmtId="166" fontId="17" fillId="12" borderId="26" xfId="0" applyNumberFormat="1" applyFont="1" applyFill="1" applyBorder="1" applyAlignment="1">
      <alignment horizontal="center" vertical="center" wrapText="1"/>
    </xf>
    <xf numFmtId="166" fontId="17" fillId="12" borderId="4" xfId="0" applyNumberFormat="1" applyFont="1" applyFill="1" applyBorder="1" applyAlignment="1">
      <alignment horizontal="center" vertical="center" wrapText="1"/>
    </xf>
    <xf numFmtId="166" fontId="17" fillId="12" borderId="31" xfId="0" applyNumberFormat="1" applyFont="1" applyFill="1" applyBorder="1" applyAlignment="1">
      <alignment horizontal="center" vertical="center" wrapText="1"/>
    </xf>
    <xf numFmtId="0" fontId="1" fillId="7" borderId="1" xfId="2" applyFont="1" applyFill="1" applyBorder="1" applyAlignment="1">
      <alignment horizontal="center" vertical="center"/>
    </xf>
    <xf numFmtId="165" fontId="2" fillId="7" borderId="2" xfId="2" applyNumberFormat="1" applyFont="1" applyFill="1" applyBorder="1" applyAlignment="1">
      <alignment horizontal="center" vertical="center"/>
    </xf>
    <xf numFmtId="165" fontId="2" fillId="7" borderId="18" xfId="2" applyNumberFormat="1" applyFont="1" applyFill="1" applyBorder="1" applyAlignment="1">
      <alignment horizontal="center" vertical="center"/>
    </xf>
    <xf numFmtId="0" fontId="13" fillId="0" borderId="4" xfId="2"/>
    <xf numFmtId="165" fontId="8" fillId="3" borderId="19" xfId="2" applyNumberFormat="1" applyFont="1" applyFill="1" applyBorder="1" applyAlignment="1">
      <alignment horizontal="center" vertical="center" wrapText="1"/>
    </xf>
    <xf numFmtId="0" fontId="8" fillId="3" borderId="4" xfId="2" applyFont="1" applyFill="1" applyAlignment="1">
      <alignment horizontal="center" vertical="center"/>
    </xf>
    <xf numFmtId="0" fontId="3" fillId="3" borderId="4" xfId="2" applyFont="1" applyFill="1" applyAlignment="1">
      <alignment horizontal="center" vertical="center"/>
    </xf>
    <xf numFmtId="0" fontId="3" fillId="3" borderId="4" xfId="2" applyFont="1" applyFill="1" applyAlignment="1">
      <alignment horizontal="left" vertical="center"/>
    </xf>
    <xf numFmtId="0" fontId="4" fillId="8" borderId="5" xfId="2" applyFont="1" applyFill="1" applyBorder="1" applyAlignment="1">
      <alignment horizontal="center" vertical="center" wrapText="1"/>
    </xf>
    <xf numFmtId="3" fontId="3" fillId="0" borderId="20" xfId="2" applyNumberFormat="1" applyFont="1" applyBorder="1" applyAlignment="1">
      <alignment horizontal="center" vertical="center" wrapText="1"/>
    </xf>
    <xf numFmtId="3" fontId="3" fillId="5" borderId="5" xfId="2" applyNumberFormat="1" applyFont="1" applyFill="1" applyBorder="1" applyAlignment="1">
      <alignment horizontal="center" vertical="center" wrapText="1"/>
    </xf>
    <xf numFmtId="3" fontId="8" fillId="3" borderId="4" xfId="2" applyNumberFormat="1" applyFont="1" applyFill="1" applyAlignment="1">
      <alignment horizontal="center" vertical="center" wrapText="1"/>
    </xf>
    <xf numFmtId="0" fontId="3" fillId="3" borderId="4" xfId="2" applyFont="1" applyFill="1" applyAlignment="1">
      <alignment horizontal="center" vertical="center" wrapText="1"/>
    </xf>
    <xf numFmtId="0" fontId="3" fillId="3" borderId="4" xfId="2" applyFont="1" applyFill="1" applyAlignment="1">
      <alignment horizontal="left" vertical="center" wrapText="1"/>
    </xf>
    <xf numFmtId="0" fontId="4" fillId="8" borderId="6" xfId="2" applyFont="1" applyFill="1" applyBorder="1" applyAlignment="1">
      <alignment horizontal="center" vertical="center" wrapText="1"/>
    </xf>
    <xf numFmtId="3" fontId="3" fillId="0" borderId="4" xfId="2" applyNumberFormat="1" applyFont="1" applyAlignment="1">
      <alignment horizontal="center" vertical="center" wrapText="1"/>
    </xf>
    <xf numFmtId="3" fontId="3" fillId="5" borderId="6" xfId="2" applyNumberFormat="1" applyFont="1" applyFill="1" applyBorder="1" applyAlignment="1">
      <alignment horizontal="center" vertical="center" wrapText="1"/>
    </xf>
    <xf numFmtId="0" fontId="1" fillId="8" borderId="6" xfId="2" applyFont="1" applyFill="1" applyBorder="1" applyAlignment="1">
      <alignment horizontal="center" vertical="center" wrapText="1"/>
    </xf>
    <xf numFmtId="9" fontId="2" fillId="0" borderId="4" xfId="2" applyNumberFormat="1" applyFont="1" applyAlignment="1">
      <alignment horizontal="center" vertical="center" wrapText="1"/>
    </xf>
    <xf numFmtId="9" fontId="2" fillId="5" borderId="6" xfId="2" applyNumberFormat="1" applyFont="1" applyFill="1" applyBorder="1" applyAlignment="1">
      <alignment horizontal="center" vertical="center" wrapText="1"/>
    </xf>
    <xf numFmtId="166" fontId="3" fillId="0" borderId="4" xfId="2" applyNumberFormat="1" applyFont="1" applyAlignment="1">
      <alignment horizontal="center" vertical="center" wrapText="1"/>
    </xf>
    <xf numFmtId="166" fontId="3" fillId="5" borderId="6" xfId="2" applyNumberFormat="1" applyFont="1" applyFill="1" applyBorder="1" applyAlignment="1">
      <alignment horizontal="center" vertical="center" wrapText="1"/>
    </xf>
    <xf numFmtId="167" fontId="3" fillId="0" borderId="4" xfId="2" applyNumberFormat="1" applyFont="1" applyAlignment="1">
      <alignment horizontal="center" vertical="center" wrapText="1"/>
    </xf>
    <xf numFmtId="167" fontId="3" fillId="5" borderId="6" xfId="2" applyNumberFormat="1" applyFont="1" applyFill="1" applyBorder="1" applyAlignment="1">
      <alignment horizontal="center" vertical="center" wrapText="1"/>
    </xf>
    <xf numFmtId="168" fontId="3" fillId="0" borderId="4" xfId="2" applyNumberFormat="1" applyFont="1" applyAlignment="1">
      <alignment horizontal="center" vertical="center" wrapText="1"/>
    </xf>
    <xf numFmtId="0" fontId="4" fillId="8" borderId="7" xfId="2" applyFont="1" applyFill="1" applyBorder="1" applyAlignment="1">
      <alignment horizontal="center" vertical="center" wrapText="1"/>
    </xf>
    <xf numFmtId="3" fontId="3" fillId="0" borderId="21" xfId="2" applyNumberFormat="1" applyFont="1" applyBorder="1" applyAlignment="1">
      <alignment horizontal="center" vertical="center" wrapText="1"/>
    </xf>
    <xf numFmtId="3" fontId="3" fillId="5" borderId="7" xfId="2" applyNumberFormat="1" applyFont="1" applyFill="1" applyBorder="1" applyAlignment="1">
      <alignment horizontal="center" vertical="center" wrapText="1"/>
    </xf>
    <xf numFmtId="0" fontId="4" fillId="9" borderId="5" xfId="2" applyFont="1" applyFill="1" applyBorder="1" applyAlignment="1">
      <alignment horizontal="center" vertical="center" wrapText="1"/>
    </xf>
    <xf numFmtId="0" fontId="4" fillId="9" borderId="6" xfId="2" applyFont="1" applyFill="1" applyBorder="1" applyAlignment="1">
      <alignment horizontal="center" vertical="center" wrapText="1"/>
    </xf>
    <xf numFmtId="0" fontId="1" fillId="9" borderId="6" xfId="2" applyFont="1" applyFill="1" applyBorder="1" applyAlignment="1">
      <alignment horizontal="center" vertical="center" wrapText="1"/>
    </xf>
    <xf numFmtId="168" fontId="3" fillId="5" borderId="6" xfId="2" applyNumberFormat="1" applyFont="1" applyFill="1" applyBorder="1" applyAlignment="1">
      <alignment horizontal="center" vertical="center" wrapText="1"/>
    </xf>
    <xf numFmtId="0" fontId="4" fillId="9" borderId="7" xfId="2" applyFont="1" applyFill="1" applyBorder="1" applyAlignment="1">
      <alignment horizontal="center" vertical="center" wrapText="1"/>
    </xf>
    <xf numFmtId="1" fontId="3" fillId="0" borderId="21" xfId="2" applyNumberFormat="1" applyFont="1" applyBorder="1" applyAlignment="1">
      <alignment horizontal="center" vertical="center" wrapText="1"/>
    </xf>
    <xf numFmtId="1" fontId="3" fillId="5" borderId="7" xfId="2" applyNumberFormat="1" applyFont="1" applyFill="1" applyBorder="1" applyAlignment="1">
      <alignment horizontal="center" vertical="center" wrapText="1"/>
    </xf>
    <xf numFmtId="0" fontId="4" fillId="10" borderId="5" xfId="2" applyFont="1" applyFill="1" applyBorder="1" applyAlignment="1">
      <alignment horizontal="center" vertical="center" wrapText="1"/>
    </xf>
    <xf numFmtId="0" fontId="4" fillId="10" borderId="6" xfId="2" applyFont="1" applyFill="1" applyBorder="1" applyAlignment="1">
      <alignment horizontal="center" vertical="center" wrapText="1"/>
    </xf>
    <xf numFmtId="0" fontId="1" fillId="10" borderId="6" xfId="2" applyFont="1" applyFill="1" applyBorder="1" applyAlignment="1">
      <alignment horizontal="center" vertical="center" wrapText="1"/>
    </xf>
    <xf numFmtId="0" fontId="4" fillId="11" borderId="5" xfId="2" applyFont="1" applyFill="1" applyBorder="1" applyAlignment="1">
      <alignment horizontal="center" vertical="center" wrapText="1"/>
    </xf>
    <xf numFmtId="0" fontId="4" fillId="11" borderId="6" xfId="2" applyFont="1" applyFill="1" applyBorder="1" applyAlignment="1">
      <alignment horizontal="center" vertical="center" wrapText="1"/>
    </xf>
    <xf numFmtId="0" fontId="1" fillId="11" borderId="6" xfId="2" applyFont="1" applyFill="1" applyBorder="1" applyAlignment="1">
      <alignment horizontal="center" vertical="center" wrapText="1"/>
    </xf>
    <xf numFmtId="0" fontId="4" fillId="11" borderId="7" xfId="2" applyFont="1" applyFill="1" applyBorder="1" applyAlignment="1">
      <alignment horizontal="center" vertical="center" wrapText="1"/>
    </xf>
    <xf numFmtId="0" fontId="9" fillId="6" borderId="9" xfId="2" applyFont="1" applyFill="1" applyBorder="1" applyAlignment="1">
      <alignment horizontal="center" vertical="center" wrapText="1"/>
    </xf>
    <xf numFmtId="3" fontId="2" fillId="6" borderId="20" xfId="2" applyNumberFormat="1" applyFont="1" applyFill="1" applyBorder="1" applyAlignment="1">
      <alignment horizontal="center" vertical="center" wrapText="1"/>
    </xf>
    <xf numFmtId="3" fontId="2" fillId="6" borderId="5" xfId="2" applyNumberFormat="1" applyFont="1" applyFill="1" applyBorder="1" applyAlignment="1">
      <alignment horizontal="center" vertical="center" wrapText="1"/>
    </xf>
    <xf numFmtId="0" fontId="10" fillId="6" borderId="11" xfId="2" applyFont="1" applyFill="1" applyBorder="1" applyAlignment="1">
      <alignment horizontal="center" vertical="center" wrapText="1"/>
    </xf>
    <xf numFmtId="3" fontId="5" fillId="6" borderId="4" xfId="2" applyNumberFormat="1" applyFont="1" applyFill="1" applyAlignment="1">
      <alignment horizontal="center" vertical="center" wrapText="1"/>
    </xf>
    <xf numFmtId="3" fontId="5" fillId="6" borderId="6" xfId="2" applyNumberFormat="1" applyFont="1" applyFill="1" applyBorder="1" applyAlignment="1">
      <alignment horizontal="center" vertical="center" wrapText="1"/>
    </xf>
    <xf numFmtId="0" fontId="10" fillId="4" borderId="11" xfId="2" applyFont="1" applyFill="1" applyBorder="1" applyAlignment="1">
      <alignment horizontal="center" vertical="center" wrapText="1"/>
    </xf>
    <xf numFmtId="9" fontId="6" fillId="4" borderId="4" xfId="2" applyNumberFormat="1" applyFont="1" applyFill="1" applyAlignment="1">
      <alignment horizontal="center" vertical="center" wrapText="1"/>
    </xf>
    <xf numFmtId="9" fontId="6" fillId="4" borderId="6" xfId="2" applyNumberFormat="1" applyFont="1" applyFill="1" applyBorder="1" applyAlignment="1">
      <alignment horizontal="center" vertical="center" wrapText="1"/>
    </xf>
    <xf numFmtId="0" fontId="10" fillId="4" borderId="17" xfId="2" applyFont="1" applyFill="1" applyBorder="1" applyAlignment="1">
      <alignment horizontal="center" vertical="center" wrapText="1"/>
    </xf>
    <xf numFmtId="9" fontId="6" fillId="4" borderId="21" xfId="2" applyNumberFormat="1" applyFont="1" applyFill="1" applyBorder="1" applyAlignment="1">
      <alignment horizontal="center" vertical="center" wrapText="1"/>
    </xf>
    <xf numFmtId="9" fontId="6" fillId="4" borderId="7" xfId="2" applyNumberFormat="1" applyFont="1" applyFill="1" applyBorder="1" applyAlignment="1">
      <alignment horizontal="center" vertical="center" wrapText="1"/>
    </xf>
    <xf numFmtId="0" fontId="2" fillId="3" borderId="14" xfId="2" applyFont="1" applyFill="1" applyBorder="1" applyAlignment="1">
      <alignment horizontal="center" vertical="center" wrapText="1"/>
    </xf>
    <xf numFmtId="0" fontId="2" fillId="3" borderId="3" xfId="2" applyFont="1" applyFill="1" applyBorder="1" applyAlignment="1">
      <alignment horizontal="center" vertical="center" wrapText="1"/>
    </xf>
    <xf numFmtId="0" fontId="2" fillId="3" borderId="4" xfId="2" applyFont="1" applyFill="1" applyAlignment="1">
      <alignment horizontal="center" vertical="center" wrapText="1"/>
    </xf>
    <xf numFmtId="0" fontId="2" fillId="3" borderId="17" xfId="2" applyFont="1" applyFill="1" applyBorder="1" applyAlignment="1">
      <alignment horizontal="center" vertical="center" wrapText="1"/>
    </xf>
    <xf numFmtId="3" fontId="3" fillId="3" borderId="4" xfId="2" applyNumberFormat="1" applyFont="1" applyFill="1" applyAlignment="1">
      <alignment horizontal="center" vertical="center" wrapText="1"/>
    </xf>
    <xf numFmtId="0" fontId="2" fillId="3" borderId="22" xfId="2" applyFont="1" applyFill="1" applyBorder="1" applyAlignment="1">
      <alignment horizontal="center" vertical="center" wrapText="1"/>
    </xf>
    <xf numFmtId="0" fontId="2" fillId="3" borderId="23" xfId="2" applyFont="1" applyFill="1" applyBorder="1" applyAlignment="1">
      <alignment horizontal="center" vertical="center" wrapText="1"/>
    </xf>
    <xf numFmtId="0" fontId="2" fillId="3" borderId="24" xfId="2" applyFont="1" applyFill="1" applyBorder="1" applyAlignment="1">
      <alignment horizontal="center" vertical="center" wrapText="1"/>
    </xf>
    <xf numFmtId="0" fontId="2" fillId="3" borderId="5" xfId="2" applyFont="1" applyFill="1" applyBorder="1" applyAlignment="1">
      <alignment vertical="center" wrapText="1"/>
    </xf>
    <xf numFmtId="3" fontId="3" fillId="3" borderId="5" xfId="2" applyNumberFormat="1" applyFont="1" applyFill="1" applyBorder="1" applyAlignment="1">
      <alignment horizontal="center" vertical="center" wrapText="1"/>
    </xf>
    <xf numFmtId="3" fontId="3" fillId="3" borderId="15" xfId="2" applyNumberFormat="1" applyFont="1" applyFill="1" applyBorder="1" applyAlignment="1">
      <alignment horizontal="center" vertical="center" wrapText="1"/>
    </xf>
    <xf numFmtId="9" fontId="3" fillId="3" borderId="4" xfId="2" applyNumberFormat="1" applyFont="1" applyFill="1" applyAlignment="1">
      <alignment horizontal="center" vertical="center" wrapText="1"/>
    </xf>
    <xf numFmtId="3" fontId="3" fillId="3" borderId="9" xfId="2" applyNumberFormat="1" applyFont="1" applyFill="1" applyBorder="1" applyAlignment="1">
      <alignment horizontal="center" vertical="center" wrapText="1"/>
    </xf>
    <xf numFmtId="0" fontId="2" fillId="3" borderId="6" xfId="2" applyFont="1" applyFill="1" applyBorder="1" applyAlignment="1">
      <alignment vertical="center" wrapText="1"/>
    </xf>
    <xf numFmtId="3" fontId="3" fillId="3" borderId="11" xfId="2" applyNumberFormat="1" applyFont="1" applyFill="1" applyBorder="1" applyAlignment="1">
      <alignment horizontal="center" vertical="center" wrapText="1"/>
    </xf>
    <xf numFmtId="3" fontId="3" fillId="3" borderId="16" xfId="2" applyNumberFormat="1" applyFont="1" applyFill="1" applyBorder="1" applyAlignment="1">
      <alignment horizontal="center" vertical="center" wrapText="1"/>
    </xf>
    <xf numFmtId="10" fontId="3" fillId="3" borderId="4" xfId="2" applyNumberFormat="1" applyFont="1" applyFill="1" applyAlignment="1">
      <alignment horizontal="center" vertical="center" wrapText="1"/>
    </xf>
    <xf numFmtId="3" fontId="3" fillId="3" borderId="6" xfId="2" applyNumberFormat="1" applyFont="1" applyFill="1" applyBorder="1" applyAlignment="1">
      <alignment horizontal="center" vertical="center" wrapText="1"/>
    </xf>
    <xf numFmtId="0" fontId="2" fillId="3" borderId="7" xfId="2" applyFont="1" applyFill="1" applyBorder="1" applyAlignment="1">
      <alignment vertical="center" wrapText="1"/>
    </xf>
    <xf numFmtId="3" fontId="3" fillId="3" borderId="7" xfId="2" applyNumberFormat="1" applyFont="1" applyFill="1" applyBorder="1" applyAlignment="1">
      <alignment horizontal="center" vertical="center" wrapText="1"/>
    </xf>
    <xf numFmtId="3" fontId="3" fillId="3" borderId="14" xfId="2" applyNumberFormat="1" applyFont="1" applyFill="1" applyBorder="1" applyAlignment="1">
      <alignment horizontal="center" vertical="center" wrapText="1"/>
    </xf>
    <xf numFmtId="3" fontId="3" fillId="3" borderId="21" xfId="2" applyNumberFormat="1" applyFont="1" applyFill="1" applyBorder="1" applyAlignment="1">
      <alignment horizontal="center" vertical="center" wrapText="1"/>
    </xf>
    <xf numFmtId="0" fontId="2" fillId="6" borderId="3" xfId="2" applyFont="1" applyFill="1" applyBorder="1" applyAlignment="1">
      <alignment vertical="center" wrapText="1"/>
    </xf>
    <xf numFmtId="3" fontId="2" fillId="6" borderId="1" xfId="2" applyNumberFormat="1" applyFont="1" applyFill="1" applyBorder="1" applyAlignment="1">
      <alignment horizontal="center" vertical="center" wrapText="1"/>
    </xf>
    <xf numFmtId="3" fontId="2" fillId="6" borderId="3" xfId="2" applyNumberFormat="1" applyFont="1" applyFill="1" applyBorder="1" applyAlignment="1">
      <alignment horizontal="center" vertical="center" wrapText="1"/>
    </xf>
    <xf numFmtId="9" fontId="2" fillId="6" borderId="4" xfId="2" applyNumberFormat="1" applyFont="1" applyFill="1" applyAlignment="1">
      <alignment horizontal="center" vertical="center" wrapText="1"/>
    </xf>
    <xf numFmtId="3" fontId="2" fillId="6" borderId="4" xfId="2" applyNumberFormat="1" applyFont="1" applyFill="1" applyAlignment="1">
      <alignment horizontal="center" vertical="center" wrapText="1"/>
    </xf>
    <xf numFmtId="3" fontId="2" fillId="3" borderId="4" xfId="2" applyNumberFormat="1" applyFont="1" applyFill="1" applyAlignment="1">
      <alignment horizontal="center" vertical="center" wrapText="1"/>
    </xf>
    <xf numFmtId="0" fontId="8" fillId="3" borderId="4" xfId="2" applyFont="1" applyFill="1" applyAlignment="1">
      <alignment horizontal="center" vertical="center" wrapText="1"/>
    </xf>
    <xf numFmtId="0" fontId="4" fillId="3" borderId="4" xfId="2" applyFont="1" applyFill="1" applyAlignment="1">
      <alignment horizontal="center" vertical="center" wrapText="1"/>
    </xf>
    <xf numFmtId="166" fontId="3" fillId="3" borderId="4" xfId="2" applyNumberFormat="1" applyFont="1" applyFill="1" applyAlignment="1">
      <alignment horizontal="center" vertical="center" wrapText="1"/>
    </xf>
    <xf numFmtId="0" fontId="20" fillId="0" borderId="0" xfId="0" applyFont="1"/>
    <xf numFmtId="10" fontId="6" fillId="4" borderId="41" xfId="0" applyNumberFormat="1" applyFont="1" applyFill="1" applyBorder="1" applyAlignment="1">
      <alignment horizontal="center" vertical="center" wrapText="1"/>
    </xf>
    <xf numFmtId="10" fontId="6" fillId="4" borderId="31" xfId="0" applyNumberFormat="1" applyFont="1" applyFill="1" applyBorder="1" applyAlignment="1">
      <alignment horizontal="center" vertical="center" wrapText="1"/>
    </xf>
    <xf numFmtId="0" fontId="3" fillId="3" borderId="4" xfId="0" applyFont="1" applyFill="1" applyBorder="1" applyAlignment="1">
      <alignment vertical="center" wrapText="1"/>
    </xf>
    <xf numFmtId="0" fontId="0" fillId="14" borderId="0" xfId="0" applyFill="1"/>
    <xf numFmtId="9" fontId="1" fillId="4" borderId="6" xfId="1" applyFont="1" applyFill="1" applyBorder="1" applyAlignment="1">
      <alignment horizontal="center" vertical="center" wrapText="1"/>
    </xf>
    <xf numFmtId="0" fontId="2" fillId="6" borderId="7" xfId="0" applyFont="1" applyFill="1" applyBorder="1" applyAlignment="1">
      <alignment vertical="center" wrapText="1"/>
    </xf>
    <xf numFmtId="0" fontId="2" fillId="3" borderId="39" xfId="0" applyFont="1" applyFill="1" applyBorder="1" applyAlignment="1">
      <alignment vertical="center" wrapText="1"/>
    </xf>
    <xf numFmtId="0" fontId="2" fillId="3" borderId="40" xfId="0" applyFont="1" applyFill="1" applyBorder="1" applyAlignment="1">
      <alignment vertical="center" wrapText="1"/>
    </xf>
    <xf numFmtId="0" fontId="2" fillId="3" borderId="41" xfId="0" applyFont="1" applyFill="1" applyBorder="1" applyAlignment="1">
      <alignment vertical="center" wrapText="1"/>
    </xf>
    <xf numFmtId="0" fontId="2" fillId="3" borderId="9" xfId="0" applyFont="1" applyFill="1" applyBorder="1" applyAlignment="1">
      <alignment horizontal="center" vertical="center" wrapText="1"/>
    </xf>
    <xf numFmtId="0" fontId="2" fillId="3" borderId="17" xfId="0" applyFont="1" applyFill="1" applyBorder="1" applyAlignment="1">
      <alignment horizontal="center" vertical="center" wrapText="1"/>
    </xf>
    <xf numFmtId="166" fontId="3" fillId="3" borderId="17" xfId="0" applyNumberFormat="1" applyFont="1" applyFill="1" applyBorder="1" applyAlignment="1">
      <alignment horizontal="center" vertical="center" wrapText="1"/>
    </xf>
    <xf numFmtId="166" fontId="3" fillId="3" borderId="14" xfId="0" applyNumberFormat="1" applyFont="1" applyFill="1" applyBorder="1" applyAlignment="1">
      <alignment horizontal="center" vertical="center" wrapText="1"/>
    </xf>
    <xf numFmtId="3" fontId="3" fillId="3" borderId="25" xfId="0" applyNumberFormat="1" applyFont="1" applyFill="1" applyBorder="1" applyAlignment="1">
      <alignment horizontal="center" vertical="center" wrapText="1"/>
    </xf>
    <xf numFmtId="1" fontId="3" fillId="3" borderId="27" xfId="0" applyNumberFormat="1" applyFont="1" applyFill="1" applyBorder="1" applyAlignment="1">
      <alignment horizontal="center" vertical="center" wrapText="1"/>
    </xf>
    <xf numFmtId="1" fontId="3" fillId="3" borderId="32" xfId="0" applyNumberFormat="1" applyFont="1" applyFill="1" applyBorder="1" applyAlignment="1">
      <alignment horizontal="center" vertical="center" wrapText="1"/>
    </xf>
    <xf numFmtId="165" fontId="2" fillId="3" borderId="42" xfId="0" applyNumberFormat="1" applyFont="1" applyFill="1" applyBorder="1" applyAlignment="1">
      <alignment horizontal="center" vertical="center"/>
    </xf>
    <xf numFmtId="0" fontId="16" fillId="0" borderId="4" xfId="2" applyFont="1"/>
    <xf numFmtId="0" fontId="13" fillId="0" borderId="4" xfId="2" applyAlignment="1">
      <alignment horizontal="right"/>
    </xf>
    <xf numFmtId="0" fontId="14" fillId="0" borderId="4" xfId="2" applyFont="1" applyAlignment="1">
      <alignment horizontal="center" vertical="center"/>
    </xf>
    <xf numFmtId="0" fontId="15" fillId="0" borderId="4" xfId="2" applyFont="1"/>
    <xf numFmtId="0" fontId="14" fillId="0" borderId="4" xfId="2" applyFont="1"/>
    <xf numFmtId="0" fontId="14" fillId="0" borderId="4" xfId="2" applyFont="1" applyAlignment="1">
      <alignment horizontal="left"/>
    </xf>
    <xf numFmtId="0" fontId="15" fillId="0" borderId="4" xfId="2" applyFont="1" applyAlignment="1">
      <alignment horizontal="right"/>
    </xf>
    <xf numFmtId="0" fontId="14" fillId="3" borderId="25" xfId="2" applyFont="1" applyFill="1" applyBorder="1" applyAlignment="1">
      <alignment horizontal="left" vertical="center" wrapText="1"/>
    </xf>
    <xf numFmtId="3" fontId="15" fillId="0" borderId="26" xfId="2" applyNumberFormat="1" applyFont="1" applyBorder="1" applyAlignment="1">
      <alignment horizontal="center" vertical="center"/>
    </xf>
    <xf numFmtId="9" fontId="15" fillId="0" borderId="27" xfId="3" applyFont="1" applyBorder="1" applyAlignment="1">
      <alignment horizontal="center" vertical="center"/>
    </xf>
    <xf numFmtId="3" fontId="15" fillId="0" borderId="4" xfId="2" applyNumberFormat="1" applyFont="1" applyAlignment="1">
      <alignment horizontal="center" vertical="center"/>
    </xf>
    <xf numFmtId="0" fontId="14" fillId="0" borderId="25" xfId="2" applyFont="1" applyBorder="1" applyAlignment="1">
      <alignment horizontal="left" vertical="center"/>
    </xf>
    <xf numFmtId="9" fontId="15" fillId="0" borderId="27" xfId="2" applyNumberFormat="1" applyFont="1" applyBorder="1" applyAlignment="1">
      <alignment horizontal="center" vertical="center"/>
    </xf>
    <xf numFmtId="166" fontId="15" fillId="0" borderId="26" xfId="3" applyNumberFormat="1" applyFont="1" applyBorder="1" applyAlignment="1">
      <alignment horizontal="center" vertical="center"/>
    </xf>
    <xf numFmtId="166" fontId="15" fillId="0" borderId="27" xfId="2" applyNumberFormat="1" applyFont="1" applyBorder="1" applyAlignment="1">
      <alignment horizontal="center"/>
    </xf>
    <xf numFmtId="0" fontId="14" fillId="3" borderId="28" xfId="2" applyFont="1" applyFill="1" applyBorder="1" applyAlignment="1">
      <alignment horizontal="left" vertical="center" wrapText="1"/>
    </xf>
    <xf numFmtId="9" fontId="15" fillId="0" borderId="29" xfId="3" applyFont="1" applyBorder="1" applyAlignment="1">
      <alignment horizontal="center" vertical="center"/>
    </xf>
    <xf numFmtId="0" fontId="14" fillId="0" borderId="28" xfId="2" applyFont="1" applyBorder="1" applyAlignment="1">
      <alignment horizontal="left" vertical="center"/>
    </xf>
    <xf numFmtId="9" fontId="15" fillId="0" borderId="29" xfId="2" applyNumberFormat="1" applyFont="1" applyBorder="1" applyAlignment="1">
      <alignment horizontal="center" vertical="center"/>
    </xf>
    <xf numFmtId="166" fontId="15" fillId="0" borderId="4" xfId="3" applyNumberFormat="1" applyFont="1" applyBorder="1" applyAlignment="1">
      <alignment horizontal="center" vertical="center"/>
    </xf>
    <xf numFmtId="166" fontId="15" fillId="0" borderId="29" xfId="2" applyNumberFormat="1" applyFont="1" applyBorder="1" applyAlignment="1">
      <alignment horizontal="center"/>
    </xf>
    <xf numFmtId="0" fontId="21" fillId="0" borderId="28" xfId="2" applyFont="1" applyBorder="1" applyAlignment="1">
      <alignment horizontal="left" vertical="center" wrapText="1"/>
    </xf>
    <xf numFmtId="0" fontId="21" fillId="0" borderId="4" xfId="2" applyFont="1" applyAlignment="1">
      <alignment horizontal="left" vertical="center" wrapText="1"/>
    </xf>
    <xf numFmtId="0" fontId="14" fillId="3" borderId="30" xfId="2" applyFont="1" applyFill="1" applyBorder="1" applyAlignment="1">
      <alignment horizontal="left" vertical="center" wrapText="1"/>
    </xf>
    <xf numFmtId="3" fontId="15" fillId="0" borderId="31" xfId="2" applyNumberFormat="1" applyFont="1" applyBorder="1" applyAlignment="1">
      <alignment horizontal="center" vertical="center"/>
    </xf>
    <xf numFmtId="9" fontId="15" fillId="0" borderId="32" xfId="3" applyFont="1" applyBorder="1" applyAlignment="1">
      <alignment horizontal="center" vertical="center"/>
    </xf>
    <xf numFmtId="0" fontId="14" fillId="0" borderId="30" xfId="2" applyFont="1" applyBorder="1" applyAlignment="1">
      <alignment horizontal="left" vertical="center"/>
    </xf>
    <xf numFmtId="9" fontId="15" fillId="0" borderId="32" xfId="2" applyNumberFormat="1" applyFont="1" applyBorder="1" applyAlignment="1">
      <alignment horizontal="center" vertical="center"/>
    </xf>
    <xf numFmtId="166" fontId="15" fillId="0" borderId="31" xfId="3" applyNumberFormat="1" applyFont="1" applyBorder="1" applyAlignment="1">
      <alignment horizontal="center" vertical="center"/>
    </xf>
    <xf numFmtId="166" fontId="15" fillId="0" borderId="32" xfId="2" applyNumberFormat="1" applyFont="1" applyBorder="1" applyAlignment="1">
      <alignment horizontal="center"/>
    </xf>
    <xf numFmtId="0" fontId="14" fillId="3" borderId="4" xfId="2" applyFont="1" applyFill="1" applyAlignment="1">
      <alignment vertical="center" wrapText="1"/>
    </xf>
    <xf numFmtId="9" fontId="15" fillId="0" borderId="4" xfId="3" applyFont="1" applyBorder="1" applyAlignment="1">
      <alignment horizontal="center" vertical="center"/>
    </xf>
    <xf numFmtId="9" fontId="15" fillId="0" borderId="4" xfId="2" applyNumberFormat="1" applyFont="1" applyAlignment="1">
      <alignment horizontal="center" vertical="center"/>
    </xf>
    <xf numFmtId="10" fontId="17" fillId="12" borderId="4" xfId="2" applyNumberFormat="1" applyFont="1" applyFill="1" applyAlignment="1">
      <alignment horizontal="center" vertical="center" wrapText="1"/>
    </xf>
    <xf numFmtId="166" fontId="15" fillId="0" borderId="4" xfId="2" applyNumberFormat="1" applyFont="1" applyAlignment="1">
      <alignment horizontal="center"/>
    </xf>
    <xf numFmtId="0" fontId="14" fillId="13" borderId="4" xfId="2" applyFont="1" applyFill="1"/>
    <xf numFmtId="3" fontId="14" fillId="13" borderId="4" xfId="2" applyNumberFormat="1" applyFont="1" applyFill="1" applyAlignment="1">
      <alignment horizontal="center" vertical="center"/>
    </xf>
    <xf numFmtId="9" fontId="14" fillId="13" borderId="4" xfId="3" applyFont="1" applyFill="1" applyBorder="1" applyAlignment="1">
      <alignment horizontal="center" vertical="center"/>
    </xf>
    <xf numFmtId="3" fontId="14" fillId="0" borderId="4" xfId="2" applyNumberFormat="1" applyFont="1" applyAlignment="1">
      <alignment horizontal="center" vertical="center"/>
    </xf>
    <xf numFmtId="0" fontId="14" fillId="13" borderId="4" xfId="2" applyFont="1" applyFill="1" applyAlignment="1">
      <alignment horizontal="center" vertical="center"/>
    </xf>
    <xf numFmtId="166" fontId="14" fillId="13" borderId="4" xfId="2" applyNumberFormat="1" applyFont="1" applyFill="1" applyAlignment="1">
      <alignment horizontal="center" vertical="center"/>
    </xf>
    <xf numFmtId="0" fontId="14" fillId="0" borderId="33" xfId="2" applyFont="1" applyBorder="1" applyAlignment="1">
      <alignment horizontal="center" vertical="center" wrapText="1"/>
    </xf>
    <xf numFmtId="3" fontId="15" fillId="0" borderId="34" xfId="2" applyNumberFormat="1" applyFont="1" applyBorder="1" applyAlignment="1">
      <alignment horizontal="center" vertical="center"/>
    </xf>
    <xf numFmtId="9" fontId="15" fillId="0" borderId="24" xfId="3" applyFont="1" applyBorder="1" applyAlignment="1">
      <alignment horizontal="center" vertical="center"/>
    </xf>
    <xf numFmtId="10" fontId="0" fillId="0" borderId="4" xfId="3" applyNumberFormat="1" applyFont="1" applyAlignment="1">
      <alignment horizontal="center" vertical="center"/>
    </xf>
    <xf numFmtId="0" fontId="14" fillId="3" borderId="25" xfId="2" applyFont="1" applyFill="1" applyBorder="1" applyAlignment="1">
      <alignment vertical="center" wrapText="1"/>
    </xf>
    <xf numFmtId="0" fontId="14" fillId="3" borderId="28" xfId="2" applyFont="1" applyFill="1" applyBorder="1" applyAlignment="1">
      <alignment vertical="center" wrapText="1"/>
    </xf>
    <xf numFmtId="0" fontId="14" fillId="0" borderId="25" xfId="2" applyFont="1" applyBorder="1" applyAlignment="1">
      <alignment horizontal="center" vertical="center"/>
    </xf>
    <xf numFmtId="0" fontId="14" fillId="0" borderId="26" xfId="2" applyFont="1" applyBorder="1" applyAlignment="1">
      <alignment horizontal="center" vertical="center"/>
    </xf>
    <xf numFmtId="0" fontId="14" fillId="0" borderId="27" xfId="2" applyFont="1" applyBorder="1" applyAlignment="1">
      <alignment horizontal="center" vertical="center"/>
    </xf>
    <xf numFmtId="0" fontId="14" fillId="3" borderId="30" xfId="2" applyFont="1" applyFill="1" applyBorder="1" applyAlignment="1">
      <alignment vertical="center" wrapText="1"/>
    </xf>
    <xf numFmtId="0" fontId="14" fillId="3" borderId="28" xfId="2" applyFont="1" applyFill="1" applyBorder="1" applyAlignment="1">
      <alignment horizontal="center" vertical="center" wrapText="1"/>
    </xf>
    <xf numFmtId="3" fontId="15" fillId="0" borderId="27" xfId="2" applyNumberFormat="1" applyFont="1" applyBorder="1" applyAlignment="1">
      <alignment horizontal="center" vertical="center"/>
    </xf>
    <xf numFmtId="3" fontId="15" fillId="0" borderId="29" xfId="2" applyNumberFormat="1" applyFont="1" applyBorder="1" applyAlignment="1">
      <alignment horizontal="center" vertical="center"/>
    </xf>
    <xf numFmtId="0" fontId="14" fillId="3" borderId="4" xfId="2" applyFont="1" applyFill="1" applyAlignment="1">
      <alignment horizontal="left" vertical="center" wrapText="1"/>
    </xf>
    <xf numFmtId="0" fontId="14" fillId="3" borderId="30" xfId="2" applyFont="1" applyFill="1" applyBorder="1" applyAlignment="1">
      <alignment horizontal="center" vertical="center" wrapText="1"/>
    </xf>
    <xf numFmtId="3" fontId="15" fillId="0" borderId="32" xfId="2" applyNumberFormat="1" applyFont="1" applyBorder="1" applyAlignment="1">
      <alignment horizontal="center" vertical="center"/>
    </xf>
    <xf numFmtId="0" fontId="14" fillId="0" borderId="4" xfId="2" applyFont="1" applyAlignment="1">
      <alignment horizontal="center"/>
    </xf>
    <xf numFmtId="0" fontId="14" fillId="3" borderId="4" xfId="2" applyFont="1" applyFill="1" applyAlignment="1">
      <alignment horizontal="center" vertical="center" wrapText="1"/>
    </xf>
    <xf numFmtId="9" fontId="15" fillId="0" borderId="26" xfId="2" applyNumberFormat="1" applyFont="1" applyBorder="1" applyAlignment="1">
      <alignment horizontal="center" vertical="center"/>
    </xf>
    <xf numFmtId="3" fontId="19" fillId="0" borderId="4" xfId="2" applyNumberFormat="1" applyFont="1" applyAlignment="1">
      <alignment horizontal="center" vertical="center"/>
    </xf>
    <xf numFmtId="0" fontId="14" fillId="0" borderId="28" xfId="2" applyFont="1" applyBorder="1" applyAlignment="1">
      <alignment horizontal="center" vertical="center"/>
    </xf>
    <xf numFmtId="0" fontId="14" fillId="0" borderId="30" xfId="2" applyFont="1" applyBorder="1" applyAlignment="1">
      <alignment horizontal="center" vertical="center"/>
    </xf>
    <xf numFmtId="9" fontId="15" fillId="0" borderId="31" xfId="2" applyNumberFormat="1" applyFont="1" applyBorder="1" applyAlignment="1">
      <alignment horizontal="center" vertical="center"/>
    </xf>
    <xf numFmtId="166" fontId="13" fillId="0" borderId="4" xfId="2" applyNumberFormat="1" applyAlignment="1">
      <alignment horizontal="right"/>
    </xf>
    <xf numFmtId="0" fontId="14" fillId="3" borderId="35" xfId="2" applyFont="1" applyFill="1" applyBorder="1" applyAlignment="1">
      <alignment horizontal="center" vertical="center" wrapText="1"/>
    </xf>
    <xf numFmtId="3" fontId="15" fillId="0" borderId="36" xfId="2" applyNumberFormat="1" applyFont="1" applyBorder="1" applyAlignment="1">
      <alignment horizontal="center" vertical="center"/>
    </xf>
    <xf numFmtId="10" fontId="13" fillId="0" borderId="4" xfId="2" applyNumberFormat="1"/>
    <xf numFmtId="10" fontId="0" fillId="0" borderId="4" xfId="3" applyNumberFormat="1" applyFont="1"/>
    <xf numFmtId="0" fontId="14" fillId="3" borderId="37" xfId="2" applyFont="1" applyFill="1" applyBorder="1" applyAlignment="1">
      <alignment horizontal="center" vertical="center" wrapText="1"/>
    </xf>
    <xf numFmtId="3" fontId="15" fillId="0" borderId="38" xfId="2" applyNumberFormat="1" applyFont="1" applyBorder="1" applyAlignment="1">
      <alignment horizontal="center" vertical="center"/>
    </xf>
    <xf numFmtId="0" fontId="22" fillId="0" borderId="4" xfId="2" applyFont="1"/>
    <xf numFmtId="165" fontId="23" fillId="3" borderId="4" xfId="2" applyNumberFormat="1" applyFont="1" applyFill="1" applyAlignment="1">
      <alignment horizontal="center" vertical="center"/>
    </xf>
    <xf numFmtId="0" fontId="24" fillId="0" borderId="4" xfId="2" applyFont="1" applyAlignment="1">
      <alignment horizontal="center" vertical="center"/>
    </xf>
    <xf numFmtId="0" fontId="25" fillId="0" borderId="0" xfId="0" applyFont="1"/>
    <xf numFmtId="9" fontId="14" fillId="15" borderId="4" xfId="3" applyFont="1" applyFill="1" applyBorder="1" applyAlignment="1">
      <alignment horizontal="center" vertical="center"/>
    </xf>
    <xf numFmtId="3" fontId="26" fillId="0" borderId="4" xfId="2" applyNumberFormat="1" applyFont="1" applyAlignment="1">
      <alignment horizontal="center" vertical="center" wrapText="1"/>
    </xf>
    <xf numFmtId="0" fontId="14" fillId="0" borderId="4" xfId="2" applyFont="1" applyAlignment="1">
      <alignment horizontal="left" vertical="center"/>
    </xf>
    <xf numFmtId="1" fontId="14" fillId="0" borderId="4" xfId="2" applyNumberFormat="1" applyFont="1" applyAlignment="1">
      <alignment horizontal="center" vertical="center"/>
    </xf>
    <xf numFmtId="3" fontId="27" fillId="0" borderId="4" xfId="2" applyNumberFormat="1" applyFont="1" applyAlignment="1">
      <alignment horizontal="center" vertical="center" wrapText="1"/>
    </xf>
    <xf numFmtId="0" fontId="2" fillId="3" borderId="21" xfId="2" applyFont="1" applyFill="1" applyBorder="1" applyAlignment="1">
      <alignment horizontal="center" vertical="center" wrapText="1"/>
    </xf>
    <xf numFmtId="3" fontId="3" fillId="3" borderId="20" xfId="2" applyNumberFormat="1" applyFont="1" applyFill="1" applyBorder="1" applyAlignment="1">
      <alignment horizontal="center" vertical="center" wrapText="1"/>
    </xf>
    <xf numFmtId="3" fontId="13" fillId="0" borderId="4" xfId="2" applyNumberFormat="1"/>
    <xf numFmtId="3" fontId="29" fillId="0" borderId="26" xfId="2" applyNumberFormat="1" applyFont="1" applyBorder="1" applyAlignment="1">
      <alignment horizontal="center" vertical="center"/>
    </xf>
    <xf numFmtId="166" fontId="1" fillId="3" borderId="4" xfId="0" applyNumberFormat="1" applyFont="1" applyFill="1" applyBorder="1" applyAlignment="1">
      <alignment horizontal="center" vertical="center" wrapText="1"/>
    </xf>
    <xf numFmtId="0" fontId="2" fillId="14" borderId="0" xfId="0" applyFont="1" applyFill="1" applyAlignment="1">
      <alignment horizontal="left"/>
    </xf>
    <xf numFmtId="0" fontId="2" fillId="3" borderId="4" xfId="0" applyFont="1" applyFill="1" applyBorder="1" applyAlignment="1">
      <alignment horizontal="left" vertical="center" wrapText="1"/>
    </xf>
    <xf numFmtId="0" fontId="2" fillId="3" borderId="4" xfId="0" applyFont="1" applyFill="1" applyBorder="1" applyAlignment="1">
      <alignment vertical="center"/>
    </xf>
    <xf numFmtId="4" fontId="7" fillId="0" borderId="0" xfId="0" applyNumberFormat="1" applyFont="1" applyAlignment="1">
      <alignment horizontal="center" vertical="center"/>
    </xf>
    <xf numFmtId="0" fontId="0" fillId="0" borderId="0" xfId="0" applyAlignment="1">
      <alignment horizontal="center" vertical="center"/>
    </xf>
    <xf numFmtId="0" fontId="24" fillId="0" borderId="25" xfId="2" applyFont="1" applyBorder="1"/>
    <xf numFmtId="0" fontId="24" fillId="0" borderId="26" xfId="2" applyFont="1" applyBorder="1" applyAlignment="1">
      <alignment horizontal="center" vertical="center"/>
    </xf>
    <xf numFmtId="0" fontId="11" fillId="0" borderId="26" xfId="2" applyFont="1" applyBorder="1" applyAlignment="1">
      <alignment horizontal="center" vertical="center"/>
    </xf>
    <xf numFmtId="0" fontId="11" fillId="0" borderId="27" xfId="2" applyFont="1" applyBorder="1" applyAlignment="1">
      <alignment horizontal="center" vertical="center"/>
    </xf>
    <xf numFmtId="0" fontId="11" fillId="0" borderId="28" xfId="2" applyFont="1" applyBorder="1"/>
    <xf numFmtId="0" fontId="11" fillId="0" borderId="30" xfId="2" applyFont="1" applyBorder="1"/>
    <xf numFmtId="167" fontId="7" fillId="0" borderId="31" xfId="2" applyNumberFormat="1" applyFont="1" applyBorder="1" applyAlignment="1">
      <alignment horizontal="center" vertical="center"/>
    </xf>
    <xf numFmtId="166" fontId="7" fillId="0" borderId="31" xfId="2" applyNumberFormat="1" applyFont="1" applyBorder="1" applyAlignment="1">
      <alignment horizontal="center" vertical="center"/>
    </xf>
    <xf numFmtId="0" fontId="24" fillId="0" borderId="4" xfId="2" applyFont="1"/>
    <xf numFmtId="0" fontId="24" fillId="0" borderId="27" xfId="2" applyFont="1" applyBorder="1" applyAlignment="1">
      <alignment horizontal="center" vertical="center"/>
    </xf>
    <xf numFmtId="169" fontId="24" fillId="0" borderId="4" xfId="2" applyNumberFormat="1" applyFont="1"/>
    <xf numFmtId="0" fontId="19" fillId="0" borderId="4" xfId="2" applyFont="1"/>
    <xf numFmtId="0" fontId="18" fillId="0" borderId="4" xfId="2" applyFont="1"/>
    <xf numFmtId="166" fontId="13" fillId="0" borderId="31" xfId="2" applyNumberFormat="1" applyBorder="1" applyAlignment="1">
      <alignment horizontal="center" vertical="center"/>
    </xf>
    <xf numFmtId="167" fontId="13" fillId="0" borderId="31" xfId="2" applyNumberFormat="1" applyBorder="1" applyAlignment="1">
      <alignment horizontal="center" vertical="center"/>
    </xf>
    <xf numFmtId="169" fontId="13" fillId="0" borderId="4" xfId="4" applyNumberFormat="1" applyFont="1" applyBorder="1" applyAlignment="1">
      <alignment horizontal="center" vertical="center"/>
    </xf>
    <xf numFmtId="169" fontId="13" fillId="0" borderId="29" xfId="4" applyNumberFormat="1" applyFont="1" applyBorder="1" applyAlignment="1">
      <alignment horizontal="center" vertical="center"/>
    </xf>
    <xf numFmtId="169" fontId="13" fillId="0" borderId="31" xfId="4" applyNumberFormat="1" applyFont="1" applyBorder="1" applyAlignment="1">
      <alignment horizontal="center" vertical="center"/>
    </xf>
    <xf numFmtId="169" fontId="13" fillId="0" borderId="32" xfId="4" applyNumberFormat="1" applyFont="1" applyBorder="1" applyAlignment="1">
      <alignment horizontal="center" vertical="center"/>
    </xf>
    <xf numFmtId="10" fontId="13" fillId="0" borderId="31" xfId="2" applyNumberFormat="1" applyBorder="1" applyAlignment="1">
      <alignment horizontal="center" vertical="center"/>
    </xf>
    <xf numFmtId="10" fontId="0" fillId="0" borderId="29" xfId="3" applyNumberFormat="1" applyFont="1" applyBorder="1" applyAlignment="1">
      <alignment horizontal="center" vertical="center"/>
    </xf>
    <xf numFmtId="10" fontId="0" fillId="0" borderId="32" xfId="3" applyNumberFormat="1" applyFont="1" applyBorder="1" applyAlignment="1">
      <alignment horizontal="center" vertical="center"/>
    </xf>
    <xf numFmtId="0" fontId="13" fillId="0" borderId="31" xfId="2" applyBorder="1"/>
    <xf numFmtId="10" fontId="13" fillId="0" borderId="31" xfId="2" applyNumberFormat="1" applyBorder="1"/>
    <xf numFmtId="10" fontId="0" fillId="0" borderId="4" xfId="3" applyNumberFormat="1" applyFont="1" applyBorder="1" applyAlignment="1">
      <alignment horizontal="center" vertical="center"/>
    </xf>
    <xf numFmtId="10" fontId="0" fillId="0" borderId="31" xfId="3" applyNumberFormat="1" applyFont="1" applyBorder="1" applyAlignment="1">
      <alignment horizontal="center" vertical="center"/>
    </xf>
    <xf numFmtId="0" fontId="21" fillId="0" borderId="4" xfId="2" applyFont="1" applyAlignment="1">
      <alignment horizontal="center" vertical="center"/>
    </xf>
    <xf numFmtId="2" fontId="24" fillId="0" borderId="4" xfId="2" applyNumberFormat="1" applyFont="1" applyAlignment="1">
      <alignment horizontal="right" vertical="center"/>
    </xf>
    <xf numFmtId="166" fontId="7" fillId="0" borderId="0" xfId="0" applyNumberFormat="1" applyFont="1" applyAlignment="1">
      <alignment horizontal="center" vertical="center"/>
    </xf>
    <xf numFmtId="166" fontId="11" fillId="7" borderId="4" xfId="0" applyNumberFormat="1" applyFont="1" applyFill="1" applyBorder="1" applyAlignment="1">
      <alignment horizontal="center" vertical="center"/>
    </xf>
    <xf numFmtId="3" fontId="7" fillId="0" borderId="0" xfId="0" applyNumberFormat="1" applyFont="1" applyAlignment="1">
      <alignment horizontal="center" vertical="center"/>
    </xf>
    <xf numFmtId="3" fontId="11" fillId="7" borderId="4" xfId="0" applyNumberFormat="1" applyFont="1" applyFill="1" applyBorder="1" applyAlignment="1">
      <alignment horizontal="center" vertical="center"/>
    </xf>
    <xf numFmtId="0" fontId="24" fillId="0" borderId="0" xfId="0" applyFont="1"/>
    <xf numFmtId="169" fontId="13" fillId="0" borderId="4" xfId="5" applyNumberFormat="1" applyFont="1" applyBorder="1" applyAlignment="1">
      <alignment horizontal="center" vertical="center"/>
    </xf>
    <xf numFmtId="169" fontId="13" fillId="0" borderId="4" xfId="5" applyNumberFormat="1" applyFont="1" applyBorder="1"/>
    <xf numFmtId="169" fontId="13" fillId="0" borderId="31" xfId="5" applyNumberFormat="1" applyFont="1" applyBorder="1"/>
    <xf numFmtId="166" fontId="13" fillId="0" borderId="4" xfId="1" applyNumberFormat="1" applyFont="1" applyBorder="1" applyAlignment="1">
      <alignment horizontal="center" vertical="center"/>
    </xf>
    <xf numFmtId="166" fontId="13" fillId="0" borderId="4" xfId="1" applyNumberFormat="1" applyFont="1" applyBorder="1" applyAlignment="1">
      <alignment horizontal="center"/>
    </xf>
    <xf numFmtId="166" fontId="13" fillId="0" borderId="31" xfId="1" applyNumberFormat="1" applyFont="1" applyBorder="1" applyAlignment="1">
      <alignment horizontal="center"/>
    </xf>
    <xf numFmtId="166" fontId="0" fillId="0" borderId="0" xfId="1" applyNumberFormat="1" applyFont="1"/>
    <xf numFmtId="169" fontId="7" fillId="0" borderId="0" xfId="0" applyNumberFormat="1" applyFont="1" applyAlignment="1">
      <alignment horizontal="center" vertical="center"/>
    </xf>
    <xf numFmtId="166" fontId="7" fillId="3" borderId="4" xfId="0" applyNumberFormat="1" applyFont="1" applyFill="1" applyBorder="1" applyAlignment="1">
      <alignment horizontal="center" vertical="center"/>
    </xf>
    <xf numFmtId="0" fontId="7" fillId="0" borderId="0" xfId="0" applyFont="1" applyAlignment="1">
      <alignment horizontal="center" vertical="center"/>
    </xf>
    <xf numFmtId="3" fontId="11" fillId="7" borderId="4" xfId="0" applyNumberFormat="1" applyFont="1" applyFill="1" applyBorder="1" applyAlignment="1">
      <alignment vertical="center"/>
    </xf>
    <xf numFmtId="0" fontId="11" fillId="0" borderId="0" xfId="0" applyFont="1" applyAlignment="1">
      <alignment horizontal="center" vertical="center"/>
    </xf>
    <xf numFmtId="0" fontId="11" fillId="0" borderId="26" xfId="0" applyFont="1" applyBorder="1" applyAlignment="1">
      <alignment horizontal="center" vertical="center"/>
    </xf>
    <xf numFmtId="0" fontId="11" fillId="0" borderId="43" xfId="0" applyFont="1" applyBorder="1" applyAlignment="1">
      <alignment horizontal="center" vertical="center"/>
    </xf>
    <xf numFmtId="0" fontId="11" fillId="0" borderId="27" xfId="0" applyFont="1" applyBorder="1" applyAlignment="1">
      <alignment horizontal="center" vertical="center"/>
    </xf>
    <xf numFmtId="0" fontId="11" fillId="0" borderId="39" xfId="0" applyFont="1" applyBorder="1" applyAlignment="1">
      <alignment horizontal="center" vertical="center"/>
    </xf>
    <xf numFmtId="1" fontId="7" fillId="0" borderId="4" xfId="0" applyNumberFormat="1" applyFont="1" applyBorder="1" applyAlignment="1">
      <alignment horizontal="center"/>
    </xf>
    <xf numFmtId="166" fontId="7" fillId="0" borderId="4" xfId="0" applyNumberFormat="1" applyFont="1" applyBorder="1" applyAlignment="1">
      <alignment horizontal="center"/>
    </xf>
    <xf numFmtId="167" fontId="7" fillId="0" borderId="4" xfId="0" applyNumberFormat="1" applyFont="1" applyBorder="1" applyAlignment="1">
      <alignment horizontal="center" vertical="center"/>
    </xf>
    <xf numFmtId="10" fontId="7" fillId="0" borderId="16" xfId="0" applyNumberFormat="1" applyFont="1" applyBorder="1" applyAlignment="1">
      <alignment horizontal="center" vertical="center"/>
    </xf>
    <xf numFmtId="1" fontId="7" fillId="0" borderId="4" xfId="0" applyNumberFormat="1" applyFont="1" applyBorder="1" applyAlignment="1">
      <alignment horizontal="center" vertical="center"/>
    </xf>
    <xf numFmtId="9" fontId="7" fillId="0" borderId="16" xfId="0" applyNumberFormat="1" applyFont="1" applyBorder="1" applyAlignment="1">
      <alignment horizontal="center" vertical="center"/>
    </xf>
    <xf numFmtId="166" fontId="7" fillId="0" borderId="29" xfId="0" applyNumberFormat="1" applyFont="1" applyBorder="1" applyAlignment="1">
      <alignment horizontal="center"/>
    </xf>
    <xf numFmtId="9" fontId="7" fillId="0" borderId="40" xfId="0" applyNumberFormat="1" applyFont="1" applyBorder="1" applyAlignment="1">
      <alignment horizontal="center" vertical="center"/>
    </xf>
    <xf numFmtId="1" fontId="7" fillId="0" borderId="31" xfId="0" applyNumberFormat="1" applyFont="1" applyBorder="1" applyAlignment="1">
      <alignment horizontal="center"/>
    </xf>
    <xf numFmtId="166" fontId="7" fillId="0" borderId="31" xfId="0" applyNumberFormat="1" applyFont="1" applyBorder="1" applyAlignment="1">
      <alignment horizontal="center"/>
    </xf>
    <xf numFmtId="167" fontId="7" fillId="0" borderId="31" xfId="0" applyNumberFormat="1" applyFont="1" applyBorder="1" applyAlignment="1">
      <alignment horizontal="center" vertical="center"/>
    </xf>
    <xf numFmtId="10" fontId="7" fillId="0" borderId="44" xfId="0" applyNumberFormat="1" applyFont="1" applyBorder="1" applyAlignment="1">
      <alignment horizontal="center" vertical="center"/>
    </xf>
    <xf numFmtId="1" fontId="7" fillId="0" borderId="31" xfId="0" applyNumberFormat="1" applyFont="1" applyBorder="1" applyAlignment="1">
      <alignment horizontal="center" vertical="center"/>
    </xf>
    <xf numFmtId="9" fontId="7" fillId="0" borderId="44" xfId="0" applyNumberFormat="1" applyFont="1" applyBorder="1" applyAlignment="1">
      <alignment horizontal="center" vertical="center"/>
    </xf>
    <xf numFmtId="166" fontId="7" fillId="0" borderId="32" xfId="0" applyNumberFormat="1" applyFont="1" applyBorder="1" applyAlignment="1">
      <alignment horizontal="center"/>
    </xf>
    <xf numFmtId="9" fontId="7" fillId="0" borderId="41" xfId="0" applyNumberFormat="1" applyFont="1" applyBorder="1" applyAlignment="1">
      <alignment horizontal="center" vertical="center"/>
    </xf>
    <xf numFmtId="0" fontId="24" fillId="0" borderId="25" xfId="2" applyFont="1" applyBorder="1" applyAlignment="1">
      <alignment horizontal="center" vertical="center"/>
    </xf>
    <xf numFmtId="167" fontId="7" fillId="0" borderId="28" xfId="2" applyNumberFormat="1" applyFont="1" applyBorder="1" applyAlignment="1">
      <alignment horizontal="center" vertical="center"/>
    </xf>
    <xf numFmtId="166" fontId="7" fillId="0" borderId="4" xfId="2" applyNumberFormat="1" applyFont="1" applyAlignment="1">
      <alignment horizontal="center" vertical="center"/>
    </xf>
    <xf numFmtId="167" fontId="7" fillId="0" borderId="4" xfId="2" applyNumberFormat="1" applyFont="1" applyAlignment="1">
      <alignment horizontal="center" vertical="center"/>
    </xf>
    <xf numFmtId="166" fontId="13" fillId="0" borderId="4" xfId="2" applyNumberFormat="1" applyAlignment="1">
      <alignment horizontal="center" vertical="center"/>
    </xf>
    <xf numFmtId="167" fontId="13" fillId="0" borderId="4" xfId="2" applyNumberFormat="1" applyAlignment="1">
      <alignment horizontal="center" vertical="center"/>
    </xf>
    <xf numFmtId="10" fontId="13" fillId="0" borderId="4" xfId="2" applyNumberFormat="1" applyAlignment="1">
      <alignment horizontal="center" vertical="center"/>
    </xf>
    <xf numFmtId="2" fontId="13" fillId="0" borderId="4" xfId="2" applyNumberFormat="1"/>
    <xf numFmtId="167" fontId="7" fillId="0" borderId="30" xfId="2" applyNumberFormat="1" applyFont="1" applyBorder="1" applyAlignment="1">
      <alignment horizontal="center" vertical="center"/>
    </xf>
    <xf numFmtId="0" fontId="0" fillId="0" borderId="0" xfId="0" applyAlignment="1">
      <alignment horizontal="center"/>
    </xf>
    <xf numFmtId="169" fontId="24" fillId="0" borderId="0" xfId="0" applyNumberFormat="1" applyFont="1"/>
    <xf numFmtId="0" fontId="24" fillId="0" borderId="0" xfId="0" applyFont="1" applyAlignment="1">
      <alignment horizontal="center" vertical="center"/>
    </xf>
    <xf numFmtId="10" fontId="24" fillId="0" borderId="0" xfId="0" applyNumberFormat="1" applyFont="1"/>
    <xf numFmtId="166" fontId="24" fillId="0" borderId="0" xfId="1" applyNumberFormat="1" applyFont="1"/>
    <xf numFmtId="0" fontId="13" fillId="0" borderId="0" xfId="0" applyFont="1"/>
    <xf numFmtId="0" fontId="32" fillId="7" borderId="0" xfId="0" applyFont="1" applyFill="1"/>
    <xf numFmtId="0" fontId="33" fillId="7" borderId="4" xfId="0" applyFont="1" applyFill="1" applyBorder="1"/>
    <xf numFmtId="0" fontId="34" fillId="0" borderId="4" xfId="0" applyFont="1" applyBorder="1"/>
    <xf numFmtId="0" fontId="35" fillId="0" borderId="4" xfId="0" applyFont="1" applyBorder="1" applyAlignment="1">
      <alignment horizontal="center"/>
    </xf>
    <xf numFmtId="0" fontId="35" fillId="0" borderId="4" xfId="0" applyFont="1" applyBorder="1"/>
    <xf numFmtId="3" fontId="33" fillId="0" borderId="4" xfId="0" applyNumberFormat="1" applyFont="1" applyBorder="1" applyAlignment="1">
      <alignment horizontal="center" vertical="center"/>
    </xf>
    <xf numFmtId="166" fontId="33" fillId="12" borderId="4" xfId="0" applyNumberFormat="1" applyFont="1" applyFill="1" applyBorder="1" applyAlignment="1">
      <alignment horizontal="center" vertical="center"/>
    </xf>
    <xf numFmtId="166" fontId="33" fillId="0" borderId="4" xfId="0" applyNumberFormat="1" applyFont="1" applyBorder="1" applyAlignment="1">
      <alignment horizontal="center" vertical="center"/>
    </xf>
    <xf numFmtId="3" fontId="35" fillId="7" borderId="4" xfId="0" applyNumberFormat="1" applyFont="1" applyFill="1" applyBorder="1" applyAlignment="1">
      <alignment horizontal="center" vertical="center"/>
    </xf>
    <xf numFmtId="166" fontId="35" fillId="7" borderId="4" xfId="0" applyNumberFormat="1" applyFont="1" applyFill="1" applyBorder="1" applyAlignment="1">
      <alignment horizontal="center" vertical="center"/>
    </xf>
    <xf numFmtId="10" fontId="37" fillId="14" borderId="48" xfId="3" applyNumberFormat="1" applyFont="1" applyFill="1" applyBorder="1" applyAlignment="1">
      <alignment horizontal="center" vertical="center"/>
    </xf>
    <xf numFmtId="10" fontId="37" fillId="14" borderId="47" xfId="3" applyNumberFormat="1" applyFont="1" applyFill="1" applyBorder="1" applyAlignment="1">
      <alignment horizontal="center" vertical="center"/>
    </xf>
    <xf numFmtId="10" fontId="37" fillId="14" borderId="45" xfId="3" applyNumberFormat="1" applyFont="1" applyFill="1" applyBorder="1" applyAlignment="1">
      <alignment horizontal="center" vertical="center"/>
    </xf>
    <xf numFmtId="10" fontId="38" fillId="14" borderId="36" xfId="3" applyNumberFormat="1" applyFont="1" applyFill="1" applyBorder="1" applyAlignment="1">
      <alignment horizontal="center" vertical="center"/>
    </xf>
    <xf numFmtId="10" fontId="38" fillId="14" borderId="49" xfId="3" applyNumberFormat="1" applyFont="1" applyFill="1" applyBorder="1" applyAlignment="1">
      <alignment horizontal="center" vertical="center"/>
    </xf>
    <xf numFmtId="10" fontId="38" fillId="14" borderId="38" xfId="3" applyNumberFormat="1" applyFont="1" applyFill="1" applyBorder="1" applyAlignment="1">
      <alignment horizontal="center" vertical="center"/>
    </xf>
    <xf numFmtId="10" fontId="38" fillId="14" borderId="4" xfId="3" applyNumberFormat="1" applyFont="1" applyFill="1" applyBorder="1" applyAlignment="1">
      <alignment horizontal="center" vertical="center"/>
    </xf>
    <xf numFmtId="0" fontId="2" fillId="3" borderId="42" xfId="2" applyFont="1" applyFill="1" applyBorder="1" applyAlignment="1">
      <alignment horizontal="center" vertical="center" wrapText="1"/>
    </xf>
    <xf numFmtId="0" fontId="2" fillId="3" borderId="13" xfId="2" applyFont="1" applyFill="1" applyBorder="1" applyAlignment="1">
      <alignment horizontal="center" vertical="center" wrapText="1"/>
    </xf>
    <xf numFmtId="0" fontId="25" fillId="0" borderId="4" xfId="2" applyFont="1"/>
    <xf numFmtId="0" fontId="36" fillId="14" borderId="35" xfId="2" applyFont="1" applyFill="1" applyBorder="1" applyAlignment="1">
      <alignment horizontal="center" vertical="center"/>
    </xf>
    <xf numFmtId="3" fontId="37" fillId="14" borderId="45" xfId="2" applyNumberFormat="1" applyFont="1" applyFill="1" applyBorder="1" applyAlignment="1">
      <alignment horizontal="center" vertical="center"/>
    </xf>
    <xf numFmtId="3" fontId="13" fillId="0" borderId="45" xfId="2" applyNumberFormat="1" applyBorder="1" applyAlignment="1">
      <alignment horizontal="center" vertical="center"/>
    </xf>
    <xf numFmtId="0" fontId="13" fillId="0" borderId="45" xfId="2" applyBorder="1"/>
    <xf numFmtId="3" fontId="24" fillId="0" borderId="36" xfId="2" applyNumberFormat="1" applyFont="1" applyBorder="1" applyAlignment="1">
      <alignment horizontal="center" vertical="center"/>
    </xf>
    <xf numFmtId="0" fontId="36" fillId="14" borderId="46" xfId="2" applyFont="1" applyFill="1" applyBorder="1" applyAlignment="1">
      <alignment horizontal="center" vertical="center"/>
    </xf>
    <xf numFmtId="3" fontId="37" fillId="14" borderId="47" xfId="2" applyNumberFormat="1" applyFont="1" applyFill="1" applyBorder="1" applyAlignment="1">
      <alignment horizontal="center" vertical="center"/>
    </xf>
    <xf numFmtId="3" fontId="13" fillId="0" borderId="47" xfId="2" applyNumberFormat="1" applyBorder="1" applyAlignment="1">
      <alignment horizontal="center" vertical="center"/>
    </xf>
    <xf numFmtId="0" fontId="13" fillId="0" borderId="47" xfId="2" applyBorder="1"/>
    <xf numFmtId="3" fontId="24" fillId="0" borderId="49" xfId="2" applyNumberFormat="1" applyFont="1" applyBorder="1" applyAlignment="1">
      <alignment horizontal="center" vertical="center"/>
    </xf>
    <xf numFmtId="0" fontId="36" fillId="14" borderId="37" xfId="2" applyFont="1" applyFill="1" applyBorder="1" applyAlignment="1">
      <alignment horizontal="center" vertical="center"/>
    </xf>
    <xf numFmtId="3" fontId="37" fillId="14" borderId="48" xfId="2" applyNumberFormat="1" applyFont="1" applyFill="1" applyBorder="1" applyAlignment="1">
      <alignment horizontal="center" vertical="center"/>
    </xf>
    <xf numFmtId="3" fontId="13" fillId="0" borderId="48" xfId="2" applyNumberFormat="1" applyBorder="1" applyAlignment="1">
      <alignment horizontal="center" vertical="center"/>
    </xf>
    <xf numFmtId="0" fontId="13" fillId="0" borderId="48" xfId="2" applyBorder="1"/>
    <xf numFmtId="3" fontId="24" fillId="0" borderId="38" xfId="2" applyNumberFormat="1" applyFont="1" applyBorder="1" applyAlignment="1">
      <alignment horizontal="center" vertical="center"/>
    </xf>
    <xf numFmtId="0" fontId="36" fillId="14" borderId="4" xfId="2" applyFont="1" applyFill="1" applyAlignment="1">
      <alignment horizontal="center" vertical="center"/>
    </xf>
    <xf numFmtId="3" fontId="38" fillId="14" borderId="4" xfId="2" applyNumberFormat="1" applyFont="1" applyFill="1" applyAlignment="1">
      <alignment horizontal="center" vertical="center"/>
    </xf>
    <xf numFmtId="0" fontId="13" fillId="0" borderId="4" xfId="2" applyAlignment="1">
      <alignment horizontal="center" vertical="center"/>
    </xf>
    <xf numFmtId="0" fontId="39" fillId="0" borderId="0" xfId="0" applyFont="1" applyAlignment="1">
      <alignment horizontal="center"/>
    </xf>
    <xf numFmtId="10" fontId="0" fillId="0" borderId="0" xfId="0" applyNumberFormat="1" applyAlignment="1">
      <alignment horizontal="center"/>
    </xf>
    <xf numFmtId="10" fontId="39" fillId="0" borderId="0" xfId="1" applyNumberFormat="1" applyFont="1" applyAlignment="1">
      <alignment horizontal="center"/>
    </xf>
    <xf numFmtId="1" fontId="40" fillId="0" borderId="0" xfId="5" applyNumberFormat="1" applyFont="1" applyAlignment="1">
      <alignment horizontal="center"/>
    </xf>
    <xf numFmtId="10" fontId="0" fillId="0" borderId="0" xfId="0" applyNumberFormat="1"/>
    <xf numFmtId="9" fontId="27" fillId="3" borderId="4" xfId="1"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42" xfId="0" applyFont="1" applyFill="1" applyBorder="1" applyAlignment="1">
      <alignment vertical="center" wrapText="1"/>
    </xf>
    <xf numFmtId="0" fontId="2" fillId="3" borderId="34" xfId="2" applyFont="1" applyFill="1" applyBorder="1" applyAlignment="1">
      <alignment horizontal="center" vertical="center" wrapText="1"/>
    </xf>
    <xf numFmtId="0" fontId="15" fillId="0" borderId="4" xfId="2" applyFont="1" applyAlignment="1">
      <alignment horizontal="center" vertical="center"/>
    </xf>
    <xf numFmtId="10" fontId="15" fillId="0" borderId="4" xfId="2" applyNumberFormat="1" applyFont="1" applyAlignment="1">
      <alignment horizontal="center" vertical="center"/>
    </xf>
    <xf numFmtId="0" fontId="13" fillId="0" borderId="27" xfId="2" applyBorder="1" applyAlignment="1">
      <alignment horizontal="center" vertical="center"/>
    </xf>
    <xf numFmtId="0" fontId="13" fillId="0" borderId="29" xfId="2" applyBorder="1" applyAlignment="1">
      <alignment horizontal="center" vertical="center"/>
    </xf>
    <xf numFmtId="0" fontId="13" fillId="0" borderId="32" xfId="2" applyBorder="1" applyAlignment="1">
      <alignment horizontal="center" vertical="center"/>
    </xf>
    <xf numFmtId="169" fontId="0" fillId="0" borderId="0" xfId="5" applyNumberFormat="1" applyFont="1" applyAlignment="1">
      <alignment horizontal="center" vertical="center"/>
    </xf>
    <xf numFmtId="1" fontId="15" fillId="0" borderId="28" xfId="0" applyNumberFormat="1" applyFont="1" applyBorder="1" applyAlignment="1">
      <alignment horizontal="center"/>
    </xf>
    <xf numFmtId="0" fontId="15" fillId="0" borderId="29" xfId="0" applyFont="1" applyBorder="1" applyAlignment="1">
      <alignment horizontal="center"/>
    </xf>
    <xf numFmtId="0" fontId="15" fillId="0" borderId="32" xfId="0" applyFont="1" applyBorder="1" applyAlignment="1">
      <alignment horizontal="center"/>
    </xf>
    <xf numFmtId="170" fontId="0" fillId="0" borderId="0" xfId="0" applyNumberFormat="1"/>
    <xf numFmtId="169" fontId="13" fillId="0" borderId="4" xfId="5" applyNumberFormat="1" applyFont="1" applyBorder="1" applyAlignment="1">
      <alignment horizontal="center"/>
    </xf>
    <xf numFmtId="169" fontId="13" fillId="0" borderId="31" xfId="5" applyNumberFormat="1" applyFont="1" applyBorder="1" applyAlignment="1">
      <alignment horizontal="center"/>
    </xf>
    <xf numFmtId="1" fontId="15" fillId="0" borderId="30" xfId="0" applyNumberFormat="1" applyFont="1" applyBorder="1" applyAlignment="1">
      <alignment horizontal="center" vertical="center"/>
    </xf>
    <xf numFmtId="0" fontId="14" fillId="0" borderId="4" xfId="2" applyFont="1" applyAlignment="1">
      <alignment horizontal="center" vertical="center" wrapText="1"/>
    </xf>
    <xf numFmtId="164" fontId="0" fillId="0" borderId="0" xfId="0" applyNumberFormat="1"/>
    <xf numFmtId="164" fontId="13" fillId="0" borderId="0" xfId="0" applyNumberFormat="1" applyFont="1"/>
    <xf numFmtId="171" fontId="41" fillId="14" borderId="0" xfId="0" applyNumberFormat="1" applyFont="1" applyFill="1"/>
    <xf numFmtId="14" fontId="41" fillId="0" borderId="4" xfId="2" applyNumberFormat="1" applyFont="1" applyAlignment="1">
      <alignment horizontal="center" vertical="center"/>
    </xf>
    <xf numFmtId="0" fontId="44" fillId="0" borderId="4" xfId="2" applyFont="1"/>
    <xf numFmtId="14" fontId="41" fillId="0" borderId="4" xfId="2" applyNumberFormat="1" applyFont="1"/>
    <xf numFmtId="0" fontId="1" fillId="2" borderId="25" xfId="0" applyFont="1" applyFill="1" applyBorder="1" applyAlignment="1">
      <alignment horizontal="center" vertical="center" wrapText="1"/>
    </xf>
    <xf numFmtId="0" fontId="1" fillId="2" borderId="28" xfId="0" applyFont="1" applyFill="1" applyBorder="1" applyAlignment="1">
      <alignment horizontal="center" vertical="center" wrapText="1"/>
    </xf>
    <xf numFmtId="0" fontId="1" fillId="4" borderId="30" xfId="0" applyFont="1" applyFill="1" applyBorder="1" applyAlignment="1">
      <alignment horizontal="center" vertical="center" wrapText="1"/>
    </xf>
    <xf numFmtId="0" fontId="0" fillId="0" borderId="4" xfId="0" applyBorder="1"/>
    <xf numFmtId="3" fontId="3" fillId="3" borderId="28" xfId="0" applyNumberFormat="1" applyFont="1" applyFill="1" applyBorder="1" applyAlignment="1">
      <alignment horizontal="center" vertical="center" wrapText="1"/>
    </xf>
    <xf numFmtId="3" fontId="5" fillId="3" borderId="28" xfId="0" applyNumberFormat="1" applyFont="1" applyFill="1" applyBorder="1" applyAlignment="1">
      <alignment horizontal="center" vertical="center" wrapText="1"/>
    </xf>
    <xf numFmtId="10" fontId="6" fillId="4" borderId="30" xfId="0" applyNumberFormat="1" applyFont="1" applyFill="1" applyBorder="1" applyAlignment="1">
      <alignment horizontal="center" vertical="center" wrapText="1"/>
    </xf>
    <xf numFmtId="3" fontId="2" fillId="3" borderId="39" xfId="0" applyNumberFormat="1" applyFont="1" applyFill="1" applyBorder="1" applyAlignment="1">
      <alignment horizontal="center" vertical="center" wrapText="1"/>
    </xf>
    <xf numFmtId="3" fontId="2" fillId="3" borderId="40" xfId="0" applyNumberFormat="1" applyFont="1" applyFill="1" applyBorder="1" applyAlignment="1">
      <alignment horizontal="center" vertical="center" wrapText="1"/>
    </xf>
    <xf numFmtId="0" fontId="11" fillId="0" borderId="4" xfId="2" applyFont="1" applyAlignment="1">
      <alignment horizontal="center" vertical="center"/>
    </xf>
    <xf numFmtId="4" fontId="31" fillId="0" borderId="4" xfId="6" applyNumberFormat="1" applyBorder="1"/>
    <xf numFmtId="9" fontId="0" fillId="0" borderId="0" xfId="0" applyNumberFormat="1"/>
    <xf numFmtId="169" fontId="0" fillId="0" borderId="0" xfId="5" applyNumberFormat="1" applyFont="1"/>
    <xf numFmtId="169" fontId="0" fillId="0" borderId="0" xfId="0" applyNumberFormat="1"/>
    <xf numFmtId="0" fontId="1" fillId="7" borderId="51" xfId="2" applyFont="1" applyFill="1" applyBorder="1" applyAlignment="1">
      <alignment horizontal="center" vertical="center"/>
    </xf>
    <xf numFmtId="165" fontId="2" fillId="7" borderId="52" xfId="2" applyNumberFormat="1" applyFont="1" applyFill="1" applyBorder="1" applyAlignment="1">
      <alignment horizontal="center" vertical="center"/>
    </xf>
    <xf numFmtId="165" fontId="2" fillId="7" borderId="53" xfId="2" applyNumberFormat="1" applyFont="1" applyFill="1" applyBorder="1" applyAlignment="1">
      <alignment horizontal="center" vertical="center"/>
    </xf>
    <xf numFmtId="165" fontId="2" fillId="7" borderId="54" xfId="2" applyNumberFormat="1" applyFont="1" applyFill="1" applyBorder="1" applyAlignment="1">
      <alignment horizontal="center" vertical="center"/>
    </xf>
    <xf numFmtId="0" fontId="4" fillId="8" borderId="55" xfId="2" applyFont="1" applyFill="1" applyBorder="1" applyAlignment="1">
      <alignment horizontal="center" vertical="center" wrapText="1"/>
    </xf>
    <xf numFmtId="3" fontId="3" fillId="5" borderId="50" xfId="2" applyNumberFormat="1" applyFont="1" applyFill="1" applyBorder="1" applyAlignment="1">
      <alignment horizontal="center" vertical="center" wrapText="1"/>
    </xf>
    <xf numFmtId="0" fontId="4" fillId="8" borderId="56" xfId="2" applyFont="1" applyFill="1" applyBorder="1" applyAlignment="1">
      <alignment horizontal="center" vertical="center" wrapText="1"/>
    </xf>
    <xf numFmtId="0" fontId="1" fillId="8" borderId="56" xfId="2" applyFont="1" applyFill="1" applyBorder="1" applyAlignment="1">
      <alignment horizontal="center" vertical="center" wrapText="1"/>
    </xf>
    <xf numFmtId="9" fontId="2" fillId="5" borderId="50" xfId="2" applyNumberFormat="1" applyFont="1" applyFill="1" applyBorder="1" applyAlignment="1">
      <alignment horizontal="center" vertical="center" wrapText="1"/>
    </xf>
    <xf numFmtId="166" fontId="3" fillId="5" borderId="50" xfId="2" applyNumberFormat="1" applyFont="1" applyFill="1" applyBorder="1" applyAlignment="1">
      <alignment horizontal="center" vertical="center" wrapText="1"/>
    </xf>
    <xf numFmtId="167" fontId="3" fillId="5" borderId="50" xfId="2" applyNumberFormat="1" applyFont="1" applyFill="1" applyBorder="1" applyAlignment="1">
      <alignment horizontal="center" vertical="center" wrapText="1"/>
    </xf>
    <xf numFmtId="0" fontId="4" fillId="8" borderId="57" xfId="2" applyFont="1" applyFill="1" applyBorder="1" applyAlignment="1">
      <alignment horizontal="center" vertical="center" wrapText="1"/>
    </xf>
    <xf numFmtId="3" fontId="3" fillId="5" borderId="58" xfId="2" applyNumberFormat="1" applyFont="1" applyFill="1" applyBorder="1" applyAlignment="1">
      <alignment horizontal="center" vertical="center" wrapText="1"/>
    </xf>
    <xf numFmtId="0" fontId="4" fillId="9" borderId="55" xfId="2" applyFont="1" applyFill="1" applyBorder="1" applyAlignment="1">
      <alignment horizontal="center" vertical="center" wrapText="1"/>
    </xf>
    <xf numFmtId="0" fontId="4" fillId="9" borderId="56" xfId="2" applyFont="1" applyFill="1" applyBorder="1" applyAlignment="1">
      <alignment horizontal="center" vertical="center" wrapText="1"/>
    </xf>
    <xf numFmtId="0" fontId="1" fillId="9" borderId="56" xfId="2" applyFont="1" applyFill="1" applyBorder="1" applyAlignment="1">
      <alignment horizontal="center" vertical="center" wrapText="1"/>
    </xf>
    <xf numFmtId="168" fontId="3" fillId="5" borderId="50" xfId="2" applyNumberFormat="1" applyFont="1" applyFill="1" applyBorder="1" applyAlignment="1">
      <alignment horizontal="center" vertical="center" wrapText="1"/>
    </xf>
    <xf numFmtId="0" fontId="4" fillId="9" borderId="57" xfId="2" applyFont="1" applyFill="1" applyBorder="1" applyAlignment="1">
      <alignment horizontal="center" vertical="center" wrapText="1"/>
    </xf>
    <xf numFmtId="1" fontId="3" fillId="5" borderId="58" xfId="2" applyNumberFormat="1" applyFont="1" applyFill="1" applyBorder="1" applyAlignment="1">
      <alignment horizontal="center" vertical="center" wrapText="1"/>
    </xf>
    <xf numFmtId="0" fontId="4" fillId="10" borderId="55" xfId="2" applyFont="1" applyFill="1" applyBorder="1" applyAlignment="1">
      <alignment horizontal="center" vertical="center" wrapText="1"/>
    </xf>
    <xf numFmtId="0" fontId="4" fillId="10" borderId="56" xfId="2" applyFont="1" applyFill="1" applyBorder="1" applyAlignment="1">
      <alignment horizontal="center" vertical="center" wrapText="1"/>
    </xf>
    <xf numFmtId="0" fontId="1" fillId="10" borderId="56" xfId="2" applyFont="1" applyFill="1" applyBorder="1" applyAlignment="1">
      <alignment horizontal="center" vertical="center" wrapText="1"/>
    </xf>
    <xf numFmtId="0" fontId="4" fillId="11" borderId="55" xfId="2" applyFont="1" applyFill="1" applyBorder="1" applyAlignment="1">
      <alignment horizontal="center" vertical="center" wrapText="1"/>
    </xf>
    <xf numFmtId="0" fontId="4" fillId="11" borderId="56" xfId="2" applyFont="1" applyFill="1" applyBorder="1" applyAlignment="1">
      <alignment horizontal="center" vertical="center" wrapText="1"/>
    </xf>
    <xf numFmtId="0" fontId="1" fillId="11" borderId="56" xfId="2" applyFont="1" applyFill="1" applyBorder="1" applyAlignment="1">
      <alignment horizontal="center" vertical="center" wrapText="1"/>
    </xf>
    <xf numFmtId="0" fontId="4" fillId="11" borderId="57" xfId="2" applyFont="1" applyFill="1" applyBorder="1" applyAlignment="1">
      <alignment horizontal="center" vertical="center" wrapText="1"/>
    </xf>
    <xf numFmtId="0" fontId="9" fillId="6" borderId="59" xfId="2" applyFont="1" applyFill="1" applyBorder="1" applyAlignment="1">
      <alignment horizontal="center" vertical="center" wrapText="1"/>
    </xf>
    <xf numFmtId="3" fontId="2" fillId="6" borderId="60" xfId="2" applyNumberFormat="1" applyFont="1" applyFill="1" applyBorder="1" applyAlignment="1">
      <alignment horizontal="center" vertical="center" wrapText="1"/>
    </xf>
    <xf numFmtId="0" fontId="10" fillId="6" borderId="28" xfId="2" applyFont="1" applyFill="1" applyBorder="1" applyAlignment="1">
      <alignment horizontal="center" vertical="center" wrapText="1"/>
    </xf>
    <xf numFmtId="3" fontId="5" fillId="6" borderId="50" xfId="2" applyNumberFormat="1" applyFont="1" applyFill="1" applyBorder="1" applyAlignment="1">
      <alignment horizontal="center" vertical="center" wrapText="1"/>
    </xf>
    <xf numFmtId="0" fontId="10" fillId="4" borderId="28" xfId="2" applyFont="1" applyFill="1" applyBorder="1" applyAlignment="1">
      <alignment horizontal="center" vertical="center" wrapText="1"/>
    </xf>
    <xf numFmtId="9" fontId="6" fillId="4" borderId="50" xfId="2" applyNumberFormat="1" applyFont="1" applyFill="1" applyBorder="1" applyAlignment="1">
      <alignment horizontal="center" vertical="center" wrapText="1"/>
    </xf>
    <xf numFmtId="0" fontId="10" fillId="4" borderId="61" xfId="2" applyFont="1" applyFill="1" applyBorder="1" applyAlignment="1">
      <alignment horizontal="center" vertical="center" wrapText="1"/>
    </xf>
    <xf numFmtId="9" fontId="6" fillId="4" borderId="58" xfId="2" applyNumberFormat="1" applyFont="1" applyFill="1" applyBorder="1" applyAlignment="1">
      <alignment horizontal="center" vertical="center" wrapText="1"/>
    </xf>
    <xf numFmtId="0" fontId="10" fillId="4" borderId="30" xfId="2" applyFont="1" applyFill="1" applyBorder="1" applyAlignment="1">
      <alignment horizontal="center" vertical="center" wrapText="1"/>
    </xf>
    <xf numFmtId="9" fontId="6" fillId="4" borderId="31" xfId="2" applyNumberFormat="1" applyFont="1" applyFill="1" applyBorder="1" applyAlignment="1">
      <alignment horizontal="center" vertical="center" wrapText="1"/>
    </xf>
    <xf numFmtId="9" fontId="6" fillId="4" borderId="62" xfId="2" applyNumberFormat="1" applyFont="1" applyFill="1" applyBorder="1" applyAlignment="1">
      <alignment horizontal="center" vertical="center" wrapText="1"/>
    </xf>
    <xf numFmtId="9" fontId="6" fillId="4" borderId="63" xfId="2" applyNumberFormat="1" applyFont="1" applyFill="1" applyBorder="1" applyAlignment="1">
      <alignment horizontal="center" vertical="center" wrapText="1"/>
    </xf>
    <xf numFmtId="169" fontId="13" fillId="0" borderId="45" xfId="5" applyNumberFormat="1" applyFont="1" applyBorder="1"/>
    <xf numFmtId="169" fontId="13" fillId="0" borderId="47" xfId="5" applyNumberFormat="1" applyFont="1" applyBorder="1"/>
    <xf numFmtId="169" fontId="13" fillId="0" borderId="48" xfId="5" applyNumberFormat="1" applyFont="1" applyBorder="1"/>
    <xf numFmtId="168" fontId="5" fillId="3" borderId="28" xfId="0" applyNumberFormat="1" applyFont="1" applyFill="1" applyBorder="1" applyAlignment="1">
      <alignment horizontal="center" vertical="center" wrapText="1"/>
    </xf>
    <xf numFmtId="4" fontId="3" fillId="3" borderId="28" xfId="0" applyNumberFormat="1" applyFont="1" applyFill="1" applyBorder="1" applyAlignment="1">
      <alignment horizontal="center" vertical="center" wrapText="1"/>
    </xf>
    <xf numFmtId="0" fontId="18" fillId="0" borderId="4" xfId="2" applyFont="1" applyAlignment="1">
      <alignment horizontal="center"/>
    </xf>
    <xf numFmtId="0" fontId="14" fillId="3" borderId="4" xfId="2" applyFont="1" applyFill="1" applyAlignment="1">
      <alignment horizontal="left" vertical="top" wrapText="1"/>
    </xf>
    <xf numFmtId="0" fontId="18" fillId="0" borderId="0" xfId="0" applyFont="1" applyAlignment="1">
      <alignment horizontal="center"/>
    </xf>
    <xf numFmtId="1" fontId="15" fillId="0" borderId="25" xfId="0" applyNumberFormat="1" applyFont="1" applyBorder="1" applyAlignment="1">
      <alignment horizontal="center" vertical="center"/>
    </xf>
    <xf numFmtId="1" fontId="15" fillId="0" borderId="28" xfId="0" applyNumberFormat="1" applyFont="1" applyBorder="1" applyAlignment="1">
      <alignment horizontal="center" vertical="center"/>
    </xf>
    <xf numFmtId="3" fontId="15" fillId="0" borderId="27" xfId="0" applyNumberFormat="1" applyFont="1" applyBorder="1" applyAlignment="1">
      <alignment horizontal="center" vertical="center"/>
    </xf>
    <xf numFmtId="3" fontId="15" fillId="0" borderId="29" xfId="0" applyNumberFormat="1" applyFont="1" applyBorder="1" applyAlignment="1">
      <alignment horizontal="center" vertical="center"/>
    </xf>
    <xf numFmtId="0" fontId="25" fillId="0" borderId="31" xfId="0" applyFont="1" applyBorder="1" applyAlignment="1">
      <alignment horizontal="center"/>
    </xf>
    <xf numFmtId="0" fontId="39" fillId="0" borderId="0" xfId="0" applyFont="1" applyAlignment="1">
      <alignment horizontal="center"/>
    </xf>
    <xf numFmtId="0" fontId="11" fillId="0" borderId="4" xfId="2" applyFont="1" applyAlignment="1">
      <alignment horizontal="center"/>
    </xf>
    <xf numFmtId="0" fontId="11" fillId="0" borderId="0" xfId="0" applyFont="1" applyAlignment="1">
      <alignment horizontal="center"/>
    </xf>
    <xf numFmtId="0" fontId="0" fillId="0" borderId="0" xfId="0"/>
  </cellXfs>
  <cellStyles count="7">
    <cellStyle name="Comma 2" xfId="4" xr:uid="{2BBE4302-9BFC-C344-8486-7D3C3758039D}"/>
    <cellStyle name="Hipervínculo" xfId="6" builtinId="8"/>
    <cellStyle name="Millares" xfId="5" builtinId="3"/>
    <cellStyle name="Normal" xfId="0" builtinId="0"/>
    <cellStyle name="Normal 2" xfId="2" xr:uid="{43304097-C04D-AF4C-BB2E-B4EC442E1FB9}"/>
    <cellStyle name="Percent 2" xfId="3" xr:uid="{5CDE8201-5761-5941-8E3D-421F3A23912C}"/>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Procesamiento RFF</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'ACUMULADO 2025'!$A$5:$B$5</c:f>
              <c:strCache>
                <c:ptCount val="2"/>
                <c:pt idx="0">
                  <c:v>Codazzi</c:v>
                </c:pt>
                <c:pt idx="1">
                  <c:v>RFF Procesada 2025</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'ACUMULADO 2025'!$C$4:$K$4</c:f>
            </c:multiLvlStrRef>
          </c:cat>
          <c:val>
            <c:numRef>
              <c:f>'ACUMULADO 2025'!$C$5:$K$5</c:f>
            </c:numRef>
          </c:val>
          <c:extLst>
            <c:ext xmlns:c16="http://schemas.microsoft.com/office/drawing/2014/chart" uri="{C3380CC4-5D6E-409C-BE32-E72D297353CC}">
              <c16:uniqueId val="{00000000-243A-F749-8951-80C0ABEA0E1A}"/>
            </c:ext>
          </c:extLst>
        </c:ser>
        <c:ser>
          <c:idx val="1"/>
          <c:order val="1"/>
          <c:tx>
            <c:strRef>
              <c:f>'ACUMULADO 2025'!$A$6:$B$6</c:f>
              <c:strCache>
                <c:ptCount val="2"/>
                <c:pt idx="0">
                  <c:v>MLB</c:v>
                </c:pt>
                <c:pt idx="1">
                  <c:v>RFF Procesada 2025</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'ACUMULADO 2025'!$C$4:$K$4</c:f>
            </c:multiLvlStrRef>
          </c:cat>
          <c:val>
            <c:numRef>
              <c:f>'ACUMULADO 2025'!$C$6:$K$6</c:f>
            </c:numRef>
          </c:val>
          <c:extLst>
            <c:ext xmlns:c16="http://schemas.microsoft.com/office/drawing/2014/chart" uri="{C3380CC4-5D6E-409C-BE32-E72D297353CC}">
              <c16:uniqueId val="{00000001-243A-F749-8951-80C0ABEA0E1A}"/>
            </c:ext>
          </c:extLst>
        </c:ser>
        <c:ser>
          <c:idx val="2"/>
          <c:order val="2"/>
          <c:tx>
            <c:strRef>
              <c:f>'ACUMULADO 2025'!$A$7:$B$7</c:f>
              <c:strCache>
                <c:ptCount val="2"/>
                <c:pt idx="0">
                  <c:v>A&amp;G</c:v>
                </c:pt>
                <c:pt idx="1">
                  <c:v>RFF Procesada 2025</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'ACUMULADO 2025'!$C$4:$K$4</c:f>
            </c:multiLvlStrRef>
          </c:cat>
          <c:val>
            <c:numRef>
              <c:f>'ACUMULADO 2025'!$C$7:$K$7</c:f>
            </c:numRef>
          </c:val>
          <c:extLst>
            <c:ext xmlns:c16="http://schemas.microsoft.com/office/drawing/2014/chart" uri="{C3380CC4-5D6E-409C-BE32-E72D297353CC}">
              <c16:uniqueId val="{00000002-243A-F749-8951-80C0ABEA0E1A}"/>
            </c:ext>
          </c:extLst>
        </c:ser>
        <c:ser>
          <c:idx val="3"/>
          <c:order val="3"/>
          <c:tx>
            <c:strRef>
              <c:f>'ACUMULADO 2025'!$A$8:$B$8</c:f>
              <c:strCache>
                <c:ptCount val="2"/>
                <c:pt idx="0">
                  <c:v>Sinu</c:v>
                </c:pt>
                <c:pt idx="1">
                  <c:v>RFF Procesada 2025</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'ACUMULADO 2025'!$C$4:$K$4</c:f>
            </c:multiLvlStrRef>
          </c:cat>
          <c:val>
            <c:numRef>
              <c:f>'ACUMULADO 2025'!$C$8:$K$8</c:f>
            </c:numRef>
          </c:val>
          <c:extLst>
            <c:ext xmlns:c16="http://schemas.microsoft.com/office/drawing/2014/chart" uri="{C3380CC4-5D6E-409C-BE32-E72D297353CC}">
              <c16:uniqueId val="{00000003-243A-F749-8951-80C0ABEA0E1A}"/>
            </c:ext>
          </c:extLst>
        </c:ser>
        <c:dLbls>
          <c:showLegendKey val="0"/>
          <c:showVal val="0"/>
          <c:showCatName val="0"/>
          <c:showSerName val="0"/>
          <c:showPercent val="0"/>
          <c:showBubbleSize val="0"/>
        </c:dLbls>
        <c:gapWidth val="219"/>
        <c:overlap val="-27"/>
        <c:axId val="739114496"/>
        <c:axId val="739116208"/>
      </c:barChart>
      <c:catAx>
        <c:axId val="73911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39116208"/>
        <c:crosses val="autoZero"/>
        <c:auto val="1"/>
        <c:lblAlgn val="ctr"/>
        <c:lblOffset val="100"/>
        <c:noMultiLvlLbl val="0"/>
      </c:catAx>
      <c:valAx>
        <c:axId val="739116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39114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CPO</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'ACUMULADO 2025'!$A$12:$B$12</c:f>
              <c:strCache>
                <c:ptCount val="2"/>
                <c:pt idx="0">
                  <c:v>Codazzi</c:v>
                </c:pt>
                <c:pt idx="1">
                  <c:v>Producción CPO 2025</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'ACUMULADO 2025'!$C$11:$K$11</c:f>
            </c:multiLvlStrRef>
          </c:cat>
          <c:val>
            <c:numRef>
              <c:f>'ACUMULADO 2025'!$C$12:$K$12</c:f>
            </c:numRef>
          </c:val>
          <c:extLst>
            <c:ext xmlns:c16="http://schemas.microsoft.com/office/drawing/2014/chart" uri="{C3380CC4-5D6E-409C-BE32-E72D297353CC}">
              <c16:uniqueId val="{00000000-D5E5-D04D-9F90-5BBD66C9A258}"/>
            </c:ext>
          </c:extLst>
        </c:ser>
        <c:ser>
          <c:idx val="1"/>
          <c:order val="1"/>
          <c:tx>
            <c:strRef>
              <c:f>'ACUMULADO 2025'!$A$13:$B$13</c:f>
              <c:strCache>
                <c:ptCount val="2"/>
                <c:pt idx="0">
                  <c:v>MLB</c:v>
                </c:pt>
                <c:pt idx="1">
                  <c:v>Producción CPO 2025</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'ACUMULADO 2025'!$C$11:$K$11</c:f>
            </c:multiLvlStrRef>
          </c:cat>
          <c:val>
            <c:numRef>
              <c:f>'ACUMULADO 2025'!$C$13:$K$13</c:f>
            </c:numRef>
          </c:val>
          <c:extLst>
            <c:ext xmlns:c16="http://schemas.microsoft.com/office/drawing/2014/chart" uri="{C3380CC4-5D6E-409C-BE32-E72D297353CC}">
              <c16:uniqueId val="{00000001-D5E5-D04D-9F90-5BBD66C9A258}"/>
            </c:ext>
          </c:extLst>
        </c:ser>
        <c:ser>
          <c:idx val="2"/>
          <c:order val="2"/>
          <c:tx>
            <c:strRef>
              <c:f>'ACUMULADO 2025'!$A$14:$B$14</c:f>
              <c:strCache>
                <c:ptCount val="2"/>
                <c:pt idx="0">
                  <c:v>A&amp;G</c:v>
                </c:pt>
                <c:pt idx="1">
                  <c:v>Producción CPO 2025</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'ACUMULADO 2025'!$C$11:$K$11</c:f>
            </c:multiLvlStrRef>
          </c:cat>
          <c:val>
            <c:numRef>
              <c:f>'ACUMULADO 2025'!$C$14:$K$14</c:f>
            </c:numRef>
          </c:val>
          <c:extLst>
            <c:ext xmlns:c16="http://schemas.microsoft.com/office/drawing/2014/chart" uri="{C3380CC4-5D6E-409C-BE32-E72D297353CC}">
              <c16:uniqueId val="{00000002-D5E5-D04D-9F90-5BBD66C9A258}"/>
            </c:ext>
          </c:extLst>
        </c:ser>
        <c:ser>
          <c:idx val="3"/>
          <c:order val="3"/>
          <c:tx>
            <c:strRef>
              <c:f>'ACUMULADO 2025'!$A$15:$B$15</c:f>
              <c:strCache>
                <c:ptCount val="2"/>
                <c:pt idx="0">
                  <c:v>Sinu</c:v>
                </c:pt>
                <c:pt idx="1">
                  <c:v>Producción CPO 2025</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'ACUMULADO 2025'!$C$11:$K$11</c:f>
            </c:multiLvlStrRef>
          </c:cat>
          <c:val>
            <c:numRef>
              <c:f>'ACUMULADO 2025'!$C$15:$K$15</c:f>
            </c:numRef>
          </c:val>
          <c:extLst>
            <c:ext xmlns:c16="http://schemas.microsoft.com/office/drawing/2014/chart" uri="{C3380CC4-5D6E-409C-BE32-E72D297353CC}">
              <c16:uniqueId val="{00000003-D5E5-D04D-9F90-5BBD66C9A258}"/>
            </c:ext>
          </c:extLst>
        </c:ser>
        <c:dLbls>
          <c:showLegendKey val="0"/>
          <c:showVal val="0"/>
          <c:showCatName val="0"/>
          <c:showSerName val="0"/>
          <c:showPercent val="0"/>
          <c:showBubbleSize val="0"/>
        </c:dLbls>
        <c:gapWidth val="219"/>
        <c:overlap val="100"/>
        <c:axId val="1408127584"/>
        <c:axId val="1408129296"/>
      </c:barChart>
      <c:catAx>
        <c:axId val="140812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8129296"/>
        <c:crosses val="autoZero"/>
        <c:auto val="1"/>
        <c:lblAlgn val="ctr"/>
        <c:lblOffset val="100"/>
        <c:noMultiLvlLbl val="0"/>
      </c:catAx>
      <c:valAx>
        <c:axId val="1408129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8127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TEA%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'ACUMULADO 2025'!$A$19:$B$19</c:f>
              <c:strCache>
                <c:ptCount val="2"/>
                <c:pt idx="0">
                  <c:v>Codazzi</c:v>
                </c:pt>
                <c:pt idx="1">
                  <c:v>Extracción 2025</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'ACUMULADO 2025'!$C$18:$K$18</c:f>
            </c:multiLvlStrRef>
          </c:cat>
          <c:val>
            <c:numRef>
              <c:f>'ACUMULADO 2025'!$C$19:$K$19</c:f>
            </c:numRef>
          </c:val>
          <c:smooth val="0"/>
          <c:extLst>
            <c:ext xmlns:c16="http://schemas.microsoft.com/office/drawing/2014/chart" uri="{C3380CC4-5D6E-409C-BE32-E72D297353CC}">
              <c16:uniqueId val="{00000000-7492-3842-B708-36028E51A818}"/>
            </c:ext>
          </c:extLst>
        </c:ser>
        <c:ser>
          <c:idx val="1"/>
          <c:order val="1"/>
          <c:tx>
            <c:strRef>
              <c:f>'ACUMULADO 2025'!$A$20:$B$20</c:f>
              <c:strCache>
                <c:ptCount val="2"/>
                <c:pt idx="0">
                  <c:v>MLB</c:v>
                </c:pt>
                <c:pt idx="1">
                  <c:v>Extracción 2025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'ACUMULADO 2025'!$C$18:$K$18</c:f>
            </c:multiLvlStrRef>
          </c:cat>
          <c:val>
            <c:numRef>
              <c:f>'ACUMULADO 2025'!$C$20:$K$20</c:f>
            </c:numRef>
          </c:val>
          <c:smooth val="0"/>
          <c:extLst>
            <c:ext xmlns:c16="http://schemas.microsoft.com/office/drawing/2014/chart" uri="{C3380CC4-5D6E-409C-BE32-E72D297353CC}">
              <c16:uniqueId val="{00000001-7492-3842-B708-36028E51A818}"/>
            </c:ext>
          </c:extLst>
        </c:ser>
        <c:ser>
          <c:idx val="2"/>
          <c:order val="2"/>
          <c:tx>
            <c:strRef>
              <c:f>'ACUMULADO 2025'!$A$21:$B$21</c:f>
              <c:strCache>
                <c:ptCount val="2"/>
                <c:pt idx="0">
                  <c:v>A&amp;G</c:v>
                </c:pt>
                <c:pt idx="1">
                  <c:v>Extracción 2025</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'ACUMULADO 2025'!$C$18:$K$18</c:f>
            </c:multiLvlStrRef>
          </c:cat>
          <c:val>
            <c:numRef>
              <c:f>'ACUMULADO 2025'!$C$21:$K$21</c:f>
            </c:numRef>
          </c:val>
          <c:smooth val="0"/>
          <c:extLst>
            <c:ext xmlns:c16="http://schemas.microsoft.com/office/drawing/2014/chart" uri="{C3380CC4-5D6E-409C-BE32-E72D297353CC}">
              <c16:uniqueId val="{00000002-7492-3842-B708-36028E51A818}"/>
            </c:ext>
          </c:extLst>
        </c:ser>
        <c:ser>
          <c:idx val="3"/>
          <c:order val="3"/>
          <c:tx>
            <c:strRef>
              <c:f>'ACUMULADO 2025'!$A$22:$B$22</c:f>
              <c:strCache>
                <c:ptCount val="2"/>
                <c:pt idx="0">
                  <c:v>Sinu</c:v>
                </c:pt>
                <c:pt idx="1">
                  <c:v>Extracción 2025</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'ACUMULADO 2025'!$C$18:$K$18</c:f>
            </c:multiLvlStrRef>
          </c:cat>
          <c:val>
            <c:numRef>
              <c:f>'ACUMULADO 2025'!$C$22:$K$22</c:f>
            </c:numRef>
          </c:val>
          <c:smooth val="0"/>
          <c:extLst>
            <c:ext xmlns:c16="http://schemas.microsoft.com/office/drawing/2014/chart" uri="{C3380CC4-5D6E-409C-BE32-E72D297353CC}">
              <c16:uniqueId val="{00000003-7492-3842-B708-36028E51A818}"/>
            </c:ext>
          </c:extLst>
        </c:ser>
        <c:dLbls>
          <c:showLegendKey val="0"/>
          <c:showVal val="0"/>
          <c:showCatName val="0"/>
          <c:showSerName val="0"/>
          <c:showPercent val="0"/>
          <c:showBubbleSize val="0"/>
        </c:dLbls>
        <c:marker val="1"/>
        <c:smooth val="0"/>
        <c:axId val="1437840352"/>
        <c:axId val="1394146272"/>
      </c:lineChart>
      <c:catAx>
        <c:axId val="143784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4146272"/>
        <c:crosses val="autoZero"/>
        <c:auto val="1"/>
        <c:lblAlgn val="ctr"/>
        <c:lblOffset val="100"/>
        <c:noMultiLvlLbl val="0"/>
      </c:catAx>
      <c:valAx>
        <c:axId val="1394146272"/>
        <c:scaling>
          <c:orientation val="minMax"/>
          <c:max val="0.25"/>
          <c:min val="0.17"/>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7840352"/>
        <c:crosses val="autoZero"/>
        <c:crossBetween val="between"/>
        <c:majorUnit val="0.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xdr:row>
      <xdr:rowOff>0</xdr:rowOff>
    </xdr:from>
    <xdr:to>
      <xdr:col>1</xdr:col>
      <xdr:colOff>304800</xdr:colOff>
      <xdr:row>78</xdr:row>
      <xdr:rowOff>114300</xdr:rowOff>
    </xdr:to>
    <xdr:sp macro="" textlink="">
      <xdr:nvSpPr>
        <xdr:cNvPr id="23553" name="AutoShape 1">
          <a:extLst>
            <a:ext uri="{FF2B5EF4-FFF2-40B4-BE49-F238E27FC236}">
              <a16:creationId xmlns:a16="http://schemas.microsoft.com/office/drawing/2014/main" id="{779CE2ED-E262-E633-E95F-AA3640DF8541}"/>
            </a:ext>
          </a:extLst>
        </xdr:cNvPr>
        <xdr:cNvSpPr>
          <a:spLocks noChangeAspect="1" noChangeArrowheads="1"/>
        </xdr:cNvSpPr>
      </xdr:nvSpPr>
      <xdr:spPr bwMode="auto">
        <a:xfrm>
          <a:off x="292100" y="2310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15</xdr:row>
      <xdr:rowOff>0</xdr:rowOff>
    </xdr:from>
    <xdr:ext cx="314325" cy="314325"/>
    <xdr:sp macro="" textlink="">
      <xdr:nvSpPr>
        <xdr:cNvPr id="2" name="Shape 4">
          <a:extLst>
            <a:ext uri="{FF2B5EF4-FFF2-40B4-BE49-F238E27FC236}">
              <a16:creationId xmlns:a16="http://schemas.microsoft.com/office/drawing/2014/main" id="{BF03E7CB-08B0-A241-B77C-DF8F8FC1E479}"/>
            </a:ext>
          </a:extLst>
        </xdr:cNvPr>
        <xdr:cNvSpPr/>
      </xdr:nvSpPr>
      <xdr:spPr>
        <a:xfrm>
          <a:off x="292100" y="11430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xdr:row>
      <xdr:rowOff>0</xdr:rowOff>
    </xdr:from>
    <xdr:ext cx="304800" cy="306848"/>
    <xdr:sp macro="" textlink="">
      <xdr:nvSpPr>
        <xdr:cNvPr id="3" name="AutoShape 1">
          <a:extLst>
            <a:ext uri="{FF2B5EF4-FFF2-40B4-BE49-F238E27FC236}">
              <a16:creationId xmlns:a16="http://schemas.microsoft.com/office/drawing/2014/main" id="{AEFC6385-90D6-8242-B969-1146D8F21E38}"/>
            </a:ext>
          </a:extLst>
        </xdr:cNvPr>
        <xdr:cNvSpPr>
          <a:spLocks noChangeAspect="1" noChangeArrowheads="1"/>
        </xdr:cNvSpPr>
      </xdr:nvSpPr>
      <xdr:spPr bwMode="auto">
        <a:xfrm>
          <a:off x="290871" y="782484"/>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24</xdr:row>
      <xdr:rowOff>0</xdr:rowOff>
    </xdr:from>
    <xdr:ext cx="314325" cy="314325"/>
    <xdr:sp macro="" textlink="">
      <xdr:nvSpPr>
        <xdr:cNvPr id="4" name="Shape 4">
          <a:extLst>
            <a:ext uri="{FF2B5EF4-FFF2-40B4-BE49-F238E27FC236}">
              <a16:creationId xmlns:a16="http://schemas.microsoft.com/office/drawing/2014/main" id="{5C5732AA-D610-E644-A51E-2D2B8492BFC2}"/>
            </a:ext>
          </a:extLst>
        </xdr:cNvPr>
        <xdr:cNvSpPr/>
      </xdr:nvSpPr>
      <xdr:spPr>
        <a:xfrm>
          <a:off x="290871" y="782484"/>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editAs="oneCell">
    <xdr:from>
      <xdr:col>0</xdr:col>
      <xdr:colOff>279400</xdr:colOff>
      <xdr:row>24</xdr:row>
      <xdr:rowOff>0</xdr:rowOff>
    </xdr:from>
    <xdr:to>
      <xdr:col>1</xdr:col>
      <xdr:colOff>293914</xdr:colOff>
      <xdr:row>78</xdr:row>
      <xdr:rowOff>116348</xdr:rowOff>
    </xdr:to>
    <xdr:sp macro="" textlink="">
      <xdr:nvSpPr>
        <xdr:cNvPr id="5" name="AutoShape 1">
          <a:extLst>
            <a:ext uri="{FF2B5EF4-FFF2-40B4-BE49-F238E27FC236}">
              <a16:creationId xmlns:a16="http://schemas.microsoft.com/office/drawing/2014/main" id="{3895FFA5-245D-9D4F-AD6F-78DFAE710EF6}"/>
            </a:ext>
          </a:extLst>
        </xdr:cNvPr>
        <xdr:cNvSpPr>
          <a:spLocks noChangeAspect="1" noChangeArrowheads="1"/>
        </xdr:cNvSpPr>
      </xdr:nvSpPr>
      <xdr:spPr bwMode="auto">
        <a:xfrm>
          <a:off x="825500" y="1250462"/>
          <a:ext cx="304800" cy="30684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0</xdr:col>
      <xdr:colOff>279400</xdr:colOff>
      <xdr:row>24</xdr:row>
      <xdr:rowOff>0</xdr:rowOff>
    </xdr:from>
    <xdr:to>
      <xdr:col>1</xdr:col>
      <xdr:colOff>303439</xdr:colOff>
      <xdr:row>78</xdr:row>
      <xdr:rowOff>123825</xdr:rowOff>
    </xdr:to>
    <xdr:sp macro="" textlink="">
      <xdr:nvSpPr>
        <xdr:cNvPr id="6" name="Shape 4">
          <a:extLst>
            <a:ext uri="{FF2B5EF4-FFF2-40B4-BE49-F238E27FC236}">
              <a16:creationId xmlns:a16="http://schemas.microsoft.com/office/drawing/2014/main" id="{F18FFBA8-9022-694B-95CB-3AEF261CAE54}"/>
            </a:ext>
          </a:extLst>
        </xdr:cNvPr>
        <xdr:cNvSpPr/>
      </xdr:nvSpPr>
      <xdr:spPr>
        <a:xfrm>
          <a:off x="825500" y="1250462"/>
          <a:ext cx="314325" cy="3143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None/>
          </a:pPr>
          <a:endParaRPr sz="1400"/>
        </a:p>
      </xdr:txBody>
    </xdr:sp>
    <xdr:clientData/>
  </xdr:twoCellAnchor>
  <xdr:oneCellAnchor>
    <xdr:from>
      <xdr:col>1</xdr:col>
      <xdr:colOff>0</xdr:colOff>
      <xdr:row>35</xdr:row>
      <xdr:rowOff>0</xdr:rowOff>
    </xdr:from>
    <xdr:ext cx="304800" cy="306848"/>
    <xdr:sp macro="" textlink="">
      <xdr:nvSpPr>
        <xdr:cNvPr id="7" name="AutoShape 1">
          <a:extLst>
            <a:ext uri="{FF2B5EF4-FFF2-40B4-BE49-F238E27FC236}">
              <a16:creationId xmlns:a16="http://schemas.microsoft.com/office/drawing/2014/main" id="{708E15B0-4E86-6F43-80FC-A1AF052ABEB6}"/>
            </a:ext>
          </a:extLst>
        </xdr:cNvPr>
        <xdr:cNvSpPr>
          <a:spLocks noChangeAspect="1" noChangeArrowheads="1"/>
        </xdr:cNvSpPr>
      </xdr:nvSpPr>
      <xdr:spPr bwMode="auto">
        <a:xfrm>
          <a:off x="290286" y="96610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14325" cy="314325"/>
    <xdr:sp macro="" textlink="">
      <xdr:nvSpPr>
        <xdr:cNvPr id="8" name="Shape 4">
          <a:extLst>
            <a:ext uri="{FF2B5EF4-FFF2-40B4-BE49-F238E27FC236}">
              <a16:creationId xmlns:a16="http://schemas.microsoft.com/office/drawing/2014/main" id="{A12BE5CF-7DB0-EF4B-8182-F05A6484FBD0}"/>
            </a:ext>
          </a:extLst>
        </xdr:cNvPr>
        <xdr:cNvSpPr/>
      </xdr:nvSpPr>
      <xdr:spPr>
        <a:xfrm>
          <a:off x="290286" y="96610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279400</xdr:colOff>
      <xdr:row>35</xdr:row>
      <xdr:rowOff>0</xdr:rowOff>
    </xdr:from>
    <xdr:ext cx="304800" cy="306848"/>
    <xdr:sp macro="" textlink="">
      <xdr:nvSpPr>
        <xdr:cNvPr id="9" name="AutoShape 1">
          <a:extLst>
            <a:ext uri="{FF2B5EF4-FFF2-40B4-BE49-F238E27FC236}">
              <a16:creationId xmlns:a16="http://schemas.microsoft.com/office/drawing/2014/main" id="{0DF01BEE-9A55-004C-AFCF-7A29C44DE983}"/>
            </a:ext>
          </a:extLst>
        </xdr:cNvPr>
        <xdr:cNvSpPr>
          <a:spLocks noChangeAspect="1" noChangeArrowheads="1"/>
        </xdr:cNvSpPr>
      </xdr:nvSpPr>
      <xdr:spPr bwMode="auto">
        <a:xfrm>
          <a:off x="279400" y="966107"/>
          <a:ext cx="304800" cy="30684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0</xdr:col>
      <xdr:colOff>279400</xdr:colOff>
      <xdr:row>35</xdr:row>
      <xdr:rowOff>0</xdr:rowOff>
    </xdr:from>
    <xdr:ext cx="314325" cy="314325"/>
    <xdr:sp macro="" textlink="">
      <xdr:nvSpPr>
        <xdr:cNvPr id="10" name="Shape 4">
          <a:extLst>
            <a:ext uri="{FF2B5EF4-FFF2-40B4-BE49-F238E27FC236}">
              <a16:creationId xmlns:a16="http://schemas.microsoft.com/office/drawing/2014/main" id="{FB269079-177F-D147-B91C-C383A005E24D}"/>
            </a:ext>
          </a:extLst>
        </xdr:cNvPr>
        <xdr:cNvSpPr/>
      </xdr:nvSpPr>
      <xdr:spPr>
        <a:xfrm>
          <a:off x="279400" y="966107"/>
          <a:ext cx="314325" cy="3143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None/>
          </a:pPr>
          <a:endParaRPr sz="1400"/>
        </a:p>
      </xdr:txBody>
    </xdr:sp>
    <xdr:clientData/>
  </xdr:oneCellAnchor>
  <xdr:oneCellAnchor>
    <xdr:from>
      <xdr:col>1</xdr:col>
      <xdr:colOff>0</xdr:colOff>
      <xdr:row>35</xdr:row>
      <xdr:rowOff>0</xdr:rowOff>
    </xdr:from>
    <xdr:ext cx="304800" cy="306848"/>
    <xdr:sp macro="" textlink="">
      <xdr:nvSpPr>
        <xdr:cNvPr id="13" name="AutoShape 1">
          <a:extLst>
            <a:ext uri="{FF2B5EF4-FFF2-40B4-BE49-F238E27FC236}">
              <a16:creationId xmlns:a16="http://schemas.microsoft.com/office/drawing/2014/main" id="{D2766597-A24A-7449-9046-5D87C20CDD18}"/>
            </a:ext>
          </a:extLst>
        </xdr:cNvPr>
        <xdr:cNvSpPr>
          <a:spLocks noChangeAspect="1" noChangeArrowheads="1"/>
        </xdr:cNvSpPr>
      </xdr:nvSpPr>
      <xdr:spPr bwMode="auto">
        <a:xfrm>
          <a:off x="825500" y="12446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14325" cy="314325"/>
    <xdr:sp macro="" textlink="">
      <xdr:nvSpPr>
        <xdr:cNvPr id="14" name="Shape 4">
          <a:extLst>
            <a:ext uri="{FF2B5EF4-FFF2-40B4-BE49-F238E27FC236}">
              <a16:creationId xmlns:a16="http://schemas.microsoft.com/office/drawing/2014/main" id="{EAD20548-54DE-7846-8205-EB3098F8E299}"/>
            </a:ext>
          </a:extLst>
        </xdr:cNvPr>
        <xdr:cNvSpPr/>
      </xdr:nvSpPr>
      <xdr:spPr>
        <a:xfrm>
          <a:off x="825500" y="12446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28</xdr:row>
      <xdr:rowOff>0</xdr:rowOff>
    </xdr:from>
    <xdr:ext cx="304800" cy="306848"/>
    <xdr:sp macro="" textlink="">
      <xdr:nvSpPr>
        <xdr:cNvPr id="15" name="AutoShape 1">
          <a:extLst>
            <a:ext uri="{FF2B5EF4-FFF2-40B4-BE49-F238E27FC236}">
              <a16:creationId xmlns:a16="http://schemas.microsoft.com/office/drawing/2014/main" id="{A36DD3E4-CFE5-904E-AAF9-AC6EF457EB43}"/>
            </a:ext>
          </a:extLst>
        </xdr:cNvPr>
        <xdr:cNvSpPr>
          <a:spLocks noChangeAspect="1" noChangeArrowheads="1"/>
        </xdr:cNvSpPr>
      </xdr:nvSpPr>
      <xdr:spPr bwMode="auto">
        <a:xfrm>
          <a:off x="825500" y="12446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314325" cy="314325"/>
    <xdr:sp macro="" textlink="">
      <xdr:nvSpPr>
        <xdr:cNvPr id="16" name="Shape 4">
          <a:extLst>
            <a:ext uri="{FF2B5EF4-FFF2-40B4-BE49-F238E27FC236}">
              <a16:creationId xmlns:a16="http://schemas.microsoft.com/office/drawing/2014/main" id="{7A0A22BF-9D8C-8E41-9C1C-1E8EA563D29B}"/>
            </a:ext>
          </a:extLst>
        </xdr:cNvPr>
        <xdr:cNvSpPr/>
      </xdr:nvSpPr>
      <xdr:spPr>
        <a:xfrm>
          <a:off x="825500" y="12446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xdr:row>
      <xdr:rowOff>0</xdr:rowOff>
    </xdr:from>
    <xdr:ext cx="304800" cy="306848"/>
    <xdr:sp macro="" textlink="">
      <xdr:nvSpPr>
        <xdr:cNvPr id="11" name="AutoShape 1">
          <a:extLst>
            <a:ext uri="{FF2B5EF4-FFF2-40B4-BE49-F238E27FC236}">
              <a16:creationId xmlns:a16="http://schemas.microsoft.com/office/drawing/2014/main" id="{67D0804F-D8ED-5247-B910-1AF8988FB916}"/>
            </a:ext>
          </a:extLst>
        </xdr:cNvPr>
        <xdr:cNvSpPr>
          <a:spLocks noChangeAspect="1" noChangeArrowheads="1"/>
        </xdr:cNvSpPr>
      </xdr:nvSpPr>
      <xdr:spPr bwMode="auto">
        <a:xfrm>
          <a:off x="825500" y="12446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14325" cy="314325"/>
    <xdr:sp macro="" textlink="">
      <xdr:nvSpPr>
        <xdr:cNvPr id="12" name="Shape 4">
          <a:extLst>
            <a:ext uri="{FF2B5EF4-FFF2-40B4-BE49-F238E27FC236}">
              <a16:creationId xmlns:a16="http://schemas.microsoft.com/office/drawing/2014/main" id="{FA30EF73-36A7-B24E-98F0-384380B4BF6E}"/>
            </a:ext>
          </a:extLst>
        </xdr:cNvPr>
        <xdr:cNvSpPr/>
      </xdr:nvSpPr>
      <xdr:spPr>
        <a:xfrm>
          <a:off x="825500" y="12446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xdr:row>
      <xdr:rowOff>0</xdr:rowOff>
    </xdr:from>
    <xdr:ext cx="304800" cy="306848"/>
    <xdr:sp macro="" textlink="">
      <xdr:nvSpPr>
        <xdr:cNvPr id="17" name="AutoShape 1">
          <a:extLst>
            <a:ext uri="{FF2B5EF4-FFF2-40B4-BE49-F238E27FC236}">
              <a16:creationId xmlns:a16="http://schemas.microsoft.com/office/drawing/2014/main" id="{AF7E34E5-A383-3E44-A43E-4ECB077F24AA}"/>
            </a:ext>
          </a:extLst>
        </xdr:cNvPr>
        <xdr:cNvSpPr>
          <a:spLocks noChangeAspect="1" noChangeArrowheads="1"/>
        </xdr:cNvSpPr>
      </xdr:nvSpPr>
      <xdr:spPr bwMode="auto">
        <a:xfrm>
          <a:off x="825500" y="12446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14325" cy="314325"/>
    <xdr:sp macro="" textlink="">
      <xdr:nvSpPr>
        <xdr:cNvPr id="18" name="Shape 4">
          <a:extLst>
            <a:ext uri="{FF2B5EF4-FFF2-40B4-BE49-F238E27FC236}">
              <a16:creationId xmlns:a16="http://schemas.microsoft.com/office/drawing/2014/main" id="{746FE545-5028-104C-A6CD-CFC8DE9CF6F5}"/>
            </a:ext>
          </a:extLst>
        </xdr:cNvPr>
        <xdr:cNvSpPr/>
      </xdr:nvSpPr>
      <xdr:spPr>
        <a:xfrm>
          <a:off x="825500" y="12446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35</xdr:row>
      <xdr:rowOff>0</xdr:rowOff>
    </xdr:from>
    <xdr:ext cx="304800" cy="306848"/>
    <xdr:sp macro="" textlink="">
      <xdr:nvSpPr>
        <xdr:cNvPr id="19" name="AutoShape 1">
          <a:extLst>
            <a:ext uri="{FF2B5EF4-FFF2-40B4-BE49-F238E27FC236}">
              <a16:creationId xmlns:a16="http://schemas.microsoft.com/office/drawing/2014/main" id="{65C35886-71C2-124D-BDDB-E10AD920E4C3}"/>
            </a:ext>
          </a:extLst>
        </xdr:cNvPr>
        <xdr:cNvSpPr>
          <a:spLocks noChangeAspect="1" noChangeArrowheads="1"/>
        </xdr:cNvSpPr>
      </xdr:nvSpPr>
      <xdr:spPr bwMode="auto">
        <a:xfrm>
          <a:off x="825500" y="12446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14325" cy="314325"/>
    <xdr:sp macro="" textlink="">
      <xdr:nvSpPr>
        <xdr:cNvPr id="20" name="Shape 4">
          <a:extLst>
            <a:ext uri="{FF2B5EF4-FFF2-40B4-BE49-F238E27FC236}">
              <a16:creationId xmlns:a16="http://schemas.microsoft.com/office/drawing/2014/main" id="{EDD34696-83D3-6441-BB0C-41B7CF19ABAD}"/>
            </a:ext>
          </a:extLst>
        </xdr:cNvPr>
        <xdr:cNvSpPr/>
      </xdr:nvSpPr>
      <xdr:spPr>
        <a:xfrm>
          <a:off x="825500" y="12446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xdr:row>
      <xdr:rowOff>0</xdr:rowOff>
    </xdr:from>
    <xdr:ext cx="304800" cy="306848"/>
    <xdr:sp macro="" textlink="">
      <xdr:nvSpPr>
        <xdr:cNvPr id="21" name="AutoShape 1">
          <a:extLst>
            <a:ext uri="{FF2B5EF4-FFF2-40B4-BE49-F238E27FC236}">
              <a16:creationId xmlns:a16="http://schemas.microsoft.com/office/drawing/2014/main" id="{6D66526C-4E08-5B43-8835-A8519A16620D}"/>
            </a:ext>
          </a:extLst>
        </xdr:cNvPr>
        <xdr:cNvSpPr>
          <a:spLocks noChangeAspect="1" noChangeArrowheads="1"/>
        </xdr:cNvSpPr>
      </xdr:nvSpPr>
      <xdr:spPr bwMode="auto">
        <a:xfrm>
          <a:off x="290286" y="3075214"/>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45</xdr:row>
      <xdr:rowOff>0</xdr:rowOff>
    </xdr:from>
    <xdr:ext cx="314325" cy="314325"/>
    <xdr:sp macro="" textlink="">
      <xdr:nvSpPr>
        <xdr:cNvPr id="22" name="Shape 4">
          <a:extLst>
            <a:ext uri="{FF2B5EF4-FFF2-40B4-BE49-F238E27FC236}">
              <a16:creationId xmlns:a16="http://schemas.microsoft.com/office/drawing/2014/main" id="{68EFC2DD-F21A-9D43-B3D6-CBF545F1D719}"/>
            </a:ext>
          </a:extLst>
        </xdr:cNvPr>
        <xdr:cNvSpPr/>
      </xdr:nvSpPr>
      <xdr:spPr>
        <a:xfrm>
          <a:off x="290286" y="3075214"/>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279400</xdr:colOff>
      <xdr:row>45</xdr:row>
      <xdr:rowOff>0</xdr:rowOff>
    </xdr:from>
    <xdr:ext cx="304800" cy="306848"/>
    <xdr:sp macro="" textlink="">
      <xdr:nvSpPr>
        <xdr:cNvPr id="23" name="AutoShape 1">
          <a:extLst>
            <a:ext uri="{FF2B5EF4-FFF2-40B4-BE49-F238E27FC236}">
              <a16:creationId xmlns:a16="http://schemas.microsoft.com/office/drawing/2014/main" id="{9E7B6892-EEDF-4543-85DC-275F5CDD0BC7}"/>
            </a:ext>
          </a:extLst>
        </xdr:cNvPr>
        <xdr:cNvSpPr>
          <a:spLocks noChangeAspect="1" noChangeArrowheads="1"/>
        </xdr:cNvSpPr>
      </xdr:nvSpPr>
      <xdr:spPr bwMode="auto">
        <a:xfrm>
          <a:off x="279400" y="3075214"/>
          <a:ext cx="304800" cy="30684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0</xdr:col>
      <xdr:colOff>279400</xdr:colOff>
      <xdr:row>45</xdr:row>
      <xdr:rowOff>0</xdr:rowOff>
    </xdr:from>
    <xdr:ext cx="314325" cy="314325"/>
    <xdr:sp macro="" textlink="">
      <xdr:nvSpPr>
        <xdr:cNvPr id="24" name="Shape 4">
          <a:extLst>
            <a:ext uri="{FF2B5EF4-FFF2-40B4-BE49-F238E27FC236}">
              <a16:creationId xmlns:a16="http://schemas.microsoft.com/office/drawing/2014/main" id="{40D6A4F6-6E60-9C4D-B1C7-2BFED259531C}"/>
            </a:ext>
          </a:extLst>
        </xdr:cNvPr>
        <xdr:cNvSpPr/>
      </xdr:nvSpPr>
      <xdr:spPr>
        <a:xfrm>
          <a:off x="279400" y="3075214"/>
          <a:ext cx="314325" cy="3143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None/>
          </a:pPr>
          <a:endParaRPr sz="1400"/>
        </a:p>
      </xdr:txBody>
    </xdr:sp>
    <xdr:clientData/>
  </xdr:oneCellAnchor>
  <xdr:oneCellAnchor>
    <xdr:from>
      <xdr:col>1</xdr:col>
      <xdr:colOff>0</xdr:colOff>
      <xdr:row>45</xdr:row>
      <xdr:rowOff>0</xdr:rowOff>
    </xdr:from>
    <xdr:ext cx="304800" cy="306848"/>
    <xdr:sp macro="" textlink="">
      <xdr:nvSpPr>
        <xdr:cNvPr id="25" name="AutoShape 1">
          <a:extLst>
            <a:ext uri="{FF2B5EF4-FFF2-40B4-BE49-F238E27FC236}">
              <a16:creationId xmlns:a16="http://schemas.microsoft.com/office/drawing/2014/main" id="{3358BC3B-8403-6546-AED9-6135392112A7}"/>
            </a:ext>
          </a:extLst>
        </xdr:cNvPr>
        <xdr:cNvSpPr>
          <a:spLocks noChangeAspect="1" noChangeArrowheads="1"/>
        </xdr:cNvSpPr>
      </xdr:nvSpPr>
      <xdr:spPr bwMode="auto">
        <a:xfrm>
          <a:off x="290286" y="3075214"/>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45</xdr:row>
      <xdr:rowOff>0</xdr:rowOff>
    </xdr:from>
    <xdr:ext cx="314325" cy="314325"/>
    <xdr:sp macro="" textlink="">
      <xdr:nvSpPr>
        <xdr:cNvPr id="26" name="Shape 4">
          <a:extLst>
            <a:ext uri="{FF2B5EF4-FFF2-40B4-BE49-F238E27FC236}">
              <a16:creationId xmlns:a16="http://schemas.microsoft.com/office/drawing/2014/main" id="{9D9BB8E9-3551-474D-9C5D-541516AF2924}"/>
            </a:ext>
          </a:extLst>
        </xdr:cNvPr>
        <xdr:cNvSpPr/>
      </xdr:nvSpPr>
      <xdr:spPr>
        <a:xfrm>
          <a:off x="290286" y="3075214"/>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xdr:row>
      <xdr:rowOff>0</xdr:rowOff>
    </xdr:from>
    <xdr:ext cx="304800" cy="306848"/>
    <xdr:sp macro="" textlink="">
      <xdr:nvSpPr>
        <xdr:cNvPr id="27" name="AutoShape 1">
          <a:extLst>
            <a:ext uri="{FF2B5EF4-FFF2-40B4-BE49-F238E27FC236}">
              <a16:creationId xmlns:a16="http://schemas.microsoft.com/office/drawing/2014/main" id="{8E2E3B03-0E73-3A4E-B849-51C53F395B52}"/>
            </a:ext>
          </a:extLst>
        </xdr:cNvPr>
        <xdr:cNvSpPr>
          <a:spLocks noChangeAspect="1" noChangeArrowheads="1"/>
        </xdr:cNvSpPr>
      </xdr:nvSpPr>
      <xdr:spPr bwMode="auto">
        <a:xfrm>
          <a:off x="290286" y="3075214"/>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45</xdr:row>
      <xdr:rowOff>0</xdr:rowOff>
    </xdr:from>
    <xdr:ext cx="314325" cy="314325"/>
    <xdr:sp macro="" textlink="">
      <xdr:nvSpPr>
        <xdr:cNvPr id="28" name="Shape 4">
          <a:extLst>
            <a:ext uri="{FF2B5EF4-FFF2-40B4-BE49-F238E27FC236}">
              <a16:creationId xmlns:a16="http://schemas.microsoft.com/office/drawing/2014/main" id="{62FEAEFF-19E0-F541-85B9-61BF63639642}"/>
            </a:ext>
          </a:extLst>
        </xdr:cNvPr>
        <xdr:cNvSpPr/>
      </xdr:nvSpPr>
      <xdr:spPr>
        <a:xfrm>
          <a:off x="290286" y="3075214"/>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xdr:row>
      <xdr:rowOff>0</xdr:rowOff>
    </xdr:from>
    <xdr:ext cx="304800" cy="306848"/>
    <xdr:sp macro="" textlink="">
      <xdr:nvSpPr>
        <xdr:cNvPr id="29" name="AutoShape 1">
          <a:extLst>
            <a:ext uri="{FF2B5EF4-FFF2-40B4-BE49-F238E27FC236}">
              <a16:creationId xmlns:a16="http://schemas.microsoft.com/office/drawing/2014/main" id="{5CC6BB2B-34AB-534F-B9C8-4A698A21EACE}"/>
            </a:ext>
          </a:extLst>
        </xdr:cNvPr>
        <xdr:cNvSpPr>
          <a:spLocks noChangeAspect="1" noChangeArrowheads="1"/>
        </xdr:cNvSpPr>
      </xdr:nvSpPr>
      <xdr:spPr bwMode="auto">
        <a:xfrm>
          <a:off x="290286" y="3075214"/>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45</xdr:row>
      <xdr:rowOff>0</xdr:rowOff>
    </xdr:from>
    <xdr:ext cx="314325" cy="314325"/>
    <xdr:sp macro="" textlink="">
      <xdr:nvSpPr>
        <xdr:cNvPr id="30" name="Shape 4">
          <a:extLst>
            <a:ext uri="{FF2B5EF4-FFF2-40B4-BE49-F238E27FC236}">
              <a16:creationId xmlns:a16="http://schemas.microsoft.com/office/drawing/2014/main" id="{D5CB783F-8A22-3442-8CDD-156E8E5BAB6D}"/>
            </a:ext>
          </a:extLst>
        </xdr:cNvPr>
        <xdr:cNvSpPr/>
      </xdr:nvSpPr>
      <xdr:spPr>
        <a:xfrm>
          <a:off x="290286" y="3075214"/>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45</xdr:row>
      <xdr:rowOff>0</xdr:rowOff>
    </xdr:from>
    <xdr:ext cx="304800" cy="306848"/>
    <xdr:sp macro="" textlink="">
      <xdr:nvSpPr>
        <xdr:cNvPr id="31" name="AutoShape 1">
          <a:extLst>
            <a:ext uri="{FF2B5EF4-FFF2-40B4-BE49-F238E27FC236}">
              <a16:creationId xmlns:a16="http://schemas.microsoft.com/office/drawing/2014/main" id="{A36A0DC8-E59B-6E47-B9BA-CE455EB26988}"/>
            </a:ext>
          </a:extLst>
        </xdr:cNvPr>
        <xdr:cNvSpPr>
          <a:spLocks noChangeAspect="1" noChangeArrowheads="1"/>
        </xdr:cNvSpPr>
      </xdr:nvSpPr>
      <xdr:spPr bwMode="auto">
        <a:xfrm>
          <a:off x="290286" y="3075214"/>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45</xdr:row>
      <xdr:rowOff>0</xdr:rowOff>
    </xdr:from>
    <xdr:ext cx="314325" cy="314325"/>
    <xdr:sp macro="" textlink="">
      <xdr:nvSpPr>
        <xdr:cNvPr id="32" name="Shape 4">
          <a:extLst>
            <a:ext uri="{FF2B5EF4-FFF2-40B4-BE49-F238E27FC236}">
              <a16:creationId xmlns:a16="http://schemas.microsoft.com/office/drawing/2014/main" id="{2ABB3C43-D283-3444-AB40-353EF10B8F4E}"/>
            </a:ext>
          </a:extLst>
        </xdr:cNvPr>
        <xdr:cNvSpPr/>
      </xdr:nvSpPr>
      <xdr:spPr>
        <a:xfrm>
          <a:off x="290286" y="3075214"/>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xdr:row>
      <xdr:rowOff>0</xdr:rowOff>
    </xdr:from>
    <xdr:ext cx="304800" cy="306848"/>
    <xdr:sp macro="" textlink="">
      <xdr:nvSpPr>
        <xdr:cNvPr id="33" name="AutoShape 1">
          <a:extLst>
            <a:ext uri="{FF2B5EF4-FFF2-40B4-BE49-F238E27FC236}">
              <a16:creationId xmlns:a16="http://schemas.microsoft.com/office/drawing/2014/main" id="{032CD6DD-72B8-0243-ADBB-2A7E893F497A}"/>
            </a:ext>
          </a:extLst>
        </xdr:cNvPr>
        <xdr:cNvSpPr>
          <a:spLocks noChangeAspect="1" noChangeArrowheads="1"/>
        </xdr:cNvSpPr>
      </xdr:nvSpPr>
      <xdr:spPr bwMode="auto">
        <a:xfrm>
          <a:off x="290286" y="4993821"/>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14325" cy="314325"/>
    <xdr:sp macro="" textlink="">
      <xdr:nvSpPr>
        <xdr:cNvPr id="34" name="Shape 4">
          <a:extLst>
            <a:ext uri="{FF2B5EF4-FFF2-40B4-BE49-F238E27FC236}">
              <a16:creationId xmlns:a16="http://schemas.microsoft.com/office/drawing/2014/main" id="{E228EA2D-BF22-5844-AB40-A1412DBE8587}"/>
            </a:ext>
          </a:extLst>
        </xdr:cNvPr>
        <xdr:cNvSpPr/>
      </xdr:nvSpPr>
      <xdr:spPr>
        <a:xfrm>
          <a:off x="290286" y="4993821"/>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279400</xdr:colOff>
      <xdr:row>54</xdr:row>
      <xdr:rowOff>0</xdr:rowOff>
    </xdr:from>
    <xdr:ext cx="304800" cy="306848"/>
    <xdr:sp macro="" textlink="">
      <xdr:nvSpPr>
        <xdr:cNvPr id="35" name="AutoShape 1">
          <a:extLst>
            <a:ext uri="{FF2B5EF4-FFF2-40B4-BE49-F238E27FC236}">
              <a16:creationId xmlns:a16="http://schemas.microsoft.com/office/drawing/2014/main" id="{6A5C667A-3EEA-9049-8078-79BE0DF836BE}"/>
            </a:ext>
          </a:extLst>
        </xdr:cNvPr>
        <xdr:cNvSpPr>
          <a:spLocks noChangeAspect="1" noChangeArrowheads="1"/>
        </xdr:cNvSpPr>
      </xdr:nvSpPr>
      <xdr:spPr bwMode="auto">
        <a:xfrm>
          <a:off x="279400" y="4993821"/>
          <a:ext cx="304800" cy="30684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0</xdr:col>
      <xdr:colOff>279400</xdr:colOff>
      <xdr:row>54</xdr:row>
      <xdr:rowOff>0</xdr:rowOff>
    </xdr:from>
    <xdr:ext cx="314325" cy="314325"/>
    <xdr:sp macro="" textlink="">
      <xdr:nvSpPr>
        <xdr:cNvPr id="36" name="Shape 4">
          <a:extLst>
            <a:ext uri="{FF2B5EF4-FFF2-40B4-BE49-F238E27FC236}">
              <a16:creationId xmlns:a16="http://schemas.microsoft.com/office/drawing/2014/main" id="{C5BB7693-FED7-F548-A3D7-CD49915F1922}"/>
            </a:ext>
          </a:extLst>
        </xdr:cNvPr>
        <xdr:cNvSpPr/>
      </xdr:nvSpPr>
      <xdr:spPr>
        <a:xfrm>
          <a:off x="279400" y="4993821"/>
          <a:ext cx="314325" cy="3143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None/>
          </a:pPr>
          <a:endParaRPr sz="1400"/>
        </a:p>
      </xdr:txBody>
    </xdr:sp>
    <xdr:clientData/>
  </xdr:oneCellAnchor>
  <xdr:oneCellAnchor>
    <xdr:from>
      <xdr:col>1</xdr:col>
      <xdr:colOff>0</xdr:colOff>
      <xdr:row>54</xdr:row>
      <xdr:rowOff>0</xdr:rowOff>
    </xdr:from>
    <xdr:ext cx="304800" cy="306848"/>
    <xdr:sp macro="" textlink="">
      <xdr:nvSpPr>
        <xdr:cNvPr id="37" name="AutoShape 1">
          <a:extLst>
            <a:ext uri="{FF2B5EF4-FFF2-40B4-BE49-F238E27FC236}">
              <a16:creationId xmlns:a16="http://schemas.microsoft.com/office/drawing/2014/main" id="{646D2CF5-32D2-B941-8235-2CE5882A49AE}"/>
            </a:ext>
          </a:extLst>
        </xdr:cNvPr>
        <xdr:cNvSpPr>
          <a:spLocks noChangeAspect="1" noChangeArrowheads="1"/>
        </xdr:cNvSpPr>
      </xdr:nvSpPr>
      <xdr:spPr bwMode="auto">
        <a:xfrm>
          <a:off x="290286" y="4993821"/>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14325" cy="314325"/>
    <xdr:sp macro="" textlink="">
      <xdr:nvSpPr>
        <xdr:cNvPr id="38" name="Shape 4">
          <a:extLst>
            <a:ext uri="{FF2B5EF4-FFF2-40B4-BE49-F238E27FC236}">
              <a16:creationId xmlns:a16="http://schemas.microsoft.com/office/drawing/2014/main" id="{1BAF46D6-8C14-5B4C-8D93-878BF1053AD5}"/>
            </a:ext>
          </a:extLst>
        </xdr:cNvPr>
        <xdr:cNvSpPr/>
      </xdr:nvSpPr>
      <xdr:spPr>
        <a:xfrm>
          <a:off x="290286" y="4993821"/>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xdr:row>
      <xdr:rowOff>0</xdr:rowOff>
    </xdr:from>
    <xdr:ext cx="304800" cy="306848"/>
    <xdr:sp macro="" textlink="">
      <xdr:nvSpPr>
        <xdr:cNvPr id="39" name="AutoShape 1">
          <a:extLst>
            <a:ext uri="{FF2B5EF4-FFF2-40B4-BE49-F238E27FC236}">
              <a16:creationId xmlns:a16="http://schemas.microsoft.com/office/drawing/2014/main" id="{B11FB2F4-3330-8647-869D-02B193F93BAA}"/>
            </a:ext>
          </a:extLst>
        </xdr:cNvPr>
        <xdr:cNvSpPr>
          <a:spLocks noChangeAspect="1" noChangeArrowheads="1"/>
        </xdr:cNvSpPr>
      </xdr:nvSpPr>
      <xdr:spPr bwMode="auto">
        <a:xfrm>
          <a:off x="290286" y="4993821"/>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14325" cy="314325"/>
    <xdr:sp macro="" textlink="">
      <xdr:nvSpPr>
        <xdr:cNvPr id="40" name="Shape 4">
          <a:extLst>
            <a:ext uri="{FF2B5EF4-FFF2-40B4-BE49-F238E27FC236}">
              <a16:creationId xmlns:a16="http://schemas.microsoft.com/office/drawing/2014/main" id="{3E7D1CC2-9D84-D04B-A427-BD7977DACA92}"/>
            </a:ext>
          </a:extLst>
        </xdr:cNvPr>
        <xdr:cNvSpPr/>
      </xdr:nvSpPr>
      <xdr:spPr>
        <a:xfrm>
          <a:off x="290286" y="4993821"/>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xdr:row>
      <xdr:rowOff>0</xdr:rowOff>
    </xdr:from>
    <xdr:ext cx="304800" cy="306848"/>
    <xdr:sp macro="" textlink="">
      <xdr:nvSpPr>
        <xdr:cNvPr id="41" name="AutoShape 1">
          <a:extLst>
            <a:ext uri="{FF2B5EF4-FFF2-40B4-BE49-F238E27FC236}">
              <a16:creationId xmlns:a16="http://schemas.microsoft.com/office/drawing/2014/main" id="{AD0F5379-21D8-9246-AC2B-F22979351DCA}"/>
            </a:ext>
          </a:extLst>
        </xdr:cNvPr>
        <xdr:cNvSpPr>
          <a:spLocks noChangeAspect="1" noChangeArrowheads="1"/>
        </xdr:cNvSpPr>
      </xdr:nvSpPr>
      <xdr:spPr bwMode="auto">
        <a:xfrm>
          <a:off x="290286" y="4993821"/>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14325" cy="314325"/>
    <xdr:sp macro="" textlink="">
      <xdr:nvSpPr>
        <xdr:cNvPr id="42" name="Shape 4">
          <a:extLst>
            <a:ext uri="{FF2B5EF4-FFF2-40B4-BE49-F238E27FC236}">
              <a16:creationId xmlns:a16="http://schemas.microsoft.com/office/drawing/2014/main" id="{0AA0C930-73F3-B648-90F2-59A8AE28F77A}"/>
            </a:ext>
          </a:extLst>
        </xdr:cNvPr>
        <xdr:cNvSpPr/>
      </xdr:nvSpPr>
      <xdr:spPr>
        <a:xfrm>
          <a:off x="290286" y="4993821"/>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54</xdr:row>
      <xdr:rowOff>0</xdr:rowOff>
    </xdr:from>
    <xdr:ext cx="304800" cy="306848"/>
    <xdr:sp macro="" textlink="">
      <xdr:nvSpPr>
        <xdr:cNvPr id="43" name="AutoShape 1">
          <a:extLst>
            <a:ext uri="{FF2B5EF4-FFF2-40B4-BE49-F238E27FC236}">
              <a16:creationId xmlns:a16="http://schemas.microsoft.com/office/drawing/2014/main" id="{18F22A97-84B2-A549-9079-C3B4F76C3F66}"/>
            </a:ext>
          </a:extLst>
        </xdr:cNvPr>
        <xdr:cNvSpPr>
          <a:spLocks noChangeAspect="1" noChangeArrowheads="1"/>
        </xdr:cNvSpPr>
      </xdr:nvSpPr>
      <xdr:spPr bwMode="auto">
        <a:xfrm>
          <a:off x="290286" y="4993821"/>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14325" cy="314325"/>
    <xdr:sp macro="" textlink="">
      <xdr:nvSpPr>
        <xdr:cNvPr id="44" name="Shape 4">
          <a:extLst>
            <a:ext uri="{FF2B5EF4-FFF2-40B4-BE49-F238E27FC236}">
              <a16:creationId xmlns:a16="http://schemas.microsoft.com/office/drawing/2014/main" id="{AC6268CD-5C9C-654C-83A6-FC1939F46483}"/>
            </a:ext>
          </a:extLst>
        </xdr:cNvPr>
        <xdr:cNvSpPr/>
      </xdr:nvSpPr>
      <xdr:spPr>
        <a:xfrm>
          <a:off x="290286" y="4993821"/>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64</xdr:row>
      <xdr:rowOff>0</xdr:rowOff>
    </xdr:from>
    <xdr:ext cx="304800" cy="306848"/>
    <xdr:sp macro="" textlink="">
      <xdr:nvSpPr>
        <xdr:cNvPr id="45" name="AutoShape 1">
          <a:extLst>
            <a:ext uri="{FF2B5EF4-FFF2-40B4-BE49-F238E27FC236}">
              <a16:creationId xmlns:a16="http://schemas.microsoft.com/office/drawing/2014/main" id="{DD9C8B63-C037-D74E-9C1E-39EDDB79B1B3}"/>
            </a:ext>
          </a:extLst>
        </xdr:cNvPr>
        <xdr:cNvSpPr>
          <a:spLocks noChangeAspect="1" noChangeArrowheads="1"/>
        </xdr:cNvSpPr>
      </xdr:nvSpPr>
      <xdr:spPr bwMode="auto">
        <a:xfrm>
          <a:off x="290286" y="6721929"/>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64</xdr:row>
      <xdr:rowOff>0</xdr:rowOff>
    </xdr:from>
    <xdr:ext cx="314325" cy="314325"/>
    <xdr:sp macro="" textlink="">
      <xdr:nvSpPr>
        <xdr:cNvPr id="46" name="Shape 4">
          <a:extLst>
            <a:ext uri="{FF2B5EF4-FFF2-40B4-BE49-F238E27FC236}">
              <a16:creationId xmlns:a16="http://schemas.microsoft.com/office/drawing/2014/main" id="{D1FABCC3-58DA-3A42-9377-5357E1718372}"/>
            </a:ext>
          </a:extLst>
        </xdr:cNvPr>
        <xdr:cNvSpPr/>
      </xdr:nvSpPr>
      <xdr:spPr>
        <a:xfrm>
          <a:off x="290286" y="6721929"/>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279400</xdr:colOff>
      <xdr:row>64</xdr:row>
      <xdr:rowOff>0</xdr:rowOff>
    </xdr:from>
    <xdr:ext cx="304800" cy="306848"/>
    <xdr:sp macro="" textlink="">
      <xdr:nvSpPr>
        <xdr:cNvPr id="47" name="AutoShape 1">
          <a:extLst>
            <a:ext uri="{FF2B5EF4-FFF2-40B4-BE49-F238E27FC236}">
              <a16:creationId xmlns:a16="http://schemas.microsoft.com/office/drawing/2014/main" id="{8A7D0DCE-3BDC-4542-B930-9DFDBC9450E4}"/>
            </a:ext>
          </a:extLst>
        </xdr:cNvPr>
        <xdr:cNvSpPr>
          <a:spLocks noChangeAspect="1" noChangeArrowheads="1"/>
        </xdr:cNvSpPr>
      </xdr:nvSpPr>
      <xdr:spPr bwMode="auto">
        <a:xfrm>
          <a:off x="279400" y="6721929"/>
          <a:ext cx="304800" cy="30684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0</xdr:col>
      <xdr:colOff>279400</xdr:colOff>
      <xdr:row>64</xdr:row>
      <xdr:rowOff>0</xdr:rowOff>
    </xdr:from>
    <xdr:ext cx="314325" cy="314325"/>
    <xdr:sp macro="" textlink="">
      <xdr:nvSpPr>
        <xdr:cNvPr id="48" name="Shape 4">
          <a:extLst>
            <a:ext uri="{FF2B5EF4-FFF2-40B4-BE49-F238E27FC236}">
              <a16:creationId xmlns:a16="http://schemas.microsoft.com/office/drawing/2014/main" id="{25E005BA-4875-714C-8C9F-8CB4AE1AD027}"/>
            </a:ext>
          </a:extLst>
        </xdr:cNvPr>
        <xdr:cNvSpPr/>
      </xdr:nvSpPr>
      <xdr:spPr>
        <a:xfrm>
          <a:off x="279400" y="6721929"/>
          <a:ext cx="314325" cy="3143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None/>
          </a:pPr>
          <a:endParaRPr sz="1400"/>
        </a:p>
      </xdr:txBody>
    </xdr:sp>
    <xdr:clientData/>
  </xdr:oneCellAnchor>
  <xdr:oneCellAnchor>
    <xdr:from>
      <xdr:col>1</xdr:col>
      <xdr:colOff>0</xdr:colOff>
      <xdr:row>64</xdr:row>
      <xdr:rowOff>0</xdr:rowOff>
    </xdr:from>
    <xdr:ext cx="304800" cy="306848"/>
    <xdr:sp macro="" textlink="">
      <xdr:nvSpPr>
        <xdr:cNvPr id="49" name="AutoShape 1">
          <a:extLst>
            <a:ext uri="{FF2B5EF4-FFF2-40B4-BE49-F238E27FC236}">
              <a16:creationId xmlns:a16="http://schemas.microsoft.com/office/drawing/2014/main" id="{0789B1E7-33EF-2544-85CA-515E5FB72705}"/>
            </a:ext>
          </a:extLst>
        </xdr:cNvPr>
        <xdr:cNvSpPr>
          <a:spLocks noChangeAspect="1" noChangeArrowheads="1"/>
        </xdr:cNvSpPr>
      </xdr:nvSpPr>
      <xdr:spPr bwMode="auto">
        <a:xfrm>
          <a:off x="290286" y="6721929"/>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64</xdr:row>
      <xdr:rowOff>0</xdr:rowOff>
    </xdr:from>
    <xdr:ext cx="314325" cy="314325"/>
    <xdr:sp macro="" textlink="">
      <xdr:nvSpPr>
        <xdr:cNvPr id="50" name="Shape 4">
          <a:extLst>
            <a:ext uri="{FF2B5EF4-FFF2-40B4-BE49-F238E27FC236}">
              <a16:creationId xmlns:a16="http://schemas.microsoft.com/office/drawing/2014/main" id="{4480C4EE-54FC-574B-9D11-2F44DC229265}"/>
            </a:ext>
          </a:extLst>
        </xdr:cNvPr>
        <xdr:cNvSpPr/>
      </xdr:nvSpPr>
      <xdr:spPr>
        <a:xfrm>
          <a:off x="290286" y="6721929"/>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64</xdr:row>
      <xdr:rowOff>0</xdr:rowOff>
    </xdr:from>
    <xdr:ext cx="304800" cy="306848"/>
    <xdr:sp macro="" textlink="">
      <xdr:nvSpPr>
        <xdr:cNvPr id="51" name="AutoShape 1">
          <a:extLst>
            <a:ext uri="{FF2B5EF4-FFF2-40B4-BE49-F238E27FC236}">
              <a16:creationId xmlns:a16="http://schemas.microsoft.com/office/drawing/2014/main" id="{A85D8AB9-A13C-6A43-9E0D-CE1C1DC75E9A}"/>
            </a:ext>
          </a:extLst>
        </xdr:cNvPr>
        <xdr:cNvSpPr>
          <a:spLocks noChangeAspect="1" noChangeArrowheads="1"/>
        </xdr:cNvSpPr>
      </xdr:nvSpPr>
      <xdr:spPr bwMode="auto">
        <a:xfrm>
          <a:off x="290286" y="6721929"/>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64</xdr:row>
      <xdr:rowOff>0</xdr:rowOff>
    </xdr:from>
    <xdr:ext cx="314325" cy="314325"/>
    <xdr:sp macro="" textlink="">
      <xdr:nvSpPr>
        <xdr:cNvPr id="52" name="Shape 4">
          <a:extLst>
            <a:ext uri="{FF2B5EF4-FFF2-40B4-BE49-F238E27FC236}">
              <a16:creationId xmlns:a16="http://schemas.microsoft.com/office/drawing/2014/main" id="{02C05150-5AC8-684F-81FE-411026A03117}"/>
            </a:ext>
          </a:extLst>
        </xdr:cNvPr>
        <xdr:cNvSpPr/>
      </xdr:nvSpPr>
      <xdr:spPr>
        <a:xfrm>
          <a:off x="290286" y="6721929"/>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64</xdr:row>
      <xdr:rowOff>0</xdr:rowOff>
    </xdr:from>
    <xdr:ext cx="304800" cy="306848"/>
    <xdr:sp macro="" textlink="">
      <xdr:nvSpPr>
        <xdr:cNvPr id="53" name="AutoShape 1">
          <a:extLst>
            <a:ext uri="{FF2B5EF4-FFF2-40B4-BE49-F238E27FC236}">
              <a16:creationId xmlns:a16="http://schemas.microsoft.com/office/drawing/2014/main" id="{AC60925B-A4E6-D042-B72C-8DE095A4EA55}"/>
            </a:ext>
          </a:extLst>
        </xdr:cNvPr>
        <xdr:cNvSpPr>
          <a:spLocks noChangeAspect="1" noChangeArrowheads="1"/>
        </xdr:cNvSpPr>
      </xdr:nvSpPr>
      <xdr:spPr bwMode="auto">
        <a:xfrm>
          <a:off x="290286" y="6721929"/>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64</xdr:row>
      <xdr:rowOff>0</xdr:rowOff>
    </xdr:from>
    <xdr:ext cx="314325" cy="314325"/>
    <xdr:sp macro="" textlink="">
      <xdr:nvSpPr>
        <xdr:cNvPr id="54" name="Shape 4">
          <a:extLst>
            <a:ext uri="{FF2B5EF4-FFF2-40B4-BE49-F238E27FC236}">
              <a16:creationId xmlns:a16="http://schemas.microsoft.com/office/drawing/2014/main" id="{69A30FA0-4BA0-1C43-AAF1-8F8819549D66}"/>
            </a:ext>
          </a:extLst>
        </xdr:cNvPr>
        <xdr:cNvSpPr/>
      </xdr:nvSpPr>
      <xdr:spPr>
        <a:xfrm>
          <a:off x="290286" y="6721929"/>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64</xdr:row>
      <xdr:rowOff>0</xdr:rowOff>
    </xdr:from>
    <xdr:ext cx="304800" cy="306848"/>
    <xdr:sp macro="" textlink="">
      <xdr:nvSpPr>
        <xdr:cNvPr id="55" name="AutoShape 1">
          <a:extLst>
            <a:ext uri="{FF2B5EF4-FFF2-40B4-BE49-F238E27FC236}">
              <a16:creationId xmlns:a16="http://schemas.microsoft.com/office/drawing/2014/main" id="{23137B49-4840-024E-925D-ED64DAC34EAB}"/>
            </a:ext>
          </a:extLst>
        </xdr:cNvPr>
        <xdr:cNvSpPr>
          <a:spLocks noChangeAspect="1" noChangeArrowheads="1"/>
        </xdr:cNvSpPr>
      </xdr:nvSpPr>
      <xdr:spPr bwMode="auto">
        <a:xfrm>
          <a:off x="290286" y="6721929"/>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64</xdr:row>
      <xdr:rowOff>0</xdr:rowOff>
    </xdr:from>
    <xdr:ext cx="314325" cy="314325"/>
    <xdr:sp macro="" textlink="">
      <xdr:nvSpPr>
        <xdr:cNvPr id="56" name="Shape 4">
          <a:extLst>
            <a:ext uri="{FF2B5EF4-FFF2-40B4-BE49-F238E27FC236}">
              <a16:creationId xmlns:a16="http://schemas.microsoft.com/office/drawing/2014/main" id="{C21CF2B0-CD32-F843-8442-0360CB247221}"/>
            </a:ext>
          </a:extLst>
        </xdr:cNvPr>
        <xdr:cNvSpPr/>
      </xdr:nvSpPr>
      <xdr:spPr>
        <a:xfrm>
          <a:off x="290286" y="6721929"/>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64</xdr:row>
      <xdr:rowOff>0</xdr:rowOff>
    </xdr:from>
    <xdr:ext cx="304800" cy="306848"/>
    <xdr:sp macro="" textlink="">
      <xdr:nvSpPr>
        <xdr:cNvPr id="23556" name="AutoShape 1">
          <a:extLst>
            <a:ext uri="{FF2B5EF4-FFF2-40B4-BE49-F238E27FC236}">
              <a16:creationId xmlns:a16="http://schemas.microsoft.com/office/drawing/2014/main" id="{1DF7C445-C199-5043-AEEC-FB961E3F4718}"/>
            </a:ext>
          </a:extLst>
        </xdr:cNvPr>
        <xdr:cNvSpPr>
          <a:spLocks noChangeAspect="1" noChangeArrowheads="1"/>
        </xdr:cNvSpPr>
      </xdr:nvSpPr>
      <xdr:spPr bwMode="auto">
        <a:xfrm>
          <a:off x="825500" y="25908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64</xdr:row>
      <xdr:rowOff>0</xdr:rowOff>
    </xdr:from>
    <xdr:ext cx="314325" cy="314325"/>
    <xdr:sp macro="" textlink="">
      <xdr:nvSpPr>
        <xdr:cNvPr id="23557" name="Shape 4">
          <a:extLst>
            <a:ext uri="{FF2B5EF4-FFF2-40B4-BE49-F238E27FC236}">
              <a16:creationId xmlns:a16="http://schemas.microsoft.com/office/drawing/2014/main" id="{1F07F50F-FC52-E24B-A001-0C5BF26634B9}"/>
            </a:ext>
          </a:extLst>
        </xdr:cNvPr>
        <xdr:cNvSpPr/>
      </xdr:nvSpPr>
      <xdr:spPr>
        <a:xfrm>
          <a:off x="825500" y="25908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64</xdr:row>
      <xdr:rowOff>0</xdr:rowOff>
    </xdr:from>
    <xdr:ext cx="304800" cy="306848"/>
    <xdr:sp macro="" textlink="">
      <xdr:nvSpPr>
        <xdr:cNvPr id="23558" name="AutoShape 1">
          <a:extLst>
            <a:ext uri="{FF2B5EF4-FFF2-40B4-BE49-F238E27FC236}">
              <a16:creationId xmlns:a16="http://schemas.microsoft.com/office/drawing/2014/main" id="{21944C33-E830-AB40-B751-8EF2807DEED1}"/>
            </a:ext>
          </a:extLst>
        </xdr:cNvPr>
        <xdr:cNvSpPr>
          <a:spLocks noChangeAspect="1" noChangeArrowheads="1"/>
        </xdr:cNvSpPr>
      </xdr:nvSpPr>
      <xdr:spPr bwMode="auto">
        <a:xfrm>
          <a:off x="825500" y="25908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64</xdr:row>
      <xdr:rowOff>0</xdr:rowOff>
    </xdr:from>
    <xdr:ext cx="314325" cy="314325"/>
    <xdr:sp macro="" textlink="">
      <xdr:nvSpPr>
        <xdr:cNvPr id="23559" name="Shape 4">
          <a:extLst>
            <a:ext uri="{FF2B5EF4-FFF2-40B4-BE49-F238E27FC236}">
              <a16:creationId xmlns:a16="http://schemas.microsoft.com/office/drawing/2014/main" id="{E445E602-1D7D-1F40-AB4B-F66D6810A01B}"/>
            </a:ext>
          </a:extLst>
        </xdr:cNvPr>
        <xdr:cNvSpPr/>
      </xdr:nvSpPr>
      <xdr:spPr>
        <a:xfrm>
          <a:off x="825500" y="25908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64</xdr:row>
      <xdr:rowOff>0</xdr:rowOff>
    </xdr:from>
    <xdr:ext cx="304800" cy="306848"/>
    <xdr:sp macro="" textlink="">
      <xdr:nvSpPr>
        <xdr:cNvPr id="23560" name="AutoShape 1">
          <a:extLst>
            <a:ext uri="{FF2B5EF4-FFF2-40B4-BE49-F238E27FC236}">
              <a16:creationId xmlns:a16="http://schemas.microsoft.com/office/drawing/2014/main" id="{EC0C93C9-84CA-7C4B-8864-23509A2429BF}"/>
            </a:ext>
          </a:extLst>
        </xdr:cNvPr>
        <xdr:cNvSpPr>
          <a:spLocks noChangeAspect="1" noChangeArrowheads="1"/>
        </xdr:cNvSpPr>
      </xdr:nvSpPr>
      <xdr:spPr bwMode="auto">
        <a:xfrm>
          <a:off x="825500" y="25908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64</xdr:row>
      <xdr:rowOff>0</xdr:rowOff>
    </xdr:from>
    <xdr:ext cx="314325" cy="314325"/>
    <xdr:sp macro="" textlink="">
      <xdr:nvSpPr>
        <xdr:cNvPr id="23561" name="Shape 4">
          <a:extLst>
            <a:ext uri="{FF2B5EF4-FFF2-40B4-BE49-F238E27FC236}">
              <a16:creationId xmlns:a16="http://schemas.microsoft.com/office/drawing/2014/main" id="{9DB3F41E-0726-FD48-8C14-43CF25A2E129}"/>
            </a:ext>
          </a:extLst>
        </xdr:cNvPr>
        <xdr:cNvSpPr/>
      </xdr:nvSpPr>
      <xdr:spPr>
        <a:xfrm>
          <a:off x="825500" y="25908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64</xdr:row>
      <xdr:rowOff>0</xdr:rowOff>
    </xdr:from>
    <xdr:ext cx="304800" cy="306848"/>
    <xdr:sp macro="" textlink="">
      <xdr:nvSpPr>
        <xdr:cNvPr id="23562" name="AutoShape 1">
          <a:extLst>
            <a:ext uri="{FF2B5EF4-FFF2-40B4-BE49-F238E27FC236}">
              <a16:creationId xmlns:a16="http://schemas.microsoft.com/office/drawing/2014/main" id="{990D1AED-CC00-C84D-A6C6-DA82A97E72F6}"/>
            </a:ext>
          </a:extLst>
        </xdr:cNvPr>
        <xdr:cNvSpPr>
          <a:spLocks noChangeAspect="1" noChangeArrowheads="1"/>
        </xdr:cNvSpPr>
      </xdr:nvSpPr>
      <xdr:spPr bwMode="auto">
        <a:xfrm>
          <a:off x="825500" y="25908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64</xdr:row>
      <xdr:rowOff>0</xdr:rowOff>
    </xdr:from>
    <xdr:ext cx="314325" cy="314325"/>
    <xdr:sp macro="" textlink="">
      <xdr:nvSpPr>
        <xdr:cNvPr id="23563" name="Shape 4">
          <a:extLst>
            <a:ext uri="{FF2B5EF4-FFF2-40B4-BE49-F238E27FC236}">
              <a16:creationId xmlns:a16="http://schemas.microsoft.com/office/drawing/2014/main" id="{B09CDC01-B154-7A45-BF20-54A90DA71648}"/>
            </a:ext>
          </a:extLst>
        </xdr:cNvPr>
        <xdr:cNvSpPr/>
      </xdr:nvSpPr>
      <xdr:spPr>
        <a:xfrm>
          <a:off x="825500" y="25908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64</xdr:row>
      <xdr:rowOff>0</xdr:rowOff>
    </xdr:from>
    <xdr:ext cx="304800" cy="306848"/>
    <xdr:sp macro="" textlink="">
      <xdr:nvSpPr>
        <xdr:cNvPr id="23564" name="AutoShape 1">
          <a:extLst>
            <a:ext uri="{FF2B5EF4-FFF2-40B4-BE49-F238E27FC236}">
              <a16:creationId xmlns:a16="http://schemas.microsoft.com/office/drawing/2014/main" id="{B85F9014-97E9-6247-B657-CE7DBD8F7E0A}"/>
            </a:ext>
          </a:extLst>
        </xdr:cNvPr>
        <xdr:cNvSpPr>
          <a:spLocks noChangeAspect="1" noChangeArrowheads="1"/>
        </xdr:cNvSpPr>
      </xdr:nvSpPr>
      <xdr:spPr bwMode="auto">
        <a:xfrm>
          <a:off x="825500" y="25908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64</xdr:row>
      <xdr:rowOff>0</xdr:rowOff>
    </xdr:from>
    <xdr:ext cx="314325" cy="314325"/>
    <xdr:sp macro="" textlink="">
      <xdr:nvSpPr>
        <xdr:cNvPr id="23565" name="Shape 4">
          <a:extLst>
            <a:ext uri="{FF2B5EF4-FFF2-40B4-BE49-F238E27FC236}">
              <a16:creationId xmlns:a16="http://schemas.microsoft.com/office/drawing/2014/main" id="{E8E51AEA-7D74-CE4B-AFAD-FCA27EB74C95}"/>
            </a:ext>
          </a:extLst>
        </xdr:cNvPr>
        <xdr:cNvSpPr/>
      </xdr:nvSpPr>
      <xdr:spPr>
        <a:xfrm>
          <a:off x="825500" y="25908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73</xdr:row>
      <xdr:rowOff>0</xdr:rowOff>
    </xdr:from>
    <xdr:ext cx="304800" cy="306848"/>
    <xdr:sp macro="" textlink="">
      <xdr:nvSpPr>
        <xdr:cNvPr id="57" name="AutoShape 1">
          <a:extLst>
            <a:ext uri="{FF2B5EF4-FFF2-40B4-BE49-F238E27FC236}">
              <a16:creationId xmlns:a16="http://schemas.microsoft.com/office/drawing/2014/main" id="{E4455907-1FCC-374A-8FEC-14C188EEAD66}"/>
            </a:ext>
          </a:extLst>
        </xdr:cNvPr>
        <xdr:cNvSpPr>
          <a:spLocks noChangeAspect="1" noChangeArrowheads="1"/>
        </xdr:cNvSpPr>
      </xdr:nvSpPr>
      <xdr:spPr bwMode="auto">
        <a:xfrm>
          <a:off x="290286" y="115660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xdr:row>
      <xdr:rowOff>0</xdr:rowOff>
    </xdr:from>
    <xdr:ext cx="314325" cy="314325"/>
    <xdr:sp macro="" textlink="">
      <xdr:nvSpPr>
        <xdr:cNvPr id="58" name="Shape 4">
          <a:extLst>
            <a:ext uri="{FF2B5EF4-FFF2-40B4-BE49-F238E27FC236}">
              <a16:creationId xmlns:a16="http://schemas.microsoft.com/office/drawing/2014/main" id="{22A2B544-D51C-D74E-8C9B-AA980461A42C}"/>
            </a:ext>
          </a:extLst>
        </xdr:cNvPr>
        <xdr:cNvSpPr/>
      </xdr:nvSpPr>
      <xdr:spPr>
        <a:xfrm>
          <a:off x="290286" y="115660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279400</xdr:colOff>
      <xdr:row>73</xdr:row>
      <xdr:rowOff>0</xdr:rowOff>
    </xdr:from>
    <xdr:ext cx="304800" cy="306848"/>
    <xdr:sp macro="" textlink="">
      <xdr:nvSpPr>
        <xdr:cNvPr id="59" name="AutoShape 1">
          <a:extLst>
            <a:ext uri="{FF2B5EF4-FFF2-40B4-BE49-F238E27FC236}">
              <a16:creationId xmlns:a16="http://schemas.microsoft.com/office/drawing/2014/main" id="{ED80E495-71A5-3D4D-B782-41866D87C9F7}"/>
            </a:ext>
          </a:extLst>
        </xdr:cNvPr>
        <xdr:cNvSpPr>
          <a:spLocks noChangeAspect="1" noChangeArrowheads="1"/>
        </xdr:cNvSpPr>
      </xdr:nvSpPr>
      <xdr:spPr bwMode="auto">
        <a:xfrm>
          <a:off x="279400" y="1156607"/>
          <a:ext cx="304800" cy="30684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0</xdr:col>
      <xdr:colOff>279400</xdr:colOff>
      <xdr:row>73</xdr:row>
      <xdr:rowOff>0</xdr:rowOff>
    </xdr:from>
    <xdr:ext cx="314325" cy="314325"/>
    <xdr:sp macro="" textlink="">
      <xdr:nvSpPr>
        <xdr:cNvPr id="60" name="Shape 4">
          <a:extLst>
            <a:ext uri="{FF2B5EF4-FFF2-40B4-BE49-F238E27FC236}">
              <a16:creationId xmlns:a16="http://schemas.microsoft.com/office/drawing/2014/main" id="{01DBD971-4A97-5E43-AE9C-380F055458D6}"/>
            </a:ext>
          </a:extLst>
        </xdr:cNvPr>
        <xdr:cNvSpPr/>
      </xdr:nvSpPr>
      <xdr:spPr>
        <a:xfrm>
          <a:off x="279400" y="1156607"/>
          <a:ext cx="314325" cy="3143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None/>
          </a:pPr>
          <a:endParaRPr sz="1400"/>
        </a:p>
      </xdr:txBody>
    </xdr:sp>
    <xdr:clientData/>
  </xdr:oneCellAnchor>
  <xdr:oneCellAnchor>
    <xdr:from>
      <xdr:col>1</xdr:col>
      <xdr:colOff>0</xdr:colOff>
      <xdr:row>73</xdr:row>
      <xdr:rowOff>0</xdr:rowOff>
    </xdr:from>
    <xdr:ext cx="304800" cy="306848"/>
    <xdr:sp macro="" textlink="">
      <xdr:nvSpPr>
        <xdr:cNvPr id="61" name="AutoShape 1">
          <a:extLst>
            <a:ext uri="{FF2B5EF4-FFF2-40B4-BE49-F238E27FC236}">
              <a16:creationId xmlns:a16="http://schemas.microsoft.com/office/drawing/2014/main" id="{6F014F72-A9ED-1C4D-AC64-B35E16A3FE98}"/>
            </a:ext>
          </a:extLst>
        </xdr:cNvPr>
        <xdr:cNvSpPr>
          <a:spLocks noChangeAspect="1" noChangeArrowheads="1"/>
        </xdr:cNvSpPr>
      </xdr:nvSpPr>
      <xdr:spPr bwMode="auto">
        <a:xfrm>
          <a:off x="290286" y="115660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xdr:row>
      <xdr:rowOff>0</xdr:rowOff>
    </xdr:from>
    <xdr:ext cx="314325" cy="314325"/>
    <xdr:sp macro="" textlink="">
      <xdr:nvSpPr>
        <xdr:cNvPr id="62" name="Shape 4">
          <a:extLst>
            <a:ext uri="{FF2B5EF4-FFF2-40B4-BE49-F238E27FC236}">
              <a16:creationId xmlns:a16="http://schemas.microsoft.com/office/drawing/2014/main" id="{BF7422D2-5C1C-0E4E-815E-40A6DF596335}"/>
            </a:ext>
          </a:extLst>
        </xdr:cNvPr>
        <xdr:cNvSpPr/>
      </xdr:nvSpPr>
      <xdr:spPr>
        <a:xfrm>
          <a:off x="290286" y="115660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73</xdr:row>
      <xdr:rowOff>0</xdr:rowOff>
    </xdr:from>
    <xdr:ext cx="304800" cy="306848"/>
    <xdr:sp macro="" textlink="">
      <xdr:nvSpPr>
        <xdr:cNvPr id="63" name="AutoShape 1">
          <a:extLst>
            <a:ext uri="{FF2B5EF4-FFF2-40B4-BE49-F238E27FC236}">
              <a16:creationId xmlns:a16="http://schemas.microsoft.com/office/drawing/2014/main" id="{D934EF63-F830-F94E-9088-E48200FBFBE6}"/>
            </a:ext>
          </a:extLst>
        </xdr:cNvPr>
        <xdr:cNvSpPr>
          <a:spLocks noChangeAspect="1" noChangeArrowheads="1"/>
        </xdr:cNvSpPr>
      </xdr:nvSpPr>
      <xdr:spPr bwMode="auto">
        <a:xfrm>
          <a:off x="290286" y="115660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xdr:row>
      <xdr:rowOff>0</xdr:rowOff>
    </xdr:from>
    <xdr:ext cx="314325" cy="314325"/>
    <xdr:sp macro="" textlink="">
      <xdr:nvSpPr>
        <xdr:cNvPr id="23552" name="Shape 4">
          <a:extLst>
            <a:ext uri="{FF2B5EF4-FFF2-40B4-BE49-F238E27FC236}">
              <a16:creationId xmlns:a16="http://schemas.microsoft.com/office/drawing/2014/main" id="{9075C7C5-EDFC-5149-9C24-296C1BA39784}"/>
            </a:ext>
          </a:extLst>
        </xdr:cNvPr>
        <xdr:cNvSpPr/>
      </xdr:nvSpPr>
      <xdr:spPr>
        <a:xfrm>
          <a:off x="290286" y="115660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73</xdr:row>
      <xdr:rowOff>0</xdr:rowOff>
    </xdr:from>
    <xdr:ext cx="304800" cy="306848"/>
    <xdr:sp macro="" textlink="">
      <xdr:nvSpPr>
        <xdr:cNvPr id="23554" name="AutoShape 1">
          <a:extLst>
            <a:ext uri="{FF2B5EF4-FFF2-40B4-BE49-F238E27FC236}">
              <a16:creationId xmlns:a16="http://schemas.microsoft.com/office/drawing/2014/main" id="{6D4E0407-1A9C-B04C-9970-084C6C4DBA9B}"/>
            </a:ext>
          </a:extLst>
        </xdr:cNvPr>
        <xdr:cNvSpPr>
          <a:spLocks noChangeAspect="1" noChangeArrowheads="1"/>
        </xdr:cNvSpPr>
      </xdr:nvSpPr>
      <xdr:spPr bwMode="auto">
        <a:xfrm>
          <a:off x="290286" y="115660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xdr:row>
      <xdr:rowOff>0</xdr:rowOff>
    </xdr:from>
    <xdr:ext cx="314325" cy="314325"/>
    <xdr:sp macro="" textlink="">
      <xdr:nvSpPr>
        <xdr:cNvPr id="23555" name="Shape 4">
          <a:extLst>
            <a:ext uri="{FF2B5EF4-FFF2-40B4-BE49-F238E27FC236}">
              <a16:creationId xmlns:a16="http://schemas.microsoft.com/office/drawing/2014/main" id="{48FEC158-B6A9-3E44-999B-C03D7A6B6265}"/>
            </a:ext>
          </a:extLst>
        </xdr:cNvPr>
        <xdr:cNvSpPr/>
      </xdr:nvSpPr>
      <xdr:spPr>
        <a:xfrm>
          <a:off x="290286" y="115660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73</xdr:row>
      <xdr:rowOff>0</xdr:rowOff>
    </xdr:from>
    <xdr:ext cx="304800" cy="306848"/>
    <xdr:sp macro="" textlink="">
      <xdr:nvSpPr>
        <xdr:cNvPr id="23566" name="AutoShape 1">
          <a:extLst>
            <a:ext uri="{FF2B5EF4-FFF2-40B4-BE49-F238E27FC236}">
              <a16:creationId xmlns:a16="http://schemas.microsoft.com/office/drawing/2014/main" id="{FAADC5CD-6ED3-8A4E-A09D-ECAC28CEF73E}"/>
            </a:ext>
          </a:extLst>
        </xdr:cNvPr>
        <xdr:cNvSpPr>
          <a:spLocks noChangeAspect="1" noChangeArrowheads="1"/>
        </xdr:cNvSpPr>
      </xdr:nvSpPr>
      <xdr:spPr bwMode="auto">
        <a:xfrm>
          <a:off x="290286" y="115660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xdr:row>
      <xdr:rowOff>0</xdr:rowOff>
    </xdr:from>
    <xdr:ext cx="314325" cy="314325"/>
    <xdr:sp macro="" textlink="">
      <xdr:nvSpPr>
        <xdr:cNvPr id="23567" name="Shape 4">
          <a:extLst>
            <a:ext uri="{FF2B5EF4-FFF2-40B4-BE49-F238E27FC236}">
              <a16:creationId xmlns:a16="http://schemas.microsoft.com/office/drawing/2014/main" id="{9322E237-C6E7-004F-9F38-84328F62394C}"/>
            </a:ext>
          </a:extLst>
        </xdr:cNvPr>
        <xdr:cNvSpPr/>
      </xdr:nvSpPr>
      <xdr:spPr>
        <a:xfrm>
          <a:off x="290286" y="115660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73</xdr:row>
      <xdr:rowOff>0</xdr:rowOff>
    </xdr:from>
    <xdr:ext cx="304800" cy="306848"/>
    <xdr:sp macro="" textlink="">
      <xdr:nvSpPr>
        <xdr:cNvPr id="23568" name="AutoShape 1">
          <a:extLst>
            <a:ext uri="{FF2B5EF4-FFF2-40B4-BE49-F238E27FC236}">
              <a16:creationId xmlns:a16="http://schemas.microsoft.com/office/drawing/2014/main" id="{7C57069F-AE7B-A94F-BDFB-0C7E3DDD8C54}"/>
            </a:ext>
          </a:extLst>
        </xdr:cNvPr>
        <xdr:cNvSpPr>
          <a:spLocks noChangeAspect="1" noChangeArrowheads="1"/>
        </xdr:cNvSpPr>
      </xdr:nvSpPr>
      <xdr:spPr bwMode="auto">
        <a:xfrm>
          <a:off x="290286" y="115660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xdr:row>
      <xdr:rowOff>0</xdr:rowOff>
    </xdr:from>
    <xdr:ext cx="314325" cy="314325"/>
    <xdr:sp macro="" textlink="">
      <xdr:nvSpPr>
        <xdr:cNvPr id="23569" name="Shape 4">
          <a:extLst>
            <a:ext uri="{FF2B5EF4-FFF2-40B4-BE49-F238E27FC236}">
              <a16:creationId xmlns:a16="http://schemas.microsoft.com/office/drawing/2014/main" id="{4F907637-B9E6-D64A-8AAF-374B4F40D0C8}"/>
            </a:ext>
          </a:extLst>
        </xdr:cNvPr>
        <xdr:cNvSpPr/>
      </xdr:nvSpPr>
      <xdr:spPr>
        <a:xfrm>
          <a:off x="290286" y="115660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73</xdr:row>
      <xdr:rowOff>0</xdr:rowOff>
    </xdr:from>
    <xdr:ext cx="304800" cy="306848"/>
    <xdr:sp macro="" textlink="">
      <xdr:nvSpPr>
        <xdr:cNvPr id="23570" name="AutoShape 1">
          <a:extLst>
            <a:ext uri="{FF2B5EF4-FFF2-40B4-BE49-F238E27FC236}">
              <a16:creationId xmlns:a16="http://schemas.microsoft.com/office/drawing/2014/main" id="{0C767EA1-F3B9-6C4C-B9E4-0286EDF4339A}"/>
            </a:ext>
          </a:extLst>
        </xdr:cNvPr>
        <xdr:cNvSpPr>
          <a:spLocks noChangeAspect="1" noChangeArrowheads="1"/>
        </xdr:cNvSpPr>
      </xdr:nvSpPr>
      <xdr:spPr bwMode="auto">
        <a:xfrm>
          <a:off x="290286" y="115660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xdr:row>
      <xdr:rowOff>0</xdr:rowOff>
    </xdr:from>
    <xdr:ext cx="314325" cy="314325"/>
    <xdr:sp macro="" textlink="">
      <xdr:nvSpPr>
        <xdr:cNvPr id="23571" name="Shape 4">
          <a:extLst>
            <a:ext uri="{FF2B5EF4-FFF2-40B4-BE49-F238E27FC236}">
              <a16:creationId xmlns:a16="http://schemas.microsoft.com/office/drawing/2014/main" id="{E19EF041-64D0-2048-9766-59A275A2D9DB}"/>
            </a:ext>
          </a:extLst>
        </xdr:cNvPr>
        <xdr:cNvSpPr/>
      </xdr:nvSpPr>
      <xdr:spPr>
        <a:xfrm>
          <a:off x="290286" y="115660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73</xdr:row>
      <xdr:rowOff>0</xdr:rowOff>
    </xdr:from>
    <xdr:ext cx="304800" cy="306848"/>
    <xdr:sp macro="" textlink="">
      <xdr:nvSpPr>
        <xdr:cNvPr id="23572" name="AutoShape 1">
          <a:extLst>
            <a:ext uri="{FF2B5EF4-FFF2-40B4-BE49-F238E27FC236}">
              <a16:creationId xmlns:a16="http://schemas.microsoft.com/office/drawing/2014/main" id="{1E3F8DF2-430A-1B46-B827-986B3849CB23}"/>
            </a:ext>
          </a:extLst>
        </xdr:cNvPr>
        <xdr:cNvSpPr>
          <a:spLocks noChangeAspect="1" noChangeArrowheads="1"/>
        </xdr:cNvSpPr>
      </xdr:nvSpPr>
      <xdr:spPr bwMode="auto">
        <a:xfrm>
          <a:off x="290286" y="115660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xdr:row>
      <xdr:rowOff>0</xdr:rowOff>
    </xdr:from>
    <xdr:ext cx="314325" cy="314325"/>
    <xdr:sp macro="" textlink="">
      <xdr:nvSpPr>
        <xdr:cNvPr id="23573" name="Shape 4">
          <a:extLst>
            <a:ext uri="{FF2B5EF4-FFF2-40B4-BE49-F238E27FC236}">
              <a16:creationId xmlns:a16="http://schemas.microsoft.com/office/drawing/2014/main" id="{667B3E22-7D4A-294B-8561-1E2C78595493}"/>
            </a:ext>
          </a:extLst>
        </xdr:cNvPr>
        <xdr:cNvSpPr/>
      </xdr:nvSpPr>
      <xdr:spPr>
        <a:xfrm>
          <a:off x="290286" y="115660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73</xdr:row>
      <xdr:rowOff>0</xdr:rowOff>
    </xdr:from>
    <xdr:ext cx="304800" cy="306848"/>
    <xdr:sp macro="" textlink="">
      <xdr:nvSpPr>
        <xdr:cNvPr id="23574" name="AutoShape 1">
          <a:extLst>
            <a:ext uri="{FF2B5EF4-FFF2-40B4-BE49-F238E27FC236}">
              <a16:creationId xmlns:a16="http://schemas.microsoft.com/office/drawing/2014/main" id="{43B7C0AE-63FF-8D4A-B012-70F5BA3AD615}"/>
            </a:ext>
          </a:extLst>
        </xdr:cNvPr>
        <xdr:cNvSpPr>
          <a:spLocks noChangeAspect="1" noChangeArrowheads="1"/>
        </xdr:cNvSpPr>
      </xdr:nvSpPr>
      <xdr:spPr bwMode="auto">
        <a:xfrm>
          <a:off x="290286" y="115660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xdr:row>
      <xdr:rowOff>0</xdr:rowOff>
    </xdr:from>
    <xdr:ext cx="314325" cy="314325"/>
    <xdr:sp macro="" textlink="">
      <xdr:nvSpPr>
        <xdr:cNvPr id="23575" name="Shape 4">
          <a:extLst>
            <a:ext uri="{FF2B5EF4-FFF2-40B4-BE49-F238E27FC236}">
              <a16:creationId xmlns:a16="http://schemas.microsoft.com/office/drawing/2014/main" id="{F0B868BF-6B6A-5A47-92ED-A8F7C0668DD7}"/>
            </a:ext>
          </a:extLst>
        </xdr:cNvPr>
        <xdr:cNvSpPr/>
      </xdr:nvSpPr>
      <xdr:spPr>
        <a:xfrm>
          <a:off x="290286" y="115660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73</xdr:row>
      <xdr:rowOff>0</xdr:rowOff>
    </xdr:from>
    <xdr:ext cx="304800" cy="306848"/>
    <xdr:sp macro="" textlink="">
      <xdr:nvSpPr>
        <xdr:cNvPr id="23576" name="AutoShape 1">
          <a:extLst>
            <a:ext uri="{FF2B5EF4-FFF2-40B4-BE49-F238E27FC236}">
              <a16:creationId xmlns:a16="http://schemas.microsoft.com/office/drawing/2014/main" id="{9EAD1291-6395-4443-893B-7D16EC1D4DE6}"/>
            </a:ext>
          </a:extLst>
        </xdr:cNvPr>
        <xdr:cNvSpPr>
          <a:spLocks noChangeAspect="1" noChangeArrowheads="1"/>
        </xdr:cNvSpPr>
      </xdr:nvSpPr>
      <xdr:spPr bwMode="auto">
        <a:xfrm>
          <a:off x="290286" y="115660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xdr:row>
      <xdr:rowOff>0</xdr:rowOff>
    </xdr:from>
    <xdr:ext cx="314325" cy="314325"/>
    <xdr:sp macro="" textlink="">
      <xdr:nvSpPr>
        <xdr:cNvPr id="23577" name="Shape 4">
          <a:extLst>
            <a:ext uri="{FF2B5EF4-FFF2-40B4-BE49-F238E27FC236}">
              <a16:creationId xmlns:a16="http://schemas.microsoft.com/office/drawing/2014/main" id="{B518018C-67EA-5A48-B081-EC939FAB0E3A}"/>
            </a:ext>
          </a:extLst>
        </xdr:cNvPr>
        <xdr:cNvSpPr/>
      </xdr:nvSpPr>
      <xdr:spPr>
        <a:xfrm>
          <a:off x="290286" y="115660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304800" cy="306848"/>
    <xdr:sp macro="" textlink="">
      <xdr:nvSpPr>
        <xdr:cNvPr id="23578" name="AutoShape 1">
          <a:extLst>
            <a:ext uri="{FF2B5EF4-FFF2-40B4-BE49-F238E27FC236}">
              <a16:creationId xmlns:a16="http://schemas.microsoft.com/office/drawing/2014/main" id="{2E9F3F19-1AE3-F94C-9E71-42B4CA69833D}"/>
            </a:ext>
          </a:extLst>
        </xdr:cNvPr>
        <xdr:cNvSpPr>
          <a:spLocks noChangeAspect="1" noChangeArrowheads="1"/>
        </xdr:cNvSpPr>
      </xdr:nvSpPr>
      <xdr:spPr bwMode="auto">
        <a:xfrm>
          <a:off x="291042" y="287866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14325" cy="314325"/>
    <xdr:sp macro="" textlink="">
      <xdr:nvSpPr>
        <xdr:cNvPr id="23579" name="Shape 4">
          <a:extLst>
            <a:ext uri="{FF2B5EF4-FFF2-40B4-BE49-F238E27FC236}">
              <a16:creationId xmlns:a16="http://schemas.microsoft.com/office/drawing/2014/main" id="{FB5F0BE8-625A-4A4B-B8C6-CA9E3F7500D3}"/>
            </a:ext>
          </a:extLst>
        </xdr:cNvPr>
        <xdr:cNvSpPr/>
      </xdr:nvSpPr>
      <xdr:spPr>
        <a:xfrm>
          <a:off x="291042" y="287866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279400</xdr:colOff>
      <xdr:row>83</xdr:row>
      <xdr:rowOff>0</xdr:rowOff>
    </xdr:from>
    <xdr:ext cx="304800" cy="306848"/>
    <xdr:sp macro="" textlink="">
      <xdr:nvSpPr>
        <xdr:cNvPr id="23580" name="AutoShape 1">
          <a:extLst>
            <a:ext uri="{FF2B5EF4-FFF2-40B4-BE49-F238E27FC236}">
              <a16:creationId xmlns:a16="http://schemas.microsoft.com/office/drawing/2014/main" id="{BD9C9FC9-A78F-7B47-8EB2-0FE5066A3447}"/>
            </a:ext>
          </a:extLst>
        </xdr:cNvPr>
        <xdr:cNvSpPr>
          <a:spLocks noChangeAspect="1" noChangeArrowheads="1"/>
        </xdr:cNvSpPr>
      </xdr:nvSpPr>
      <xdr:spPr bwMode="auto">
        <a:xfrm>
          <a:off x="279400" y="2878667"/>
          <a:ext cx="304800" cy="30684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0</xdr:col>
      <xdr:colOff>279400</xdr:colOff>
      <xdr:row>83</xdr:row>
      <xdr:rowOff>0</xdr:rowOff>
    </xdr:from>
    <xdr:ext cx="314325" cy="314325"/>
    <xdr:sp macro="" textlink="">
      <xdr:nvSpPr>
        <xdr:cNvPr id="23581" name="Shape 4">
          <a:extLst>
            <a:ext uri="{FF2B5EF4-FFF2-40B4-BE49-F238E27FC236}">
              <a16:creationId xmlns:a16="http://schemas.microsoft.com/office/drawing/2014/main" id="{9B908724-0319-374A-8E1A-7BCEBFEAEA10}"/>
            </a:ext>
          </a:extLst>
        </xdr:cNvPr>
        <xdr:cNvSpPr/>
      </xdr:nvSpPr>
      <xdr:spPr>
        <a:xfrm>
          <a:off x="279400" y="2878667"/>
          <a:ext cx="314325" cy="3143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None/>
          </a:pPr>
          <a:endParaRPr sz="1400"/>
        </a:p>
      </xdr:txBody>
    </xdr:sp>
    <xdr:clientData/>
  </xdr:oneCellAnchor>
  <xdr:oneCellAnchor>
    <xdr:from>
      <xdr:col>1</xdr:col>
      <xdr:colOff>0</xdr:colOff>
      <xdr:row>83</xdr:row>
      <xdr:rowOff>0</xdr:rowOff>
    </xdr:from>
    <xdr:ext cx="304800" cy="306848"/>
    <xdr:sp macro="" textlink="">
      <xdr:nvSpPr>
        <xdr:cNvPr id="23582" name="AutoShape 1">
          <a:extLst>
            <a:ext uri="{FF2B5EF4-FFF2-40B4-BE49-F238E27FC236}">
              <a16:creationId xmlns:a16="http://schemas.microsoft.com/office/drawing/2014/main" id="{E4A7BB6F-ACCD-EE49-B916-7F8442037230}"/>
            </a:ext>
          </a:extLst>
        </xdr:cNvPr>
        <xdr:cNvSpPr>
          <a:spLocks noChangeAspect="1" noChangeArrowheads="1"/>
        </xdr:cNvSpPr>
      </xdr:nvSpPr>
      <xdr:spPr bwMode="auto">
        <a:xfrm>
          <a:off x="291042" y="287866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14325" cy="314325"/>
    <xdr:sp macro="" textlink="">
      <xdr:nvSpPr>
        <xdr:cNvPr id="23583" name="Shape 4">
          <a:extLst>
            <a:ext uri="{FF2B5EF4-FFF2-40B4-BE49-F238E27FC236}">
              <a16:creationId xmlns:a16="http://schemas.microsoft.com/office/drawing/2014/main" id="{CE622151-90AA-5D4D-82FA-87B43445BC09}"/>
            </a:ext>
          </a:extLst>
        </xdr:cNvPr>
        <xdr:cNvSpPr/>
      </xdr:nvSpPr>
      <xdr:spPr>
        <a:xfrm>
          <a:off x="291042" y="287866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304800" cy="306848"/>
    <xdr:sp macro="" textlink="">
      <xdr:nvSpPr>
        <xdr:cNvPr id="23584" name="AutoShape 1">
          <a:extLst>
            <a:ext uri="{FF2B5EF4-FFF2-40B4-BE49-F238E27FC236}">
              <a16:creationId xmlns:a16="http://schemas.microsoft.com/office/drawing/2014/main" id="{2F03EF0E-6022-5745-BDC6-7AC7C76B28E1}"/>
            </a:ext>
          </a:extLst>
        </xdr:cNvPr>
        <xdr:cNvSpPr>
          <a:spLocks noChangeAspect="1" noChangeArrowheads="1"/>
        </xdr:cNvSpPr>
      </xdr:nvSpPr>
      <xdr:spPr bwMode="auto">
        <a:xfrm>
          <a:off x="291042" y="287866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14325" cy="314325"/>
    <xdr:sp macro="" textlink="">
      <xdr:nvSpPr>
        <xdr:cNvPr id="23585" name="Shape 4">
          <a:extLst>
            <a:ext uri="{FF2B5EF4-FFF2-40B4-BE49-F238E27FC236}">
              <a16:creationId xmlns:a16="http://schemas.microsoft.com/office/drawing/2014/main" id="{2E5EF256-C858-9348-8165-2A060B72247A}"/>
            </a:ext>
          </a:extLst>
        </xdr:cNvPr>
        <xdr:cNvSpPr/>
      </xdr:nvSpPr>
      <xdr:spPr>
        <a:xfrm>
          <a:off x="291042" y="287866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304800" cy="306848"/>
    <xdr:sp macro="" textlink="">
      <xdr:nvSpPr>
        <xdr:cNvPr id="23586" name="AutoShape 1">
          <a:extLst>
            <a:ext uri="{FF2B5EF4-FFF2-40B4-BE49-F238E27FC236}">
              <a16:creationId xmlns:a16="http://schemas.microsoft.com/office/drawing/2014/main" id="{FC7C8392-5CF3-BE45-9B7E-2163F857BDB0}"/>
            </a:ext>
          </a:extLst>
        </xdr:cNvPr>
        <xdr:cNvSpPr>
          <a:spLocks noChangeAspect="1" noChangeArrowheads="1"/>
        </xdr:cNvSpPr>
      </xdr:nvSpPr>
      <xdr:spPr bwMode="auto">
        <a:xfrm>
          <a:off x="291042" y="287866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14325" cy="314325"/>
    <xdr:sp macro="" textlink="">
      <xdr:nvSpPr>
        <xdr:cNvPr id="23587" name="Shape 4">
          <a:extLst>
            <a:ext uri="{FF2B5EF4-FFF2-40B4-BE49-F238E27FC236}">
              <a16:creationId xmlns:a16="http://schemas.microsoft.com/office/drawing/2014/main" id="{13F506D2-BEEA-5141-976A-A35A6CEBAF80}"/>
            </a:ext>
          </a:extLst>
        </xdr:cNvPr>
        <xdr:cNvSpPr/>
      </xdr:nvSpPr>
      <xdr:spPr>
        <a:xfrm>
          <a:off x="291042" y="287866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304800" cy="306848"/>
    <xdr:sp macro="" textlink="">
      <xdr:nvSpPr>
        <xdr:cNvPr id="23588" name="AutoShape 1">
          <a:extLst>
            <a:ext uri="{FF2B5EF4-FFF2-40B4-BE49-F238E27FC236}">
              <a16:creationId xmlns:a16="http://schemas.microsoft.com/office/drawing/2014/main" id="{568C2DFF-5747-BA4D-86B6-F53DEF7ABFE0}"/>
            </a:ext>
          </a:extLst>
        </xdr:cNvPr>
        <xdr:cNvSpPr>
          <a:spLocks noChangeAspect="1" noChangeArrowheads="1"/>
        </xdr:cNvSpPr>
      </xdr:nvSpPr>
      <xdr:spPr bwMode="auto">
        <a:xfrm>
          <a:off x="291042" y="287866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14325" cy="314325"/>
    <xdr:sp macro="" textlink="">
      <xdr:nvSpPr>
        <xdr:cNvPr id="23589" name="Shape 4">
          <a:extLst>
            <a:ext uri="{FF2B5EF4-FFF2-40B4-BE49-F238E27FC236}">
              <a16:creationId xmlns:a16="http://schemas.microsoft.com/office/drawing/2014/main" id="{465ACA28-F166-494F-9706-90477F5B3D1C}"/>
            </a:ext>
          </a:extLst>
        </xdr:cNvPr>
        <xdr:cNvSpPr/>
      </xdr:nvSpPr>
      <xdr:spPr>
        <a:xfrm>
          <a:off x="291042" y="287866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304800" cy="306848"/>
    <xdr:sp macro="" textlink="">
      <xdr:nvSpPr>
        <xdr:cNvPr id="23590" name="AutoShape 1">
          <a:extLst>
            <a:ext uri="{FF2B5EF4-FFF2-40B4-BE49-F238E27FC236}">
              <a16:creationId xmlns:a16="http://schemas.microsoft.com/office/drawing/2014/main" id="{9D65635C-DA8E-1D4D-8997-F975D917E73F}"/>
            </a:ext>
          </a:extLst>
        </xdr:cNvPr>
        <xdr:cNvSpPr>
          <a:spLocks noChangeAspect="1" noChangeArrowheads="1"/>
        </xdr:cNvSpPr>
      </xdr:nvSpPr>
      <xdr:spPr bwMode="auto">
        <a:xfrm>
          <a:off x="291042" y="287866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14325" cy="314325"/>
    <xdr:sp macro="" textlink="">
      <xdr:nvSpPr>
        <xdr:cNvPr id="23591" name="Shape 4">
          <a:extLst>
            <a:ext uri="{FF2B5EF4-FFF2-40B4-BE49-F238E27FC236}">
              <a16:creationId xmlns:a16="http://schemas.microsoft.com/office/drawing/2014/main" id="{98DA40CA-9D47-9241-9084-A6AF95420EBB}"/>
            </a:ext>
          </a:extLst>
        </xdr:cNvPr>
        <xdr:cNvSpPr/>
      </xdr:nvSpPr>
      <xdr:spPr>
        <a:xfrm>
          <a:off x="291042" y="287866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304800" cy="306848"/>
    <xdr:sp macro="" textlink="">
      <xdr:nvSpPr>
        <xdr:cNvPr id="23592" name="AutoShape 1">
          <a:extLst>
            <a:ext uri="{FF2B5EF4-FFF2-40B4-BE49-F238E27FC236}">
              <a16:creationId xmlns:a16="http://schemas.microsoft.com/office/drawing/2014/main" id="{17128F5A-773C-2E43-A4AE-E37AD271C0E9}"/>
            </a:ext>
          </a:extLst>
        </xdr:cNvPr>
        <xdr:cNvSpPr>
          <a:spLocks noChangeAspect="1" noChangeArrowheads="1"/>
        </xdr:cNvSpPr>
      </xdr:nvSpPr>
      <xdr:spPr bwMode="auto">
        <a:xfrm>
          <a:off x="291042" y="287866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14325" cy="314325"/>
    <xdr:sp macro="" textlink="">
      <xdr:nvSpPr>
        <xdr:cNvPr id="23593" name="Shape 4">
          <a:extLst>
            <a:ext uri="{FF2B5EF4-FFF2-40B4-BE49-F238E27FC236}">
              <a16:creationId xmlns:a16="http://schemas.microsoft.com/office/drawing/2014/main" id="{0742D4E2-D7B7-5D40-A642-70C44685AD0A}"/>
            </a:ext>
          </a:extLst>
        </xdr:cNvPr>
        <xdr:cNvSpPr/>
      </xdr:nvSpPr>
      <xdr:spPr>
        <a:xfrm>
          <a:off x="291042" y="287866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304800" cy="306848"/>
    <xdr:sp macro="" textlink="">
      <xdr:nvSpPr>
        <xdr:cNvPr id="23594" name="AutoShape 1">
          <a:extLst>
            <a:ext uri="{FF2B5EF4-FFF2-40B4-BE49-F238E27FC236}">
              <a16:creationId xmlns:a16="http://schemas.microsoft.com/office/drawing/2014/main" id="{F1BB9012-D4BB-B54C-B910-77DE1988CB3A}"/>
            </a:ext>
          </a:extLst>
        </xdr:cNvPr>
        <xdr:cNvSpPr>
          <a:spLocks noChangeAspect="1" noChangeArrowheads="1"/>
        </xdr:cNvSpPr>
      </xdr:nvSpPr>
      <xdr:spPr bwMode="auto">
        <a:xfrm>
          <a:off x="291042" y="287866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14325" cy="314325"/>
    <xdr:sp macro="" textlink="">
      <xdr:nvSpPr>
        <xdr:cNvPr id="23595" name="Shape 4">
          <a:extLst>
            <a:ext uri="{FF2B5EF4-FFF2-40B4-BE49-F238E27FC236}">
              <a16:creationId xmlns:a16="http://schemas.microsoft.com/office/drawing/2014/main" id="{00637AF0-E44D-3C4E-BB2A-29929E073BF7}"/>
            </a:ext>
          </a:extLst>
        </xdr:cNvPr>
        <xdr:cNvSpPr/>
      </xdr:nvSpPr>
      <xdr:spPr>
        <a:xfrm>
          <a:off x="291042" y="287866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304800" cy="306848"/>
    <xdr:sp macro="" textlink="">
      <xdr:nvSpPr>
        <xdr:cNvPr id="23596" name="AutoShape 1">
          <a:extLst>
            <a:ext uri="{FF2B5EF4-FFF2-40B4-BE49-F238E27FC236}">
              <a16:creationId xmlns:a16="http://schemas.microsoft.com/office/drawing/2014/main" id="{972D8204-6422-1F43-964B-54E50D37AB43}"/>
            </a:ext>
          </a:extLst>
        </xdr:cNvPr>
        <xdr:cNvSpPr>
          <a:spLocks noChangeAspect="1" noChangeArrowheads="1"/>
        </xdr:cNvSpPr>
      </xdr:nvSpPr>
      <xdr:spPr bwMode="auto">
        <a:xfrm>
          <a:off x="291042" y="287866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14325" cy="314325"/>
    <xdr:sp macro="" textlink="">
      <xdr:nvSpPr>
        <xdr:cNvPr id="23597" name="Shape 4">
          <a:extLst>
            <a:ext uri="{FF2B5EF4-FFF2-40B4-BE49-F238E27FC236}">
              <a16:creationId xmlns:a16="http://schemas.microsoft.com/office/drawing/2014/main" id="{78D15B4E-6C03-864A-8B68-6A23533D984F}"/>
            </a:ext>
          </a:extLst>
        </xdr:cNvPr>
        <xdr:cNvSpPr/>
      </xdr:nvSpPr>
      <xdr:spPr>
        <a:xfrm>
          <a:off x="291042" y="287866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83</xdr:row>
      <xdr:rowOff>0</xdr:rowOff>
    </xdr:from>
    <xdr:ext cx="304800" cy="306848"/>
    <xdr:sp macro="" textlink="">
      <xdr:nvSpPr>
        <xdr:cNvPr id="23598" name="AutoShape 1">
          <a:extLst>
            <a:ext uri="{FF2B5EF4-FFF2-40B4-BE49-F238E27FC236}">
              <a16:creationId xmlns:a16="http://schemas.microsoft.com/office/drawing/2014/main" id="{1E444703-BCFF-4E46-813E-658C8CB91A8C}"/>
            </a:ext>
          </a:extLst>
        </xdr:cNvPr>
        <xdr:cNvSpPr>
          <a:spLocks noChangeAspect="1" noChangeArrowheads="1"/>
        </xdr:cNvSpPr>
      </xdr:nvSpPr>
      <xdr:spPr bwMode="auto">
        <a:xfrm>
          <a:off x="291042" y="287866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14325" cy="314325"/>
    <xdr:sp macro="" textlink="">
      <xdr:nvSpPr>
        <xdr:cNvPr id="23599" name="Shape 4">
          <a:extLst>
            <a:ext uri="{FF2B5EF4-FFF2-40B4-BE49-F238E27FC236}">
              <a16:creationId xmlns:a16="http://schemas.microsoft.com/office/drawing/2014/main" id="{CC7D281A-1525-D844-9403-86ECB9788A0B}"/>
            </a:ext>
          </a:extLst>
        </xdr:cNvPr>
        <xdr:cNvSpPr/>
      </xdr:nvSpPr>
      <xdr:spPr>
        <a:xfrm>
          <a:off x="291042" y="287866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23</xdr:row>
      <xdr:rowOff>0</xdr:rowOff>
    </xdr:from>
    <xdr:ext cx="304800" cy="306428"/>
    <xdr:sp macro="" textlink="">
      <xdr:nvSpPr>
        <xdr:cNvPr id="23600" name="AutoShape 1">
          <a:extLst>
            <a:ext uri="{FF2B5EF4-FFF2-40B4-BE49-F238E27FC236}">
              <a16:creationId xmlns:a16="http://schemas.microsoft.com/office/drawing/2014/main" id="{6D750B4B-86DB-F447-BAD9-16673FDBE3D1}"/>
            </a:ext>
          </a:extLst>
        </xdr:cNvPr>
        <xdr:cNvSpPr>
          <a:spLocks noChangeAspect="1" noChangeArrowheads="1"/>
        </xdr:cNvSpPr>
      </xdr:nvSpPr>
      <xdr:spPr bwMode="auto">
        <a:xfrm>
          <a:off x="293077" y="0"/>
          <a:ext cx="304800" cy="30642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23</xdr:row>
      <xdr:rowOff>0</xdr:rowOff>
    </xdr:from>
    <xdr:ext cx="314325" cy="314325"/>
    <xdr:sp macro="" textlink="">
      <xdr:nvSpPr>
        <xdr:cNvPr id="23601" name="Shape 4">
          <a:extLst>
            <a:ext uri="{FF2B5EF4-FFF2-40B4-BE49-F238E27FC236}">
              <a16:creationId xmlns:a16="http://schemas.microsoft.com/office/drawing/2014/main" id="{B389E5BE-8247-C24A-8FD7-7351D561AB66}"/>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32</xdr:row>
      <xdr:rowOff>0</xdr:rowOff>
    </xdr:from>
    <xdr:ext cx="304800" cy="306848"/>
    <xdr:sp macro="" textlink="">
      <xdr:nvSpPr>
        <xdr:cNvPr id="23602" name="AutoShape 1">
          <a:extLst>
            <a:ext uri="{FF2B5EF4-FFF2-40B4-BE49-F238E27FC236}">
              <a16:creationId xmlns:a16="http://schemas.microsoft.com/office/drawing/2014/main" id="{6DF1684B-2208-D946-BE71-0C3B07C3C0A4}"/>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14325" cy="314325"/>
    <xdr:sp macro="" textlink="">
      <xdr:nvSpPr>
        <xdr:cNvPr id="23603" name="Shape 4">
          <a:extLst>
            <a:ext uri="{FF2B5EF4-FFF2-40B4-BE49-F238E27FC236}">
              <a16:creationId xmlns:a16="http://schemas.microsoft.com/office/drawing/2014/main" id="{936AB1AA-B412-5E43-8139-8F3266E0D31A}"/>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279400</xdr:colOff>
      <xdr:row>32</xdr:row>
      <xdr:rowOff>0</xdr:rowOff>
    </xdr:from>
    <xdr:ext cx="307591" cy="308476"/>
    <xdr:sp macro="" textlink="">
      <xdr:nvSpPr>
        <xdr:cNvPr id="23604" name="AutoShape 1">
          <a:extLst>
            <a:ext uri="{FF2B5EF4-FFF2-40B4-BE49-F238E27FC236}">
              <a16:creationId xmlns:a16="http://schemas.microsoft.com/office/drawing/2014/main" id="{71998910-3C73-B443-A9A9-3D82E5735CBA}"/>
            </a:ext>
          </a:extLst>
        </xdr:cNvPr>
        <xdr:cNvSpPr>
          <a:spLocks noChangeAspect="1" noChangeArrowheads="1"/>
        </xdr:cNvSpPr>
      </xdr:nvSpPr>
      <xdr:spPr bwMode="auto">
        <a:xfrm>
          <a:off x="279400" y="0"/>
          <a:ext cx="307591" cy="308476"/>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0</xdr:col>
      <xdr:colOff>279400</xdr:colOff>
      <xdr:row>32</xdr:row>
      <xdr:rowOff>0</xdr:rowOff>
    </xdr:from>
    <xdr:ext cx="317116" cy="315953"/>
    <xdr:sp macro="" textlink="">
      <xdr:nvSpPr>
        <xdr:cNvPr id="23605" name="Shape 4">
          <a:extLst>
            <a:ext uri="{FF2B5EF4-FFF2-40B4-BE49-F238E27FC236}">
              <a16:creationId xmlns:a16="http://schemas.microsoft.com/office/drawing/2014/main" id="{803EC9EF-14FB-FA42-9B56-5F333C103ADD}"/>
            </a:ext>
          </a:extLst>
        </xdr:cNvPr>
        <xdr:cNvSpPr/>
      </xdr:nvSpPr>
      <xdr:spPr>
        <a:xfrm>
          <a:off x="279400" y="0"/>
          <a:ext cx="317116" cy="315953"/>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None/>
          </a:pPr>
          <a:endParaRPr sz="1400"/>
        </a:p>
      </xdr:txBody>
    </xdr:sp>
    <xdr:clientData/>
  </xdr:oneCellAnchor>
  <xdr:oneCellAnchor>
    <xdr:from>
      <xdr:col>1</xdr:col>
      <xdr:colOff>0</xdr:colOff>
      <xdr:row>43</xdr:row>
      <xdr:rowOff>0</xdr:rowOff>
    </xdr:from>
    <xdr:ext cx="304800" cy="306848"/>
    <xdr:sp macro="" textlink="">
      <xdr:nvSpPr>
        <xdr:cNvPr id="23606" name="AutoShape 1">
          <a:extLst>
            <a:ext uri="{FF2B5EF4-FFF2-40B4-BE49-F238E27FC236}">
              <a16:creationId xmlns:a16="http://schemas.microsoft.com/office/drawing/2014/main" id="{F1999093-E19C-714A-8432-7F9A84FC616C}"/>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43</xdr:row>
      <xdr:rowOff>0</xdr:rowOff>
    </xdr:from>
    <xdr:ext cx="314325" cy="314325"/>
    <xdr:sp macro="" textlink="">
      <xdr:nvSpPr>
        <xdr:cNvPr id="23607" name="Shape 4">
          <a:extLst>
            <a:ext uri="{FF2B5EF4-FFF2-40B4-BE49-F238E27FC236}">
              <a16:creationId xmlns:a16="http://schemas.microsoft.com/office/drawing/2014/main" id="{F8C6465E-8B24-FE4B-B0BE-6ADA81EA445A}"/>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279400</xdr:colOff>
      <xdr:row>43</xdr:row>
      <xdr:rowOff>0</xdr:rowOff>
    </xdr:from>
    <xdr:ext cx="304800" cy="306848"/>
    <xdr:sp macro="" textlink="">
      <xdr:nvSpPr>
        <xdr:cNvPr id="23608" name="AutoShape 1">
          <a:extLst>
            <a:ext uri="{FF2B5EF4-FFF2-40B4-BE49-F238E27FC236}">
              <a16:creationId xmlns:a16="http://schemas.microsoft.com/office/drawing/2014/main" id="{2808C326-9B5D-CE4B-BB16-4FCDC8993AA5}"/>
            </a:ext>
          </a:extLst>
        </xdr:cNvPr>
        <xdr:cNvSpPr>
          <a:spLocks noChangeAspect="1" noChangeArrowheads="1"/>
        </xdr:cNvSpPr>
      </xdr:nvSpPr>
      <xdr:spPr bwMode="auto">
        <a:xfrm>
          <a:off x="279400" y="0"/>
          <a:ext cx="304800" cy="30684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0</xdr:col>
      <xdr:colOff>279400</xdr:colOff>
      <xdr:row>43</xdr:row>
      <xdr:rowOff>0</xdr:rowOff>
    </xdr:from>
    <xdr:ext cx="314325" cy="314325"/>
    <xdr:sp macro="" textlink="">
      <xdr:nvSpPr>
        <xdr:cNvPr id="23609" name="Shape 4">
          <a:extLst>
            <a:ext uri="{FF2B5EF4-FFF2-40B4-BE49-F238E27FC236}">
              <a16:creationId xmlns:a16="http://schemas.microsoft.com/office/drawing/2014/main" id="{0909C857-B3F1-FF48-91C6-48B1A84CE90F}"/>
            </a:ext>
          </a:extLst>
        </xdr:cNvPr>
        <xdr:cNvSpPr/>
      </xdr:nvSpPr>
      <xdr:spPr>
        <a:xfrm>
          <a:off x="279400" y="0"/>
          <a:ext cx="314325" cy="3143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None/>
          </a:pPr>
          <a:endParaRPr sz="1400"/>
        </a:p>
      </xdr:txBody>
    </xdr:sp>
    <xdr:clientData/>
  </xdr:oneCellAnchor>
  <xdr:oneCellAnchor>
    <xdr:from>
      <xdr:col>1</xdr:col>
      <xdr:colOff>0</xdr:colOff>
      <xdr:row>43</xdr:row>
      <xdr:rowOff>0</xdr:rowOff>
    </xdr:from>
    <xdr:ext cx="304800" cy="306848"/>
    <xdr:sp macro="" textlink="">
      <xdr:nvSpPr>
        <xdr:cNvPr id="23610" name="AutoShape 1">
          <a:extLst>
            <a:ext uri="{FF2B5EF4-FFF2-40B4-BE49-F238E27FC236}">
              <a16:creationId xmlns:a16="http://schemas.microsoft.com/office/drawing/2014/main" id="{8891FDC4-482B-EB4A-A5CB-0796B5B39E72}"/>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43</xdr:row>
      <xdr:rowOff>0</xdr:rowOff>
    </xdr:from>
    <xdr:ext cx="314325" cy="314325"/>
    <xdr:sp macro="" textlink="">
      <xdr:nvSpPr>
        <xdr:cNvPr id="23611" name="Shape 4">
          <a:extLst>
            <a:ext uri="{FF2B5EF4-FFF2-40B4-BE49-F238E27FC236}">
              <a16:creationId xmlns:a16="http://schemas.microsoft.com/office/drawing/2014/main" id="{A12DDD88-1140-7049-9A50-D07CE19F2684}"/>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36</xdr:row>
      <xdr:rowOff>0</xdr:rowOff>
    </xdr:from>
    <xdr:ext cx="304800" cy="306848"/>
    <xdr:sp macro="" textlink="">
      <xdr:nvSpPr>
        <xdr:cNvPr id="23612" name="AutoShape 1">
          <a:extLst>
            <a:ext uri="{FF2B5EF4-FFF2-40B4-BE49-F238E27FC236}">
              <a16:creationId xmlns:a16="http://schemas.microsoft.com/office/drawing/2014/main" id="{F2668CE8-B845-304A-A95F-769B42638A19}"/>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14325" cy="314325"/>
    <xdr:sp macro="" textlink="">
      <xdr:nvSpPr>
        <xdr:cNvPr id="23613" name="Shape 4">
          <a:extLst>
            <a:ext uri="{FF2B5EF4-FFF2-40B4-BE49-F238E27FC236}">
              <a16:creationId xmlns:a16="http://schemas.microsoft.com/office/drawing/2014/main" id="{BACB326C-0E3E-4145-A1B7-6E1A2FB532DA}"/>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xdr:row>
      <xdr:rowOff>0</xdr:rowOff>
    </xdr:from>
    <xdr:ext cx="304800" cy="306848"/>
    <xdr:sp macro="" textlink="">
      <xdr:nvSpPr>
        <xdr:cNvPr id="23614" name="AutoShape 1">
          <a:extLst>
            <a:ext uri="{FF2B5EF4-FFF2-40B4-BE49-F238E27FC236}">
              <a16:creationId xmlns:a16="http://schemas.microsoft.com/office/drawing/2014/main" id="{949688C8-DB4A-D24C-A986-F58F6DF236FE}"/>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43</xdr:row>
      <xdr:rowOff>0</xdr:rowOff>
    </xdr:from>
    <xdr:ext cx="314325" cy="314325"/>
    <xdr:sp macro="" textlink="">
      <xdr:nvSpPr>
        <xdr:cNvPr id="23615" name="Shape 4">
          <a:extLst>
            <a:ext uri="{FF2B5EF4-FFF2-40B4-BE49-F238E27FC236}">
              <a16:creationId xmlns:a16="http://schemas.microsoft.com/office/drawing/2014/main" id="{3708536D-44CE-AA44-ABE4-160D6034243C}"/>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xdr:row>
      <xdr:rowOff>0</xdr:rowOff>
    </xdr:from>
    <xdr:ext cx="304800" cy="306848"/>
    <xdr:sp macro="" textlink="">
      <xdr:nvSpPr>
        <xdr:cNvPr id="23616" name="AutoShape 1">
          <a:extLst>
            <a:ext uri="{FF2B5EF4-FFF2-40B4-BE49-F238E27FC236}">
              <a16:creationId xmlns:a16="http://schemas.microsoft.com/office/drawing/2014/main" id="{5417D8DB-17BB-1244-95C8-44F4F5F0E4BB}"/>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43</xdr:row>
      <xdr:rowOff>0</xdr:rowOff>
    </xdr:from>
    <xdr:ext cx="314325" cy="314325"/>
    <xdr:sp macro="" textlink="">
      <xdr:nvSpPr>
        <xdr:cNvPr id="23617" name="Shape 4">
          <a:extLst>
            <a:ext uri="{FF2B5EF4-FFF2-40B4-BE49-F238E27FC236}">
              <a16:creationId xmlns:a16="http://schemas.microsoft.com/office/drawing/2014/main" id="{248EE0FC-3C28-3948-A515-1C0C4FAC7F20}"/>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43</xdr:row>
      <xdr:rowOff>0</xdr:rowOff>
    </xdr:from>
    <xdr:ext cx="304800" cy="306848"/>
    <xdr:sp macro="" textlink="">
      <xdr:nvSpPr>
        <xdr:cNvPr id="23618" name="AutoShape 1">
          <a:extLst>
            <a:ext uri="{FF2B5EF4-FFF2-40B4-BE49-F238E27FC236}">
              <a16:creationId xmlns:a16="http://schemas.microsoft.com/office/drawing/2014/main" id="{ACB791D1-9420-4742-9C3E-B9C247607FD8}"/>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43</xdr:row>
      <xdr:rowOff>0</xdr:rowOff>
    </xdr:from>
    <xdr:ext cx="314325" cy="314325"/>
    <xdr:sp macro="" textlink="">
      <xdr:nvSpPr>
        <xdr:cNvPr id="23619" name="Shape 4">
          <a:extLst>
            <a:ext uri="{FF2B5EF4-FFF2-40B4-BE49-F238E27FC236}">
              <a16:creationId xmlns:a16="http://schemas.microsoft.com/office/drawing/2014/main" id="{299F3D50-51FC-6340-88BE-BD4E9F34774D}"/>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xdr:row>
      <xdr:rowOff>0</xdr:rowOff>
    </xdr:from>
    <xdr:ext cx="304800" cy="306848"/>
    <xdr:sp macro="" textlink="">
      <xdr:nvSpPr>
        <xdr:cNvPr id="23620" name="AutoShape 1">
          <a:extLst>
            <a:ext uri="{FF2B5EF4-FFF2-40B4-BE49-F238E27FC236}">
              <a16:creationId xmlns:a16="http://schemas.microsoft.com/office/drawing/2014/main" id="{33F3F821-4B1A-B24A-80C2-BDD7937AF7DB}"/>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14325" cy="314325"/>
    <xdr:sp macro="" textlink="">
      <xdr:nvSpPr>
        <xdr:cNvPr id="23621" name="Shape 4">
          <a:extLst>
            <a:ext uri="{FF2B5EF4-FFF2-40B4-BE49-F238E27FC236}">
              <a16:creationId xmlns:a16="http://schemas.microsoft.com/office/drawing/2014/main" id="{2911DB9C-AFE7-AB48-95E5-72FE646FD9B5}"/>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279400</xdr:colOff>
      <xdr:row>53</xdr:row>
      <xdr:rowOff>0</xdr:rowOff>
    </xdr:from>
    <xdr:ext cx="304800" cy="306848"/>
    <xdr:sp macro="" textlink="">
      <xdr:nvSpPr>
        <xdr:cNvPr id="23622" name="AutoShape 1">
          <a:extLst>
            <a:ext uri="{FF2B5EF4-FFF2-40B4-BE49-F238E27FC236}">
              <a16:creationId xmlns:a16="http://schemas.microsoft.com/office/drawing/2014/main" id="{2B37E8CF-6AFA-5A4F-8307-016C333065E7}"/>
            </a:ext>
          </a:extLst>
        </xdr:cNvPr>
        <xdr:cNvSpPr>
          <a:spLocks noChangeAspect="1" noChangeArrowheads="1"/>
        </xdr:cNvSpPr>
      </xdr:nvSpPr>
      <xdr:spPr bwMode="auto">
        <a:xfrm>
          <a:off x="279400" y="0"/>
          <a:ext cx="304800" cy="30684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0</xdr:col>
      <xdr:colOff>279400</xdr:colOff>
      <xdr:row>53</xdr:row>
      <xdr:rowOff>0</xdr:rowOff>
    </xdr:from>
    <xdr:ext cx="314325" cy="314325"/>
    <xdr:sp macro="" textlink="">
      <xdr:nvSpPr>
        <xdr:cNvPr id="23623" name="Shape 4">
          <a:extLst>
            <a:ext uri="{FF2B5EF4-FFF2-40B4-BE49-F238E27FC236}">
              <a16:creationId xmlns:a16="http://schemas.microsoft.com/office/drawing/2014/main" id="{D2AFC849-93B8-0348-92C5-670C86C94DC9}"/>
            </a:ext>
          </a:extLst>
        </xdr:cNvPr>
        <xdr:cNvSpPr/>
      </xdr:nvSpPr>
      <xdr:spPr>
        <a:xfrm>
          <a:off x="279400" y="0"/>
          <a:ext cx="314325" cy="3143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None/>
          </a:pPr>
          <a:endParaRPr sz="1400"/>
        </a:p>
      </xdr:txBody>
    </xdr:sp>
    <xdr:clientData/>
  </xdr:oneCellAnchor>
  <xdr:oneCellAnchor>
    <xdr:from>
      <xdr:col>1</xdr:col>
      <xdr:colOff>0</xdr:colOff>
      <xdr:row>53</xdr:row>
      <xdr:rowOff>0</xdr:rowOff>
    </xdr:from>
    <xdr:ext cx="304800" cy="306848"/>
    <xdr:sp macro="" textlink="">
      <xdr:nvSpPr>
        <xdr:cNvPr id="23624" name="AutoShape 1">
          <a:extLst>
            <a:ext uri="{FF2B5EF4-FFF2-40B4-BE49-F238E27FC236}">
              <a16:creationId xmlns:a16="http://schemas.microsoft.com/office/drawing/2014/main" id="{A3EC737D-911B-1C4D-9CF7-63B240F3A75C}"/>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14325" cy="314325"/>
    <xdr:sp macro="" textlink="">
      <xdr:nvSpPr>
        <xdr:cNvPr id="23625" name="Shape 4">
          <a:extLst>
            <a:ext uri="{FF2B5EF4-FFF2-40B4-BE49-F238E27FC236}">
              <a16:creationId xmlns:a16="http://schemas.microsoft.com/office/drawing/2014/main" id="{E3FC46A0-36FD-F943-BABF-3F6242B65C95}"/>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xdr:row>
      <xdr:rowOff>0</xdr:rowOff>
    </xdr:from>
    <xdr:ext cx="304800" cy="306848"/>
    <xdr:sp macro="" textlink="">
      <xdr:nvSpPr>
        <xdr:cNvPr id="23626" name="AutoShape 1">
          <a:extLst>
            <a:ext uri="{FF2B5EF4-FFF2-40B4-BE49-F238E27FC236}">
              <a16:creationId xmlns:a16="http://schemas.microsoft.com/office/drawing/2014/main" id="{93CE9A38-4E43-004B-BC6B-F894C35B1C37}"/>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14325" cy="314325"/>
    <xdr:sp macro="" textlink="">
      <xdr:nvSpPr>
        <xdr:cNvPr id="23627" name="Shape 4">
          <a:extLst>
            <a:ext uri="{FF2B5EF4-FFF2-40B4-BE49-F238E27FC236}">
              <a16:creationId xmlns:a16="http://schemas.microsoft.com/office/drawing/2014/main" id="{F149C662-8BFE-8D46-8181-A0BB1A2D2CE2}"/>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xdr:row>
      <xdr:rowOff>0</xdr:rowOff>
    </xdr:from>
    <xdr:ext cx="304800" cy="306848"/>
    <xdr:sp macro="" textlink="">
      <xdr:nvSpPr>
        <xdr:cNvPr id="23628" name="AutoShape 1">
          <a:extLst>
            <a:ext uri="{FF2B5EF4-FFF2-40B4-BE49-F238E27FC236}">
              <a16:creationId xmlns:a16="http://schemas.microsoft.com/office/drawing/2014/main" id="{BC847CEB-9ACD-2A45-8AFA-943A32A832B1}"/>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14325" cy="314325"/>
    <xdr:sp macro="" textlink="">
      <xdr:nvSpPr>
        <xdr:cNvPr id="23629" name="Shape 4">
          <a:extLst>
            <a:ext uri="{FF2B5EF4-FFF2-40B4-BE49-F238E27FC236}">
              <a16:creationId xmlns:a16="http://schemas.microsoft.com/office/drawing/2014/main" id="{21D22E7A-4509-C947-B7BD-B80737EAC0D4}"/>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53</xdr:row>
      <xdr:rowOff>0</xdr:rowOff>
    </xdr:from>
    <xdr:ext cx="304800" cy="306848"/>
    <xdr:sp macro="" textlink="">
      <xdr:nvSpPr>
        <xdr:cNvPr id="23630" name="AutoShape 1">
          <a:extLst>
            <a:ext uri="{FF2B5EF4-FFF2-40B4-BE49-F238E27FC236}">
              <a16:creationId xmlns:a16="http://schemas.microsoft.com/office/drawing/2014/main" id="{D2B86A6E-653D-C440-8483-D11A4EEB595C}"/>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14325" cy="314325"/>
    <xdr:sp macro="" textlink="">
      <xdr:nvSpPr>
        <xdr:cNvPr id="23631" name="Shape 4">
          <a:extLst>
            <a:ext uri="{FF2B5EF4-FFF2-40B4-BE49-F238E27FC236}">
              <a16:creationId xmlns:a16="http://schemas.microsoft.com/office/drawing/2014/main" id="{B3F33DC0-5360-2849-A132-CD1FACC4E82F}"/>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62</xdr:row>
      <xdr:rowOff>0</xdr:rowOff>
    </xdr:from>
    <xdr:ext cx="304800" cy="306848"/>
    <xdr:sp macro="" textlink="">
      <xdr:nvSpPr>
        <xdr:cNvPr id="23632" name="AutoShape 1">
          <a:extLst>
            <a:ext uri="{FF2B5EF4-FFF2-40B4-BE49-F238E27FC236}">
              <a16:creationId xmlns:a16="http://schemas.microsoft.com/office/drawing/2014/main" id="{13860D13-FF5C-8F40-8930-6B8A880FF0B3}"/>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62</xdr:row>
      <xdr:rowOff>0</xdr:rowOff>
    </xdr:from>
    <xdr:ext cx="314325" cy="314325"/>
    <xdr:sp macro="" textlink="">
      <xdr:nvSpPr>
        <xdr:cNvPr id="23633" name="Shape 4">
          <a:extLst>
            <a:ext uri="{FF2B5EF4-FFF2-40B4-BE49-F238E27FC236}">
              <a16:creationId xmlns:a16="http://schemas.microsoft.com/office/drawing/2014/main" id="{9B87B32E-34B6-F147-AF08-308C3B935209}"/>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279400</xdr:colOff>
      <xdr:row>62</xdr:row>
      <xdr:rowOff>0</xdr:rowOff>
    </xdr:from>
    <xdr:ext cx="304800" cy="306848"/>
    <xdr:sp macro="" textlink="">
      <xdr:nvSpPr>
        <xdr:cNvPr id="23634" name="AutoShape 1">
          <a:extLst>
            <a:ext uri="{FF2B5EF4-FFF2-40B4-BE49-F238E27FC236}">
              <a16:creationId xmlns:a16="http://schemas.microsoft.com/office/drawing/2014/main" id="{C1200318-CD21-F141-AFEA-BF1E8E594343}"/>
            </a:ext>
          </a:extLst>
        </xdr:cNvPr>
        <xdr:cNvSpPr>
          <a:spLocks noChangeAspect="1" noChangeArrowheads="1"/>
        </xdr:cNvSpPr>
      </xdr:nvSpPr>
      <xdr:spPr bwMode="auto">
        <a:xfrm>
          <a:off x="279400" y="0"/>
          <a:ext cx="304800" cy="30684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0</xdr:col>
      <xdr:colOff>279400</xdr:colOff>
      <xdr:row>62</xdr:row>
      <xdr:rowOff>0</xdr:rowOff>
    </xdr:from>
    <xdr:ext cx="314325" cy="314325"/>
    <xdr:sp macro="" textlink="">
      <xdr:nvSpPr>
        <xdr:cNvPr id="23635" name="Shape 4">
          <a:extLst>
            <a:ext uri="{FF2B5EF4-FFF2-40B4-BE49-F238E27FC236}">
              <a16:creationId xmlns:a16="http://schemas.microsoft.com/office/drawing/2014/main" id="{6EB22D96-2F60-D74B-AE88-64891D91AD58}"/>
            </a:ext>
          </a:extLst>
        </xdr:cNvPr>
        <xdr:cNvSpPr/>
      </xdr:nvSpPr>
      <xdr:spPr>
        <a:xfrm>
          <a:off x="279400" y="0"/>
          <a:ext cx="314325" cy="3143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None/>
          </a:pPr>
          <a:endParaRPr sz="1400"/>
        </a:p>
      </xdr:txBody>
    </xdr:sp>
    <xdr:clientData/>
  </xdr:oneCellAnchor>
  <xdr:oneCellAnchor>
    <xdr:from>
      <xdr:col>1</xdr:col>
      <xdr:colOff>0</xdr:colOff>
      <xdr:row>62</xdr:row>
      <xdr:rowOff>0</xdr:rowOff>
    </xdr:from>
    <xdr:ext cx="304800" cy="306848"/>
    <xdr:sp macro="" textlink="">
      <xdr:nvSpPr>
        <xdr:cNvPr id="23636" name="AutoShape 1">
          <a:extLst>
            <a:ext uri="{FF2B5EF4-FFF2-40B4-BE49-F238E27FC236}">
              <a16:creationId xmlns:a16="http://schemas.microsoft.com/office/drawing/2014/main" id="{3C3F8AFC-0DB4-D047-94C3-A52CD57D9E1E}"/>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62</xdr:row>
      <xdr:rowOff>0</xdr:rowOff>
    </xdr:from>
    <xdr:ext cx="314325" cy="314325"/>
    <xdr:sp macro="" textlink="">
      <xdr:nvSpPr>
        <xdr:cNvPr id="23637" name="Shape 4">
          <a:extLst>
            <a:ext uri="{FF2B5EF4-FFF2-40B4-BE49-F238E27FC236}">
              <a16:creationId xmlns:a16="http://schemas.microsoft.com/office/drawing/2014/main" id="{ACCA60A1-4A08-3741-84AC-7F369ED36DEB}"/>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62</xdr:row>
      <xdr:rowOff>0</xdr:rowOff>
    </xdr:from>
    <xdr:ext cx="304800" cy="306848"/>
    <xdr:sp macro="" textlink="">
      <xdr:nvSpPr>
        <xdr:cNvPr id="23638" name="AutoShape 1">
          <a:extLst>
            <a:ext uri="{FF2B5EF4-FFF2-40B4-BE49-F238E27FC236}">
              <a16:creationId xmlns:a16="http://schemas.microsoft.com/office/drawing/2014/main" id="{C9B9593F-E86E-024B-BA49-9E563EBE8614}"/>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62</xdr:row>
      <xdr:rowOff>0</xdr:rowOff>
    </xdr:from>
    <xdr:ext cx="314325" cy="314325"/>
    <xdr:sp macro="" textlink="">
      <xdr:nvSpPr>
        <xdr:cNvPr id="23639" name="Shape 4">
          <a:extLst>
            <a:ext uri="{FF2B5EF4-FFF2-40B4-BE49-F238E27FC236}">
              <a16:creationId xmlns:a16="http://schemas.microsoft.com/office/drawing/2014/main" id="{8264D547-3970-944A-AEB3-F02025144722}"/>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62</xdr:row>
      <xdr:rowOff>0</xdr:rowOff>
    </xdr:from>
    <xdr:ext cx="304800" cy="306848"/>
    <xdr:sp macro="" textlink="">
      <xdr:nvSpPr>
        <xdr:cNvPr id="23640" name="AutoShape 1">
          <a:extLst>
            <a:ext uri="{FF2B5EF4-FFF2-40B4-BE49-F238E27FC236}">
              <a16:creationId xmlns:a16="http://schemas.microsoft.com/office/drawing/2014/main" id="{8E0A4A7D-2339-B842-8F48-8D4346EAB1AA}"/>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62</xdr:row>
      <xdr:rowOff>0</xdr:rowOff>
    </xdr:from>
    <xdr:ext cx="314325" cy="314325"/>
    <xdr:sp macro="" textlink="">
      <xdr:nvSpPr>
        <xdr:cNvPr id="23641" name="Shape 4">
          <a:extLst>
            <a:ext uri="{FF2B5EF4-FFF2-40B4-BE49-F238E27FC236}">
              <a16:creationId xmlns:a16="http://schemas.microsoft.com/office/drawing/2014/main" id="{1481AF5E-E80D-FB44-8309-4F369564C3A6}"/>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62</xdr:row>
      <xdr:rowOff>0</xdr:rowOff>
    </xdr:from>
    <xdr:ext cx="304800" cy="306848"/>
    <xdr:sp macro="" textlink="">
      <xdr:nvSpPr>
        <xdr:cNvPr id="23642" name="AutoShape 1">
          <a:extLst>
            <a:ext uri="{FF2B5EF4-FFF2-40B4-BE49-F238E27FC236}">
              <a16:creationId xmlns:a16="http://schemas.microsoft.com/office/drawing/2014/main" id="{C888AB13-3A6D-3942-B856-69F39F8321A2}"/>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62</xdr:row>
      <xdr:rowOff>0</xdr:rowOff>
    </xdr:from>
    <xdr:ext cx="314325" cy="314325"/>
    <xdr:sp macro="" textlink="">
      <xdr:nvSpPr>
        <xdr:cNvPr id="23643" name="Shape 4">
          <a:extLst>
            <a:ext uri="{FF2B5EF4-FFF2-40B4-BE49-F238E27FC236}">
              <a16:creationId xmlns:a16="http://schemas.microsoft.com/office/drawing/2014/main" id="{1B37D59B-28B2-4846-B390-5E2A4E4AEA89}"/>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72</xdr:row>
      <xdr:rowOff>0</xdr:rowOff>
    </xdr:from>
    <xdr:ext cx="304800" cy="306848"/>
    <xdr:sp macro="" textlink="">
      <xdr:nvSpPr>
        <xdr:cNvPr id="23644" name="AutoShape 1">
          <a:extLst>
            <a:ext uri="{FF2B5EF4-FFF2-40B4-BE49-F238E27FC236}">
              <a16:creationId xmlns:a16="http://schemas.microsoft.com/office/drawing/2014/main" id="{887F3834-9C07-754C-A409-541F7589A944}"/>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xdr:row>
      <xdr:rowOff>0</xdr:rowOff>
    </xdr:from>
    <xdr:ext cx="314325" cy="314325"/>
    <xdr:sp macro="" textlink="">
      <xdr:nvSpPr>
        <xdr:cNvPr id="23645" name="Shape 4">
          <a:extLst>
            <a:ext uri="{FF2B5EF4-FFF2-40B4-BE49-F238E27FC236}">
              <a16:creationId xmlns:a16="http://schemas.microsoft.com/office/drawing/2014/main" id="{4C8FEFB3-CFC2-9A49-A777-52A4945E2B2B}"/>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279400</xdr:colOff>
      <xdr:row>72</xdr:row>
      <xdr:rowOff>0</xdr:rowOff>
    </xdr:from>
    <xdr:ext cx="304800" cy="306848"/>
    <xdr:sp macro="" textlink="">
      <xdr:nvSpPr>
        <xdr:cNvPr id="23646" name="AutoShape 1">
          <a:extLst>
            <a:ext uri="{FF2B5EF4-FFF2-40B4-BE49-F238E27FC236}">
              <a16:creationId xmlns:a16="http://schemas.microsoft.com/office/drawing/2014/main" id="{05487971-F04A-1A46-9AF7-6854CC1D1357}"/>
            </a:ext>
          </a:extLst>
        </xdr:cNvPr>
        <xdr:cNvSpPr>
          <a:spLocks noChangeAspect="1" noChangeArrowheads="1"/>
        </xdr:cNvSpPr>
      </xdr:nvSpPr>
      <xdr:spPr bwMode="auto">
        <a:xfrm>
          <a:off x="279400" y="0"/>
          <a:ext cx="304800" cy="30684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0</xdr:col>
      <xdr:colOff>279400</xdr:colOff>
      <xdr:row>72</xdr:row>
      <xdr:rowOff>0</xdr:rowOff>
    </xdr:from>
    <xdr:ext cx="314325" cy="314325"/>
    <xdr:sp macro="" textlink="">
      <xdr:nvSpPr>
        <xdr:cNvPr id="23647" name="Shape 4">
          <a:extLst>
            <a:ext uri="{FF2B5EF4-FFF2-40B4-BE49-F238E27FC236}">
              <a16:creationId xmlns:a16="http://schemas.microsoft.com/office/drawing/2014/main" id="{7B16CBEF-310C-C848-B3CD-9301830DE7BC}"/>
            </a:ext>
          </a:extLst>
        </xdr:cNvPr>
        <xdr:cNvSpPr/>
      </xdr:nvSpPr>
      <xdr:spPr>
        <a:xfrm>
          <a:off x="279400" y="0"/>
          <a:ext cx="314325" cy="3143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None/>
          </a:pPr>
          <a:endParaRPr sz="1400"/>
        </a:p>
      </xdr:txBody>
    </xdr:sp>
    <xdr:clientData/>
  </xdr:oneCellAnchor>
  <xdr:oneCellAnchor>
    <xdr:from>
      <xdr:col>1</xdr:col>
      <xdr:colOff>0</xdr:colOff>
      <xdr:row>72</xdr:row>
      <xdr:rowOff>0</xdr:rowOff>
    </xdr:from>
    <xdr:ext cx="304800" cy="306848"/>
    <xdr:sp macro="" textlink="">
      <xdr:nvSpPr>
        <xdr:cNvPr id="23648" name="AutoShape 1">
          <a:extLst>
            <a:ext uri="{FF2B5EF4-FFF2-40B4-BE49-F238E27FC236}">
              <a16:creationId xmlns:a16="http://schemas.microsoft.com/office/drawing/2014/main" id="{76B6D2EE-6838-0748-846A-3D8F14FB6A3E}"/>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xdr:row>
      <xdr:rowOff>0</xdr:rowOff>
    </xdr:from>
    <xdr:ext cx="314325" cy="314325"/>
    <xdr:sp macro="" textlink="">
      <xdr:nvSpPr>
        <xdr:cNvPr id="23649" name="Shape 4">
          <a:extLst>
            <a:ext uri="{FF2B5EF4-FFF2-40B4-BE49-F238E27FC236}">
              <a16:creationId xmlns:a16="http://schemas.microsoft.com/office/drawing/2014/main" id="{8A2C01E7-4BE2-B848-98C9-EFDDFF0199FF}"/>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72</xdr:row>
      <xdr:rowOff>0</xdr:rowOff>
    </xdr:from>
    <xdr:ext cx="304800" cy="306848"/>
    <xdr:sp macro="" textlink="">
      <xdr:nvSpPr>
        <xdr:cNvPr id="23650" name="AutoShape 1">
          <a:extLst>
            <a:ext uri="{FF2B5EF4-FFF2-40B4-BE49-F238E27FC236}">
              <a16:creationId xmlns:a16="http://schemas.microsoft.com/office/drawing/2014/main" id="{61DAF912-504C-8145-8916-24F66EBC320E}"/>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xdr:row>
      <xdr:rowOff>0</xdr:rowOff>
    </xdr:from>
    <xdr:ext cx="314325" cy="314325"/>
    <xdr:sp macro="" textlink="">
      <xdr:nvSpPr>
        <xdr:cNvPr id="23651" name="Shape 4">
          <a:extLst>
            <a:ext uri="{FF2B5EF4-FFF2-40B4-BE49-F238E27FC236}">
              <a16:creationId xmlns:a16="http://schemas.microsoft.com/office/drawing/2014/main" id="{8ABFA9BF-CF60-244A-89F5-A1B9E03EF9BC}"/>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72</xdr:row>
      <xdr:rowOff>0</xdr:rowOff>
    </xdr:from>
    <xdr:ext cx="304800" cy="306848"/>
    <xdr:sp macro="" textlink="">
      <xdr:nvSpPr>
        <xdr:cNvPr id="23652" name="AutoShape 1">
          <a:extLst>
            <a:ext uri="{FF2B5EF4-FFF2-40B4-BE49-F238E27FC236}">
              <a16:creationId xmlns:a16="http://schemas.microsoft.com/office/drawing/2014/main" id="{E431E01B-5FF2-1541-9E49-CAED5BC77D9F}"/>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xdr:row>
      <xdr:rowOff>0</xdr:rowOff>
    </xdr:from>
    <xdr:ext cx="314325" cy="314325"/>
    <xdr:sp macro="" textlink="">
      <xdr:nvSpPr>
        <xdr:cNvPr id="23653" name="Shape 4">
          <a:extLst>
            <a:ext uri="{FF2B5EF4-FFF2-40B4-BE49-F238E27FC236}">
              <a16:creationId xmlns:a16="http://schemas.microsoft.com/office/drawing/2014/main" id="{8BE3F3B3-AC01-F34A-8509-8B6E89021F24}"/>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72</xdr:row>
      <xdr:rowOff>0</xdr:rowOff>
    </xdr:from>
    <xdr:ext cx="304800" cy="306848"/>
    <xdr:sp macro="" textlink="">
      <xdr:nvSpPr>
        <xdr:cNvPr id="23654" name="AutoShape 1">
          <a:extLst>
            <a:ext uri="{FF2B5EF4-FFF2-40B4-BE49-F238E27FC236}">
              <a16:creationId xmlns:a16="http://schemas.microsoft.com/office/drawing/2014/main" id="{A608FBC6-B4CA-FC46-928B-7960581ABDB2}"/>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xdr:row>
      <xdr:rowOff>0</xdr:rowOff>
    </xdr:from>
    <xdr:ext cx="314325" cy="314325"/>
    <xdr:sp macro="" textlink="">
      <xdr:nvSpPr>
        <xdr:cNvPr id="23655" name="Shape 4">
          <a:extLst>
            <a:ext uri="{FF2B5EF4-FFF2-40B4-BE49-F238E27FC236}">
              <a16:creationId xmlns:a16="http://schemas.microsoft.com/office/drawing/2014/main" id="{1B44496C-D424-5A4C-9E45-E60CA5DF073A}"/>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72</xdr:row>
      <xdr:rowOff>0</xdr:rowOff>
    </xdr:from>
    <xdr:ext cx="304800" cy="306848"/>
    <xdr:sp macro="" textlink="">
      <xdr:nvSpPr>
        <xdr:cNvPr id="23656" name="AutoShape 1">
          <a:extLst>
            <a:ext uri="{FF2B5EF4-FFF2-40B4-BE49-F238E27FC236}">
              <a16:creationId xmlns:a16="http://schemas.microsoft.com/office/drawing/2014/main" id="{86C77A9A-FE1E-364F-8458-6BF2100EAB00}"/>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xdr:row>
      <xdr:rowOff>0</xdr:rowOff>
    </xdr:from>
    <xdr:ext cx="314325" cy="314325"/>
    <xdr:sp macro="" textlink="">
      <xdr:nvSpPr>
        <xdr:cNvPr id="23657" name="Shape 4">
          <a:extLst>
            <a:ext uri="{FF2B5EF4-FFF2-40B4-BE49-F238E27FC236}">
              <a16:creationId xmlns:a16="http://schemas.microsoft.com/office/drawing/2014/main" id="{519DA42A-80D4-E04B-B2AC-C5BF9DFF7DEF}"/>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72</xdr:row>
      <xdr:rowOff>0</xdr:rowOff>
    </xdr:from>
    <xdr:ext cx="304800" cy="306848"/>
    <xdr:sp macro="" textlink="">
      <xdr:nvSpPr>
        <xdr:cNvPr id="23658" name="AutoShape 1">
          <a:extLst>
            <a:ext uri="{FF2B5EF4-FFF2-40B4-BE49-F238E27FC236}">
              <a16:creationId xmlns:a16="http://schemas.microsoft.com/office/drawing/2014/main" id="{A3A6EE22-0423-8A45-BE9C-022B0613C839}"/>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xdr:row>
      <xdr:rowOff>0</xdr:rowOff>
    </xdr:from>
    <xdr:ext cx="314325" cy="314325"/>
    <xdr:sp macro="" textlink="">
      <xdr:nvSpPr>
        <xdr:cNvPr id="23659" name="Shape 4">
          <a:extLst>
            <a:ext uri="{FF2B5EF4-FFF2-40B4-BE49-F238E27FC236}">
              <a16:creationId xmlns:a16="http://schemas.microsoft.com/office/drawing/2014/main" id="{EC78AC51-3151-704F-83F3-012BFB4C8E49}"/>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72</xdr:row>
      <xdr:rowOff>0</xdr:rowOff>
    </xdr:from>
    <xdr:ext cx="304800" cy="306848"/>
    <xdr:sp macro="" textlink="">
      <xdr:nvSpPr>
        <xdr:cNvPr id="23660" name="AutoShape 1">
          <a:extLst>
            <a:ext uri="{FF2B5EF4-FFF2-40B4-BE49-F238E27FC236}">
              <a16:creationId xmlns:a16="http://schemas.microsoft.com/office/drawing/2014/main" id="{D80AA22D-7275-974F-BA8B-10297E5DFB49}"/>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xdr:row>
      <xdr:rowOff>0</xdr:rowOff>
    </xdr:from>
    <xdr:ext cx="314325" cy="314325"/>
    <xdr:sp macro="" textlink="">
      <xdr:nvSpPr>
        <xdr:cNvPr id="23661" name="Shape 4">
          <a:extLst>
            <a:ext uri="{FF2B5EF4-FFF2-40B4-BE49-F238E27FC236}">
              <a16:creationId xmlns:a16="http://schemas.microsoft.com/office/drawing/2014/main" id="{08C7221E-2041-F447-B571-D2823C9E71B2}"/>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72</xdr:row>
      <xdr:rowOff>0</xdr:rowOff>
    </xdr:from>
    <xdr:ext cx="304800" cy="306848"/>
    <xdr:sp macro="" textlink="">
      <xdr:nvSpPr>
        <xdr:cNvPr id="23662" name="AutoShape 1">
          <a:extLst>
            <a:ext uri="{FF2B5EF4-FFF2-40B4-BE49-F238E27FC236}">
              <a16:creationId xmlns:a16="http://schemas.microsoft.com/office/drawing/2014/main" id="{680A92BA-A6E5-A344-94DF-CDE06FFD141A}"/>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xdr:row>
      <xdr:rowOff>0</xdr:rowOff>
    </xdr:from>
    <xdr:ext cx="314325" cy="314325"/>
    <xdr:sp macro="" textlink="">
      <xdr:nvSpPr>
        <xdr:cNvPr id="23663" name="Shape 4">
          <a:extLst>
            <a:ext uri="{FF2B5EF4-FFF2-40B4-BE49-F238E27FC236}">
              <a16:creationId xmlns:a16="http://schemas.microsoft.com/office/drawing/2014/main" id="{84BB5FB8-3BCB-FD4A-97E9-B119854ABC6B}"/>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72</xdr:row>
      <xdr:rowOff>0</xdr:rowOff>
    </xdr:from>
    <xdr:ext cx="304800" cy="306848"/>
    <xdr:sp macro="" textlink="">
      <xdr:nvSpPr>
        <xdr:cNvPr id="23664" name="AutoShape 1">
          <a:extLst>
            <a:ext uri="{FF2B5EF4-FFF2-40B4-BE49-F238E27FC236}">
              <a16:creationId xmlns:a16="http://schemas.microsoft.com/office/drawing/2014/main" id="{27EDD6FD-76CB-9E42-9068-B1A9ED9543C3}"/>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xdr:row>
      <xdr:rowOff>0</xdr:rowOff>
    </xdr:from>
    <xdr:ext cx="314325" cy="314325"/>
    <xdr:sp macro="" textlink="">
      <xdr:nvSpPr>
        <xdr:cNvPr id="23665" name="Shape 4">
          <a:extLst>
            <a:ext uri="{FF2B5EF4-FFF2-40B4-BE49-F238E27FC236}">
              <a16:creationId xmlns:a16="http://schemas.microsoft.com/office/drawing/2014/main" id="{3748168C-7CA7-C34C-9817-7F4135AFCFA2}"/>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81</xdr:row>
      <xdr:rowOff>0</xdr:rowOff>
    </xdr:from>
    <xdr:ext cx="304800" cy="306848"/>
    <xdr:sp macro="" textlink="">
      <xdr:nvSpPr>
        <xdr:cNvPr id="23666" name="AutoShape 1">
          <a:extLst>
            <a:ext uri="{FF2B5EF4-FFF2-40B4-BE49-F238E27FC236}">
              <a16:creationId xmlns:a16="http://schemas.microsoft.com/office/drawing/2014/main" id="{5360D55A-3A94-6843-8324-849B407F4358}"/>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14325" cy="314325"/>
    <xdr:sp macro="" textlink="">
      <xdr:nvSpPr>
        <xdr:cNvPr id="23667" name="Shape 4">
          <a:extLst>
            <a:ext uri="{FF2B5EF4-FFF2-40B4-BE49-F238E27FC236}">
              <a16:creationId xmlns:a16="http://schemas.microsoft.com/office/drawing/2014/main" id="{74D965EB-B191-3A43-ABE3-27F2ED41E0A5}"/>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279400</xdr:colOff>
      <xdr:row>81</xdr:row>
      <xdr:rowOff>0</xdr:rowOff>
    </xdr:from>
    <xdr:ext cx="304800" cy="306848"/>
    <xdr:sp macro="" textlink="">
      <xdr:nvSpPr>
        <xdr:cNvPr id="23668" name="AutoShape 1">
          <a:extLst>
            <a:ext uri="{FF2B5EF4-FFF2-40B4-BE49-F238E27FC236}">
              <a16:creationId xmlns:a16="http://schemas.microsoft.com/office/drawing/2014/main" id="{ADD6EF25-B8FB-2744-BAA9-F8C50119EE30}"/>
            </a:ext>
          </a:extLst>
        </xdr:cNvPr>
        <xdr:cNvSpPr>
          <a:spLocks noChangeAspect="1" noChangeArrowheads="1"/>
        </xdr:cNvSpPr>
      </xdr:nvSpPr>
      <xdr:spPr bwMode="auto">
        <a:xfrm>
          <a:off x="279400" y="0"/>
          <a:ext cx="304800" cy="30684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0</xdr:col>
      <xdr:colOff>279400</xdr:colOff>
      <xdr:row>81</xdr:row>
      <xdr:rowOff>0</xdr:rowOff>
    </xdr:from>
    <xdr:ext cx="314325" cy="314325"/>
    <xdr:sp macro="" textlink="">
      <xdr:nvSpPr>
        <xdr:cNvPr id="23669" name="Shape 4">
          <a:extLst>
            <a:ext uri="{FF2B5EF4-FFF2-40B4-BE49-F238E27FC236}">
              <a16:creationId xmlns:a16="http://schemas.microsoft.com/office/drawing/2014/main" id="{C4CF7C3D-121A-0B42-9C79-FF3A0DEC8BCB}"/>
            </a:ext>
          </a:extLst>
        </xdr:cNvPr>
        <xdr:cNvSpPr/>
      </xdr:nvSpPr>
      <xdr:spPr>
        <a:xfrm>
          <a:off x="279400" y="0"/>
          <a:ext cx="314325" cy="3143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None/>
          </a:pPr>
          <a:endParaRPr sz="1400"/>
        </a:p>
      </xdr:txBody>
    </xdr:sp>
    <xdr:clientData/>
  </xdr:oneCellAnchor>
  <xdr:oneCellAnchor>
    <xdr:from>
      <xdr:col>1</xdr:col>
      <xdr:colOff>0</xdr:colOff>
      <xdr:row>81</xdr:row>
      <xdr:rowOff>0</xdr:rowOff>
    </xdr:from>
    <xdr:ext cx="304800" cy="306848"/>
    <xdr:sp macro="" textlink="">
      <xdr:nvSpPr>
        <xdr:cNvPr id="23670" name="AutoShape 1">
          <a:extLst>
            <a:ext uri="{FF2B5EF4-FFF2-40B4-BE49-F238E27FC236}">
              <a16:creationId xmlns:a16="http://schemas.microsoft.com/office/drawing/2014/main" id="{A7DD80D9-79F9-4B4A-BBC1-5DBEA4C7B838}"/>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14325" cy="314325"/>
    <xdr:sp macro="" textlink="">
      <xdr:nvSpPr>
        <xdr:cNvPr id="23671" name="Shape 4">
          <a:extLst>
            <a:ext uri="{FF2B5EF4-FFF2-40B4-BE49-F238E27FC236}">
              <a16:creationId xmlns:a16="http://schemas.microsoft.com/office/drawing/2014/main" id="{7AF51A5E-9DF2-5749-A36A-FED376D8BD82}"/>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81</xdr:row>
      <xdr:rowOff>0</xdr:rowOff>
    </xdr:from>
    <xdr:ext cx="304800" cy="306848"/>
    <xdr:sp macro="" textlink="">
      <xdr:nvSpPr>
        <xdr:cNvPr id="23672" name="AutoShape 1">
          <a:extLst>
            <a:ext uri="{FF2B5EF4-FFF2-40B4-BE49-F238E27FC236}">
              <a16:creationId xmlns:a16="http://schemas.microsoft.com/office/drawing/2014/main" id="{F2024638-975B-DE4C-BE56-E4836C8FE680}"/>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14325" cy="314325"/>
    <xdr:sp macro="" textlink="">
      <xdr:nvSpPr>
        <xdr:cNvPr id="23673" name="Shape 4">
          <a:extLst>
            <a:ext uri="{FF2B5EF4-FFF2-40B4-BE49-F238E27FC236}">
              <a16:creationId xmlns:a16="http://schemas.microsoft.com/office/drawing/2014/main" id="{0C4D7AA7-367C-E640-B5ED-08EEF02AC5A1}"/>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81</xdr:row>
      <xdr:rowOff>0</xdr:rowOff>
    </xdr:from>
    <xdr:ext cx="304800" cy="306848"/>
    <xdr:sp macro="" textlink="">
      <xdr:nvSpPr>
        <xdr:cNvPr id="23674" name="AutoShape 1">
          <a:extLst>
            <a:ext uri="{FF2B5EF4-FFF2-40B4-BE49-F238E27FC236}">
              <a16:creationId xmlns:a16="http://schemas.microsoft.com/office/drawing/2014/main" id="{B619967D-82FE-8B40-A00C-93F072378D96}"/>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14325" cy="314325"/>
    <xdr:sp macro="" textlink="">
      <xdr:nvSpPr>
        <xdr:cNvPr id="23675" name="Shape 4">
          <a:extLst>
            <a:ext uri="{FF2B5EF4-FFF2-40B4-BE49-F238E27FC236}">
              <a16:creationId xmlns:a16="http://schemas.microsoft.com/office/drawing/2014/main" id="{42C3DF74-E50A-2544-BCFE-783022767E8E}"/>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81</xdr:row>
      <xdr:rowOff>0</xdr:rowOff>
    </xdr:from>
    <xdr:ext cx="304800" cy="306848"/>
    <xdr:sp macro="" textlink="">
      <xdr:nvSpPr>
        <xdr:cNvPr id="23676" name="AutoShape 1">
          <a:extLst>
            <a:ext uri="{FF2B5EF4-FFF2-40B4-BE49-F238E27FC236}">
              <a16:creationId xmlns:a16="http://schemas.microsoft.com/office/drawing/2014/main" id="{C75BF406-699C-544E-A1A9-55859F9F2F29}"/>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14325" cy="314325"/>
    <xdr:sp macro="" textlink="">
      <xdr:nvSpPr>
        <xdr:cNvPr id="23677" name="Shape 4">
          <a:extLst>
            <a:ext uri="{FF2B5EF4-FFF2-40B4-BE49-F238E27FC236}">
              <a16:creationId xmlns:a16="http://schemas.microsoft.com/office/drawing/2014/main" id="{B600D4AD-E889-2542-9D80-D97E193C5990}"/>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81</xdr:row>
      <xdr:rowOff>0</xdr:rowOff>
    </xdr:from>
    <xdr:ext cx="304800" cy="306848"/>
    <xdr:sp macro="" textlink="">
      <xdr:nvSpPr>
        <xdr:cNvPr id="23678" name="AutoShape 1">
          <a:extLst>
            <a:ext uri="{FF2B5EF4-FFF2-40B4-BE49-F238E27FC236}">
              <a16:creationId xmlns:a16="http://schemas.microsoft.com/office/drawing/2014/main" id="{D3AEFDF2-D546-C849-93EB-FC054883BE92}"/>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14325" cy="314325"/>
    <xdr:sp macro="" textlink="">
      <xdr:nvSpPr>
        <xdr:cNvPr id="23679" name="Shape 4">
          <a:extLst>
            <a:ext uri="{FF2B5EF4-FFF2-40B4-BE49-F238E27FC236}">
              <a16:creationId xmlns:a16="http://schemas.microsoft.com/office/drawing/2014/main" id="{8EADEDC9-A2D7-3542-B852-6445C4CEEBD7}"/>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81</xdr:row>
      <xdr:rowOff>0</xdr:rowOff>
    </xdr:from>
    <xdr:ext cx="304800" cy="306848"/>
    <xdr:sp macro="" textlink="">
      <xdr:nvSpPr>
        <xdr:cNvPr id="23680" name="AutoShape 1">
          <a:extLst>
            <a:ext uri="{FF2B5EF4-FFF2-40B4-BE49-F238E27FC236}">
              <a16:creationId xmlns:a16="http://schemas.microsoft.com/office/drawing/2014/main" id="{346FB4D6-261D-9A46-BEAE-8A60FCACFEAF}"/>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14325" cy="314325"/>
    <xdr:sp macro="" textlink="">
      <xdr:nvSpPr>
        <xdr:cNvPr id="23681" name="Shape 4">
          <a:extLst>
            <a:ext uri="{FF2B5EF4-FFF2-40B4-BE49-F238E27FC236}">
              <a16:creationId xmlns:a16="http://schemas.microsoft.com/office/drawing/2014/main" id="{3E476BAD-0334-564C-918F-158BA84C1895}"/>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81</xdr:row>
      <xdr:rowOff>0</xdr:rowOff>
    </xdr:from>
    <xdr:ext cx="304800" cy="306848"/>
    <xdr:sp macro="" textlink="">
      <xdr:nvSpPr>
        <xdr:cNvPr id="23682" name="AutoShape 1">
          <a:extLst>
            <a:ext uri="{FF2B5EF4-FFF2-40B4-BE49-F238E27FC236}">
              <a16:creationId xmlns:a16="http://schemas.microsoft.com/office/drawing/2014/main" id="{CB7ED386-71E6-1F42-A822-5042F794605C}"/>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14325" cy="314325"/>
    <xdr:sp macro="" textlink="">
      <xdr:nvSpPr>
        <xdr:cNvPr id="23683" name="Shape 4">
          <a:extLst>
            <a:ext uri="{FF2B5EF4-FFF2-40B4-BE49-F238E27FC236}">
              <a16:creationId xmlns:a16="http://schemas.microsoft.com/office/drawing/2014/main" id="{A802C494-758E-9643-A7BF-8A5DC42B7867}"/>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81</xdr:row>
      <xdr:rowOff>0</xdr:rowOff>
    </xdr:from>
    <xdr:ext cx="304800" cy="306848"/>
    <xdr:sp macro="" textlink="">
      <xdr:nvSpPr>
        <xdr:cNvPr id="23684" name="AutoShape 1">
          <a:extLst>
            <a:ext uri="{FF2B5EF4-FFF2-40B4-BE49-F238E27FC236}">
              <a16:creationId xmlns:a16="http://schemas.microsoft.com/office/drawing/2014/main" id="{C5F31700-B16A-784D-8D34-A44268D98F8F}"/>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14325" cy="314325"/>
    <xdr:sp macro="" textlink="">
      <xdr:nvSpPr>
        <xdr:cNvPr id="23685" name="Shape 4">
          <a:extLst>
            <a:ext uri="{FF2B5EF4-FFF2-40B4-BE49-F238E27FC236}">
              <a16:creationId xmlns:a16="http://schemas.microsoft.com/office/drawing/2014/main" id="{7C1EF9F1-BF5D-034C-A477-45EC045ACEEB}"/>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81</xdr:row>
      <xdr:rowOff>0</xdr:rowOff>
    </xdr:from>
    <xdr:ext cx="304800" cy="306848"/>
    <xdr:sp macro="" textlink="">
      <xdr:nvSpPr>
        <xdr:cNvPr id="23686" name="AutoShape 1">
          <a:extLst>
            <a:ext uri="{FF2B5EF4-FFF2-40B4-BE49-F238E27FC236}">
              <a16:creationId xmlns:a16="http://schemas.microsoft.com/office/drawing/2014/main" id="{EA779580-E708-9B4A-938C-9A3D8826290E}"/>
            </a:ext>
          </a:extLst>
        </xdr:cNvPr>
        <xdr:cNvSpPr>
          <a:spLocks noChangeAspect="1" noChangeArrowheads="1"/>
        </xdr:cNvSpPr>
      </xdr:nvSpPr>
      <xdr:spPr bwMode="auto">
        <a:xfrm>
          <a:off x="293077" y="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14325" cy="314325"/>
    <xdr:sp macro="" textlink="">
      <xdr:nvSpPr>
        <xdr:cNvPr id="23687" name="Shape 4">
          <a:extLst>
            <a:ext uri="{FF2B5EF4-FFF2-40B4-BE49-F238E27FC236}">
              <a16:creationId xmlns:a16="http://schemas.microsoft.com/office/drawing/2014/main" id="{C0C04919-917C-D044-9D3A-E7394C8D6976}"/>
            </a:ext>
          </a:extLst>
        </xdr:cNvPr>
        <xdr:cNvSpPr/>
      </xdr:nvSpPr>
      <xdr:spPr>
        <a:xfrm>
          <a:off x="293077" y="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88</xdr:row>
      <xdr:rowOff>0</xdr:rowOff>
    </xdr:from>
    <xdr:ext cx="304800" cy="306848"/>
    <xdr:sp macro="" textlink="">
      <xdr:nvSpPr>
        <xdr:cNvPr id="23688" name="AutoShape 1">
          <a:extLst>
            <a:ext uri="{FF2B5EF4-FFF2-40B4-BE49-F238E27FC236}">
              <a16:creationId xmlns:a16="http://schemas.microsoft.com/office/drawing/2014/main" id="{6B725266-DB9F-9841-840A-4A937198550D}"/>
            </a:ext>
          </a:extLst>
        </xdr:cNvPr>
        <xdr:cNvSpPr>
          <a:spLocks noChangeAspect="1" noChangeArrowheads="1"/>
        </xdr:cNvSpPr>
      </xdr:nvSpPr>
      <xdr:spPr bwMode="auto">
        <a:xfrm>
          <a:off x="293077" y="778282"/>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14325" cy="314325"/>
    <xdr:sp macro="" textlink="">
      <xdr:nvSpPr>
        <xdr:cNvPr id="23689" name="Shape 4">
          <a:extLst>
            <a:ext uri="{FF2B5EF4-FFF2-40B4-BE49-F238E27FC236}">
              <a16:creationId xmlns:a16="http://schemas.microsoft.com/office/drawing/2014/main" id="{0C640E10-81ED-4D46-9912-69FEC0A3677C}"/>
            </a:ext>
          </a:extLst>
        </xdr:cNvPr>
        <xdr:cNvSpPr/>
      </xdr:nvSpPr>
      <xdr:spPr>
        <a:xfrm>
          <a:off x="293077" y="778282"/>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279400</xdr:colOff>
      <xdr:row>88</xdr:row>
      <xdr:rowOff>0</xdr:rowOff>
    </xdr:from>
    <xdr:ext cx="304800" cy="306848"/>
    <xdr:sp macro="" textlink="">
      <xdr:nvSpPr>
        <xdr:cNvPr id="23690" name="AutoShape 1">
          <a:extLst>
            <a:ext uri="{FF2B5EF4-FFF2-40B4-BE49-F238E27FC236}">
              <a16:creationId xmlns:a16="http://schemas.microsoft.com/office/drawing/2014/main" id="{965B81E3-A96B-A24E-9026-79742FD1F997}"/>
            </a:ext>
          </a:extLst>
        </xdr:cNvPr>
        <xdr:cNvSpPr>
          <a:spLocks noChangeAspect="1" noChangeArrowheads="1"/>
        </xdr:cNvSpPr>
      </xdr:nvSpPr>
      <xdr:spPr bwMode="auto">
        <a:xfrm>
          <a:off x="279400" y="778282"/>
          <a:ext cx="304800" cy="30684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0</xdr:col>
      <xdr:colOff>279400</xdr:colOff>
      <xdr:row>88</xdr:row>
      <xdr:rowOff>0</xdr:rowOff>
    </xdr:from>
    <xdr:ext cx="314325" cy="314325"/>
    <xdr:sp macro="" textlink="">
      <xdr:nvSpPr>
        <xdr:cNvPr id="23691" name="Shape 4">
          <a:extLst>
            <a:ext uri="{FF2B5EF4-FFF2-40B4-BE49-F238E27FC236}">
              <a16:creationId xmlns:a16="http://schemas.microsoft.com/office/drawing/2014/main" id="{8023F154-47D4-0E47-B66F-5F7811EE7101}"/>
            </a:ext>
          </a:extLst>
        </xdr:cNvPr>
        <xdr:cNvSpPr/>
      </xdr:nvSpPr>
      <xdr:spPr>
        <a:xfrm>
          <a:off x="279400" y="778282"/>
          <a:ext cx="314325" cy="3143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None/>
          </a:pPr>
          <a:endParaRPr sz="1400"/>
        </a:p>
      </xdr:txBody>
    </xdr:sp>
    <xdr:clientData/>
  </xdr:oneCellAnchor>
  <xdr:oneCellAnchor>
    <xdr:from>
      <xdr:col>1</xdr:col>
      <xdr:colOff>0</xdr:colOff>
      <xdr:row>88</xdr:row>
      <xdr:rowOff>0</xdr:rowOff>
    </xdr:from>
    <xdr:ext cx="304800" cy="306848"/>
    <xdr:sp macro="" textlink="">
      <xdr:nvSpPr>
        <xdr:cNvPr id="23692" name="AutoShape 1">
          <a:extLst>
            <a:ext uri="{FF2B5EF4-FFF2-40B4-BE49-F238E27FC236}">
              <a16:creationId xmlns:a16="http://schemas.microsoft.com/office/drawing/2014/main" id="{C1AE308D-204B-3141-8E0B-EB83E467C82A}"/>
            </a:ext>
          </a:extLst>
        </xdr:cNvPr>
        <xdr:cNvSpPr>
          <a:spLocks noChangeAspect="1" noChangeArrowheads="1"/>
        </xdr:cNvSpPr>
      </xdr:nvSpPr>
      <xdr:spPr bwMode="auto">
        <a:xfrm>
          <a:off x="293077" y="778282"/>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14325" cy="314325"/>
    <xdr:sp macro="" textlink="">
      <xdr:nvSpPr>
        <xdr:cNvPr id="23693" name="Shape 4">
          <a:extLst>
            <a:ext uri="{FF2B5EF4-FFF2-40B4-BE49-F238E27FC236}">
              <a16:creationId xmlns:a16="http://schemas.microsoft.com/office/drawing/2014/main" id="{6204F066-A088-8348-9DE2-A95B0215E1A9}"/>
            </a:ext>
          </a:extLst>
        </xdr:cNvPr>
        <xdr:cNvSpPr/>
      </xdr:nvSpPr>
      <xdr:spPr>
        <a:xfrm>
          <a:off x="293077" y="778282"/>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88</xdr:row>
      <xdr:rowOff>0</xdr:rowOff>
    </xdr:from>
    <xdr:ext cx="304800" cy="306848"/>
    <xdr:sp macro="" textlink="">
      <xdr:nvSpPr>
        <xdr:cNvPr id="23694" name="AutoShape 1">
          <a:extLst>
            <a:ext uri="{FF2B5EF4-FFF2-40B4-BE49-F238E27FC236}">
              <a16:creationId xmlns:a16="http://schemas.microsoft.com/office/drawing/2014/main" id="{E9B3F915-6C71-8147-B587-C6DE18C08451}"/>
            </a:ext>
          </a:extLst>
        </xdr:cNvPr>
        <xdr:cNvSpPr>
          <a:spLocks noChangeAspect="1" noChangeArrowheads="1"/>
        </xdr:cNvSpPr>
      </xdr:nvSpPr>
      <xdr:spPr bwMode="auto">
        <a:xfrm>
          <a:off x="293077" y="778282"/>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14325" cy="314325"/>
    <xdr:sp macro="" textlink="">
      <xdr:nvSpPr>
        <xdr:cNvPr id="23695" name="Shape 4">
          <a:extLst>
            <a:ext uri="{FF2B5EF4-FFF2-40B4-BE49-F238E27FC236}">
              <a16:creationId xmlns:a16="http://schemas.microsoft.com/office/drawing/2014/main" id="{191AD35B-B82B-8D4C-8D7C-9405011D9798}"/>
            </a:ext>
          </a:extLst>
        </xdr:cNvPr>
        <xdr:cNvSpPr/>
      </xdr:nvSpPr>
      <xdr:spPr>
        <a:xfrm>
          <a:off x="293077" y="778282"/>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88</xdr:row>
      <xdr:rowOff>0</xdr:rowOff>
    </xdr:from>
    <xdr:ext cx="304800" cy="306848"/>
    <xdr:sp macro="" textlink="">
      <xdr:nvSpPr>
        <xdr:cNvPr id="23696" name="AutoShape 1">
          <a:extLst>
            <a:ext uri="{FF2B5EF4-FFF2-40B4-BE49-F238E27FC236}">
              <a16:creationId xmlns:a16="http://schemas.microsoft.com/office/drawing/2014/main" id="{9B6FF617-C5CC-C44E-83D5-0ADEDC350E20}"/>
            </a:ext>
          </a:extLst>
        </xdr:cNvPr>
        <xdr:cNvSpPr>
          <a:spLocks noChangeAspect="1" noChangeArrowheads="1"/>
        </xdr:cNvSpPr>
      </xdr:nvSpPr>
      <xdr:spPr bwMode="auto">
        <a:xfrm>
          <a:off x="293077" y="778282"/>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14325" cy="314325"/>
    <xdr:sp macro="" textlink="">
      <xdr:nvSpPr>
        <xdr:cNvPr id="23697" name="Shape 4">
          <a:extLst>
            <a:ext uri="{FF2B5EF4-FFF2-40B4-BE49-F238E27FC236}">
              <a16:creationId xmlns:a16="http://schemas.microsoft.com/office/drawing/2014/main" id="{FB663FFC-C30A-6944-98FB-5F9CFD924AF6}"/>
            </a:ext>
          </a:extLst>
        </xdr:cNvPr>
        <xdr:cNvSpPr/>
      </xdr:nvSpPr>
      <xdr:spPr>
        <a:xfrm>
          <a:off x="293077" y="778282"/>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88</xdr:row>
      <xdr:rowOff>0</xdr:rowOff>
    </xdr:from>
    <xdr:ext cx="304800" cy="306848"/>
    <xdr:sp macro="" textlink="">
      <xdr:nvSpPr>
        <xdr:cNvPr id="23698" name="AutoShape 1">
          <a:extLst>
            <a:ext uri="{FF2B5EF4-FFF2-40B4-BE49-F238E27FC236}">
              <a16:creationId xmlns:a16="http://schemas.microsoft.com/office/drawing/2014/main" id="{D2CF9740-5137-CC4D-BC2A-73C3068E5A95}"/>
            </a:ext>
          </a:extLst>
        </xdr:cNvPr>
        <xdr:cNvSpPr>
          <a:spLocks noChangeAspect="1" noChangeArrowheads="1"/>
        </xdr:cNvSpPr>
      </xdr:nvSpPr>
      <xdr:spPr bwMode="auto">
        <a:xfrm>
          <a:off x="293077" y="778282"/>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14325" cy="314325"/>
    <xdr:sp macro="" textlink="">
      <xdr:nvSpPr>
        <xdr:cNvPr id="23699" name="Shape 4">
          <a:extLst>
            <a:ext uri="{FF2B5EF4-FFF2-40B4-BE49-F238E27FC236}">
              <a16:creationId xmlns:a16="http://schemas.microsoft.com/office/drawing/2014/main" id="{E913A715-B006-8443-84D3-19109CEE7843}"/>
            </a:ext>
          </a:extLst>
        </xdr:cNvPr>
        <xdr:cNvSpPr/>
      </xdr:nvSpPr>
      <xdr:spPr>
        <a:xfrm>
          <a:off x="293077" y="778282"/>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88</xdr:row>
      <xdr:rowOff>0</xdr:rowOff>
    </xdr:from>
    <xdr:ext cx="304800" cy="306848"/>
    <xdr:sp macro="" textlink="">
      <xdr:nvSpPr>
        <xdr:cNvPr id="23700" name="AutoShape 1">
          <a:extLst>
            <a:ext uri="{FF2B5EF4-FFF2-40B4-BE49-F238E27FC236}">
              <a16:creationId xmlns:a16="http://schemas.microsoft.com/office/drawing/2014/main" id="{6BA69FDB-B8CB-1E4E-B088-29F0E45A124F}"/>
            </a:ext>
          </a:extLst>
        </xdr:cNvPr>
        <xdr:cNvSpPr>
          <a:spLocks noChangeAspect="1" noChangeArrowheads="1"/>
        </xdr:cNvSpPr>
      </xdr:nvSpPr>
      <xdr:spPr bwMode="auto">
        <a:xfrm>
          <a:off x="293077" y="778282"/>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14325" cy="314325"/>
    <xdr:sp macro="" textlink="">
      <xdr:nvSpPr>
        <xdr:cNvPr id="23701" name="Shape 4">
          <a:extLst>
            <a:ext uri="{FF2B5EF4-FFF2-40B4-BE49-F238E27FC236}">
              <a16:creationId xmlns:a16="http://schemas.microsoft.com/office/drawing/2014/main" id="{8FDD13FE-62F4-F948-861D-D1F0EFEBBFC9}"/>
            </a:ext>
          </a:extLst>
        </xdr:cNvPr>
        <xdr:cNvSpPr/>
      </xdr:nvSpPr>
      <xdr:spPr>
        <a:xfrm>
          <a:off x="293077" y="778282"/>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88</xdr:row>
      <xdr:rowOff>0</xdr:rowOff>
    </xdr:from>
    <xdr:ext cx="304800" cy="306848"/>
    <xdr:sp macro="" textlink="">
      <xdr:nvSpPr>
        <xdr:cNvPr id="23702" name="AutoShape 1">
          <a:extLst>
            <a:ext uri="{FF2B5EF4-FFF2-40B4-BE49-F238E27FC236}">
              <a16:creationId xmlns:a16="http://schemas.microsoft.com/office/drawing/2014/main" id="{AECE9280-F220-F649-9A43-8F7EAC49F72E}"/>
            </a:ext>
          </a:extLst>
        </xdr:cNvPr>
        <xdr:cNvSpPr>
          <a:spLocks noChangeAspect="1" noChangeArrowheads="1"/>
        </xdr:cNvSpPr>
      </xdr:nvSpPr>
      <xdr:spPr bwMode="auto">
        <a:xfrm>
          <a:off x="293077" y="778282"/>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14325" cy="314325"/>
    <xdr:sp macro="" textlink="">
      <xdr:nvSpPr>
        <xdr:cNvPr id="23703" name="Shape 4">
          <a:extLst>
            <a:ext uri="{FF2B5EF4-FFF2-40B4-BE49-F238E27FC236}">
              <a16:creationId xmlns:a16="http://schemas.microsoft.com/office/drawing/2014/main" id="{0AC1B1B2-D4F2-4C40-9F9F-149021C5E8F2}"/>
            </a:ext>
          </a:extLst>
        </xdr:cNvPr>
        <xdr:cNvSpPr/>
      </xdr:nvSpPr>
      <xdr:spPr>
        <a:xfrm>
          <a:off x="293077" y="778282"/>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88</xdr:row>
      <xdr:rowOff>0</xdr:rowOff>
    </xdr:from>
    <xdr:ext cx="304800" cy="306848"/>
    <xdr:sp macro="" textlink="">
      <xdr:nvSpPr>
        <xdr:cNvPr id="23704" name="AutoShape 1">
          <a:extLst>
            <a:ext uri="{FF2B5EF4-FFF2-40B4-BE49-F238E27FC236}">
              <a16:creationId xmlns:a16="http://schemas.microsoft.com/office/drawing/2014/main" id="{BE959170-7419-1B4C-A99C-F277EB58455C}"/>
            </a:ext>
          </a:extLst>
        </xdr:cNvPr>
        <xdr:cNvSpPr>
          <a:spLocks noChangeAspect="1" noChangeArrowheads="1"/>
        </xdr:cNvSpPr>
      </xdr:nvSpPr>
      <xdr:spPr bwMode="auto">
        <a:xfrm>
          <a:off x="293077" y="778282"/>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306848"/>
    <xdr:sp macro="" textlink="">
      <xdr:nvSpPr>
        <xdr:cNvPr id="23721" name="AutoShape 1">
          <a:extLst>
            <a:ext uri="{FF2B5EF4-FFF2-40B4-BE49-F238E27FC236}">
              <a16:creationId xmlns:a16="http://schemas.microsoft.com/office/drawing/2014/main" id="{2BDF7D68-861B-DA4E-A943-C43C14DF592D}"/>
            </a:ext>
          </a:extLst>
        </xdr:cNvPr>
        <xdr:cNvSpPr>
          <a:spLocks noChangeAspect="1" noChangeArrowheads="1"/>
        </xdr:cNvSpPr>
      </xdr:nvSpPr>
      <xdr:spPr bwMode="auto">
        <a:xfrm>
          <a:off x="825500" y="45974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14325" cy="314325"/>
    <xdr:sp macro="" textlink="">
      <xdr:nvSpPr>
        <xdr:cNvPr id="23722" name="Shape 4">
          <a:extLst>
            <a:ext uri="{FF2B5EF4-FFF2-40B4-BE49-F238E27FC236}">
              <a16:creationId xmlns:a16="http://schemas.microsoft.com/office/drawing/2014/main" id="{5BA66A1F-827C-EF46-BDD7-91ED6A32FE4B}"/>
            </a:ext>
          </a:extLst>
        </xdr:cNvPr>
        <xdr:cNvSpPr/>
      </xdr:nvSpPr>
      <xdr:spPr>
        <a:xfrm>
          <a:off x="825500" y="45974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92</xdr:row>
      <xdr:rowOff>0</xdr:rowOff>
    </xdr:from>
    <xdr:ext cx="304800" cy="306848"/>
    <xdr:sp macro="" textlink="">
      <xdr:nvSpPr>
        <xdr:cNvPr id="23723" name="AutoShape 1">
          <a:extLst>
            <a:ext uri="{FF2B5EF4-FFF2-40B4-BE49-F238E27FC236}">
              <a16:creationId xmlns:a16="http://schemas.microsoft.com/office/drawing/2014/main" id="{FF37E900-B176-5C48-B1EE-41200F85FA63}"/>
            </a:ext>
          </a:extLst>
        </xdr:cNvPr>
        <xdr:cNvSpPr>
          <a:spLocks noChangeAspect="1" noChangeArrowheads="1"/>
        </xdr:cNvSpPr>
      </xdr:nvSpPr>
      <xdr:spPr bwMode="auto">
        <a:xfrm>
          <a:off x="825500" y="45974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14325" cy="314325"/>
    <xdr:sp macro="" textlink="">
      <xdr:nvSpPr>
        <xdr:cNvPr id="23724" name="Shape 4">
          <a:extLst>
            <a:ext uri="{FF2B5EF4-FFF2-40B4-BE49-F238E27FC236}">
              <a16:creationId xmlns:a16="http://schemas.microsoft.com/office/drawing/2014/main" id="{51369E63-34BD-F54B-8EF5-FCBE8A00E1A0}"/>
            </a:ext>
          </a:extLst>
        </xdr:cNvPr>
        <xdr:cNvSpPr/>
      </xdr:nvSpPr>
      <xdr:spPr>
        <a:xfrm>
          <a:off x="825500" y="45974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92</xdr:row>
      <xdr:rowOff>0</xdr:rowOff>
    </xdr:from>
    <xdr:ext cx="304800" cy="306848"/>
    <xdr:sp macro="" textlink="">
      <xdr:nvSpPr>
        <xdr:cNvPr id="23725" name="AutoShape 1">
          <a:extLst>
            <a:ext uri="{FF2B5EF4-FFF2-40B4-BE49-F238E27FC236}">
              <a16:creationId xmlns:a16="http://schemas.microsoft.com/office/drawing/2014/main" id="{7853E85E-D82A-1D41-A5AB-6CB8FB0AD638}"/>
            </a:ext>
          </a:extLst>
        </xdr:cNvPr>
        <xdr:cNvSpPr>
          <a:spLocks noChangeAspect="1" noChangeArrowheads="1"/>
        </xdr:cNvSpPr>
      </xdr:nvSpPr>
      <xdr:spPr bwMode="auto">
        <a:xfrm>
          <a:off x="825500" y="45974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14325" cy="314325"/>
    <xdr:sp macro="" textlink="">
      <xdr:nvSpPr>
        <xdr:cNvPr id="23726" name="Shape 4">
          <a:extLst>
            <a:ext uri="{FF2B5EF4-FFF2-40B4-BE49-F238E27FC236}">
              <a16:creationId xmlns:a16="http://schemas.microsoft.com/office/drawing/2014/main" id="{E331B62A-C0C9-6642-84B8-3AF7913EB61B}"/>
            </a:ext>
          </a:extLst>
        </xdr:cNvPr>
        <xdr:cNvSpPr/>
      </xdr:nvSpPr>
      <xdr:spPr>
        <a:xfrm>
          <a:off x="825500" y="45974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92</xdr:row>
      <xdr:rowOff>0</xdr:rowOff>
    </xdr:from>
    <xdr:ext cx="304800" cy="306848"/>
    <xdr:sp macro="" textlink="">
      <xdr:nvSpPr>
        <xdr:cNvPr id="23727" name="AutoShape 1">
          <a:extLst>
            <a:ext uri="{FF2B5EF4-FFF2-40B4-BE49-F238E27FC236}">
              <a16:creationId xmlns:a16="http://schemas.microsoft.com/office/drawing/2014/main" id="{77852221-52CD-944B-A802-D6D153229398}"/>
            </a:ext>
          </a:extLst>
        </xdr:cNvPr>
        <xdr:cNvSpPr>
          <a:spLocks noChangeAspect="1" noChangeArrowheads="1"/>
        </xdr:cNvSpPr>
      </xdr:nvSpPr>
      <xdr:spPr bwMode="auto">
        <a:xfrm>
          <a:off x="825500" y="45974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14325" cy="314325"/>
    <xdr:sp macro="" textlink="">
      <xdr:nvSpPr>
        <xdr:cNvPr id="23728" name="Shape 4">
          <a:extLst>
            <a:ext uri="{FF2B5EF4-FFF2-40B4-BE49-F238E27FC236}">
              <a16:creationId xmlns:a16="http://schemas.microsoft.com/office/drawing/2014/main" id="{4347C6C6-5E7E-9240-86D4-69F2CC02165A}"/>
            </a:ext>
          </a:extLst>
        </xdr:cNvPr>
        <xdr:cNvSpPr/>
      </xdr:nvSpPr>
      <xdr:spPr>
        <a:xfrm>
          <a:off x="825500" y="45974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92</xdr:row>
      <xdr:rowOff>0</xdr:rowOff>
    </xdr:from>
    <xdr:ext cx="304800" cy="306848"/>
    <xdr:sp macro="" textlink="">
      <xdr:nvSpPr>
        <xdr:cNvPr id="23729" name="AutoShape 1">
          <a:extLst>
            <a:ext uri="{FF2B5EF4-FFF2-40B4-BE49-F238E27FC236}">
              <a16:creationId xmlns:a16="http://schemas.microsoft.com/office/drawing/2014/main" id="{8E62EBD5-BBCE-6341-8E6F-37CCEC8BA700}"/>
            </a:ext>
          </a:extLst>
        </xdr:cNvPr>
        <xdr:cNvSpPr>
          <a:spLocks noChangeAspect="1" noChangeArrowheads="1"/>
        </xdr:cNvSpPr>
      </xdr:nvSpPr>
      <xdr:spPr bwMode="auto">
        <a:xfrm>
          <a:off x="825500" y="45974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14325" cy="314325"/>
    <xdr:sp macro="" textlink="">
      <xdr:nvSpPr>
        <xdr:cNvPr id="23730" name="Shape 4">
          <a:extLst>
            <a:ext uri="{FF2B5EF4-FFF2-40B4-BE49-F238E27FC236}">
              <a16:creationId xmlns:a16="http://schemas.microsoft.com/office/drawing/2014/main" id="{B61F224F-768E-E748-A7AC-7E38789ED813}"/>
            </a:ext>
          </a:extLst>
        </xdr:cNvPr>
        <xdr:cNvSpPr/>
      </xdr:nvSpPr>
      <xdr:spPr>
        <a:xfrm>
          <a:off x="825500" y="45974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98</xdr:row>
      <xdr:rowOff>0</xdr:rowOff>
    </xdr:from>
    <xdr:ext cx="304800" cy="306848"/>
    <xdr:sp macro="" textlink="">
      <xdr:nvSpPr>
        <xdr:cNvPr id="23710" name="AutoShape 1">
          <a:extLst>
            <a:ext uri="{FF2B5EF4-FFF2-40B4-BE49-F238E27FC236}">
              <a16:creationId xmlns:a16="http://schemas.microsoft.com/office/drawing/2014/main" id="{A97981D5-5B97-1D45-989E-EFA170AB305A}"/>
            </a:ext>
          </a:extLst>
        </xdr:cNvPr>
        <xdr:cNvSpPr>
          <a:spLocks noChangeAspect="1" noChangeArrowheads="1"/>
        </xdr:cNvSpPr>
      </xdr:nvSpPr>
      <xdr:spPr bwMode="auto">
        <a:xfrm>
          <a:off x="290286" y="210910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14325" cy="314325"/>
    <xdr:sp macro="" textlink="">
      <xdr:nvSpPr>
        <xdr:cNvPr id="23711" name="Shape 4">
          <a:extLst>
            <a:ext uri="{FF2B5EF4-FFF2-40B4-BE49-F238E27FC236}">
              <a16:creationId xmlns:a16="http://schemas.microsoft.com/office/drawing/2014/main" id="{F9ABE6E1-6776-C349-BA14-2672B335B914}"/>
            </a:ext>
          </a:extLst>
        </xdr:cNvPr>
        <xdr:cNvSpPr/>
      </xdr:nvSpPr>
      <xdr:spPr>
        <a:xfrm>
          <a:off x="290286" y="210910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279400</xdr:colOff>
      <xdr:row>98</xdr:row>
      <xdr:rowOff>0</xdr:rowOff>
    </xdr:from>
    <xdr:ext cx="304800" cy="306848"/>
    <xdr:sp macro="" textlink="">
      <xdr:nvSpPr>
        <xdr:cNvPr id="23712" name="AutoShape 1">
          <a:extLst>
            <a:ext uri="{FF2B5EF4-FFF2-40B4-BE49-F238E27FC236}">
              <a16:creationId xmlns:a16="http://schemas.microsoft.com/office/drawing/2014/main" id="{BA7F7CE5-F4A2-2C4C-AC00-F05BCAEE54FC}"/>
            </a:ext>
          </a:extLst>
        </xdr:cNvPr>
        <xdr:cNvSpPr>
          <a:spLocks noChangeAspect="1" noChangeArrowheads="1"/>
        </xdr:cNvSpPr>
      </xdr:nvSpPr>
      <xdr:spPr bwMode="auto">
        <a:xfrm>
          <a:off x="279400" y="2109107"/>
          <a:ext cx="304800" cy="30684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0</xdr:col>
      <xdr:colOff>279400</xdr:colOff>
      <xdr:row>98</xdr:row>
      <xdr:rowOff>0</xdr:rowOff>
    </xdr:from>
    <xdr:ext cx="314325" cy="314325"/>
    <xdr:sp macro="" textlink="">
      <xdr:nvSpPr>
        <xdr:cNvPr id="23713" name="Shape 4">
          <a:extLst>
            <a:ext uri="{FF2B5EF4-FFF2-40B4-BE49-F238E27FC236}">
              <a16:creationId xmlns:a16="http://schemas.microsoft.com/office/drawing/2014/main" id="{FDA8FEED-8692-804F-AA4A-4E6916E87174}"/>
            </a:ext>
          </a:extLst>
        </xdr:cNvPr>
        <xdr:cNvSpPr/>
      </xdr:nvSpPr>
      <xdr:spPr>
        <a:xfrm>
          <a:off x="279400" y="2109107"/>
          <a:ext cx="314325" cy="3143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None/>
          </a:pPr>
          <a:endParaRPr sz="1400"/>
        </a:p>
      </xdr:txBody>
    </xdr:sp>
    <xdr:clientData/>
  </xdr:oneCellAnchor>
  <xdr:oneCellAnchor>
    <xdr:from>
      <xdr:col>1</xdr:col>
      <xdr:colOff>0</xdr:colOff>
      <xdr:row>98</xdr:row>
      <xdr:rowOff>0</xdr:rowOff>
    </xdr:from>
    <xdr:ext cx="304800" cy="306848"/>
    <xdr:sp macro="" textlink="">
      <xdr:nvSpPr>
        <xdr:cNvPr id="23714" name="AutoShape 1">
          <a:extLst>
            <a:ext uri="{FF2B5EF4-FFF2-40B4-BE49-F238E27FC236}">
              <a16:creationId xmlns:a16="http://schemas.microsoft.com/office/drawing/2014/main" id="{83CCE3B1-0EF8-F84D-B4FB-69D43C2C3289}"/>
            </a:ext>
          </a:extLst>
        </xdr:cNvPr>
        <xdr:cNvSpPr>
          <a:spLocks noChangeAspect="1" noChangeArrowheads="1"/>
        </xdr:cNvSpPr>
      </xdr:nvSpPr>
      <xdr:spPr bwMode="auto">
        <a:xfrm>
          <a:off x="290286" y="210910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14325" cy="314325"/>
    <xdr:sp macro="" textlink="">
      <xdr:nvSpPr>
        <xdr:cNvPr id="23715" name="Shape 4">
          <a:extLst>
            <a:ext uri="{FF2B5EF4-FFF2-40B4-BE49-F238E27FC236}">
              <a16:creationId xmlns:a16="http://schemas.microsoft.com/office/drawing/2014/main" id="{E8FBBBCA-D7C1-D74B-923F-3C3AE174CE41}"/>
            </a:ext>
          </a:extLst>
        </xdr:cNvPr>
        <xdr:cNvSpPr/>
      </xdr:nvSpPr>
      <xdr:spPr>
        <a:xfrm>
          <a:off x="290286" y="210910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98</xdr:row>
      <xdr:rowOff>0</xdr:rowOff>
    </xdr:from>
    <xdr:ext cx="304800" cy="306848"/>
    <xdr:sp macro="" textlink="">
      <xdr:nvSpPr>
        <xdr:cNvPr id="23716" name="AutoShape 1">
          <a:extLst>
            <a:ext uri="{FF2B5EF4-FFF2-40B4-BE49-F238E27FC236}">
              <a16:creationId xmlns:a16="http://schemas.microsoft.com/office/drawing/2014/main" id="{8872A918-31E5-D546-ADE3-9CA91F7D0DB4}"/>
            </a:ext>
          </a:extLst>
        </xdr:cNvPr>
        <xdr:cNvSpPr>
          <a:spLocks noChangeAspect="1" noChangeArrowheads="1"/>
        </xdr:cNvSpPr>
      </xdr:nvSpPr>
      <xdr:spPr bwMode="auto">
        <a:xfrm>
          <a:off x="290286" y="210910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14325" cy="314325"/>
    <xdr:sp macro="" textlink="">
      <xdr:nvSpPr>
        <xdr:cNvPr id="23717" name="Shape 4">
          <a:extLst>
            <a:ext uri="{FF2B5EF4-FFF2-40B4-BE49-F238E27FC236}">
              <a16:creationId xmlns:a16="http://schemas.microsoft.com/office/drawing/2014/main" id="{883B1747-E2E1-CF4D-B2D4-37BF419145EE}"/>
            </a:ext>
          </a:extLst>
        </xdr:cNvPr>
        <xdr:cNvSpPr/>
      </xdr:nvSpPr>
      <xdr:spPr>
        <a:xfrm>
          <a:off x="290286" y="210910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98</xdr:row>
      <xdr:rowOff>0</xdr:rowOff>
    </xdr:from>
    <xdr:ext cx="304800" cy="306848"/>
    <xdr:sp macro="" textlink="">
      <xdr:nvSpPr>
        <xdr:cNvPr id="23718" name="AutoShape 1">
          <a:extLst>
            <a:ext uri="{FF2B5EF4-FFF2-40B4-BE49-F238E27FC236}">
              <a16:creationId xmlns:a16="http://schemas.microsoft.com/office/drawing/2014/main" id="{35F0C8CC-E76E-3941-8384-C9AD4807AD22}"/>
            </a:ext>
          </a:extLst>
        </xdr:cNvPr>
        <xdr:cNvSpPr>
          <a:spLocks noChangeAspect="1" noChangeArrowheads="1"/>
        </xdr:cNvSpPr>
      </xdr:nvSpPr>
      <xdr:spPr bwMode="auto">
        <a:xfrm>
          <a:off x="290286" y="210910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14325" cy="314325"/>
    <xdr:sp macro="" textlink="">
      <xdr:nvSpPr>
        <xdr:cNvPr id="23719" name="Shape 4">
          <a:extLst>
            <a:ext uri="{FF2B5EF4-FFF2-40B4-BE49-F238E27FC236}">
              <a16:creationId xmlns:a16="http://schemas.microsoft.com/office/drawing/2014/main" id="{73A956C7-81EE-ED4C-8A80-DFAB7A428F73}"/>
            </a:ext>
          </a:extLst>
        </xdr:cNvPr>
        <xdr:cNvSpPr/>
      </xdr:nvSpPr>
      <xdr:spPr>
        <a:xfrm>
          <a:off x="290286" y="210910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98</xdr:row>
      <xdr:rowOff>0</xdr:rowOff>
    </xdr:from>
    <xdr:ext cx="304800" cy="306848"/>
    <xdr:sp macro="" textlink="">
      <xdr:nvSpPr>
        <xdr:cNvPr id="23720" name="AutoShape 1">
          <a:extLst>
            <a:ext uri="{FF2B5EF4-FFF2-40B4-BE49-F238E27FC236}">
              <a16:creationId xmlns:a16="http://schemas.microsoft.com/office/drawing/2014/main" id="{8A24937D-34AB-474A-9118-054AD9B1083E}"/>
            </a:ext>
          </a:extLst>
        </xdr:cNvPr>
        <xdr:cNvSpPr>
          <a:spLocks noChangeAspect="1" noChangeArrowheads="1"/>
        </xdr:cNvSpPr>
      </xdr:nvSpPr>
      <xdr:spPr bwMode="auto">
        <a:xfrm>
          <a:off x="290286" y="210910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14325" cy="314325"/>
    <xdr:sp macro="" textlink="">
      <xdr:nvSpPr>
        <xdr:cNvPr id="23731" name="Shape 4">
          <a:extLst>
            <a:ext uri="{FF2B5EF4-FFF2-40B4-BE49-F238E27FC236}">
              <a16:creationId xmlns:a16="http://schemas.microsoft.com/office/drawing/2014/main" id="{A5E04EFC-89F8-904D-A0B4-294E4C88C565}"/>
            </a:ext>
          </a:extLst>
        </xdr:cNvPr>
        <xdr:cNvSpPr/>
      </xdr:nvSpPr>
      <xdr:spPr>
        <a:xfrm>
          <a:off x="290286" y="210910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98</xdr:row>
      <xdr:rowOff>0</xdr:rowOff>
    </xdr:from>
    <xdr:ext cx="304800" cy="306848"/>
    <xdr:sp macro="" textlink="">
      <xdr:nvSpPr>
        <xdr:cNvPr id="23732" name="AutoShape 1">
          <a:extLst>
            <a:ext uri="{FF2B5EF4-FFF2-40B4-BE49-F238E27FC236}">
              <a16:creationId xmlns:a16="http://schemas.microsoft.com/office/drawing/2014/main" id="{BAA5660D-7704-B641-AE8B-4C5E00ECEEBF}"/>
            </a:ext>
          </a:extLst>
        </xdr:cNvPr>
        <xdr:cNvSpPr>
          <a:spLocks noChangeAspect="1" noChangeArrowheads="1"/>
        </xdr:cNvSpPr>
      </xdr:nvSpPr>
      <xdr:spPr bwMode="auto">
        <a:xfrm>
          <a:off x="290286" y="210910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14325" cy="314325"/>
    <xdr:sp macro="" textlink="">
      <xdr:nvSpPr>
        <xdr:cNvPr id="23733" name="Shape 4">
          <a:extLst>
            <a:ext uri="{FF2B5EF4-FFF2-40B4-BE49-F238E27FC236}">
              <a16:creationId xmlns:a16="http://schemas.microsoft.com/office/drawing/2014/main" id="{BFA32192-1D06-544B-BC48-955ECB65680F}"/>
            </a:ext>
          </a:extLst>
        </xdr:cNvPr>
        <xdr:cNvSpPr/>
      </xdr:nvSpPr>
      <xdr:spPr>
        <a:xfrm>
          <a:off x="290286" y="210910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98</xdr:row>
      <xdr:rowOff>0</xdr:rowOff>
    </xdr:from>
    <xdr:ext cx="304800" cy="306848"/>
    <xdr:sp macro="" textlink="">
      <xdr:nvSpPr>
        <xdr:cNvPr id="23734" name="AutoShape 1">
          <a:extLst>
            <a:ext uri="{FF2B5EF4-FFF2-40B4-BE49-F238E27FC236}">
              <a16:creationId xmlns:a16="http://schemas.microsoft.com/office/drawing/2014/main" id="{5EC89F18-57BA-C64F-9AA1-ACEA4CB3ED9F}"/>
            </a:ext>
          </a:extLst>
        </xdr:cNvPr>
        <xdr:cNvSpPr>
          <a:spLocks noChangeAspect="1" noChangeArrowheads="1"/>
        </xdr:cNvSpPr>
      </xdr:nvSpPr>
      <xdr:spPr bwMode="auto">
        <a:xfrm>
          <a:off x="290286" y="210910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14325" cy="314325"/>
    <xdr:sp macro="" textlink="">
      <xdr:nvSpPr>
        <xdr:cNvPr id="23735" name="Shape 4">
          <a:extLst>
            <a:ext uri="{FF2B5EF4-FFF2-40B4-BE49-F238E27FC236}">
              <a16:creationId xmlns:a16="http://schemas.microsoft.com/office/drawing/2014/main" id="{2CD1977D-882D-E448-B235-86E9B63E8D1F}"/>
            </a:ext>
          </a:extLst>
        </xdr:cNvPr>
        <xdr:cNvSpPr/>
      </xdr:nvSpPr>
      <xdr:spPr>
        <a:xfrm>
          <a:off x="290286" y="2109107"/>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98</xdr:row>
      <xdr:rowOff>0</xdr:rowOff>
    </xdr:from>
    <xdr:ext cx="304800" cy="306848"/>
    <xdr:sp macro="" textlink="">
      <xdr:nvSpPr>
        <xdr:cNvPr id="23736" name="AutoShape 1">
          <a:extLst>
            <a:ext uri="{FF2B5EF4-FFF2-40B4-BE49-F238E27FC236}">
              <a16:creationId xmlns:a16="http://schemas.microsoft.com/office/drawing/2014/main" id="{FFEC7241-FDE8-5E44-B360-8123DAE68594}"/>
            </a:ext>
          </a:extLst>
        </xdr:cNvPr>
        <xdr:cNvSpPr>
          <a:spLocks noChangeAspect="1" noChangeArrowheads="1"/>
        </xdr:cNvSpPr>
      </xdr:nvSpPr>
      <xdr:spPr bwMode="auto">
        <a:xfrm>
          <a:off x="290286" y="2109107"/>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102</xdr:row>
      <xdr:rowOff>0</xdr:rowOff>
    </xdr:from>
    <xdr:ext cx="304800" cy="306848"/>
    <xdr:sp macro="" textlink="">
      <xdr:nvSpPr>
        <xdr:cNvPr id="23737" name="AutoShape 1">
          <a:extLst>
            <a:ext uri="{FF2B5EF4-FFF2-40B4-BE49-F238E27FC236}">
              <a16:creationId xmlns:a16="http://schemas.microsoft.com/office/drawing/2014/main" id="{B1C45B92-F2AC-CD46-973A-92732BCEC5A5}"/>
            </a:ext>
          </a:extLst>
        </xdr:cNvPr>
        <xdr:cNvSpPr>
          <a:spLocks noChangeAspect="1" noChangeArrowheads="1"/>
        </xdr:cNvSpPr>
      </xdr:nvSpPr>
      <xdr:spPr bwMode="auto">
        <a:xfrm>
          <a:off x="290286" y="2884714"/>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102</xdr:row>
      <xdr:rowOff>0</xdr:rowOff>
    </xdr:from>
    <xdr:ext cx="314325" cy="314325"/>
    <xdr:sp macro="" textlink="">
      <xdr:nvSpPr>
        <xdr:cNvPr id="23738" name="Shape 4">
          <a:extLst>
            <a:ext uri="{FF2B5EF4-FFF2-40B4-BE49-F238E27FC236}">
              <a16:creationId xmlns:a16="http://schemas.microsoft.com/office/drawing/2014/main" id="{13442A58-0AF8-DE43-9D51-50DF24673A1F}"/>
            </a:ext>
          </a:extLst>
        </xdr:cNvPr>
        <xdr:cNvSpPr/>
      </xdr:nvSpPr>
      <xdr:spPr>
        <a:xfrm>
          <a:off x="290286" y="2884714"/>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102</xdr:row>
      <xdr:rowOff>0</xdr:rowOff>
    </xdr:from>
    <xdr:ext cx="304800" cy="306848"/>
    <xdr:sp macro="" textlink="">
      <xdr:nvSpPr>
        <xdr:cNvPr id="23739" name="AutoShape 1">
          <a:extLst>
            <a:ext uri="{FF2B5EF4-FFF2-40B4-BE49-F238E27FC236}">
              <a16:creationId xmlns:a16="http://schemas.microsoft.com/office/drawing/2014/main" id="{B2763EF8-5C21-234E-9F41-66D15FFFB5A0}"/>
            </a:ext>
          </a:extLst>
        </xdr:cNvPr>
        <xdr:cNvSpPr>
          <a:spLocks noChangeAspect="1" noChangeArrowheads="1"/>
        </xdr:cNvSpPr>
      </xdr:nvSpPr>
      <xdr:spPr bwMode="auto">
        <a:xfrm>
          <a:off x="290286" y="2884714"/>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102</xdr:row>
      <xdr:rowOff>0</xdr:rowOff>
    </xdr:from>
    <xdr:ext cx="314325" cy="314325"/>
    <xdr:sp macro="" textlink="">
      <xdr:nvSpPr>
        <xdr:cNvPr id="23740" name="Shape 4">
          <a:extLst>
            <a:ext uri="{FF2B5EF4-FFF2-40B4-BE49-F238E27FC236}">
              <a16:creationId xmlns:a16="http://schemas.microsoft.com/office/drawing/2014/main" id="{74B5C881-27FA-784F-989C-CAD12B82A78F}"/>
            </a:ext>
          </a:extLst>
        </xdr:cNvPr>
        <xdr:cNvSpPr/>
      </xdr:nvSpPr>
      <xdr:spPr>
        <a:xfrm>
          <a:off x="290286" y="2884714"/>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102</xdr:row>
      <xdr:rowOff>0</xdr:rowOff>
    </xdr:from>
    <xdr:ext cx="304800" cy="306848"/>
    <xdr:sp macro="" textlink="">
      <xdr:nvSpPr>
        <xdr:cNvPr id="23741" name="AutoShape 1">
          <a:extLst>
            <a:ext uri="{FF2B5EF4-FFF2-40B4-BE49-F238E27FC236}">
              <a16:creationId xmlns:a16="http://schemas.microsoft.com/office/drawing/2014/main" id="{0489D101-92B9-0D41-826F-71DD50BEB5A2}"/>
            </a:ext>
          </a:extLst>
        </xdr:cNvPr>
        <xdr:cNvSpPr>
          <a:spLocks noChangeAspect="1" noChangeArrowheads="1"/>
        </xdr:cNvSpPr>
      </xdr:nvSpPr>
      <xdr:spPr bwMode="auto">
        <a:xfrm>
          <a:off x="290286" y="2884714"/>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102</xdr:row>
      <xdr:rowOff>0</xdr:rowOff>
    </xdr:from>
    <xdr:ext cx="314325" cy="314325"/>
    <xdr:sp macro="" textlink="">
      <xdr:nvSpPr>
        <xdr:cNvPr id="23742" name="Shape 4">
          <a:extLst>
            <a:ext uri="{FF2B5EF4-FFF2-40B4-BE49-F238E27FC236}">
              <a16:creationId xmlns:a16="http://schemas.microsoft.com/office/drawing/2014/main" id="{E2375F34-04D7-B34E-B575-7F48C6B67BF5}"/>
            </a:ext>
          </a:extLst>
        </xdr:cNvPr>
        <xdr:cNvSpPr/>
      </xdr:nvSpPr>
      <xdr:spPr>
        <a:xfrm>
          <a:off x="290286" y="2884714"/>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102</xdr:row>
      <xdr:rowOff>0</xdr:rowOff>
    </xdr:from>
    <xdr:ext cx="304800" cy="306848"/>
    <xdr:sp macro="" textlink="">
      <xdr:nvSpPr>
        <xdr:cNvPr id="23743" name="AutoShape 1">
          <a:extLst>
            <a:ext uri="{FF2B5EF4-FFF2-40B4-BE49-F238E27FC236}">
              <a16:creationId xmlns:a16="http://schemas.microsoft.com/office/drawing/2014/main" id="{1BE64018-85D1-444D-9D81-165A01998DEB}"/>
            </a:ext>
          </a:extLst>
        </xdr:cNvPr>
        <xdr:cNvSpPr>
          <a:spLocks noChangeAspect="1" noChangeArrowheads="1"/>
        </xdr:cNvSpPr>
      </xdr:nvSpPr>
      <xdr:spPr bwMode="auto">
        <a:xfrm>
          <a:off x="290286" y="2884714"/>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102</xdr:row>
      <xdr:rowOff>0</xdr:rowOff>
    </xdr:from>
    <xdr:ext cx="314325" cy="314325"/>
    <xdr:sp macro="" textlink="">
      <xdr:nvSpPr>
        <xdr:cNvPr id="23744" name="Shape 4">
          <a:extLst>
            <a:ext uri="{FF2B5EF4-FFF2-40B4-BE49-F238E27FC236}">
              <a16:creationId xmlns:a16="http://schemas.microsoft.com/office/drawing/2014/main" id="{9B55F02B-C0B2-6744-BAE1-71A17FAFB16F}"/>
            </a:ext>
          </a:extLst>
        </xdr:cNvPr>
        <xdr:cNvSpPr/>
      </xdr:nvSpPr>
      <xdr:spPr>
        <a:xfrm>
          <a:off x="290286" y="2884714"/>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102</xdr:row>
      <xdr:rowOff>0</xdr:rowOff>
    </xdr:from>
    <xdr:ext cx="304800" cy="306848"/>
    <xdr:sp macro="" textlink="">
      <xdr:nvSpPr>
        <xdr:cNvPr id="23745" name="AutoShape 1">
          <a:extLst>
            <a:ext uri="{FF2B5EF4-FFF2-40B4-BE49-F238E27FC236}">
              <a16:creationId xmlns:a16="http://schemas.microsoft.com/office/drawing/2014/main" id="{9AB09143-D63D-AC49-9166-85C4A23C9EFA}"/>
            </a:ext>
          </a:extLst>
        </xdr:cNvPr>
        <xdr:cNvSpPr>
          <a:spLocks noChangeAspect="1" noChangeArrowheads="1"/>
        </xdr:cNvSpPr>
      </xdr:nvSpPr>
      <xdr:spPr bwMode="auto">
        <a:xfrm>
          <a:off x="290286" y="2884714"/>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102</xdr:row>
      <xdr:rowOff>0</xdr:rowOff>
    </xdr:from>
    <xdr:ext cx="314325" cy="314325"/>
    <xdr:sp macro="" textlink="">
      <xdr:nvSpPr>
        <xdr:cNvPr id="23746" name="Shape 4">
          <a:extLst>
            <a:ext uri="{FF2B5EF4-FFF2-40B4-BE49-F238E27FC236}">
              <a16:creationId xmlns:a16="http://schemas.microsoft.com/office/drawing/2014/main" id="{7B8DF28B-98C3-064C-8DDB-70C8014EBC66}"/>
            </a:ext>
          </a:extLst>
        </xdr:cNvPr>
        <xdr:cNvSpPr/>
      </xdr:nvSpPr>
      <xdr:spPr>
        <a:xfrm>
          <a:off x="290286" y="2884714"/>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98</xdr:row>
      <xdr:rowOff>0</xdr:rowOff>
    </xdr:from>
    <xdr:ext cx="304800" cy="306848"/>
    <xdr:sp macro="" textlink="">
      <xdr:nvSpPr>
        <xdr:cNvPr id="23747" name="AutoShape 1">
          <a:extLst>
            <a:ext uri="{FF2B5EF4-FFF2-40B4-BE49-F238E27FC236}">
              <a16:creationId xmlns:a16="http://schemas.microsoft.com/office/drawing/2014/main" id="{CD96E681-A93F-A74E-9BCA-1327495AA8B4}"/>
            </a:ext>
          </a:extLst>
        </xdr:cNvPr>
        <xdr:cNvSpPr>
          <a:spLocks noChangeAspect="1" noChangeArrowheads="1"/>
        </xdr:cNvSpPr>
      </xdr:nvSpPr>
      <xdr:spPr bwMode="auto">
        <a:xfrm>
          <a:off x="292100" y="40259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14325" cy="314325"/>
    <xdr:sp macro="" textlink="">
      <xdr:nvSpPr>
        <xdr:cNvPr id="23748" name="Shape 4">
          <a:extLst>
            <a:ext uri="{FF2B5EF4-FFF2-40B4-BE49-F238E27FC236}">
              <a16:creationId xmlns:a16="http://schemas.microsoft.com/office/drawing/2014/main" id="{F94F31C4-616A-D745-8E35-FE8C76AA3CDC}"/>
            </a:ext>
          </a:extLst>
        </xdr:cNvPr>
        <xdr:cNvSpPr/>
      </xdr:nvSpPr>
      <xdr:spPr>
        <a:xfrm>
          <a:off x="292100" y="40259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279400</xdr:colOff>
      <xdr:row>98</xdr:row>
      <xdr:rowOff>0</xdr:rowOff>
    </xdr:from>
    <xdr:ext cx="304800" cy="306848"/>
    <xdr:sp macro="" textlink="">
      <xdr:nvSpPr>
        <xdr:cNvPr id="23749" name="AutoShape 1">
          <a:extLst>
            <a:ext uri="{FF2B5EF4-FFF2-40B4-BE49-F238E27FC236}">
              <a16:creationId xmlns:a16="http://schemas.microsoft.com/office/drawing/2014/main" id="{C95A3F6F-379B-824B-BF2D-65020B4F6493}"/>
            </a:ext>
          </a:extLst>
        </xdr:cNvPr>
        <xdr:cNvSpPr>
          <a:spLocks noChangeAspect="1" noChangeArrowheads="1"/>
        </xdr:cNvSpPr>
      </xdr:nvSpPr>
      <xdr:spPr bwMode="auto">
        <a:xfrm>
          <a:off x="279400" y="4025900"/>
          <a:ext cx="304800" cy="30684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0</xdr:col>
      <xdr:colOff>279400</xdr:colOff>
      <xdr:row>98</xdr:row>
      <xdr:rowOff>0</xdr:rowOff>
    </xdr:from>
    <xdr:ext cx="314325" cy="314325"/>
    <xdr:sp macro="" textlink="">
      <xdr:nvSpPr>
        <xdr:cNvPr id="23750" name="Shape 4">
          <a:extLst>
            <a:ext uri="{FF2B5EF4-FFF2-40B4-BE49-F238E27FC236}">
              <a16:creationId xmlns:a16="http://schemas.microsoft.com/office/drawing/2014/main" id="{82103FDC-BF75-C845-817E-0309E9537C52}"/>
            </a:ext>
          </a:extLst>
        </xdr:cNvPr>
        <xdr:cNvSpPr/>
      </xdr:nvSpPr>
      <xdr:spPr>
        <a:xfrm>
          <a:off x="279400" y="4025900"/>
          <a:ext cx="314325" cy="3143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None/>
          </a:pPr>
          <a:endParaRPr sz="1400"/>
        </a:p>
      </xdr:txBody>
    </xdr:sp>
    <xdr:clientData/>
  </xdr:oneCellAnchor>
  <xdr:oneCellAnchor>
    <xdr:from>
      <xdr:col>1</xdr:col>
      <xdr:colOff>0</xdr:colOff>
      <xdr:row>98</xdr:row>
      <xdr:rowOff>0</xdr:rowOff>
    </xdr:from>
    <xdr:ext cx="304800" cy="306848"/>
    <xdr:sp macro="" textlink="">
      <xdr:nvSpPr>
        <xdr:cNvPr id="23751" name="AutoShape 1">
          <a:extLst>
            <a:ext uri="{FF2B5EF4-FFF2-40B4-BE49-F238E27FC236}">
              <a16:creationId xmlns:a16="http://schemas.microsoft.com/office/drawing/2014/main" id="{3BDC8FC8-4342-7C4A-B598-FD37D8A4A99E}"/>
            </a:ext>
          </a:extLst>
        </xdr:cNvPr>
        <xdr:cNvSpPr>
          <a:spLocks noChangeAspect="1" noChangeArrowheads="1"/>
        </xdr:cNvSpPr>
      </xdr:nvSpPr>
      <xdr:spPr bwMode="auto">
        <a:xfrm>
          <a:off x="292100" y="40259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14325" cy="314325"/>
    <xdr:sp macro="" textlink="">
      <xdr:nvSpPr>
        <xdr:cNvPr id="23752" name="Shape 4">
          <a:extLst>
            <a:ext uri="{FF2B5EF4-FFF2-40B4-BE49-F238E27FC236}">
              <a16:creationId xmlns:a16="http://schemas.microsoft.com/office/drawing/2014/main" id="{420687B7-3CD6-D543-84F3-F4ADF6C4AC15}"/>
            </a:ext>
          </a:extLst>
        </xdr:cNvPr>
        <xdr:cNvSpPr/>
      </xdr:nvSpPr>
      <xdr:spPr>
        <a:xfrm>
          <a:off x="292100" y="40259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98</xdr:row>
      <xdr:rowOff>0</xdr:rowOff>
    </xdr:from>
    <xdr:ext cx="304800" cy="306848"/>
    <xdr:sp macro="" textlink="">
      <xdr:nvSpPr>
        <xdr:cNvPr id="23753" name="AutoShape 1">
          <a:extLst>
            <a:ext uri="{FF2B5EF4-FFF2-40B4-BE49-F238E27FC236}">
              <a16:creationId xmlns:a16="http://schemas.microsoft.com/office/drawing/2014/main" id="{A0C03F00-52E7-7444-91CF-0ABF5EE2DFDC}"/>
            </a:ext>
          </a:extLst>
        </xdr:cNvPr>
        <xdr:cNvSpPr>
          <a:spLocks noChangeAspect="1" noChangeArrowheads="1"/>
        </xdr:cNvSpPr>
      </xdr:nvSpPr>
      <xdr:spPr bwMode="auto">
        <a:xfrm>
          <a:off x="292100" y="40259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14325" cy="314325"/>
    <xdr:sp macro="" textlink="">
      <xdr:nvSpPr>
        <xdr:cNvPr id="23754" name="Shape 4">
          <a:extLst>
            <a:ext uri="{FF2B5EF4-FFF2-40B4-BE49-F238E27FC236}">
              <a16:creationId xmlns:a16="http://schemas.microsoft.com/office/drawing/2014/main" id="{5B0FF6BD-65C7-2E4A-ABA4-AA4B7669D9C7}"/>
            </a:ext>
          </a:extLst>
        </xdr:cNvPr>
        <xdr:cNvSpPr/>
      </xdr:nvSpPr>
      <xdr:spPr>
        <a:xfrm>
          <a:off x="292100" y="40259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98</xdr:row>
      <xdr:rowOff>0</xdr:rowOff>
    </xdr:from>
    <xdr:ext cx="304800" cy="306848"/>
    <xdr:sp macro="" textlink="">
      <xdr:nvSpPr>
        <xdr:cNvPr id="23755" name="AutoShape 1">
          <a:extLst>
            <a:ext uri="{FF2B5EF4-FFF2-40B4-BE49-F238E27FC236}">
              <a16:creationId xmlns:a16="http://schemas.microsoft.com/office/drawing/2014/main" id="{14BF35C7-EAC9-A248-A761-3A1602F686F7}"/>
            </a:ext>
          </a:extLst>
        </xdr:cNvPr>
        <xdr:cNvSpPr>
          <a:spLocks noChangeAspect="1" noChangeArrowheads="1"/>
        </xdr:cNvSpPr>
      </xdr:nvSpPr>
      <xdr:spPr bwMode="auto">
        <a:xfrm>
          <a:off x="292100" y="40259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14325" cy="314325"/>
    <xdr:sp macro="" textlink="">
      <xdr:nvSpPr>
        <xdr:cNvPr id="23756" name="Shape 4">
          <a:extLst>
            <a:ext uri="{FF2B5EF4-FFF2-40B4-BE49-F238E27FC236}">
              <a16:creationId xmlns:a16="http://schemas.microsoft.com/office/drawing/2014/main" id="{E7000410-70D3-FB4F-9F9A-AD9550223042}"/>
            </a:ext>
          </a:extLst>
        </xdr:cNvPr>
        <xdr:cNvSpPr/>
      </xdr:nvSpPr>
      <xdr:spPr>
        <a:xfrm>
          <a:off x="292100" y="40259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98</xdr:row>
      <xdr:rowOff>0</xdr:rowOff>
    </xdr:from>
    <xdr:ext cx="304800" cy="306848"/>
    <xdr:sp macro="" textlink="">
      <xdr:nvSpPr>
        <xdr:cNvPr id="23757" name="AutoShape 1">
          <a:extLst>
            <a:ext uri="{FF2B5EF4-FFF2-40B4-BE49-F238E27FC236}">
              <a16:creationId xmlns:a16="http://schemas.microsoft.com/office/drawing/2014/main" id="{1179A837-997A-B148-9D9C-C888CADEFAD5}"/>
            </a:ext>
          </a:extLst>
        </xdr:cNvPr>
        <xdr:cNvSpPr>
          <a:spLocks noChangeAspect="1" noChangeArrowheads="1"/>
        </xdr:cNvSpPr>
      </xdr:nvSpPr>
      <xdr:spPr bwMode="auto">
        <a:xfrm>
          <a:off x="292100" y="40259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14325" cy="314325"/>
    <xdr:sp macro="" textlink="">
      <xdr:nvSpPr>
        <xdr:cNvPr id="23758" name="Shape 4">
          <a:extLst>
            <a:ext uri="{FF2B5EF4-FFF2-40B4-BE49-F238E27FC236}">
              <a16:creationId xmlns:a16="http://schemas.microsoft.com/office/drawing/2014/main" id="{50462188-25F1-E240-A132-26428AE5D39F}"/>
            </a:ext>
          </a:extLst>
        </xdr:cNvPr>
        <xdr:cNvSpPr/>
      </xdr:nvSpPr>
      <xdr:spPr>
        <a:xfrm>
          <a:off x="292100" y="40259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98</xdr:row>
      <xdr:rowOff>0</xdr:rowOff>
    </xdr:from>
    <xdr:ext cx="304800" cy="306848"/>
    <xdr:sp macro="" textlink="">
      <xdr:nvSpPr>
        <xdr:cNvPr id="23759" name="AutoShape 1">
          <a:extLst>
            <a:ext uri="{FF2B5EF4-FFF2-40B4-BE49-F238E27FC236}">
              <a16:creationId xmlns:a16="http://schemas.microsoft.com/office/drawing/2014/main" id="{C1D4D7BC-CDE7-D747-8F85-CA4462A1BEE6}"/>
            </a:ext>
          </a:extLst>
        </xdr:cNvPr>
        <xdr:cNvSpPr>
          <a:spLocks noChangeAspect="1" noChangeArrowheads="1"/>
        </xdr:cNvSpPr>
      </xdr:nvSpPr>
      <xdr:spPr bwMode="auto">
        <a:xfrm>
          <a:off x="292100" y="40259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14325" cy="314325"/>
    <xdr:sp macro="" textlink="">
      <xdr:nvSpPr>
        <xdr:cNvPr id="23760" name="Shape 4">
          <a:extLst>
            <a:ext uri="{FF2B5EF4-FFF2-40B4-BE49-F238E27FC236}">
              <a16:creationId xmlns:a16="http://schemas.microsoft.com/office/drawing/2014/main" id="{CD115ABE-37AD-1D46-B155-88FD6E428F25}"/>
            </a:ext>
          </a:extLst>
        </xdr:cNvPr>
        <xdr:cNvSpPr/>
      </xdr:nvSpPr>
      <xdr:spPr>
        <a:xfrm>
          <a:off x="292100" y="40259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98</xdr:row>
      <xdr:rowOff>0</xdr:rowOff>
    </xdr:from>
    <xdr:ext cx="304800" cy="306848"/>
    <xdr:sp macro="" textlink="">
      <xdr:nvSpPr>
        <xdr:cNvPr id="23761" name="AutoShape 1">
          <a:extLst>
            <a:ext uri="{FF2B5EF4-FFF2-40B4-BE49-F238E27FC236}">
              <a16:creationId xmlns:a16="http://schemas.microsoft.com/office/drawing/2014/main" id="{5B53FF29-DAC1-844D-BA59-62829BA66E62}"/>
            </a:ext>
          </a:extLst>
        </xdr:cNvPr>
        <xdr:cNvSpPr>
          <a:spLocks noChangeAspect="1" noChangeArrowheads="1"/>
        </xdr:cNvSpPr>
      </xdr:nvSpPr>
      <xdr:spPr bwMode="auto">
        <a:xfrm>
          <a:off x="292100" y="40259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14325" cy="314325"/>
    <xdr:sp macro="" textlink="">
      <xdr:nvSpPr>
        <xdr:cNvPr id="23762" name="Shape 4">
          <a:extLst>
            <a:ext uri="{FF2B5EF4-FFF2-40B4-BE49-F238E27FC236}">
              <a16:creationId xmlns:a16="http://schemas.microsoft.com/office/drawing/2014/main" id="{C9D1B47C-4649-7448-BFA0-8B7909488F9B}"/>
            </a:ext>
          </a:extLst>
        </xdr:cNvPr>
        <xdr:cNvSpPr/>
      </xdr:nvSpPr>
      <xdr:spPr>
        <a:xfrm>
          <a:off x="292100" y="40259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98</xdr:row>
      <xdr:rowOff>0</xdr:rowOff>
    </xdr:from>
    <xdr:ext cx="304800" cy="306848"/>
    <xdr:sp macro="" textlink="">
      <xdr:nvSpPr>
        <xdr:cNvPr id="23763" name="AutoShape 1">
          <a:extLst>
            <a:ext uri="{FF2B5EF4-FFF2-40B4-BE49-F238E27FC236}">
              <a16:creationId xmlns:a16="http://schemas.microsoft.com/office/drawing/2014/main" id="{28EE5FA9-767D-EF4A-8467-FBC3DF9937D6}"/>
            </a:ext>
          </a:extLst>
        </xdr:cNvPr>
        <xdr:cNvSpPr>
          <a:spLocks noChangeAspect="1" noChangeArrowheads="1"/>
        </xdr:cNvSpPr>
      </xdr:nvSpPr>
      <xdr:spPr bwMode="auto">
        <a:xfrm>
          <a:off x="292100" y="40259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102</xdr:row>
      <xdr:rowOff>0</xdr:rowOff>
    </xdr:from>
    <xdr:ext cx="304800" cy="306848"/>
    <xdr:sp macro="" textlink="">
      <xdr:nvSpPr>
        <xdr:cNvPr id="23764" name="AutoShape 1">
          <a:extLst>
            <a:ext uri="{FF2B5EF4-FFF2-40B4-BE49-F238E27FC236}">
              <a16:creationId xmlns:a16="http://schemas.microsoft.com/office/drawing/2014/main" id="{971A7AD9-B0B6-4B41-8888-86985F8344BD}"/>
            </a:ext>
          </a:extLst>
        </xdr:cNvPr>
        <xdr:cNvSpPr>
          <a:spLocks noChangeAspect="1" noChangeArrowheads="1"/>
        </xdr:cNvSpPr>
      </xdr:nvSpPr>
      <xdr:spPr bwMode="auto">
        <a:xfrm>
          <a:off x="292100" y="48006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102</xdr:row>
      <xdr:rowOff>0</xdr:rowOff>
    </xdr:from>
    <xdr:ext cx="314325" cy="314325"/>
    <xdr:sp macro="" textlink="">
      <xdr:nvSpPr>
        <xdr:cNvPr id="23765" name="Shape 4">
          <a:extLst>
            <a:ext uri="{FF2B5EF4-FFF2-40B4-BE49-F238E27FC236}">
              <a16:creationId xmlns:a16="http://schemas.microsoft.com/office/drawing/2014/main" id="{E909A6C6-E7FE-CD47-9051-100EE1F7CBD8}"/>
            </a:ext>
          </a:extLst>
        </xdr:cNvPr>
        <xdr:cNvSpPr/>
      </xdr:nvSpPr>
      <xdr:spPr>
        <a:xfrm>
          <a:off x="292100" y="48006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102</xdr:row>
      <xdr:rowOff>0</xdr:rowOff>
    </xdr:from>
    <xdr:ext cx="304800" cy="306848"/>
    <xdr:sp macro="" textlink="">
      <xdr:nvSpPr>
        <xdr:cNvPr id="23766" name="AutoShape 1">
          <a:extLst>
            <a:ext uri="{FF2B5EF4-FFF2-40B4-BE49-F238E27FC236}">
              <a16:creationId xmlns:a16="http://schemas.microsoft.com/office/drawing/2014/main" id="{5EB4E1E6-4D0A-1C49-A5D3-943900333ACA}"/>
            </a:ext>
          </a:extLst>
        </xdr:cNvPr>
        <xdr:cNvSpPr>
          <a:spLocks noChangeAspect="1" noChangeArrowheads="1"/>
        </xdr:cNvSpPr>
      </xdr:nvSpPr>
      <xdr:spPr bwMode="auto">
        <a:xfrm>
          <a:off x="292100" y="48006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102</xdr:row>
      <xdr:rowOff>0</xdr:rowOff>
    </xdr:from>
    <xdr:ext cx="314325" cy="314325"/>
    <xdr:sp macro="" textlink="">
      <xdr:nvSpPr>
        <xdr:cNvPr id="23767" name="Shape 4">
          <a:extLst>
            <a:ext uri="{FF2B5EF4-FFF2-40B4-BE49-F238E27FC236}">
              <a16:creationId xmlns:a16="http://schemas.microsoft.com/office/drawing/2014/main" id="{EDD230FE-7AA9-C94B-88C4-719393D5393B}"/>
            </a:ext>
          </a:extLst>
        </xdr:cNvPr>
        <xdr:cNvSpPr/>
      </xdr:nvSpPr>
      <xdr:spPr>
        <a:xfrm>
          <a:off x="292100" y="48006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102</xdr:row>
      <xdr:rowOff>0</xdr:rowOff>
    </xdr:from>
    <xdr:ext cx="304800" cy="306848"/>
    <xdr:sp macro="" textlink="">
      <xdr:nvSpPr>
        <xdr:cNvPr id="23768" name="AutoShape 1">
          <a:extLst>
            <a:ext uri="{FF2B5EF4-FFF2-40B4-BE49-F238E27FC236}">
              <a16:creationId xmlns:a16="http://schemas.microsoft.com/office/drawing/2014/main" id="{16953B54-949C-BB4C-BA9C-D035D8E073AE}"/>
            </a:ext>
          </a:extLst>
        </xdr:cNvPr>
        <xdr:cNvSpPr>
          <a:spLocks noChangeAspect="1" noChangeArrowheads="1"/>
        </xdr:cNvSpPr>
      </xdr:nvSpPr>
      <xdr:spPr bwMode="auto">
        <a:xfrm>
          <a:off x="292100" y="48006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102</xdr:row>
      <xdr:rowOff>0</xdr:rowOff>
    </xdr:from>
    <xdr:ext cx="314325" cy="314325"/>
    <xdr:sp macro="" textlink="">
      <xdr:nvSpPr>
        <xdr:cNvPr id="23769" name="Shape 4">
          <a:extLst>
            <a:ext uri="{FF2B5EF4-FFF2-40B4-BE49-F238E27FC236}">
              <a16:creationId xmlns:a16="http://schemas.microsoft.com/office/drawing/2014/main" id="{0F2B7C5C-124C-F147-AE4E-9FF89ACA3843}"/>
            </a:ext>
          </a:extLst>
        </xdr:cNvPr>
        <xdr:cNvSpPr/>
      </xdr:nvSpPr>
      <xdr:spPr>
        <a:xfrm>
          <a:off x="292100" y="48006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102</xdr:row>
      <xdr:rowOff>0</xdr:rowOff>
    </xdr:from>
    <xdr:ext cx="304800" cy="306848"/>
    <xdr:sp macro="" textlink="">
      <xdr:nvSpPr>
        <xdr:cNvPr id="23770" name="AutoShape 1">
          <a:extLst>
            <a:ext uri="{FF2B5EF4-FFF2-40B4-BE49-F238E27FC236}">
              <a16:creationId xmlns:a16="http://schemas.microsoft.com/office/drawing/2014/main" id="{0102C690-BB34-EA47-8A13-4E105AEF9D27}"/>
            </a:ext>
          </a:extLst>
        </xdr:cNvPr>
        <xdr:cNvSpPr>
          <a:spLocks noChangeAspect="1" noChangeArrowheads="1"/>
        </xdr:cNvSpPr>
      </xdr:nvSpPr>
      <xdr:spPr bwMode="auto">
        <a:xfrm>
          <a:off x="292100" y="48006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102</xdr:row>
      <xdr:rowOff>0</xdr:rowOff>
    </xdr:from>
    <xdr:ext cx="314325" cy="314325"/>
    <xdr:sp macro="" textlink="">
      <xdr:nvSpPr>
        <xdr:cNvPr id="23771" name="Shape 4">
          <a:extLst>
            <a:ext uri="{FF2B5EF4-FFF2-40B4-BE49-F238E27FC236}">
              <a16:creationId xmlns:a16="http://schemas.microsoft.com/office/drawing/2014/main" id="{8958DCD5-A0FD-904B-8725-3EEA3EDE033C}"/>
            </a:ext>
          </a:extLst>
        </xdr:cNvPr>
        <xdr:cNvSpPr/>
      </xdr:nvSpPr>
      <xdr:spPr>
        <a:xfrm>
          <a:off x="292100" y="48006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102</xdr:row>
      <xdr:rowOff>0</xdr:rowOff>
    </xdr:from>
    <xdr:ext cx="304800" cy="306848"/>
    <xdr:sp macro="" textlink="">
      <xdr:nvSpPr>
        <xdr:cNvPr id="23772" name="AutoShape 1">
          <a:extLst>
            <a:ext uri="{FF2B5EF4-FFF2-40B4-BE49-F238E27FC236}">
              <a16:creationId xmlns:a16="http://schemas.microsoft.com/office/drawing/2014/main" id="{18C9FC75-38F2-A940-BEC1-35CB1F2C6DDF}"/>
            </a:ext>
          </a:extLst>
        </xdr:cNvPr>
        <xdr:cNvSpPr>
          <a:spLocks noChangeAspect="1" noChangeArrowheads="1"/>
        </xdr:cNvSpPr>
      </xdr:nvSpPr>
      <xdr:spPr bwMode="auto">
        <a:xfrm>
          <a:off x="292100" y="4800600"/>
          <a:ext cx="304800" cy="3068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102</xdr:row>
      <xdr:rowOff>0</xdr:rowOff>
    </xdr:from>
    <xdr:ext cx="314325" cy="314325"/>
    <xdr:sp macro="" textlink="">
      <xdr:nvSpPr>
        <xdr:cNvPr id="23773" name="Shape 4">
          <a:extLst>
            <a:ext uri="{FF2B5EF4-FFF2-40B4-BE49-F238E27FC236}">
              <a16:creationId xmlns:a16="http://schemas.microsoft.com/office/drawing/2014/main" id="{650A1A5F-4767-4B45-AB62-6896E474CDBD}"/>
            </a:ext>
          </a:extLst>
        </xdr:cNvPr>
        <xdr:cNvSpPr/>
      </xdr:nvSpPr>
      <xdr:spPr>
        <a:xfrm>
          <a:off x="292100" y="480060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241300</xdr:colOff>
      <xdr:row>24</xdr:row>
      <xdr:rowOff>88900</xdr:rowOff>
    </xdr:from>
    <xdr:to>
      <xdr:col>15</xdr:col>
      <xdr:colOff>0</xdr:colOff>
      <xdr:row>38</xdr:row>
      <xdr:rowOff>165100</xdr:rowOff>
    </xdr:to>
    <xdr:graphicFrame macro="">
      <xdr:nvGraphicFramePr>
        <xdr:cNvPr id="2" name="Chart 1">
          <a:extLst>
            <a:ext uri="{FF2B5EF4-FFF2-40B4-BE49-F238E27FC236}">
              <a16:creationId xmlns:a16="http://schemas.microsoft.com/office/drawing/2014/main" id="{09408484-50BB-AD48-B332-651438048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254000</xdr:colOff>
      <xdr:row>40</xdr:row>
      <xdr:rowOff>165100</xdr:rowOff>
    </xdr:from>
    <xdr:to>
      <xdr:col>14</xdr:col>
      <xdr:colOff>812800</xdr:colOff>
      <xdr:row>55</xdr:row>
      <xdr:rowOff>50800</xdr:rowOff>
    </xdr:to>
    <xdr:graphicFrame macro="">
      <xdr:nvGraphicFramePr>
        <xdr:cNvPr id="3" name="Chart 2">
          <a:extLst>
            <a:ext uri="{FF2B5EF4-FFF2-40B4-BE49-F238E27FC236}">
              <a16:creationId xmlns:a16="http://schemas.microsoft.com/office/drawing/2014/main" id="{27F9CB89-313C-C34A-B97E-D2531AA0D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342900</xdr:colOff>
      <xdr:row>58</xdr:row>
      <xdr:rowOff>127000</xdr:rowOff>
    </xdr:from>
    <xdr:to>
      <xdr:col>15</xdr:col>
      <xdr:colOff>63500</xdr:colOff>
      <xdr:row>78</xdr:row>
      <xdr:rowOff>25400</xdr:rowOff>
    </xdr:to>
    <xdr:graphicFrame macro="">
      <xdr:nvGraphicFramePr>
        <xdr:cNvPr id="4" name="Chart 3">
          <a:extLst>
            <a:ext uri="{FF2B5EF4-FFF2-40B4-BE49-F238E27FC236}">
              <a16:creationId xmlns:a16="http://schemas.microsoft.com/office/drawing/2014/main" id="{8EFA27AB-1C4C-F947-A2A3-C0FB7226E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enriquepabon/My%20Drive%20(epabon@oleoflores.com)/Informes%20Comite/2025/12-%20Diciembre/Planeacio&#769;n%20fruta%20y%20CPO/20251125%20PLANEACIO&#769;N%20DE%20FRUTA%20DICIEMBRE%202025%20SINU%20y%20MLB.xlsx" TargetMode="External"/><Relationship Id="rId1" Type="http://schemas.openxmlformats.org/officeDocument/2006/relationships/externalLinkPath" Target="/Users/enriquepabon/My%20Drive%20(epabon@oleoflores.com)/Informes%20Comite/2025/12-%20Diciembre/Planeacio&#769;n%20fruta%20y%20CPO/20251125%20PLANEACIO&#769;N%20DE%20FRUTA%20DICIEMBRE%202025%20SINU%20y%20MLB.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enriquepabon/My%20Drive%20(epabon@oleoflores.com)/Informes%20Comite/Automatizacio&#769;n%20informes/Fruta%20nucleos%20diaria%20excel%20(noviembre)%20(2).xlsx" TargetMode="External"/><Relationship Id="rId1" Type="http://schemas.openxmlformats.org/officeDocument/2006/relationships/externalLinkPath" Target="/Users/enriquepabon/My%20Drive%20(epabon@oleoflores.com)/Informes%20Comite/Automatizacio&#769;n%20informes/Fruta%20nucleos%20diaria%20excel%20(noviembre)%20(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enriquepabon/My%20Drive%20(epabon@oleoflores.com)/Informes%20Comite/2025/12-%20Diciembre/Planeacio&#769;n%20fruta%20y%20CPO/20251130%20PLANEACIO&#769;N%20PLANTAS%20DICIEMBRE%2025.xlsx" TargetMode="External"/><Relationship Id="rId1" Type="http://schemas.openxmlformats.org/officeDocument/2006/relationships/externalLinkPath" Target="/Users/enriquepabon/My%20Drive%20(epabon@oleoflores.com)/Informes%20Comite/2025/12-%20Diciembre/Planeacio&#769;n%20fruta%20y%20CPO/20251130%20PLANEACIO&#769;N%20PLANTAS%20DICIEMBRE%202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enriquepabon/Library/CloudStorage/GoogleDrive-epabon@oleoflores.com/.shortcut-targets-by-id/1DSV0rgWRNVZZBouNSdiyPSjIDKzMjUpT/INFORMES%202025%20DRIVE/12_Dic_2025_GEO_CPO_Inv_y%20Extr.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enriquepabon/Library/CloudStorage/GoogleDrive-epabon@oleoflores.com/.shortcut-targets-by-id/1DSV0rgWRNVZZBouNSdiyPSjIDKzMjUpT/INFORMES%202025%20DRIVE/12_Dic_%202025_CZZ_Inv_y_Extraccio&#769;n_CPKO.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enriquepabon/My%20Drive%20(epabon@oleoflores.com)/Informes%20Comite/2025/12-%20Diciembre/Plan%20Refineria%20y%20Solidos/Plan%20Oleoflores%20Dic%2025mod.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Users/enriquepabon/My%20Drive%20(epabon@oleoflores.com)/Informes%20Comite/2025/12-%20Diciembre/Plan%20Refineria%20y%20Solidos/Plan%20S&#243;lidos%20Dic%2025.xlsx" TargetMode="External"/><Relationship Id="rId1" Type="http://schemas.openxmlformats.org/officeDocument/2006/relationships/externalLinkPath" Target="/Users/enriquepabon/My%20Drive%20(epabon@oleoflores.com)/Informes%20Comite/2025/12-%20Diciembre/Plan%20Refineria%20y%20Solidos/Plan%20S&#243;lidos%20Dic%2025.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Users/enriquepabon/My%20Drive%20(epabon@oleoflores.com)/Informes%20Comite/Automatizacio&#769;n%20informes/Informe%20margarinas%20excel.xlsx" TargetMode="External"/><Relationship Id="rId1" Type="http://schemas.openxmlformats.org/officeDocument/2006/relationships/externalLinkPath" Target="/Users/enriquepabon/My%20Drive%20(epabon@oleoflores.com)/Informes%20Comite/Automatizacio&#769;n%20informes/Informe%20margarinas%20excel.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enriquepabon/Library/CloudStorage/GoogleDrive-epabon@oleoflores.com/.shortcut-targets-by-id/1DSV0rgWRNVZZBouNSdiyPSjIDKzMjUpT/INFORMES%202025%20DRIVE/12_Dic_2025_Calculo%20Inventarios%20OLEIN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FF Resumen"/>
      <sheetName val="Hoja1 "/>
      <sheetName val="Diciembre"/>
    </sheetNames>
    <sheetDataSet>
      <sheetData sheetId="0">
        <row r="16">
          <cell r="C16">
            <v>45992</v>
          </cell>
          <cell r="D16">
            <v>45993</v>
          </cell>
          <cell r="E16">
            <v>45994</v>
          </cell>
          <cell r="F16">
            <v>45995</v>
          </cell>
          <cell r="G16">
            <v>45996</v>
          </cell>
          <cell r="H16">
            <v>45997</v>
          </cell>
          <cell r="I16">
            <v>45998</v>
          </cell>
          <cell r="J16">
            <v>45999</v>
          </cell>
          <cell r="K16">
            <v>46000</v>
          </cell>
          <cell r="L16">
            <v>46001</v>
          </cell>
          <cell r="M16">
            <v>46002</v>
          </cell>
          <cell r="N16">
            <v>46003</v>
          </cell>
          <cell r="O16">
            <v>46004</v>
          </cell>
          <cell r="P16">
            <v>46005</v>
          </cell>
          <cell r="Q16">
            <v>46006</v>
          </cell>
          <cell r="R16">
            <v>46007</v>
          </cell>
          <cell r="S16">
            <v>46008</v>
          </cell>
          <cell r="T16">
            <v>46009</v>
          </cell>
          <cell r="U16">
            <v>46010</v>
          </cell>
          <cell r="V16">
            <v>46011</v>
          </cell>
          <cell r="W16">
            <v>46012</v>
          </cell>
          <cell r="X16">
            <v>46013</v>
          </cell>
          <cell r="Y16">
            <v>46014</v>
          </cell>
          <cell r="Z16">
            <v>46015</v>
          </cell>
          <cell r="AA16">
            <v>46016</v>
          </cell>
          <cell r="AB16">
            <v>46017</v>
          </cell>
          <cell r="AC16">
            <v>46018</v>
          </cell>
          <cell r="AD16">
            <v>46019</v>
          </cell>
          <cell r="AE16">
            <v>46020</v>
          </cell>
          <cell r="AF16">
            <v>46021</v>
          </cell>
          <cell r="AG16">
            <v>46022</v>
          </cell>
        </row>
        <row r="17">
          <cell r="C17">
            <v>264</v>
          </cell>
          <cell r="D17">
            <v>189</v>
          </cell>
          <cell r="E17">
            <v>186</v>
          </cell>
          <cell r="F17">
            <v>195</v>
          </cell>
          <cell r="G17">
            <v>170</v>
          </cell>
          <cell r="H17">
            <v>213</v>
          </cell>
          <cell r="I17">
            <v>202</v>
          </cell>
          <cell r="J17">
            <v>202</v>
          </cell>
          <cell r="K17">
            <v>252</v>
          </cell>
          <cell r="L17">
            <v>412</v>
          </cell>
          <cell r="M17">
            <v>331</v>
          </cell>
          <cell r="N17">
            <v>236</v>
          </cell>
          <cell r="O17">
            <v>215</v>
          </cell>
          <cell r="P17">
            <v>205</v>
          </cell>
          <cell r="Q17">
            <v>315</v>
          </cell>
          <cell r="R17">
            <v>630</v>
          </cell>
          <cell r="S17">
            <v>509</v>
          </cell>
          <cell r="T17">
            <v>397</v>
          </cell>
          <cell r="U17">
            <v>301</v>
          </cell>
          <cell r="V17">
            <v>280</v>
          </cell>
          <cell r="W17">
            <v>240</v>
          </cell>
          <cell r="X17">
            <v>224</v>
          </cell>
          <cell r="Y17">
            <v>524</v>
          </cell>
          <cell r="Z17">
            <v>614</v>
          </cell>
          <cell r="AA17">
            <v>433</v>
          </cell>
          <cell r="AB17">
            <v>433</v>
          </cell>
          <cell r="AC17">
            <v>273</v>
          </cell>
          <cell r="AD17">
            <v>213</v>
          </cell>
          <cell r="AE17">
            <v>382</v>
          </cell>
          <cell r="AF17">
            <v>372</v>
          </cell>
          <cell r="AG17">
            <v>544</v>
          </cell>
        </row>
        <row r="18">
          <cell r="C18">
            <v>525</v>
          </cell>
          <cell r="D18">
            <v>597</v>
          </cell>
          <cell r="E18">
            <v>625</v>
          </cell>
          <cell r="F18">
            <v>675</v>
          </cell>
          <cell r="G18">
            <v>709</v>
          </cell>
          <cell r="H18">
            <v>755</v>
          </cell>
          <cell r="I18">
            <v>300</v>
          </cell>
          <cell r="J18">
            <v>50</v>
          </cell>
          <cell r="K18">
            <v>560</v>
          </cell>
          <cell r="L18">
            <v>635</v>
          </cell>
          <cell r="M18">
            <v>655</v>
          </cell>
          <cell r="N18">
            <v>695</v>
          </cell>
          <cell r="O18">
            <v>740</v>
          </cell>
          <cell r="P18">
            <v>440</v>
          </cell>
          <cell r="Q18">
            <v>715</v>
          </cell>
          <cell r="R18">
            <v>595</v>
          </cell>
          <cell r="S18">
            <v>638</v>
          </cell>
          <cell r="T18">
            <v>654</v>
          </cell>
          <cell r="U18">
            <v>695</v>
          </cell>
          <cell r="V18">
            <v>710</v>
          </cell>
          <cell r="W18">
            <v>350</v>
          </cell>
          <cell r="X18">
            <v>700</v>
          </cell>
          <cell r="Y18">
            <v>840</v>
          </cell>
          <cell r="Z18">
            <v>150</v>
          </cell>
          <cell r="AA18">
            <v>0</v>
          </cell>
          <cell r="AB18">
            <v>590</v>
          </cell>
          <cell r="AC18">
            <v>690</v>
          </cell>
          <cell r="AD18">
            <v>500</v>
          </cell>
          <cell r="AE18">
            <v>740</v>
          </cell>
          <cell r="AF18">
            <v>922</v>
          </cell>
          <cell r="AG18">
            <v>0</v>
          </cell>
        </row>
        <row r="19">
          <cell r="C19">
            <v>600</v>
          </cell>
          <cell r="D19">
            <v>600</v>
          </cell>
          <cell r="E19">
            <v>650</v>
          </cell>
          <cell r="F19">
            <v>700</v>
          </cell>
          <cell r="G19">
            <v>700</v>
          </cell>
          <cell r="H19">
            <v>800</v>
          </cell>
          <cell r="I19">
            <v>300</v>
          </cell>
          <cell r="J19">
            <v>0</v>
          </cell>
          <cell r="K19">
            <v>400</v>
          </cell>
          <cell r="L19">
            <v>750</v>
          </cell>
          <cell r="M19">
            <v>750</v>
          </cell>
          <cell r="N19">
            <v>750</v>
          </cell>
          <cell r="O19">
            <v>750</v>
          </cell>
          <cell r="P19">
            <v>400</v>
          </cell>
          <cell r="Q19">
            <v>400</v>
          </cell>
          <cell r="R19">
            <v>750</v>
          </cell>
          <cell r="S19">
            <v>750</v>
          </cell>
          <cell r="T19">
            <v>750</v>
          </cell>
          <cell r="U19">
            <v>750</v>
          </cell>
          <cell r="V19">
            <v>750</v>
          </cell>
          <cell r="W19">
            <v>400</v>
          </cell>
          <cell r="X19">
            <v>400</v>
          </cell>
          <cell r="Y19">
            <v>750</v>
          </cell>
          <cell r="Z19">
            <v>400</v>
          </cell>
          <cell r="AA19">
            <v>0</v>
          </cell>
          <cell r="AB19">
            <v>750</v>
          </cell>
          <cell r="AC19">
            <v>750</v>
          </cell>
          <cell r="AD19">
            <v>400</v>
          </cell>
          <cell r="AE19">
            <v>750</v>
          </cell>
          <cell r="AF19">
            <v>750</v>
          </cell>
          <cell r="AG19">
            <v>600</v>
          </cell>
        </row>
        <row r="20">
          <cell r="C20">
            <v>189</v>
          </cell>
          <cell r="D20">
            <v>186</v>
          </cell>
          <cell r="E20">
            <v>161</v>
          </cell>
          <cell r="F20">
            <v>170</v>
          </cell>
          <cell r="G20">
            <v>179</v>
          </cell>
          <cell r="H20">
            <v>168</v>
          </cell>
          <cell r="I20">
            <v>202</v>
          </cell>
          <cell r="J20">
            <v>252</v>
          </cell>
          <cell r="K20">
            <v>412</v>
          </cell>
          <cell r="L20">
            <v>297</v>
          </cell>
          <cell r="M20">
            <v>236</v>
          </cell>
          <cell r="N20">
            <v>181</v>
          </cell>
          <cell r="O20">
            <v>205</v>
          </cell>
          <cell r="P20">
            <v>245</v>
          </cell>
          <cell r="Q20">
            <v>630</v>
          </cell>
          <cell r="R20">
            <v>475</v>
          </cell>
          <cell r="S20">
            <v>397</v>
          </cell>
          <cell r="T20">
            <v>301</v>
          </cell>
          <cell r="U20">
            <v>246</v>
          </cell>
          <cell r="V20">
            <v>240</v>
          </cell>
          <cell r="W20">
            <v>190</v>
          </cell>
          <cell r="X20">
            <v>524</v>
          </cell>
          <cell r="Y20">
            <v>614</v>
          </cell>
          <cell r="Z20">
            <v>364</v>
          </cell>
          <cell r="AA20">
            <v>433</v>
          </cell>
          <cell r="AB20">
            <v>273</v>
          </cell>
          <cell r="AC20">
            <v>213</v>
          </cell>
          <cell r="AD20">
            <v>313</v>
          </cell>
          <cell r="AE20">
            <v>372</v>
          </cell>
          <cell r="AF20">
            <v>544</v>
          </cell>
          <cell r="AG20">
            <v>-56</v>
          </cell>
        </row>
        <row r="21">
          <cell r="C21">
            <v>0</v>
          </cell>
          <cell r="D21">
            <v>0</v>
          </cell>
          <cell r="E21">
            <v>34</v>
          </cell>
          <cell r="F21">
            <v>0</v>
          </cell>
          <cell r="G21">
            <v>34</v>
          </cell>
          <cell r="H21">
            <v>34</v>
          </cell>
          <cell r="I21">
            <v>0</v>
          </cell>
          <cell r="J21">
            <v>0</v>
          </cell>
          <cell r="K21">
            <v>0</v>
          </cell>
          <cell r="L21">
            <v>34</v>
          </cell>
          <cell r="M21">
            <v>0</v>
          </cell>
          <cell r="N21">
            <v>34</v>
          </cell>
          <cell r="O21">
            <v>0</v>
          </cell>
          <cell r="P21">
            <v>70</v>
          </cell>
          <cell r="Q21">
            <v>0</v>
          </cell>
          <cell r="R21">
            <v>34</v>
          </cell>
          <cell r="S21">
            <v>0</v>
          </cell>
          <cell r="T21">
            <v>0</v>
          </cell>
          <cell r="U21">
            <v>34</v>
          </cell>
          <cell r="V21">
            <v>0</v>
          </cell>
          <cell r="W21">
            <v>34</v>
          </cell>
          <cell r="X21">
            <v>0</v>
          </cell>
          <cell r="Y21">
            <v>0</v>
          </cell>
          <cell r="Z21">
            <v>69</v>
          </cell>
          <cell r="AA21">
            <v>0</v>
          </cell>
          <cell r="AB21">
            <v>0</v>
          </cell>
          <cell r="AC21">
            <v>0</v>
          </cell>
          <cell r="AD21">
            <v>69</v>
          </cell>
          <cell r="AE21">
            <v>0</v>
          </cell>
          <cell r="AF21">
            <v>0</v>
          </cell>
          <cell r="AG21">
            <v>70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row>
        <row r="24">
          <cell r="C24">
            <v>0</v>
          </cell>
          <cell r="D24">
            <v>0</v>
          </cell>
          <cell r="E24">
            <v>0.97142857142857142</v>
          </cell>
          <cell r="F24">
            <v>0</v>
          </cell>
          <cell r="G24">
            <v>0.97142857142857142</v>
          </cell>
          <cell r="H24">
            <v>0.97142857142857142</v>
          </cell>
          <cell r="I24">
            <v>0</v>
          </cell>
          <cell r="J24">
            <v>0</v>
          </cell>
          <cell r="K24">
            <v>0</v>
          </cell>
          <cell r="L24">
            <v>0.97142857142857142</v>
          </cell>
          <cell r="M24">
            <v>0</v>
          </cell>
          <cell r="N24">
            <v>0.97142857142857142</v>
          </cell>
          <cell r="O24">
            <v>0</v>
          </cell>
          <cell r="P24">
            <v>2</v>
          </cell>
          <cell r="Q24">
            <v>0</v>
          </cell>
          <cell r="R24">
            <v>0.97142857142857142</v>
          </cell>
          <cell r="S24">
            <v>0</v>
          </cell>
          <cell r="T24">
            <v>0</v>
          </cell>
          <cell r="U24">
            <v>0.97142857142857142</v>
          </cell>
          <cell r="V24">
            <v>0</v>
          </cell>
          <cell r="W24">
            <v>0.97142857142857142</v>
          </cell>
          <cell r="X24">
            <v>0</v>
          </cell>
          <cell r="Y24">
            <v>0</v>
          </cell>
          <cell r="Z24">
            <v>1.9714285714285715</v>
          </cell>
          <cell r="AA24">
            <v>0</v>
          </cell>
          <cell r="AB24">
            <v>0</v>
          </cell>
          <cell r="AC24">
            <v>0</v>
          </cell>
          <cell r="AD24">
            <v>1.9714285714285715</v>
          </cell>
          <cell r="AE24">
            <v>0</v>
          </cell>
          <cell r="AF24">
            <v>0</v>
          </cell>
          <cell r="AG24">
            <v>2</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row>
        <row r="34">
          <cell r="C34">
            <v>189</v>
          </cell>
          <cell r="D34">
            <v>186</v>
          </cell>
          <cell r="E34">
            <v>195</v>
          </cell>
          <cell r="F34">
            <v>170</v>
          </cell>
          <cell r="G34">
            <v>213</v>
          </cell>
          <cell r="H34">
            <v>202</v>
          </cell>
          <cell r="I34">
            <v>202</v>
          </cell>
          <cell r="J34">
            <v>252</v>
          </cell>
          <cell r="K34">
            <v>412</v>
          </cell>
          <cell r="L34">
            <v>331</v>
          </cell>
          <cell r="M34">
            <v>236</v>
          </cell>
          <cell r="N34">
            <v>215</v>
          </cell>
          <cell r="O34">
            <v>205</v>
          </cell>
          <cell r="P34">
            <v>315</v>
          </cell>
          <cell r="Q34">
            <v>630</v>
          </cell>
          <cell r="R34">
            <v>509</v>
          </cell>
          <cell r="S34">
            <v>397</v>
          </cell>
          <cell r="T34">
            <v>301</v>
          </cell>
          <cell r="U34">
            <v>280</v>
          </cell>
          <cell r="V34">
            <v>240</v>
          </cell>
          <cell r="W34">
            <v>224</v>
          </cell>
          <cell r="X34">
            <v>524</v>
          </cell>
          <cell r="Y34">
            <v>614</v>
          </cell>
          <cell r="Z34">
            <v>433</v>
          </cell>
          <cell r="AA34">
            <v>433</v>
          </cell>
          <cell r="AB34">
            <v>273</v>
          </cell>
          <cell r="AC34">
            <v>213</v>
          </cell>
          <cell r="AD34">
            <v>382</v>
          </cell>
          <cell r="AE34">
            <v>372</v>
          </cell>
          <cell r="AF34">
            <v>544</v>
          </cell>
          <cell r="AG34">
            <v>14</v>
          </cell>
        </row>
        <row r="35">
          <cell r="C35">
            <v>0.216</v>
          </cell>
          <cell r="D35">
            <v>0.216</v>
          </cell>
          <cell r="E35">
            <v>0.216</v>
          </cell>
          <cell r="F35">
            <v>0.216</v>
          </cell>
          <cell r="G35">
            <v>0.216</v>
          </cell>
          <cell r="H35">
            <v>0.216</v>
          </cell>
          <cell r="I35">
            <v>0.216</v>
          </cell>
          <cell r="J35">
            <v>0.216</v>
          </cell>
          <cell r="K35">
            <v>0.216</v>
          </cell>
          <cell r="L35">
            <v>0.216</v>
          </cell>
          <cell r="M35">
            <v>0.216</v>
          </cell>
          <cell r="N35">
            <v>0.216</v>
          </cell>
          <cell r="O35">
            <v>0.216</v>
          </cell>
          <cell r="P35">
            <v>0.216</v>
          </cell>
          <cell r="Q35">
            <v>0.216</v>
          </cell>
          <cell r="R35">
            <v>0.216</v>
          </cell>
          <cell r="S35">
            <v>0.216</v>
          </cell>
          <cell r="T35">
            <v>0.216</v>
          </cell>
          <cell r="U35">
            <v>0.216</v>
          </cell>
          <cell r="V35">
            <v>0.216</v>
          </cell>
          <cell r="W35">
            <v>0.216</v>
          </cell>
          <cell r="X35">
            <v>0.216</v>
          </cell>
          <cell r="Y35">
            <v>0.216</v>
          </cell>
          <cell r="Z35">
            <v>0.216</v>
          </cell>
          <cell r="AA35">
            <v>0.216</v>
          </cell>
          <cell r="AB35">
            <v>0.216</v>
          </cell>
          <cell r="AC35">
            <v>0.216</v>
          </cell>
          <cell r="AD35">
            <v>0.216</v>
          </cell>
          <cell r="AE35">
            <v>0.216</v>
          </cell>
          <cell r="AF35">
            <v>0.216</v>
          </cell>
          <cell r="AG35">
            <v>0.216</v>
          </cell>
        </row>
        <row r="36">
          <cell r="C36">
            <v>129.6</v>
          </cell>
          <cell r="D36">
            <v>129.6</v>
          </cell>
          <cell r="E36">
            <v>140.4</v>
          </cell>
          <cell r="F36">
            <v>151.19999999999999</v>
          </cell>
          <cell r="G36">
            <v>151.19999999999999</v>
          </cell>
          <cell r="H36">
            <v>172.8</v>
          </cell>
          <cell r="I36">
            <v>64.8</v>
          </cell>
          <cell r="J36">
            <v>0</v>
          </cell>
          <cell r="K36">
            <v>86.4</v>
          </cell>
          <cell r="L36">
            <v>162</v>
          </cell>
          <cell r="M36">
            <v>162</v>
          </cell>
          <cell r="N36">
            <v>162</v>
          </cell>
          <cell r="O36">
            <v>162</v>
          </cell>
          <cell r="P36">
            <v>86.4</v>
          </cell>
          <cell r="Q36">
            <v>86.4</v>
          </cell>
          <cell r="R36">
            <v>162</v>
          </cell>
          <cell r="S36">
            <v>162</v>
          </cell>
          <cell r="T36">
            <v>162</v>
          </cell>
          <cell r="U36">
            <v>162</v>
          </cell>
          <cell r="V36">
            <v>162</v>
          </cell>
          <cell r="W36">
            <v>86.4</v>
          </cell>
          <cell r="X36">
            <v>86.4</v>
          </cell>
          <cell r="Y36">
            <v>162</v>
          </cell>
          <cell r="Z36">
            <v>86.4</v>
          </cell>
          <cell r="AA36">
            <v>0</v>
          </cell>
          <cell r="AB36">
            <v>162</v>
          </cell>
          <cell r="AC36">
            <v>162</v>
          </cell>
          <cell r="AD36">
            <v>86.4</v>
          </cell>
          <cell r="AE36">
            <v>162</v>
          </cell>
          <cell r="AF36">
            <v>162</v>
          </cell>
          <cell r="AG36">
            <v>129.6</v>
          </cell>
        </row>
        <row r="37">
          <cell r="C37">
            <v>0.216</v>
          </cell>
          <cell r="D37">
            <v>0.216</v>
          </cell>
          <cell r="E37">
            <v>0.216</v>
          </cell>
          <cell r="F37">
            <v>0.216</v>
          </cell>
          <cell r="G37">
            <v>0.216</v>
          </cell>
          <cell r="H37">
            <v>0.21600000000000003</v>
          </cell>
          <cell r="I37">
            <v>0.216</v>
          </cell>
          <cell r="J37" t="str">
            <v/>
          </cell>
          <cell r="K37">
            <v>0.21600000000000003</v>
          </cell>
          <cell r="L37">
            <v>0.216</v>
          </cell>
          <cell r="M37">
            <v>0.216</v>
          </cell>
          <cell r="N37">
            <v>0.216</v>
          </cell>
          <cell r="O37">
            <v>0.216</v>
          </cell>
          <cell r="P37">
            <v>0.21600000000000003</v>
          </cell>
          <cell r="Q37">
            <v>0.21600000000000003</v>
          </cell>
          <cell r="R37">
            <v>0.216</v>
          </cell>
          <cell r="S37">
            <v>0.216</v>
          </cell>
          <cell r="T37">
            <v>0.216</v>
          </cell>
          <cell r="U37">
            <v>0.216</v>
          </cell>
          <cell r="V37">
            <v>0.216</v>
          </cell>
          <cell r="W37">
            <v>0.21600000000000003</v>
          </cell>
          <cell r="X37">
            <v>0.21600000000000003</v>
          </cell>
          <cell r="Y37">
            <v>0.216</v>
          </cell>
          <cell r="Z37">
            <v>0.21600000000000003</v>
          </cell>
          <cell r="AA37" t="str">
            <v/>
          </cell>
          <cell r="AB37">
            <v>0.216</v>
          </cell>
          <cell r="AC37">
            <v>0.216</v>
          </cell>
          <cell r="AD37">
            <v>0.21600000000000003</v>
          </cell>
          <cell r="AE37">
            <v>0.216</v>
          </cell>
          <cell r="AF37">
            <v>0.216</v>
          </cell>
          <cell r="AG37">
            <v>0.216</v>
          </cell>
        </row>
        <row r="38">
          <cell r="C38">
            <v>900</v>
          </cell>
          <cell r="D38">
            <v>900</v>
          </cell>
          <cell r="E38">
            <v>900</v>
          </cell>
          <cell r="F38">
            <v>900</v>
          </cell>
          <cell r="G38">
            <v>750</v>
          </cell>
          <cell r="H38">
            <v>300</v>
          </cell>
          <cell r="I38">
            <v>900</v>
          </cell>
          <cell r="J38">
            <v>900</v>
          </cell>
          <cell r="K38">
            <v>900</v>
          </cell>
          <cell r="L38">
            <v>900</v>
          </cell>
          <cell r="M38">
            <v>900</v>
          </cell>
          <cell r="N38">
            <v>750</v>
          </cell>
          <cell r="O38">
            <v>300</v>
          </cell>
          <cell r="P38">
            <v>900</v>
          </cell>
          <cell r="Q38">
            <v>900</v>
          </cell>
          <cell r="R38">
            <v>900</v>
          </cell>
          <cell r="S38">
            <v>900</v>
          </cell>
          <cell r="T38">
            <v>900</v>
          </cell>
          <cell r="U38">
            <v>750</v>
          </cell>
          <cell r="V38">
            <v>300</v>
          </cell>
          <cell r="W38">
            <v>900</v>
          </cell>
          <cell r="X38">
            <v>900</v>
          </cell>
          <cell r="Y38">
            <v>900</v>
          </cell>
          <cell r="Z38">
            <v>900</v>
          </cell>
          <cell r="AA38">
            <v>900</v>
          </cell>
          <cell r="AB38">
            <v>750</v>
          </cell>
          <cell r="AC38">
            <v>900</v>
          </cell>
          <cell r="AD38">
            <v>750</v>
          </cell>
          <cell r="AE38">
            <v>751</v>
          </cell>
          <cell r="AF38">
            <v>752</v>
          </cell>
          <cell r="AG38">
            <v>753</v>
          </cell>
        </row>
        <row r="39">
          <cell r="C39">
            <v>0.66666666666666663</v>
          </cell>
          <cell r="D39">
            <v>0.66666666666666663</v>
          </cell>
          <cell r="E39">
            <v>0.72222222222222221</v>
          </cell>
          <cell r="F39">
            <v>0.77777777777777779</v>
          </cell>
          <cell r="G39">
            <v>0.93333333333333335</v>
          </cell>
          <cell r="H39">
            <v>2.6666666666666665</v>
          </cell>
          <cell r="I39">
            <v>0.33333333333333331</v>
          </cell>
          <cell r="J39">
            <v>0</v>
          </cell>
          <cell r="K39">
            <v>0.44444444444444442</v>
          </cell>
          <cell r="L39">
            <v>0.83333333333333337</v>
          </cell>
          <cell r="M39">
            <v>0.83333333333333337</v>
          </cell>
          <cell r="N39">
            <v>1</v>
          </cell>
          <cell r="O39">
            <v>2.5</v>
          </cell>
          <cell r="P39">
            <v>0.44444444444444442</v>
          </cell>
          <cell r="Q39">
            <v>0.44444444444444442</v>
          </cell>
          <cell r="R39">
            <v>0.83333333333333337</v>
          </cell>
          <cell r="S39">
            <v>0.83333333333333337</v>
          </cell>
          <cell r="T39">
            <v>0.83333333333333337</v>
          </cell>
          <cell r="U39">
            <v>1</v>
          </cell>
          <cell r="V39">
            <v>2.5</v>
          </cell>
          <cell r="W39">
            <v>0.44444444444444442</v>
          </cell>
          <cell r="X39">
            <v>0.44444444444444442</v>
          </cell>
          <cell r="Y39">
            <v>0.83333333333333337</v>
          </cell>
          <cell r="Z39">
            <v>0.44444444444444442</v>
          </cell>
          <cell r="AA39">
            <v>0</v>
          </cell>
          <cell r="AB39">
            <v>1</v>
          </cell>
          <cell r="AC39">
            <v>0.83333333333333337</v>
          </cell>
          <cell r="AD39">
            <v>0.53333333333333333</v>
          </cell>
          <cell r="AE39">
            <v>0.99866844207723038</v>
          </cell>
          <cell r="AF39">
            <v>0.99734042553191493</v>
          </cell>
          <cell r="AG39">
            <v>0.79681274900398402</v>
          </cell>
        </row>
        <row r="40">
          <cell r="C40">
            <v>525</v>
          </cell>
          <cell r="D40">
            <v>597</v>
          </cell>
          <cell r="E40">
            <v>625</v>
          </cell>
          <cell r="F40">
            <v>675</v>
          </cell>
          <cell r="G40">
            <v>709</v>
          </cell>
          <cell r="H40">
            <v>755</v>
          </cell>
          <cell r="I40">
            <v>300</v>
          </cell>
          <cell r="J40">
            <v>50</v>
          </cell>
          <cell r="K40">
            <v>560</v>
          </cell>
          <cell r="L40">
            <v>635</v>
          </cell>
          <cell r="M40">
            <v>655</v>
          </cell>
          <cell r="N40">
            <v>695</v>
          </cell>
          <cell r="O40">
            <v>740</v>
          </cell>
          <cell r="P40">
            <v>440</v>
          </cell>
          <cell r="Q40">
            <v>715</v>
          </cell>
          <cell r="R40">
            <v>595</v>
          </cell>
          <cell r="S40">
            <v>638</v>
          </cell>
          <cell r="T40">
            <v>654</v>
          </cell>
          <cell r="U40">
            <v>695</v>
          </cell>
          <cell r="V40">
            <v>710</v>
          </cell>
          <cell r="W40">
            <v>350</v>
          </cell>
          <cell r="X40">
            <v>700</v>
          </cell>
          <cell r="Y40">
            <v>840</v>
          </cell>
          <cell r="Z40">
            <v>150</v>
          </cell>
          <cell r="AA40">
            <v>0</v>
          </cell>
          <cell r="AB40">
            <v>590</v>
          </cell>
          <cell r="AC40">
            <v>690</v>
          </cell>
          <cell r="AD40">
            <v>500</v>
          </cell>
          <cell r="AE40">
            <v>740</v>
          </cell>
          <cell r="AF40">
            <v>922</v>
          </cell>
          <cell r="AG40">
            <v>0</v>
          </cell>
        </row>
        <row r="41">
          <cell r="C41"/>
          <cell r="D41"/>
          <cell r="E41"/>
          <cell r="F41"/>
          <cell r="G41"/>
          <cell r="H41"/>
          <cell r="I41"/>
          <cell r="J41"/>
          <cell r="K41"/>
          <cell r="L41"/>
          <cell r="M41"/>
          <cell r="N41"/>
          <cell r="O41"/>
          <cell r="P41"/>
          <cell r="Q41"/>
          <cell r="R41"/>
          <cell r="S41"/>
          <cell r="T41"/>
          <cell r="U41"/>
          <cell r="V41"/>
          <cell r="W41"/>
          <cell r="X41"/>
          <cell r="Y41"/>
          <cell r="Z41"/>
          <cell r="AA41"/>
          <cell r="AB41"/>
          <cell r="AC41"/>
          <cell r="AD41"/>
          <cell r="AE41"/>
          <cell r="AF41"/>
          <cell r="AG41"/>
        </row>
        <row r="42">
          <cell r="C42">
            <v>1</v>
          </cell>
          <cell r="D42">
            <v>2</v>
          </cell>
          <cell r="E42">
            <v>3</v>
          </cell>
          <cell r="F42">
            <v>4</v>
          </cell>
          <cell r="G42">
            <v>5</v>
          </cell>
          <cell r="H42">
            <v>6</v>
          </cell>
          <cell r="I42">
            <v>7</v>
          </cell>
          <cell r="J42">
            <v>8</v>
          </cell>
          <cell r="K42">
            <v>9</v>
          </cell>
          <cell r="L42">
            <v>10</v>
          </cell>
          <cell r="M42">
            <v>11</v>
          </cell>
          <cell r="N42">
            <v>12</v>
          </cell>
          <cell r="O42">
            <v>13</v>
          </cell>
          <cell r="P42">
            <v>14</v>
          </cell>
          <cell r="Q42">
            <v>15</v>
          </cell>
          <cell r="R42">
            <v>16</v>
          </cell>
          <cell r="S42">
            <v>17</v>
          </cell>
          <cell r="T42">
            <v>18</v>
          </cell>
          <cell r="U42">
            <v>19</v>
          </cell>
          <cell r="V42">
            <v>20</v>
          </cell>
          <cell r="W42">
            <v>21</v>
          </cell>
          <cell r="X42">
            <v>22</v>
          </cell>
          <cell r="Y42">
            <v>23</v>
          </cell>
          <cell r="Z42">
            <v>24</v>
          </cell>
          <cell r="AA42">
            <v>25</v>
          </cell>
          <cell r="AB42">
            <v>26</v>
          </cell>
          <cell r="AC42">
            <v>27</v>
          </cell>
          <cell r="AD42">
            <v>28</v>
          </cell>
          <cell r="AE42">
            <v>29</v>
          </cell>
          <cell r="AF42">
            <v>30</v>
          </cell>
          <cell r="AG42">
            <v>31</v>
          </cell>
        </row>
        <row r="43">
          <cell r="C43"/>
          <cell r="D43"/>
          <cell r="E43"/>
          <cell r="F43"/>
          <cell r="G43"/>
          <cell r="H43"/>
          <cell r="I43"/>
          <cell r="J43"/>
          <cell r="K43"/>
          <cell r="L43"/>
          <cell r="M43"/>
          <cell r="N43"/>
          <cell r="O43"/>
          <cell r="P43"/>
          <cell r="Q43"/>
          <cell r="R43"/>
          <cell r="S43"/>
          <cell r="T43"/>
          <cell r="U43"/>
          <cell r="V43"/>
          <cell r="W43"/>
          <cell r="X43"/>
          <cell r="Y43"/>
          <cell r="Z43"/>
          <cell r="AA43"/>
          <cell r="AB43"/>
          <cell r="AC43"/>
          <cell r="AD43"/>
          <cell r="AE43"/>
          <cell r="AF43"/>
          <cell r="AG43"/>
        </row>
        <row r="44">
          <cell r="C44"/>
          <cell r="D44"/>
          <cell r="E44"/>
          <cell r="F44"/>
          <cell r="G44"/>
          <cell r="H44"/>
          <cell r="I44"/>
          <cell r="J44"/>
          <cell r="K44"/>
          <cell r="L44"/>
          <cell r="M44"/>
          <cell r="N44"/>
          <cell r="O44"/>
          <cell r="P44"/>
          <cell r="Q44"/>
          <cell r="R44"/>
          <cell r="S44"/>
          <cell r="T44"/>
          <cell r="U44"/>
          <cell r="V44"/>
          <cell r="W44"/>
          <cell r="X44"/>
          <cell r="Y44"/>
          <cell r="Z44"/>
          <cell r="AA44"/>
          <cell r="AB44"/>
          <cell r="AC44"/>
          <cell r="AD44"/>
          <cell r="AE44"/>
          <cell r="AF44"/>
          <cell r="AG44"/>
        </row>
        <row r="45">
          <cell r="C45"/>
          <cell r="D45"/>
          <cell r="E45"/>
          <cell r="F45"/>
          <cell r="G45"/>
          <cell r="H45"/>
          <cell r="I45"/>
          <cell r="J45"/>
          <cell r="K45"/>
          <cell r="L45"/>
          <cell r="M45"/>
          <cell r="N45"/>
          <cell r="O45"/>
          <cell r="P45"/>
          <cell r="Q45"/>
          <cell r="R45"/>
          <cell r="S45"/>
          <cell r="T45"/>
          <cell r="U45"/>
          <cell r="V45"/>
          <cell r="W45"/>
          <cell r="X45"/>
          <cell r="Y45"/>
          <cell r="Z45"/>
          <cell r="AA45"/>
          <cell r="AB45"/>
          <cell r="AC45"/>
          <cell r="AD45"/>
          <cell r="AE45"/>
          <cell r="AF45"/>
          <cell r="AG45"/>
        </row>
        <row r="46">
          <cell r="C46"/>
          <cell r="D46"/>
          <cell r="E46"/>
          <cell r="F46"/>
          <cell r="G46"/>
          <cell r="H46"/>
          <cell r="I46"/>
          <cell r="J46"/>
          <cell r="K46"/>
          <cell r="L46"/>
          <cell r="M46"/>
          <cell r="N46"/>
          <cell r="O46"/>
          <cell r="P46"/>
          <cell r="Q46"/>
          <cell r="R46"/>
          <cell r="S46"/>
          <cell r="T46"/>
          <cell r="U46"/>
          <cell r="V46"/>
          <cell r="W46"/>
          <cell r="X46"/>
          <cell r="Y46"/>
          <cell r="Z46"/>
          <cell r="AA46"/>
          <cell r="AB46"/>
          <cell r="AC46"/>
          <cell r="AD46"/>
          <cell r="AE46"/>
          <cell r="AF46"/>
          <cell r="AG46"/>
        </row>
        <row r="47">
          <cell r="C47"/>
          <cell r="D47"/>
          <cell r="E47"/>
          <cell r="F47"/>
          <cell r="G47"/>
          <cell r="H47"/>
          <cell r="I47"/>
          <cell r="J47"/>
          <cell r="K47"/>
          <cell r="L47"/>
          <cell r="M47"/>
          <cell r="N47"/>
          <cell r="O47"/>
          <cell r="P47"/>
          <cell r="Q47"/>
          <cell r="R47"/>
          <cell r="S47"/>
          <cell r="T47"/>
          <cell r="U47"/>
          <cell r="V47"/>
          <cell r="W47"/>
          <cell r="X47"/>
          <cell r="Y47"/>
          <cell r="Z47"/>
          <cell r="AA47"/>
          <cell r="AB47"/>
          <cell r="AC47"/>
          <cell r="AD47"/>
          <cell r="AE47"/>
          <cell r="AF47"/>
          <cell r="AG47"/>
        </row>
        <row r="48">
          <cell r="C48"/>
          <cell r="D48"/>
          <cell r="E48"/>
          <cell r="F48"/>
          <cell r="G48"/>
          <cell r="H48"/>
          <cell r="I48"/>
          <cell r="J48"/>
          <cell r="K48"/>
          <cell r="L48"/>
          <cell r="M48"/>
          <cell r="N48"/>
          <cell r="O48"/>
          <cell r="P48"/>
          <cell r="Q48"/>
          <cell r="R48"/>
          <cell r="S48"/>
          <cell r="T48"/>
          <cell r="U48"/>
          <cell r="V48"/>
          <cell r="W48"/>
          <cell r="X48"/>
          <cell r="Y48"/>
          <cell r="Z48"/>
          <cell r="AA48"/>
          <cell r="AB48"/>
          <cell r="AC48"/>
          <cell r="AD48"/>
          <cell r="AE48"/>
          <cell r="AF48"/>
          <cell r="AG48"/>
        </row>
        <row r="49">
          <cell r="C49"/>
          <cell r="D49"/>
          <cell r="E49"/>
          <cell r="F49"/>
          <cell r="G49"/>
          <cell r="H49"/>
          <cell r="I49"/>
          <cell r="J49"/>
          <cell r="K49"/>
          <cell r="L49"/>
          <cell r="M49"/>
          <cell r="N49"/>
          <cell r="O49"/>
          <cell r="P49"/>
          <cell r="Q49"/>
          <cell r="R49"/>
          <cell r="S49"/>
          <cell r="T49"/>
          <cell r="U49"/>
          <cell r="V49"/>
          <cell r="W49"/>
          <cell r="X49"/>
          <cell r="Y49"/>
          <cell r="Z49"/>
          <cell r="AA49"/>
          <cell r="AB49"/>
          <cell r="AC49"/>
          <cell r="AD49"/>
          <cell r="AE49"/>
          <cell r="AF49"/>
          <cell r="AG49"/>
        </row>
        <row r="50">
          <cell r="C50"/>
          <cell r="D50"/>
          <cell r="E50"/>
          <cell r="F50"/>
          <cell r="G50"/>
          <cell r="H50"/>
          <cell r="I50"/>
          <cell r="J50"/>
          <cell r="K50"/>
          <cell r="L50"/>
          <cell r="M50"/>
          <cell r="N50"/>
          <cell r="O50"/>
          <cell r="P50"/>
          <cell r="Q50"/>
          <cell r="R50"/>
          <cell r="S50"/>
          <cell r="T50"/>
          <cell r="U50"/>
          <cell r="V50"/>
          <cell r="W50"/>
          <cell r="X50"/>
          <cell r="Y50"/>
          <cell r="Z50"/>
          <cell r="AA50"/>
          <cell r="AB50"/>
          <cell r="AC50"/>
          <cell r="AD50"/>
          <cell r="AE50"/>
          <cell r="AF50"/>
          <cell r="AG50"/>
        </row>
        <row r="51">
          <cell r="C51"/>
          <cell r="D51"/>
          <cell r="E51"/>
          <cell r="F51"/>
          <cell r="G51"/>
          <cell r="H51"/>
          <cell r="I51"/>
          <cell r="J51"/>
          <cell r="K51"/>
          <cell r="L51"/>
          <cell r="M51"/>
          <cell r="N51"/>
          <cell r="O51"/>
          <cell r="P51"/>
          <cell r="Q51"/>
          <cell r="R51"/>
          <cell r="S51"/>
          <cell r="T51"/>
          <cell r="U51"/>
          <cell r="V51"/>
          <cell r="W51"/>
          <cell r="X51"/>
          <cell r="Y51"/>
          <cell r="Z51"/>
          <cell r="AA51"/>
          <cell r="AB51"/>
          <cell r="AC51"/>
          <cell r="AD51"/>
          <cell r="AE51"/>
          <cell r="AF51"/>
          <cell r="AG51"/>
        </row>
        <row r="52">
          <cell r="C52"/>
          <cell r="D52"/>
          <cell r="E52"/>
          <cell r="F52"/>
          <cell r="G52"/>
          <cell r="H52"/>
          <cell r="I52"/>
          <cell r="J52"/>
          <cell r="K52"/>
          <cell r="L52"/>
          <cell r="M52"/>
          <cell r="N52"/>
          <cell r="O52"/>
          <cell r="P52"/>
          <cell r="Q52"/>
          <cell r="R52"/>
          <cell r="S52"/>
          <cell r="T52"/>
          <cell r="U52"/>
          <cell r="V52"/>
          <cell r="W52"/>
          <cell r="X52"/>
          <cell r="Y52"/>
          <cell r="Z52"/>
          <cell r="AA52"/>
          <cell r="AB52"/>
          <cell r="AC52"/>
          <cell r="AD52"/>
          <cell r="AE52"/>
          <cell r="AF52"/>
          <cell r="AG52"/>
        </row>
        <row r="53">
          <cell r="C53"/>
          <cell r="D53"/>
          <cell r="E53"/>
          <cell r="F53"/>
          <cell r="G53"/>
          <cell r="H53"/>
          <cell r="I53"/>
          <cell r="J53"/>
          <cell r="K53"/>
          <cell r="L53"/>
          <cell r="M53"/>
          <cell r="N53"/>
          <cell r="O53"/>
          <cell r="P53"/>
          <cell r="Q53"/>
          <cell r="R53"/>
          <cell r="S53"/>
          <cell r="T53"/>
          <cell r="U53"/>
          <cell r="V53"/>
          <cell r="W53"/>
          <cell r="X53"/>
          <cell r="Y53"/>
          <cell r="Z53"/>
          <cell r="AA53"/>
          <cell r="AB53"/>
          <cell r="AC53"/>
          <cell r="AD53"/>
          <cell r="AE53"/>
          <cell r="AF53"/>
          <cell r="AG53"/>
        </row>
        <row r="54">
          <cell r="C54"/>
          <cell r="D54"/>
          <cell r="E54"/>
          <cell r="F54"/>
          <cell r="G54"/>
          <cell r="H54" t="str">
            <v>*</v>
          </cell>
          <cell r="I54"/>
          <cell r="J54"/>
          <cell r="K54"/>
          <cell r="L54"/>
          <cell r="M54"/>
          <cell r="N54"/>
          <cell r="O54"/>
          <cell r="P54"/>
          <cell r="Q54"/>
          <cell r="R54"/>
          <cell r="S54"/>
          <cell r="T54"/>
          <cell r="U54"/>
          <cell r="V54"/>
          <cell r="W54"/>
          <cell r="X54"/>
          <cell r="Y54">
            <v>0.9</v>
          </cell>
          <cell r="Z54"/>
          <cell r="AA54"/>
          <cell r="AB54"/>
          <cell r="AC54"/>
          <cell r="AD54"/>
          <cell r="AE54"/>
          <cell r="AF54"/>
          <cell r="AG54"/>
        </row>
        <row r="55">
          <cell r="C55">
            <v>45992</v>
          </cell>
          <cell r="D55">
            <v>45993</v>
          </cell>
          <cell r="E55">
            <v>45994</v>
          </cell>
          <cell r="F55">
            <v>45995</v>
          </cell>
          <cell r="G55">
            <v>45996</v>
          </cell>
          <cell r="H55">
            <v>45997</v>
          </cell>
          <cell r="I55">
            <v>45998</v>
          </cell>
          <cell r="J55">
            <v>45999</v>
          </cell>
          <cell r="K55">
            <v>46000</v>
          </cell>
          <cell r="L55">
            <v>46001</v>
          </cell>
          <cell r="M55">
            <v>46002</v>
          </cell>
          <cell r="N55">
            <v>46003</v>
          </cell>
          <cell r="O55">
            <v>46004</v>
          </cell>
          <cell r="P55">
            <v>46005</v>
          </cell>
          <cell r="Q55">
            <v>46006</v>
          </cell>
          <cell r="R55">
            <v>46007</v>
          </cell>
          <cell r="S55">
            <v>46008</v>
          </cell>
          <cell r="T55">
            <v>46009</v>
          </cell>
          <cell r="U55">
            <v>46010</v>
          </cell>
          <cell r="V55">
            <v>46011</v>
          </cell>
          <cell r="W55">
            <v>46012</v>
          </cell>
          <cell r="X55">
            <v>46013</v>
          </cell>
          <cell r="Y55">
            <v>46014</v>
          </cell>
          <cell r="Z55">
            <v>46015</v>
          </cell>
          <cell r="AA55">
            <v>46016</v>
          </cell>
          <cell r="AB55">
            <v>46017</v>
          </cell>
          <cell r="AC55">
            <v>46018</v>
          </cell>
          <cell r="AD55">
            <v>46019</v>
          </cell>
          <cell r="AE55">
            <v>46020</v>
          </cell>
          <cell r="AF55">
            <v>46021</v>
          </cell>
          <cell r="AG55">
            <v>46022</v>
          </cell>
        </row>
        <row r="56">
          <cell r="C56">
            <v>110</v>
          </cell>
          <cell r="D56">
            <v>34.194437886653276</v>
          </cell>
          <cell r="E56">
            <v>20.183317037599881</v>
          </cell>
          <cell r="F56">
            <v>18.727717457439404</v>
          </cell>
          <cell r="G56">
            <v>22.975838148657484</v>
          </cell>
          <cell r="H56">
            <v>21.122079939188502</v>
          </cell>
          <cell r="I56">
            <v>30.57672048781782</v>
          </cell>
          <cell r="J56">
            <v>92.452770572098757</v>
          </cell>
          <cell r="K56">
            <v>141.36427146491732</v>
          </cell>
          <cell r="L56">
            <v>151.03039315946251</v>
          </cell>
          <cell r="M56">
            <v>184.97096653066342</v>
          </cell>
          <cell r="N56">
            <v>198.58853426731048</v>
          </cell>
          <cell r="O56">
            <v>204.36250933456387</v>
          </cell>
          <cell r="P56">
            <v>176.0157126233631</v>
          </cell>
          <cell r="Q56">
            <v>-0.22544460577687531</v>
          </cell>
          <cell r="R56">
            <v>38.73867409900501</v>
          </cell>
          <cell r="S56">
            <v>39.098628111551818</v>
          </cell>
          <cell r="T56">
            <v>88.79414552262304</v>
          </cell>
          <cell r="U56">
            <v>92.382438851820638</v>
          </cell>
          <cell r="V56">
            <v>53.989873236937996</v>
          </cell>
          <cell r="W56">
            <v>73.454020878989198</v>
          </cell>
          <cell r="X56">
            <v>196.18362386603206</v>
          </cell>
          <cell r="Y56">
            <v>57.727501898660606</v>
          </cell>
          <cell r="Z56">
            <v>30.008103600585436</v>
          </cell>
          <cell r="AA56">
            <v>13.601433278278844</v>
          </cell>
          <cell r="AB56">
            <v>80.316602507027511</v>
          </cell>
          <cell r="AC56">
            <v>20.509100964819119</v>
          </cell>
          <cell r="AD56">
            <v>53.67406251495602</v>
          </cell>
          <cell r="AE56">
            <v>17.307330601076224</v>
          </cell>
          <cell r="AF56">
            <v>110.26905092432338</v>
          </cell>
          <cell r="AG56">
            <v>7.5564755036236768</v>
          </cell>
        </row>
        <row r="57">
          <cell r="C57">
            <v>74.194437886653276</v>
          </cell>
          <cell r="D57">
            <v>131.1888791509466</v>
          </cell>
          <cell r="E57">
            <v>188.14440041983951</v>
          </cell>
          <cell r="F57">
            <v>185.84812069121807</v>
          </cell>
          <cell r="G57">
            <v>176.54624179053101</v>
          </cell>
          <cell r="H57">
            <v>187.05464054862932</v>
          </cell>
          <cell r="I57">
            <v>38.676050084280938</v>
          </cell>
          <cell r="J57">
            <v>14.911500892818566</v>
          </cell>
          <cell r="K57">
            <v>109.66612169454518</v>
          </cell>
          <cell r="L57">
            <v>213.94057337120094</v>
          </cell>
          <cell r="M57">
            <v>261.61756773664706</v>
          </cell>
          <cell r="N57">
            <v>334.97397506725338</v>
          </cell>
          <cell r="O57">
            <v>299.25320328879923</v>
          </cell>
          <cell r="P57">
            <v>100.55884277086</v>
          </cell>
          <cell r="Q57">
            <v>134.9641187047819</v>
          </cell>
          <cell r="R57">
            <v>242.35995401254681</v>
          </cell>
          <cell r="S57">
            <v>281.29551741107122</v>
          </cell>
          <cell r="T57">
            <v>281.98829332919763</v>
          </cell>
          <cell r="U57">
            <v>239.20743438511735</v>
          </cell>
          <cell r="V57">
            <v>296.26414764205123</v>
          </cell>
          <cell r="W57">
            <v>98.729602987042853</v>
          </cell>
          <cell r="X57">
            <v>208.34387803262854</v>
          </cell>
          <cell r="Y57">
            <v>312.68060170192484</v>
          </cell>
          <cell r="Z57">
            <v>245.19332967769338</v>
          </cell>
          <cell r="AA57">
            <v>45.915169228748674</v>
          </cell>
          <cell r="AB57">
            <v>238.59249845779158</v>
          </cell>
          <cell r="AC57">
            <v>313.96496155013688</v>
          </cell>
          <cell r="AD57">
            <v>92.033268086120202</v>
          </cell>
          <cell r="AE57">
            <v>188.96172032324716</v>
          </cell>
          <cell r="AF57">
            <v>254.4874245793003</v>
          </cell>
          <cell r="AG57">
            <v>368.44352449637671</v>
          </cell>
        </row>
        <row r="58">
          <cell r="C58">
            <v>150</v>
          </cell>
          <cell r="D58">
            <v>150</v>
          </cell>
          <cell r="E58">
            <v>200</v>
          </cell>
          <cell r="F58">
            <v>200</v>
          </cell>
          <cell r="G58">
            <v>200</v>
          </cell>
          <cell r="H58">
            <v>200</v>
          </cell>
          <cell r="I58">
            <v>0</v>
          </cell>
          <cell r="J58">
            <v>0</v>
          </cell>
          <cell r="K58">
            <v>100</v>
          </cell>
          <cell r="L58">
            <v>350</v>
          </cell>
          <cell r="M58">
            <v>350</v>
          </cell>
          <cell r="N58">
            <v>350</v>
          </cell>
          <cell r="O58">
            <v>350</v>
          </cell>
          <cell r="P58">
            <v>300</v>
          </cell>
          <cell r="Q58">
            <v>100</v>
          </cell>
          <cell r="R58">
            <v>250</v>
          </cell>
          <cell r="S58">
            <v>250</v>
          </cell>
          <cell r="T58">
            <v>300</v>
          </cell>
          <cell r="U58">
            <v>300</v>
          </cell>
          <cell r="V58">
            <v>300</v>
          </cell>
          <cell r="W58">
            <v>0</v>
          </cell>
          <cell r="X58">
            <v>350</v>
          </cell>
          <cell r="Y58">
            <v>350</v>
          </cell>
          <cell r="Z58">
            <v>280</v>
          </cell>
          <cell r="AA58">
            <v>0</v>
          </cell>
          <cell r="AB58">
            <v>300</v>
          </cell>
          <cell r="AC58">
            <v>300</v>
          </cell>
          <cell r="AD58">
            <v>150</v>
          </cell>
          <cell r="AE58">
            <v>100</v>
          </cell>
          <cell r="AF58">
            <v>370</v>
          </cell>
          <cell r="AG58">
            <v>400</v>
          </cell>
        </row>
        <row r="59">
          <cell r="C59">
            <v>34.194437886653276</v>
          </cell>
          <cell r="D59">
            <v>15.38331703759988</v>
          </cell>
          <cell r="E59">
            <v>8.3277174574394053</v>
          </cell>
          <cell r="F59">
            <v>4.575838148657482</v>
          </cell>
          <cell r="G59">
            <v>-0.47792006081149907</v>
          </cell>
          <cell r="H59">
            <v>8.1767204878178177</v>
          </cell>
          <cell r="I59">
            <v>69.252770572098754</v>
          </cell>
          <cell r="J59">
            <v>107.36427146491732</v>
          </cell>
          <cell r="K59">
            <v>151.03039315946251</v>
          </cell>
          <cell r="L59">
            <v>14.970966530663418</v>
          </cell>
          <cell r="M59">
            <v>96.588534267310479</v>
          </cell>
          <cell r="N59">
            <v>183.56250933456386</v>
          </cell>
          <cell r="O59">
            <v>153.61571262336309</v>
          </cell>
          <cell r="P59">
            <v>-23.425444605776875</v>
          </cell>
          <cell r="Q59">
            <v>34.73867409900501</v>
          </cell>
          <cell r="R59">
            <v>31.098628111551818</v>
          </cell>
          <cell r="S59">
            <v>70.394145522623035</v>
          </cell>
          <cell r="T59">
            <v>70.782438851820643</v>
          </cell>
          <cell r="U59">
            <v>31.58987323693799</v>
          </cell>
          <cell r="V59">
            <v>50.254020878989195</v>
          </cell>
          <cell r="W59">
            <v>172.18362386603206</v>
          </cell>
          <cell r="X59">
            <v>54.527501898660603</v>
          </cell>
          <cell r="Y59">
            <v>20.408103600585434</v>
          </cell>
          <cell r="Z59">
            <v>-4.7985667217211585</v>
          </cell>
          <cell r="AA59">
            <v>59.516602507027514</v>
          </cell>
          <cell r="AB59">
            <v>18.909100964819118</v>
          </cell>
          <cell r="AC59">
            <v>34.474062514956017</v>
          </cell>
          <cell r="AD59">
            <v>-4.2926693989237776</v>
          </cell>
          <cell r="AE59">
            <v>106.26905092432338</v>
          </cell>
          <cell r="AF59">
            <v>-5.2435244963763239</v>
          </cell>
          <cell r="AG59">
            <v>-23.999999999999602</v>
          </cell>
        </row>
        <row r="60">
          <cell r="C60">
            <v>0</v>
          </cell>
          <cell r="D60">
            <v>4.8</v>
          </cell>
          <cell r="E60">
            <v>10.4</v>
          </cell>
          <cell r="F60">
            <v>18.400000000000002</v>
          </cell>
          <cell r="G60">
            <v>21.6</v>
          </cell>
          <cell r="H60">
            <v>22.400000000000002</v>
          </cell>
          <cell r="I60">
            <v>23.2</v>
          </cell>
          <cell r="J60">
            <v>34</v>
          </cell>
          <cell r="K60">
            <v>0</v>
          </cell>
          <cell r="L60">
            <v>170</v>
          </cell>
          <cell r="M60">
            <v>102</v>
          </cell>
          <cell r="N60">
            <v>20.8</v>
          </cell>
          <cell r="O60">
            <v>22.400000000000002</v>
          </cell>
          <cell r="P60">
            <v>23.2</v>
          </cell>
          <cell r="Q60">
            <v>4</v>
          </cell>
          <cell r="R60">
            <v>8</v>
          </cell>
          <cell r="S60">
            <v>18.400000000000002</v>
          </cell>
          <cell r="T60">
            <v>21.6</v>
          </cell>
          <cell r="U60">
            <v>22.400000000000002</v>
          </cell>
          <cell r="V60">
            <v>23.2</v>
          </cell>
          <cell r="W60">
            <v>24</v>
          </cell>
          <cell r="X60">
            <v>3.2</v>
          </cell>
          <cell r="Y60">
            <v>9.6</v>
          </cell>
          <cell r="Z60">
            <v>18.400000000000002</v>
          </cell>
          <cell r="AA60">
            <v>20.8</v>
          </cell>
          <cell r="AB60">
            <v>1.6</v>
          </cell>
          <cell r="AC60">
            <v>19.2</v>
          </cell>
          <cell r="AD60">
            <v>21.6</v>
          </cell>
          <cell r="AE60">
            <v>4</v>
          </cell>
          <cell r="AF60">
            <v>12.8</v>
          </cell>
          <cell r="AG60">
            <v>67</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row>
        <row r="62">
          <cell r="C62">
            <v>0</v>
          </cell>
          <cell r="D62">
            <v>0.13714285714285715</v>
          </cell>
          <cell r="E62">
            <v>0.29714285714285715</v>
          </cell>
          <cell r="F62">
            <v>0.5257142857142858</v>
          </cell>
          <cell r="G62">
            <v>0.61714285714285722</v>
          </cell>
          <cell r="H62">
            <v>0.64</v>
          </cell>
          <cell r="I62">
            <v>0.66285714285714281</v>
          </cell>
          <cell r="J62">
            <v>0.97142857142857142</v>
          </cell>
          <cell r="K62">
            <v>0</v>
          </cell>
          <cell r="L62">
            <v>4.8571428571428568</v>
          </cell>
          <cell r="M62">
            <v>2.9142857142857141</v>
          </cell>
          <cell r="N62">
            <v>0.59428571428571431</v>
          </cell>
          <cell r="O62">
            <v>0.64</v>
          </cell>
          <cell r="P62">
            <v>0.66285714285714281</v>
          </cell>
          <cell r="Q62">
            <v>0.11428571428571428</v>
          </cell>
          <cell r="R62">
            <v>0.22857142857142856</v>
          </cell>
          <cell r="S62">
            <v>0.5257142857142858</v>
          </cell>
          <cell r="T62">
            <v>0.61714285714285722</v>
          </cell>
          <cell r="U62">
            <v>0.64</v>
          </cell>
          <cell r="V62">
            <v>0.66285714285714281</v>
          </cell>
          <cell r="W62">
            <v>0.68571428571428572</v>
          </cell>
          <cell r="X62">
            <v>9.1428571428571428E-2</v>
          </cell>
          <cell r="Y62">
            <v>0.2742857142857143</v>
          </cell>
          <cell r="Z62">
            <v>0.5257142857142858</v>
          </cell>
          <cell r="AA62">
            <v>0.59428571428571431</v>
          </cell>
          <cell r="AB62">
            <v>4.5714285714285714E-2</v>
          </cell>
          <cell r="AC62">
            <v>0.5485714285714286</v>
          </cell>
          <cell r="AD62">
            <v>0.61714285714285722</v>
          </cell>
          <cell r="AE62">
            <v>0.11428571428571428</v>
          </cell>
          <cell r="AF62">
            <v>0.36571428571428571</v>
          </cell>
          <cell r="AG62">
            <v>1.9142857142857144</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row>
        <row r="64">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row>
        <row r="65">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row>
        <row r="66">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row>
        <row r="67">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row>
        <row r="68">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row>
        <row r="70">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row>
        <row r="71">
          <cell r="C71">
            <v>34.194437886653276</v>
          </cell>
          <cell r="D71">
            <v>20.183317037599881</v>
          </cell>
          <cell r="E71">
            <v>18.727717457439404</v>
          </cell>
          <cell r="F71">
            <v>22.975838148657484</v>
          </cell>
          <cell r="G71">
            <v>21.122079939188502</v>
          </cell>
          <cell r="H71">
            <v>30.57672048781782</v>
          </cell>
          <cell r="I71">
            <v>92.452770572098757</v>
          </cell>
          <cell r="J71">
            <v>141.36427146491732</v>
          </cell>
          <cell r="K71">
            <v>151.03039315946251</v>
          </cell>
          <cell r="L71">
            <v>184.97096653066342</v>
          </cell>
          <cell r="M71">
            <v>198.58853426731048</v>
          </cell>
          <cell r="N71">
            <v>204.36250933456387</v>
          </cell>
          <cell r="O71">
            <v>176.0157126233631</v>
          </cell>
          <cell r="P71">
            <v>-0.22544460577687531</v>
          </cell>
          <cell r="Q71">
            <v>38.73867409900501</v>
          </cell>
          <cell r="R71">
            <v>39.098628111551818</v>
          </cell>
          <cell r="S71">
            <v>88.79414552262304</v>
          </cell>
          <cell r="T71">
            <v>92.382438851820638</v>
          </cell>
          <cell r="U71">
            <v>53.989873236937996</v>
          </cell>
          <cell r="V71">
            <v>73.454020878989198</v>
          </cell>
          <cell r="W71">
            <v>196.18362386603206</v>
          </cell>
          <cell r="X71">
            <v>57.727501898660606</v>
          </cell>
          <cell r="Y71">
            <v>30.008103600585436</v>
          </cell>
          <cell r="Z71">
            <v>13.601433278278844</v>
          </cell>
          <cell r="AA71">
            <v>80.316602507027511</v>
          </cell>
          <cell r="AB71">
            <v>20.509100964819119</v>
          </cell>
          <cell r="AC71">
            <v>53.67406251495602</v>
          </cell>
          <cell r="AD71">
            <v>17.307330601076224</v>
          </cell>
          <cell r="AE71">
            <v>110.26905092432338</v>
          </cell>
          <cell r="AF71">
            <v>7.5564755036236768</v>
          </cell>
          <cell r="AG71">
            <v>43.000000000000398</v>
          </cell>
        </row>
        <row r="72">
          <cell r="C72">
            <v>0.188</v>
          </cell>
          <cell r="D72">
            <v>0.188</v>
          </cell>
          <cell r="E72">
            <v>0.188</v>
          </cell>
          <cell r="F72">
            <v>0.188</v>
          </cell>
          <cell r="G72">
            <v>0.188</v>
          </cell>
          <cell r="H72">
            <v>0.188</v>
          </cell>
          <cell r="I72">
            <v>0.188</v>
          </cell>
          <cell r="J72">
            <v>0.188</v>
          </cell>
          <cell r="K72">
            <v>0.188</v>
          </cell>
          <cell r="L72">
            <v>0.188</v>
          </cell>
          <cell r="M72">
            <v>0.188</v>
          </cell>
          <cell r="N72">
            <v>0.188</v>
          </cell>
          <cell r="O72">
            <v>0.188</v>
          </cell>
          <cell r="P72">
            <v>0.188</v>
          </cell>
          <cell r="Q72">
            <v>0.188</v>
          </cell>
          <cell r="R72">
            <v>0.188</v>
          </cell>
          <cell r="S72">
            <v>0.188</v>
          </cell>
          <cell r="T72">
            <v>0.188</v>
          </cell>
          <cell r="U72">
            <v>0.188</v>
          </cell>
          <cell r="V72">
            <v>0.188</v>
          </cell>
          <cell r="W72">
            <v>0.188</v>
          </cell>
          <cell r="X72">
            <v>0.188</v>
          </cell>
          <cell r="Y72">
            <v>0.188</v>
          </cell>
          <cell r="Z72">
            <v>0.188</v>
          </cell>
          <cell r="AA72">
            <v>0.188</v>
          </cell>
          <cell r="AB72">
            <v>0.188</v>
          </cell>
          <cell r="AC72">
            <v>0.188</v>
          </cell>
          <cell r="AD72">
            <v>0.188</v>
          </cell>
          <cell r="AE72">
            <v>0.188</v>
          </cell>
          <cell r="AF72">
            <v>0.188</v>
          </cell>
          <cell r="AG72">
            <v>0.188</v>
          </cell>
        </row>
        <row r="73">
          <cell r="C73">
            <v>28.2</v>
          </cell>
          <cell r="D73">
            <v>28.2</v>
          </cell>
          <cell r="E73">
            <v>37.6</v>
          </cell>
          <cell r="F73">
            <v>37.6</v>
          </cell>
          <cell r="G73">
            <v>37.6</v>
          </cell>
          <cell r="H73">
            <v>37.6</v>
          </cell>
          <cell r="I73">
            <v>0</v>
          </cell>
          <cell r="J73">
            <v>0</v>
          </cell>
          <cell r="K73">
            <v>18.8</v>
          </cell>
          <cell r="L73">
            <v>65.8</v>
          </cell>
          <cell r="M73">
            <v>65.8</v>
          </cell>
          <cell r="N73">
            <v>65.8</v>
          </cell>
          <cell r="O73">
            <v>65.8</v>
          </cell>
          <cell r="P73">
            <v>56.4</v>
          </cell>
          <cell r="Q73">
            <v>18.8</v>
          </cell>
          <cell r="R73">
            <v>47</v>
          </cell>
          <cell r="S73">
            <v>47</v>
          </cell>
          <cell r="T73">
            <v>56.4</v>
          </cell>
          <cell r="U73">
            <v>56.4</v>
          </cell>
          <cell r="V73">
            <v>56.4</v>
          </cell>
          <cell r="W73">
            <v>0</v>
          </cell>
          <cell r="X73">
            <v>65.8</v>
          </cell>
          <cell r="Y73">
            <v>65.8</v>
          </cell>
          <cell r="Z73">
            <v>52.64</v>
          </cell>
          <cell r="AA73">
            <v>0</v>
          </cell>
          <cell r="AB73">
            <v>56.4</v>
          </cell>
          <cell r="AC73">
            <v>56.4</v>
          </cell>
          <cell r="AD73">
            <v>28.2</v>
          </cell>
          <cell r="AE73">
            <v>18.8</v>
          </cell>
          <cell r="AF73">
            <v>69.56</v>
          </cell>
          <cell r="AG73">
            <v>75.2</v>
          </cell>
        </row>
        <row r="74">
          <cell r="C74">
            <v>0.188</v>
          </cell>
          <cell r="D74">
            <v>0.188</v>
          </cell>
          <cell r="E74">
            <v>0.188</v>
          </cell>
          <cell r="F74">
            <v>0.188</v>
          </cell>
          <cell r="G74">
            <v>0.188</v>
          </cell>
          <cell r="H74">
            <v>0.188</v>
          </cell>
          <cell r="I74">
            <v>0</v>
          </cell>
          <cell r="J74">
            <v>0</v>
          </cell>
          <cell r="K74">
            <v>0.188</v>
          </cell>
          <cell r="L74">
            <v>0.188</v>
          </cell>
          <cell r="M74">
            <v>0.188</v>
          </cell>
          <cell r="N74">
            <v>0.188</v>
          </cell>
          <cell r="O74">
            <v>0.188</v>
          </cell>
          <cell r="P74">
            <v>0.188</v>
          </cell>
          <cell r="Q74">
            <v>0.188</v>
          </cell>
          <cell r="R74">
            <v>0.188</v>
          </cell>
          <cell r="S74">
            <v>0.188</v>
          </cell>
          <cell r="T74">
            <v>0.188</v>
          </cell>
          <cell r="U74">
            <v>0.188</v>
          </cell>
          <cell r="V74">
            <v>0.188</v>
          </cell>
          <cell r="W74">
            <v>0</v>
          </cell>
          <cell r="X74">
            <v>0.188</v>
          </cell>
          <cell r="Y74">
            <v>0.188</v>
          </cell>
          <cell r="Z74">
            <v>0.188</v>
          </cell>
          <cell r="AA74">
            <v>0</v>
          </cell>
          <cell r="AB74">
            <v>0.188</v>
          </cell>
          <cell r="AC74">
            <v>0.188</v>
          </cell>
          <cell r="AD74">
            <v>0.188</v>
          </cell>
          <cell r="AE74">
            <v>0.188</v>
          </cell>
          <cell r="AF74">
            <v>0.188</v>
          </cell>
          <cell r="AG74">
            <v>0.188</v>
          </cell>
        </row>
        <row r="75">
          <cell r="C75">
            <v>500</v>
          </cell>
          <cell r="D75">
            <v>500</v>
          </cell>
          <cell r="E75">
            <v>550</v>
          </cell>
          <cell r="F75">
            <v>550</v>
          </cell>
          <cell r="G75">
            <v>450</v>
          </cell>
          <cell r="H75">
            <v>250</v>
          </cell>
          <cell r="I75">
            <v>500</v>
          </cell>
          <cell r="J75">
            <v>500</v>
          </cell>
          <cell r="K75">
            <v>550</v>
          </cell>
          <cell r="L75">
            <v>550</v>
          </cell>
          <cell r="M75">
            <v>550</v>
          </cell>
          <cell r="N75">
            <v>450</v>
          </cell>
          <cell r="O75">
            <v>250</v>
          </cell>
          <cell r="P75">
            <v>500</v>
          </cell>
          <cell r="Q75">
            <v>500</v>
          </cell>
          <cell r="R75">
            <v>550</v>
          </cell>
          <cell r="S75">
            <v>550</v>
          </cell>
          <cell r="T75">
            <v>550</v>
          </cell>
          <cell r="U75">
            <v>450</v>
          </cell>
          <cell r="V75">
            <v>250</v>
          </cell>
          <cell r="W75">
            <v>500</v>
          </cell>
          <cell r="X75">
            <v>500</v>
          </cell>
          <cell r="Y75">
            <v>550</v>
          </cell>
          <cell r="Z75">
            <v>550</v>
          </cell>
          <cell r="AA75">
            <v>550</v>
          </cell>
          <cell r="AB75">
            <v>450</v>
          </cell>
          <cell r="AC75">
            <v>550</v>
          </cell>
          <cell r="AD75">
            <v>450</v>
          </cell>
          <cell r="AE75">
            <v>451</v>
          </cell>
          <cell r="AF75">
            <v>452</v>
          </cell>
          <cell r="AG75">
            <v>453</v>
          </cell>
        </row>
        <row r="76">
          <cell r="C76">
            <v>0.3</v>
          </cell>
          <cell r="D76">
            <v>0.3</v>
          </cell>
          <cell r="E76">
            <v>0.36363636363636365</v>
          </cell>
          <cell r="F76">
            <v>0.36363636363636365</v>
          </cell>
          <cell r="G76">
            <v>0.44444444444444442</v>
          </cell>
          <cell r="H76">
            <v>0.8</v>
          </cell>
          <cell r="I76">
            <v>0</v>
          </cell>
          <cell r="J76">
            <v>0</v>
          </cell>
          <cell r="K76">
            <v>0.18181818181818182</v>
          </cell>
          <cell r="L76">
            <v>0.63636363636363635</v>
          </cell>
          <cell r="M76">
            <v>0.63636363636363635</v>
          </cell>
          <cell r="N76">
            <v>0.77777777777777779</v>
          </cell>
          <cell r="O76">
            <v>1.4</v>
          </cell>
          <cell r="P76">
            <v>0.6</v>
          </cell>
          <cell r="Q76">
            <v>0.2</v>
          </cell>
          <cell r="R76">
            <v>0.45454545454545453</v>
          </cell>
          <cell r="S76">
            <v>0.45454545454545453</v>
          </cell>
          <cell r="T76">
            <v>0.54545454545454541</v>
          </cell>
          <cell r="U76">
            <v>0.66666666666666663</v>
          </cell>
          <cell r="V76">
            <v>1.2</v>
          </cell>
          <cell r="W76">
            <v>0</v>
          </cell>
          <cell r="X76">
            <v>0.7</v>
          </cell>
          <cell r="Y76">
            <v>0.63636363636363635</v>
          </cell>
          <cell r="Z76">
            <v>0.50909090909090904</v>
          </cell>
          <cell r="AA76">
            <v>0</v>
          </cell>
          <cell r="AB76">
            <v>0.66666666666666663</v>
          </cell>
          <cell r="AC76">
            <v>0.54545454545454541</v>
          </cell>
          <cell r="AD76">
            <v>0.33333333333333331</v>
          </cell>
          <cell r="AE76">
            <v>0.22172949002217296</v>
          </cell>
          <cell r="AF76">
            <v>0.81858407079646023</v>
          </cell>
          <cell r="AG76">
            <v>0.88300220750551872</v>
          </cell>
        </row>
        <row r="77">
          <cell r="C77"/>
          <cell r="D77"/>
          <cell r="E77"/>
          <cell r="F77"/>
          <cell r="G77"/>
          <cell r="H77"/>
          <cell r="I77"/>
          <cell r="J77"/>
          <cell r="K77"/>
          <cell r="L77"/>
          <cell r="M77"/>
          <cell r="N77"/>
          <cell r="O77"/>
          <cell r="P77"/>
          <cell r="Q77"/>
          <cell r="R77"/>
          <cell r="S77"/>
          <cell r="T77"/>
          <cell r="U77"/>
          <cell r="V77"/>
          <cell r="W77"/>
          <cell r="X77"/>
          <cell r="Y77"/>
          <cell r="Z77"/>
          <cell r="AA77"/>
          <cell r="AB77"/>
          <cell r="AC77"/>
          <cell r="AD77"/>
          <cell r="AE77"/>
          <cell r="AF77"/>
          <cell r="AG77"/>
        </row>
        <row r="78">
          <cell r="C78"/>
          <cell r="D78"/>
          <cell r="E78"/>
          <cell r="F78"/>
          <cell r="G78"/>
          <cell r="H78"/>
          <cell r="I78"/>
          <cell r="J78"/>
          <cell r="K78"/>
          <cell r="L78"/>
          <cell r="M78"/>
          <cell r="N78"/>
          <cell r="O78"/>
          <cell r="P78"/>
          <cell r="Q78"/>
          <cell r="R78"/>
          <cell r="S78"/>
          <cell r="T78"/>
          <cell r="U78"/>
          <cell r="V78"/>
          <cell r="W78"/>
          <cell r="X78"/>
          <cell r="Y78"/>
          <cell r="Z78"/>
          <cell r="AA78"/>
          <cell r="AB78"/>
          <cell r="AC78"/>
          <cell r="AD78"/>
          <cell r="AE78"/>
          <cell r="AF78"/>
          <cell r="AG78"/>
        </row>
        <row r="79">
          <cell r="C79"/>
          <cell r="D79"/>
          <cell r="E79"/>
          <cell r="F79"/>
          <cell r="G79"/>
          <cell r="H79"/>
          <cell r="I79"/>
          <cell r="J79"/>
          <cell r="K79"/>
          <cell r="L79"/>
          <cell r="M79"/>
          <cell r="N79"/>
          <cell r="O79"/>
          <cell r="P79"/>
          <cell r="Q79"/>
          <cell r="R79"/>
          <cell r="S79"/>
          <cell r="T79"/>
          <cell r="U79"/>
          <cell r="V79"/>
          <cell r="W79"/>
          <cell r="X79"/>
          <cell r="Y79"/>
          <cell r="Z79"/>
          <cell r="AA79"/>
          <cell r="AB79"/>
          <cell r="AC79"/>
          <cell r="AD79"/>
          <cell r="AE79"/>
          <cell r="AF79"/>
          <cell r="AG79"/>
        </row>
        <row r="80">
          <cell r="C80"/>
          <cell r="D80"/>
          <cell r="E80"/>
          <cell r="F80"/>
          <cell r="G80"/>
          <cell r="H80"/>
          <cell r="I80"/>
          <cell r="J80"/>
          <cell r="K80"/>
          <cell r="L80"/>
          <cell r="M80"/>
          <cell r="N80"/>
          <cell r="O80"/>
          <cell r="P80"/>
          <cell r="Q80"/>
          <cell r="R80"/>
          <cell r="S80"/>
          <cell r="T80"/>
          <cell r="U80"/>
          <cell r="V80"/>
          <cell r="W80"/>
          <cell r="X80"/>
          <cell r="Y80"/>
          <cell r="Z80"/>
          <cell r="AA80"/>
          <cell r="AB80"/>
          <cell r="AC80"/>
          <cell r="AD80"/>
          <cell r="AE80"/>
          <cell r="AF80"/>
          <cell r="AG80"/>
        </row>
        <row r="81">
          <cell r="C81"/>
          <cell r="D81"/>
          <cell r="E81"/>
          <cell r="F81"/>
          <cell r="G81"/>
          <cell r="H81"/>
          <cell r="I81"/>
          <cell r="J81"/>
          <cell r="K81"/>
          <cell r="L81"/>
          <cell r="M81"/>
          <cell r="N81"/>
          <cell r="O81"/>
          <cell r="P81"/>
          <cell r="Q81"/>
          <cell r="R81"/>
          <cell r="S81"/>
          <cell r="T81"/>
          <cell r="U81"/>
          <cell r="V81"/>
          <cell r="W81"/>
          <cell r="X81"/>
          <cell r="Y81"/>
          <cell r="Z81"/>
          <cell r="AA81"/>
          <cell r="AB81"/>
          <cell r="AC81"/>
          <cell r="AD81"/>
          <cell r="AE81"/>
          <cell r="AF81"/>
          <cell r="AG81"/>
        </row>
        <row r="82">
          <cell r="C82"/>
          <cell r="D82"/>
          <cell r="E82"/>
          <cell r="F82"/>
          <cell r="G82"/>
          <cell r="H82"/>
          <cell r="I82"/>
          <cell r="J82"/>
          <cell r="K82"/>
          <cell r="L82"/>
          <cell r="M82"/>
          <cell r="N82"/>
          <cell r="O82"/>
          <cell r="P82"/>
          <cell r="Q82"/>
          <cell r="R82"/>
          <cell r="S82"/>
          <cell r="T82"/>
          <cell r="U82"/>
          <cell r="V82"/>
          <cell r="W82"/>
          <cell r="X82"/>
          <cell r="Y82"/>
          <cell r="Z82"/>
          <cell r="AA82"/>
          <cell r="AB82"/>
          <cell r="AC82"/>
          <cell r="AD82"/>
          <cell r="AE82"/>
          <cell r="AF82"/>
          <cell r="AG82"/>
        </row>
        <row r="83">
          <cell r="C83"/>
          <cell r="D83"/>
          <cell r="E83"/>
          <cell r="F83"/>
          <cell r="G83"/>
          <cell r="H83"/>
          <cell r="I83"/>
          <cell r="J83"/>
          <cell r="K83"/>
          <cell r="L83"/>
          <cell r="M83"/>
          <cell r="N83"/>
          <cell r="O83"/>
          <cell r="P83"/>
          <cell r="Q83"/>
          <cell r="R83"/>
          <cell r="S83"/>
          <cell r="T83"/>
          <cell r="U83"/>
          <cell r="V83"/>
          <cell r="W83"/>
          <cell r="X83"/>
          <cell r="Y83"/>
          <cell r="Z83"/>
          <cell r="AA83"/>
          <cell r="AB83"/>
          <cell r="AC83"/>
          <cell r="AD83"/>
          <cell r="AE83"/>
          <cell r="AF83"/>
          <cell r="AG83"/>
        </row>
        <row r="84">
          <cell r="C84"/>
          <cell r="D84"/>
          <cell r="E84"/>
          <cell r="F84"/>
          <cell r="G84"/>
          <cell r="H84"/>
          <cell r="I84"/>
          <cell r="J84"/>
          <cell r="K84"/>
          <cell r="L84"/>
          <cell r="M84"/>
          <cell r="N84"/>
          <cell r="O84"/>
          <cell r="P84"/>
          <cell r="Q84"/>
          <cell r="R84"/>
          <cell r="S84"/>
          <cell r="T84"/>
          <cell r="U84"/>
          <cell r="V84"/>
          <cell r="W84"/>
          <cell r="X84"/>
          <cell r="Y84"/>
          <cell r="Z84"/>
          <cell r="AA84"/>
          <cell r="AB84"/>
          <cell r="AC84"/>
          <cell r="AD84"/>
          <cell r="AE84"/>
          <cell r="AF84"/>
          <cell r="AG84"/>
        </row>
        <row r="85">
          <cell r="C85"/>
          <cell r="D85"/>
          <cell r="E85"/>
          <cell r="F85"/>
          <cell r="G85"/>
          <cell r="H85"/>
          <cell r="I85"/>
          <cell r="J85"/>
          <cell r="K85"/>
          <cell r="L85"/>
          <cell r="M85"/>
          <cell r="N85"/>
          <cell r="O85"/>
          <cell r="P85"/>
          <cell r="Q85"/>
          <cell r="R85"/>
          <cell r="S85"/>
          <cell r="T85"/>
          <cell r="U85"/>
          <cell r="V85"/>
          <cell r="W85"/>
          <cell r="X85"/>
          <cell r="Y85"/>
          <cell r="Z85"/>
          <cell r="AA85"/>
          <cell r="AB85"/>
          <cell r="AC85"/>
          <cell r="AD85"/>
          <cell r="AE85"/>
          <cell r="AF85"/>
          <cell r="AG85"/>
        </row>
        <row r="86">
          <cell r="C86"/>
          <cell r="D86"/>
          <cell r="E86"/>
          <cell r="F86"/>
          <cell r="G86"/>
          <cell r="H86"/>
          <cell r="I86"/>
          <cell r="J86"/>
          <cell r="K86"/>
          <cell r="L86"/>
          <cell r="M86"/>
          <cell r="N86"/>
          <cell r="O86"/>
          <cell r="P86"/>
          <cell r="Q86"/>
          <cell r="R86"/>
          <cell r="S86"/>
          <cell r="T86"/>
          <cell r="U86"/>
          <cell r="V86"/>
          <cell r="W86"/>
          <cell r="X86"/>
          <cell r="Y86"/>
          <cell r="Z86"/>
          <cell r="AA86"/>
          <cell r="AB86"/>
          <cell r="AC86"/>
          <cell r="AD86"/>
          <cell r="AE86"/>
          <cell r="AF86"/>
          <cell r="AG86"/>
        </row>
        <row r="87">
          <cell r="C87"/>
          <cell r="D87"/>
          <cell r="E87"/>
          <cell r="F87"/>
          <cell r="G87"/>
          <cell r="H87"/>
          <cell r="I87"/>
          <cell r="J87"/>
          <cell r="K87"/>
          <cell r="L87"/>
          <cell r="M87"/>
          <cell r="N87"/>
          <cell r="O87"/>
          <cell r="P87"/>
          <cell r="Q87"/>
          <cell r="R87"/>
          <cell r="S87"/>
          <cell r="T87"/>
          <cell r="U87"/>
          <cell r="V87"/>
          <cell r="W87"/>
          <cell r="X87"/>
          <cell r="Y87"/>
          <cell r="Z87"/>
          <cell r="AA87"/>
          <cell r="AB87"/>
          <cell r="AC87"/>
          <cell r="AD87"/>
          <cell r="AE87"/>
          <cell r="AF87"/>
          <cell r="AG87"/>
        </row>
        <row r="88">
          <cell r="C88"/>
          <cell r="D88"/>
          <cell r="E88"/>
          <cell r="F88"/>
          <cell r="G88"/>
          <cell r="H88"/>
          <cell r="I88"/>
          <cell r="J88"/>
          <cell r="K88"/>
          <cell r="L88"/>
          <cell r="M88"/>
          <cell r="N88"/>
          <cell r="O88"/>
          <cell r="P88"/>
          <cell r="Q88"/>
          <cell r="R88"/>
          <cell r="S88"/>
          <cell r="T88"/>
          <cell r="U88"/>
          <cell r="V88"/>
          <cell r="W88"/>
          <cell r="X88"/>
          <cell r="Y88"/>
          <cell r="Z88"/>
          <cell r="AA88"/>
          <cell r="AB88"/>
          <cell r="AC88"/>
          <cell r="AD88"/>
          <cell r="AE88"/>
          <cell r="AF88"/>
          <cell r="AG88"/>
        </row>
        <row r="89">
          <cell r="C89"/>
          <cell r="D89"/>
          <cell r="E89"/>
          <cell r="F89"/>
          <cell r="G89"/>
          <cell r="H89"/>
          <cell r="I89"/>
          <cell r="J89"/>
          <cell r="K89"/>
          <cell r="L89"/>
          <cell r="M89"/>
          <cell r="N89"/>
          <cell r="O89"/>
          <cell r="P89"/>
          <cell r="Q89"/>
          <cell r="R89"/>
          <cell r="S89"/>
          <cell r="T89"/>
          <cell r="U89"/>
          <cell r="V89"/>
          <cell r="W89"/>
          <cell r="X89"/>
          <cell r="Y89"/>
          <cell r="Z89"/>
          <cell r="AA89"/>
          <cell r="AB89"/>
          <cell r="AC89"/>
          <cell r="AD89"/>
          <cell r="AE89"/>
          <cell r="AF89"/>
          <cell r="AG89"/>
        </row>
        <row r="90">
          <cell r="C90">
            <v>45992</v>
          </cell>
          <cell r="D90">
            <v>45993</v>
          </cell>
          <cell r="E90">
            <v>45994</v>
          </cell>
          <cell r="F90">
            <v>45995</v>
          </cell>
          <cell r="G90">
            <v>45996</v>
          </cell>
          <cell r="H90">
            <v>45997</v>
          </cell>
          <cell r="I90">
            <v>45998</v>
          </cell>
          <cell r="J90">
            <v>45999</v>
          </cell>
          <cell r="K90">
            <v>46000</v>
          </cell>
          <cell r="L90">
            <v>46001</v>
          </cell>
          <cell r="M90">
            <v>46002</v>
          </cell>
          <cell r="N90">
            <v>46003</v>
          </cell>
          <cell r="O90">
            <v>46004</v>
          </cell>
          <cell r="P90">
            <v>46005</v>
          </cell>
          <cell r="Q90">
            <v>46006</v>
          </cell>
          <cell r="R90">
            <v>46007</v>
          </cell>
          <cell r="S90">
            <v>46008</v>
          </cell>
          <cell r="T90">
            <v>46009</v>
          </cell>
          <cell r="U90">
            <v>46010</v>
          </cell>
          <cell r="V90">
            <v>46011</v>
          </cell>
          <cell r="W90">
            <v>46012</v>
          </cell>
          <cell r="X90">
            <v>46013</v>
          </cell>
          <cell r="Y90">
            <v>46014</v>
          </cell>
          <cell r="Z90">
            <v>46015</v>
          </cell>
          <cell r="AA90">
            <v>46016</v>
          </cell>
          <cell r="AB90">
            <v>46017</v>
          </cell>
          <cell r="AC90">
            <v>46018</v>
          </cell>
          <cell r="AD90">
            <v>46019</v>
          </cell>
          <cell r="AE90">
            <v>46020</v>
          </cell>
          <cell r="AF90">
            <v>46021</v>
          </cell>
          <cell r="AG90">
            <v>46022</v>
          </cell>
        </row>
        <row r="91">
          <cell r="C91">
            <v>550.05999999999995</v>
          </cell>
          <cell r="D91">
            <v>340.15900990098999</v>
          </cell>
          <cell r="E91">
            <v>230.75306930693068</v>
          </cell>
          <cell r="F91">
            <v>295.6045544554454</v>
          </cell>
          <cell r="G91">
            <v>382.23821782178197</v>
          </cell>
          <cell r="H91">
            <v>414.416435643564</v>
          </cell>
          <cell r="I91">
            <v>403.03029702970252</v>
          </cell>
          <cell r="J91">
            <v>88.178811881187698</v>
          </cell>
          <cell r="K91">
            <v>229.76297029702928</v>
          </cell>
          <cell r="L91">
            <v>153.03029702970252</v>
          </cell>
          <cell r="M91">
            <v>337.68376237623715</v>
          </cell>
          <cell r="N91">
            <v>685.70356435643521</v>
          </cell>
          <cell r="O91">
            <v>979.26792079207871</v>
          </cell>
          <cell r="P91">
            <v>1120.3570297029698</v>
          </cell>
          <cell r="Q91">
            <v>422.83227722772244</v>
          </cell>
          <cell r="R91">
            <v>62.931287128712484</v>
          </cell>
          <cell r="S91">
            <v>18.871881188118437</v>
          </cell>
          <cell r="T91">
            <v>279.76297029702937</v>
          </cell>
          <cell r="U91">
            <v>518.87188118811855</v>
          </cell>
          <cell r="V91">
            <v>725.30752475247505</v>
          </cell>
          <cell r="W91">
            <v>877.28772277227699</v>
          </cell>
          <cell r="X91">
            <v>212.43623762376205</v>
          </cell>
          <cell r="Y91">
            <v>324.31742574257396</v>
          </cell>
          <cell r="Z91">
            <v>454.51544554455404</v>
          </cell>
          <cell r="AA91">
            <v>203.52534653465318</v>
          </cell>
          <cell r="AB91">
            <v>366.89168316831655</v>
          </cell>
          <cell r="AC91">
            <v>170.35702970297007</v>
          </cell>
          <cell r="AD91">
            <v>355.0104950495047</v>
          </cell>
          <cell r="AE91">
            <v>18.37683168316812</v>
          </cell>
          <cell r="AF91">
            <v>162.93128712871271</v>
          </cell>
          <cell r="AG91">
            <v>314.91148514851466</v>
          </cell>
        </row>
        <row r="92">
          <cell r="C92">
            <v>490.0990099009901</v>
          </cell>
          <cell r="D92">
            <v>740.59405940594058</v>
          </cell>
          <cell r="E92">
            <v>914.85148514851483</v>
          </cell>
          <cell r="F92">
            <v>936.63366336633658</v>
          </cell>
          <cell r="G92">
            <v>882.17821782178214</v>
          </cell>
          <cell r="H92">
            <v>838.61386138613864</v>
          </cell>
          <cell r="I92">
            <v>185.14851485148515</v>
          </cell>
          <cell r="J92">
            <v>141.58415841584159</v>
          </cell>
          <cell r="K92">
            <v>773.26732673267327</v>
          </cell>
          <cell r="L92">
            <v>1034.6534653465346</v>
          </cell>
          <cell r="M92">
            <v>1198.0198019801981</v>
          </cell>
          <cell r="N92">
            <v>1143.5643564356435</v>
          </cell>
          <cell r="O92">
            <v>991.08910891089113</v>
          </cell>
          <cell r="P92">
            <v>152.47524752475249</v>
          </cell>
          <cell r="Q92">
            <v>490.0990099009901</v>
          </cell>
          <cell r="R92">
            <v>805.94059405940595</v>
          </cell>
          <cell r="S92">
            <v>1110.8910891089108</v>
          </cell>
          <cell r="T92">
            <v>1089.1089108910892</v>
          </cell>
          <cell r="U92">
            <v>1056.4356435643565</v>
          </cell>
          <cell r="V92">
            <v>1001.9801980198019</v>
          </cell>
          <cell r="W92">
            <v>185.14851485148515</v>
          </cell>
          <cell r="X92">
            <v>511.88118811881191</v>
          </cell>
          <cell r="Y92">
            <v>980.19801980198019</v>
          </cell>
          <cell r="Z92">
            <v>599.00990099009903</v>
          </cell>
          <cell r="AA92">
            <v>163.36633663366337</v>
          </cell>
          <cell r="AB92">
            <v>653.46534653465346</v>
          </cell>
          <cell r="AC92">
            <v>1034.6534653465346</v>
          </cell>
          <cell r="AD92">
            <v>163.36633663366337</v>
          </cell>
          <cell r="AE92">
            <v>544.55445544554459</v>
          </cell>
          <cell r="AF92">
            <v>1001.9801980198019</v>
          </cell>
          <cell r="AG92">
            <v>185.14851485148515</v>
          </cell>
        </row>
        <row r="93">
          <cell r="C93">
            <v>700</v>
          </cell>
          <cell r="D93">
            <v>850</v>
          </cell>
          <cell r="E93">
            <v>850</v>
          </cell>
          <cell r="F93">
            <v>850</v>
          </cell>
          <cell r="G93">
            <v>850</v>
          </cell>
          <cell r="H93">
            <v>850</v>
          </cell>
          <cell r="I93">
            <v>500</v>
          </cell>
          <cell r="J93">
            <v>0</v>
          </cell>
          <cell r="K93">
            <v>850</v>
          </cell>
          <cell r="L93">
            <v>850</v>
          </cell>
          <cell r="M93">
            <v>850</v>
          </cell>
          <cell r="N93">
            <v>850</v>
          </cell>
          <cell r="O93">
            <v>850</v>
          </cell>
          <cell r="P93">
            <v>850</v>
          </cell>
          <cell r="Q93">
            <v>850</v>
          </cell>
          <cell r="R93">
            <v>850</v>
          </cell>
          <cell r="S93">
            <v>850</v>
          </cell>
          <cell r="T93">
            <v>850</v>
          </cell>
          <cell r="U93">
            <v>850</v>
          </cell>
          <cell r="V93">
            <v>850</v>
          </cell>
          <cell r="W93">
            <v>850</v>
          </cell>
          <cell r="X93">
            <v>400</v>
          </cell>
          <cell r="Y93">
            <v>850</v>
          </cell>
          <cell r="Z93">
            <v>850</v>
          </cell>
          <cell r="AA93">
            <v>0</v>
          </cell>
          <cell r="AB93">
            <v>850</v>
          </cell>
          <cell r="AC93">
            <v>850</v>
          </cell>
          <cell r="AD93">
            <v>500</v>
          </cell>
          <cell r="AE93">
            <v>400</v>
          </cell>
          <cell r="AF93">
            <v>850</v>
          </cell>
          <cell r="AG93">
            <v>0</v>
          </cell>
        </row>
        <row r="94">
          <cell r="C94">
            <v>340.15900990098999</v>
          </cell>
          <cell r="D94">
            <v>230.75306930693068</v>
          </cell>
          <cell r="E94">
            <v>295.6045544554454</v>
          </cell>
          <cell r="F94">
            <v>382.23821782178197</v>
          </cell>
          <cell r="G94">
            <v>414.416435643564</v>
          </cell>
          <cell r="H94">
            <v>403.03029702970252</v>
          </cell>
          <cell r="I94">
            <v>88.178811881187698</v>
          </cell>
          <cell r="J94">
            <v>229.76297029702928</v>
          </cell>
          <cell r="K94">
            <v>153.03029702970252</v>
          </cell>
          <cell r="L94">
            <v>337.68376237623715</v>
          </cell>
          <cell r="M94">
            <v>685.70356435643521</v>
          </cell>
          <cell r="N94">
            <v>979.26792079207871</v>
          </cell>
          <cell r="O94">
            <v>1120.3570297029698</v>
          </cell>
          <cell r="P94">
            <v>422.83227722772244</v>
          </cell>
          <cell r="Q94">
            <v>62.931287128712484</v>
          </cell>
          <cell r="R94">
            <v>18.871881188118437</v>
          </cell>
          <cell r="S94">
            <v>279.76297029702937</v>
          </cell>
          <cell r="T94">
            <v>518.87188118811855</v>
          </cell>
          <cell r="U94">
            <v>725.30752475247505</v>
          </cell>
          <cell r="V94">
            <v>877.28772277227699</v>
          </cell>
          <cell r="W94">
            <v>212.43623762376205</v>
          </cell>
          <cell r="X94">
            <v>324.31742574257396</v>
          </cell>
          <cell r="Y94">
            <v>454.51544554455404</v>
          </cell>
          <cell r="Z94">
            <v>203.52534653465318</v>
          </cell>
          <cell r="AA94">
            <v>366.89168316831655</v>
          </cell>
          <cell r="AB94">
            <v>170.35702970297007</v>
          </cell>
          <cell r="AC94">
            <v>355.0104950495047</v>
          </cell>
          <cell r="AD94">
            <v>18.37683168316812</v>
          </cell>
          <cell r="AE94">
            <v>162.93128712871271</v>
          </cell>
          <cell r="AF94">
            <v>314.91148514851466</v>
          </cell>
          <cell r="AG94">
            <v>500.05999999999983</v>
          </cell>
        </row>
        <row r="95">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row>
        <row r="96">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row>
        <row r="97">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row>
        <row r="98">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row>
        <row r="99">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row>
        <row r="101">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row>
        <row r="102">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row>
        <row r="103">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row>
        <row r="104">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row>
        <row r="105">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row>
        <row r="106">
          <cell r="C106">
            <v>340.15900990098999</v>
          </cell>
          <cell r="D106">
            <v>230.75306930693068</v>
          </cell>
          <cell r="E106">
            <v>295.6045544554454</v>
          </cell>
          <cell r="F106">
            <v>382.23821782178197</v>
          </cell>
          <cell r="G106">
            <v>414.416435643564</v>
          </cell>
          <cell r="H106">
            <v>403.03029702970252</v>
          </cell>
          <cell r="I106">
            <v>88.178811881187698</v>
          </cell>
          <cell r="J106">
            <v>229.76297029702928</v>
          </cell>
          <cell r="K106">
            <v>153.03029702970252</v>
          </cell>
          <cell r="L106">
            <v>337.68376237623715</v>
          </cell>
          <cell r="M106">
            <v>685.70356435643521</v>
          </cell>
          <cell r="N106">
            <v>979.26792079207871</v>
          </cell>
          <cell r="O106">
            <v>1120.3570297029698</v>
          </cell>
          <cell r="P106">
            <v>422.83227722772244</v>
          </cell>
          <cell r="Q106">
            <v>62.931287128712484</v>
          </cell>
          <cell r="R106">
            <v>18.871881188118437</v>
          </cell>
          <cell r="S106">
            <v>279.76297029702937</v>
          </cell>
          <cell r="T106">
            <v>518.87188118811855</v>
          </cell>
          <cell r="U106">
            <v>725.30752475247505</v>
          </cell>
          <cell r="V106">
            <v>877.28772277227699</v>
          </cell>
          <cell r="W106">
            <v>212.43623762376205</v>
          </cell>
          <cell r="X106">
            <v>324.31742574257396</v>
          </cell>
          <cell r="Y106">
            <v>454.51544554455404</v>
          </cell>
          <cell r="Z106">
            <v>203.52534653465318</v>
          </cell>
          <cell r="AA106">
            <v>366.89168316831655</v>
          </cell>
          <cell r="AB106">
            <v>170.35702970297007</v>
          </cell>
          <cell r="AC106">
            <v>355.0104950495047</v>
          </cell>
          <cell r="AD106">
            <v>18.37683168316812</v>
          </cell>
          <cell r="AE106">
            <v>162.93128712871271</v>
          </cell>
          <cell r="AF106">
            <v>314.91148514851466</v>
          </cell>
          <cell r="AG106">
            <v>500.05999999999983</v>
          </cell>
        </row>
        <row r="107">
          <cell r="C107">
            <v>0.23499999999999999</v>
          </cell>
          <cell r="D107">
            <v>0.23499999999999999</v>
          </cell>
          <cell r="E107">
            <v>0.23499999999999999</v>
          </cell>
          <cell r="F107">
            <v>0.23499999999999999</v>
          </cell>
          <cell r="G107">
            <v>0.23499999999999999</v>
          </cell>
          <cell r="H107">
            <v>0.23499999999999999</v>
          </cell>
          <cell r="I107">
            <v>0.23499999999999999</v>
          </cell>
          <cell r="J107">
            <v>0.23499999999999999</v>
          </cell>
          <cell r="K107">
            <v>0.23499999999999999</v>
          </cell>
          <cell r="L107">
            <v>0.23499999999999999</v>
          </cell>
          <cell r="M107">
            <v>0.23499999999999999</v>
          </cell>
          <cell r="N107">
            <v>0.23499999999999999</v>
          </cell>
          <cell r="O107">
            <v>0.23499999999999999</v>
          </cell>
          <cell r="P107">
            <v>0.23499999999999999</v>
          </cell>
          <cell r="Q107">
            <v>0.23499999999999999</v>
          </cell>
          <cell r="R107">
            <v>0.23499999999999999</v>
          </cell>
          <cell r="S107">
            <v>0.23499999999999999</v>
          </cell>
          <cell r="T107">
            <v>0.23499999999999999</v>
          </cell>
          <cell r="U107">
            <v>0.23499999999999999</v>
          </cell>
          <cell r="V107">
            <v>0.23499999999999999</v>
          </cell>
          <cell r="W107">
            <v>0.23499999999999999</v>
          </cell>
          <cell r="X107">
            <v>0.23499999999999999</v>
          </cell>
          <cell r="Y107">
            <v>0.23499999999999999</v>
          </cell>
          <cell r="Z107">
            <v>0.23499999999999999</v>
          </cell>
          <cell r="AA107">
            <v>0.23499999999999999</v>
          </cell>
          <cell r="AB107">
            <v>0.23499999999999999</v>
          </cell>
          <cell r="AC107">
            <v>0.23499999999999999</v>
          </cell>
          <cell r="AD107">
            <v>0.23499999999999999</v>
          </cell>
          <cell r="AE107">
            <v>0.23499999999999999</v>
          </cell>
          <cell r="AF107">
            <v>0.23499999999999999</v>
          </cell>
          <cell r="AG107">
            <v>0.23499999999999999</v>
          </cell>
        </row>
        <row r="108">
          <cell r="C108">
            <v>164.5</v>
          </cell>
          <cell r="D108">
            <v>199.75</v>
          </cell>
          <cell r="E108">
            <v>199.75</v>
          </cell>
          <cell r="F108">
            <v>199.75</v>
          </cell>
          <cell r="G108">
            <v>199.75</v>
          </cell>
          <cell r="H108">
            <v>199.75</v>
          </cell>
          <cell r="I108">
            <v>117.5</v>
          </cell>
          <cell r="J108">
            <v>0</v>
          </cell>
          <cell r="K108">
            <v>199.75</v>
          </cell>
          <cell r="L108">
            <v>199.75</v>
          </cell>
          <cell r="M108">
            <v>199.75</v>
          </cell>
          <cell r="N108">
            <v>199.75</v>
          </cell>
          <cell r="O108">
            <v>199.75</v>
          </cell>
          <cell r="P108">
            <v>199.75</v>
          </cell>
          <cell r="Q108">
            <v>199.75</v>
          </cell>
          <cell r="R108">
            <v>199.75</v>
          </cell>
          <cell r="S108">
            <v>199.75</v>
          </cell>
          <cell r="T108">
            <v>199.75</v>
          </cell>
          <cell r="U108">
            <v>199.75</v>
          </cell>
          <cell r="V108">
            <v>199.75</v>
          </cell>
          <cell r="W108">
            <v>199.75</v>
          </cell>
          <cell r="X108">
            <v>94</v>
          </cell>
          <cell r="Y108">
            <v>199.75</v>
          </cell>
          <cell r="Z108">
            <v>199.75</v>
          </cell>
          <cell r="AA108">
            <v>0</v>
          </cell>
          <cell r="AB108">
            <v>199.75</v>
          </cell>
          <cell r="AC108">
            <v>199.75</v>
          </cell>
          <cell r="AD108">
            <v>117.5</v>
          </cell>
          <cell r="AE108">
            <v>94</v>
          </cell>
          <cell r="AF108">
            <v>199.75</v>
          </cell>
          <cell r="AG108">
            <v>0</v>
          </cell>
        </row>
        <row r="109">
          <cell r="C109">
            <v>0.25307692307692309</v>
          </cell>
          <cell r="D109">
            <v>0.30730769230769228</v>
          </cell>
          <cell r="E109">
            <v>0.30730769230769228</v>
          </cell>
          <cell r="F109">
            <v>0.30730769230769228</v>
          </cell>
          <cell r="G109" t="e">
            <v>#DIV/0!</v>
          </cell>
          <cell r="H109">
            <v>0.66583333333333339</v>
          </cell>
          <cell r="I109">
            <v>0.12368421052631579</v>
          </cell>
          <cell r="J109">
            <v>0</v>
          </cell>
          <cell r="K109">
            <v>0.21026315789473685</v>
          </cell>
          <cell r="L109">
            <v>0.21026315789473685</v>
          </cell>
          <cell r="M109">
            <v>0.21026315789473685</v>
          </cell>
          <cell r="N109">
            <v>0.24968750000000001</v>
          </cell>
          <cell r="O109">
            <v>0.66583333333333339</v>
          </cell>
          <cell r="P109">
            <v>0.21026315789473685</v>
          </cell>
          <cell r="Q109">
            <v>0.21026315789473685</v>
          </cell>
          <cell r="R109">
            <v>0.21026315789473685</v>
          </cell>
          <cell r="S109">
            <v>0.21026315789473685</v>
          </cell>
          <cell r="T109">
            <v>0.21026315789473685</v>
          </cell>
          <cell r="U109">
            <v>0.24968750000000001</v>
          </cell>
          <cell r="V109">
            <v>0.66583333333333339</v>
          </cell>
          <cell r="W109">
            <v>0.21026315789473685</v>
          </cell>
          <cell r="X109">
            <v>9.8947368421052631E-2</v>
          </cell>
          <cell r="Y109">
            <v>0.21026315789473685</v>
          </cell>
          <cell r="Z109">
            <v>0.21026315789473685</v>
          </cell>
          <cell r="AA109">
            <v>0</v>
          </cell>
          <cell r="AB109">
            <v>0.24968750000000001</v>
          </cell>
          <cell r="AC109">
            <v>0.21026315789473685</v>
          </cell>
          <cell r="AD109">
            <v>0.14687500000000001</v>
          </cell>
          <cell r="AE109">
            <v>0.11749999999999999</v>
          </cell>
          <cell r="AF109">
            <v>0.24968750000000001</v>
          </cell>
          <cell r="AG109">
            <v>0</v>
          </cell>
        </row>
        <row r="110">
          <cell r="C110">
            <v>650</v>
          </cell>
          <cell r="D110">
            <v>650</v>
          </cell>
          <cell r="E110">
            <v>650</v>
          </cell>
          <cell r="F110">
            <v>650</v>
          </cell>
          <cell r="G110">
            <v>0</v>
          </cell>
          <cell r="H110">
            <v>300</v>
          </cell>
          <cell r="I110">
            <v>950</v>
          </cell>
          <cell r="J110">
            <v>950</v>
          </cell>
          <cell r="K110">
            <v>950</v>
          </cell>
          <cell r="L110">
            <v>950</v>
          </cell>
          <cell r="M110">
            <v>950</v>
          </cell>
          <cell r="N110">
            <v>800</v>
          </cell>
          <cell r="O110">
            <v>300</v>
          </cell>
          <cell r="P110">
            <v>950</v>
          </cell>
          <cell r="Q110">
            <v>950</v>
          </cell>
          <cell r="R110">
            <v>950</v>
          </cell>
          <cell r="S110">
            <v>950</v>
          </cell>
          <cell r="T110">
            <v>950</v>
          </cell>
          <cell r="U110">
            <v>800</v>
          </cell>
          <cell r="V110">
            <v>300</v>
          </cell>
          <cell r="W110">
            <v>950</v>
          </cell>
          <cell r="X110">
            <v>950</v>
          </cell>
          <cell r="Y110">
            <v>950</v>
          </cell>
          <cell r="Z110">
            <v>950</v>
          </cell>
          <cell r="AA110">
            <v>950</v>
          </cell>
          <cell r="AB110">
            <v>800</v>
          </cell>
          <cell r="AC110">
            <v>950</v>
          </cell>
          <cell r="AD110">
            <v>800</v>
          </cell>
          <cell r="AE110">
            <v>800</v>
          </cell>
          <cell r="AF110">
            <v>800</v>
          </cell>
          <cell r="AG110">
            <v>800</v>
          </cell>
        </row>
        <row r="111">
          <cell r="C111">
            <v>650</v>
          </cell>
          <cell r="D111">
            <v>650</v>
          </cell>
          <cell r="E111">
            <v>650</v>
          </cell>
          <cell r="F111">
            <v>650</v>
          </cell>
          <cell r="G111">
            <v>0</v>
          </cell>
          <cell r="H111">
            <v>300</v>
          </cell>
          <cell r="I111">
            <v>950</v>
          </cell>
          <cell r="J111">
            <v>950</v>
          </cell>
          <cell r="K111">
            <v>950</v>
          </cell>
          <cell r="L111">
            <v>950</v>
          </cell>
          <cell r="M111">
            <v>950</v>
          </cell>
          <cell r="N111">
            <v>800</v>
          </cell>
          <cell r="O111">
            <v>300</v>
          </cell>
          <cell r="P111">
            <v>950</v>
          </cell>
          <cell r="Q111">
            <v>950</v>
          </cell>
          <cell r="R111">
            <v>950</v>
          </cell>
          <cell r="S111">
            <v>950</v>
          </cell>
          <cell r="T111">
            <v>950</v>
          </cell>
          <cell r="U111">
            <v>800</v>
          </cell>
          <cell r="V111">
            <v>300</v>
          </cell>
          <cell r="W111">
            <v>950</v>
          </cell>
          <cell r="X111">
            <v>950</v>
          </cell>
          <cell r="Y111">
            <v>950</v>
          </cell>
          <cell r="Z111">
            <v>950</v>
          </cell>
          <cell r="AA111">
            <v>950</v>
          </cell>
          <cell r="AB111">
            <v>800</v>
          </cell>
          <cell r="AC111">
            <v>950</v>
          </cell>
          <cell r="AD111">
            <v>800</v>
          </cell>
          <cell r="AE111">
            <v>800</v>
          </cell>
          <cell r="AF111">
            <v>800</v>
          </cell>
          <cell r="AG111">
            <v>800</v>
          </cell>
        </row>
        <row r="112">
          <cell r="C112">
            <v>0</v>
          </cell>
          <cell r="D112">
            <v>1</v>
          </cell>
          <cell r="E112">
            <v>1</v>
          </cell>
          <cell r="F112">
            <v>1</v>
          </cell>
          <cell r="G112" t="e">
            <v>#DIV/0!</v>
          </cell>
          <cell r="H112">
            <v>1</v>
          </cell>
          <cell r="I112">
            <v>1</v>
          </cell>
          <cell r="J112">
            <v>1</v>
          </cell>
          <cell r="K112">
            <v>1</v>
          </cell>
          <cell r="L112">
            <v>1</v>
          </cell>
          <cell r="M112">
            <v>1</v>
          </cell>
          <cell r="N112">
            <v>1</v>
          </cell>
          <cell r="O112">
            <v>1</v>
          </cell>
          <cell r="P112">
            <v>1</v>
          </cell>
          <cell r="Q112">
            <v>1</v>
          </cell>
          <cell r="R112">
            <v>1</v>
          </cell>
          <cell r="S112">
            <v>1</v>
          </cell>
          <cell r="T112">
            <v>1</v>
          </cell>
          <cell r="U112">
            <v>1</v>
          </cell>
          <cell r="V112">
            <v>1</v>
          </cell>
          <cell r="W112">
            <v>1</v>
          </cell>
          <cell r="X112">
            <v>1</v>
          </cell>
          <cell r="Y112">
            <v>1</v>
          </cell>
          <cell r="Z112">
            <v>1</v>
          </cell>
          <cell r="AA112">
            <v>1</v>
          </cell>
          <cell r="AB112">
            <v>1</v>
          </cell>
          <cell r="AC112">
            <v>1</v>
          </cell>
          <cell r="AD112">
            <v>1</v>
          </cell>
          <cell r="AE112">
            <v>1</v>
          </cell>
          <cell r="AF112">
            <v>1</v>
          </cell>
          <cell r="AG112">
            <v>1</v>
          </cell>
        </row>
        <row r="113">
          <cell r="C113"/>
          <cell r="D113"/>
          <cell r="E113"/>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row>
        <row r="114">
          <cell r="C114"/>
          <cell r="D114"/>
          <cell r="E114"/>
          <cell r="F114"/>
          <cell r="G114"/>
          <cell r="H114"/>
          <cell r="I114"/>
          <cell r="J114"/>
          <cell r="K114"/>
          <cell r="L114"/>
          <cell r="M114"/>
          <cell r="N114"/>
          <cell r="O114"/>
          <cell r="P114"/>
          <cell r="Q114"/>
          <cell r="R114"/>
          <cell r="S114"/>
          <cell r="T114"/>
          <cell r="U114"/>
          <cell r="V114"/>
          <cell r="W114"/>
          <cell r="X114"/>
          <cell r="Y114"/>
          <cell r="Z114"/>
          <cell r="AA114"/>
          <cell r="AB114"/>
          <cell r="AC114"/>
          <cell r="AD114"/>
          <cell r="AE114"/>
          <cell r="AF114"/>
          <cell r="AG114"/>
        </row>
        <row r="118">
          <cell r="C118">
            <v>1</v>
          </cell>
          <cell r="D118">
            <v>2</v>
          </cell>
          <cell r="E118">
            <v>3</v>
          </cell>
          <cell r="F118">
            <v>4</v>
          </cell>
          <cell r="G118">
            <v>5</v>
          </cell>
          <cell r="H118">
            <v>6</v>
          </cell>
          <cell r="I118">
            <v>7</v>
          </cell>
          <cell r="J118">
            <v>8</v>
          </cell>
          <cell r="K118">
            <v>9</v>
          </cell>
          <cell r="L118">
            <v>10</v>
          </cell>
          <cell r="M118">
            <v>11</v>
          </cell>
          <cell r="N118">
            <v>12</v>
          </cell>
          <cell r="O118">
            <v>13</v>
          </cell>
          <cell r="P118">
            <v>14</v>
          </cell>
          <cell r="Q118">
            <v>15</v>
          </cell>
          <cell r="R118">
            <v>16</v>
          </cell>
          <cell r="S118">
            <v>17</v>
          </cell>
          <cell r="T118">
            <v>18</v>
          </cell>
          <cell r="U118">
            <v>19</v>
          </cell>
          <cell r="V118">
            <v>20</v>
          </cell>
          <cell r="W118">
            <v>21</v>
          </cell>
          <cell r="X118">
            <v>22</v>
          </cell>
          <cell r="Y118">
            <v>23</v>
          </cell>
          <cell r="Z118">
            <v>24</v>
          </cell>
          <cell r="AA118">
            <v>25</v>
          </cell>
          <cell r="AB118">
            <v>26</v>
          </cell>
          <cell r="AC118">
            <v>27</v>
          </cell>
          <cell r="AD118">
            <v>28</v>
          </cell>
          <cell r="AE118">
            <v>29</v>
          </cell>
          <cell r="AF118">
            <v>30</v>
          </cell>
          <cell r="AG118">
            <v>31</v>
          </cell>
        </row>
        <row r="119">
          <cell r="C119">
            <v>45992</v>
          </cell>
          <cell r="D119">
            <v>45993</v>
          </cell>
          <cell r="E119">
            <v>45994</v>
          </cell>
          <cell r="F119">
            <v>45995</v>
          </cell>
          <cell r="G119">
            <v>45996</v>
          </cell>
          <cell r="H119">
            <v>45997</v>
          </cell>
          <cell r="I119">
            <v>45998</v>
          </cell>
          <cell r="J119">
            <v>45999</v>
          </cell>
          <cell r="K119">
            <v>46000</v>
          </cell>
          <cell r="L119">
            <v>46001</v>
          </cell>
          <cell r="M119">
            <v>46002</v>
          </cell>
          <cell r="N119">
            <v>46003</v>
          </cell>
          <cell r="O119">
            <v>46004</v>
          </cell>
          <cell r="P119">
            <v>46005</v>
          </cell>
          <cell r="Q119">
            <v>46006</v>
          </cell>
          <cell r="R119">
            <v>46007</v>
          </cell>
          <cell r="S119">
            <v>46008</v>
          </cell>
          <cell r="T119">
            <v>46009</v>
          </cell>
          <cell r="U119">
            <v>46010</v>
          </cell>
          <cell r="V119">
            <v>46011</v>
          </cell>
          <cell r="W119">
            <v>46012</v>
          </cell>
          <cell r="X119">
            <v>46013</v>
          </cell>
          <cell r="Y119">
            <v>46014</v>
          </cell>
          <cell r="Z119">
            <v>46015</v>
          </cell>
          <cell r="AA119">
            <v>46016</v>
          </cell>
          <cell r="AB119">
            <v>46017</v>
          </cell>
          <cell r="AC119">
            <v>46018</v>
          </cell>
          <cell r="AD119">
            <v>46019</v>
          </cell>
          <cell r="AE119">
            <v>46020</v>
          </cell>
          <cell r="AF119">
            <v>46021</v>
          </cell>
          <cell r="AG119">
            <v>46022</v>
          </cell>
        </row>
        <row r="120">
          <cell r="C120">
            <v>150</v>
          </cell>
          <cell r="D120">
            <v>105.2</v>
          </cell>
          <cell r="E120">
            <v>24.79999999999999</v>
          </cell>
          <cell r="F120">
            <v>36.399999999999977</v>
          </cell>
          <cell r="G120">
            <v>34.799999999999976</v>
          </cell>
          <cell r="H120">
            <v>42.399999999999949</v>
          </cell>
          <cell r="I120">
            <v>9.199999999999978</v>
          </cell>
          <cell r="J120">
            <v>5.1999999999999744</v>
          </cell>
          <cell r="K120">
            <v>25.199999999999974</v>
          </cell>
          <cell r="L120">
            <v>35.199999999999989</v>
          </cell>
          <cell r="M120">
            <v>163.19999999999999</v>
          </cell>
          <cell r="N120">
            <v>252.39999999999998</v>
          </cell>
          <cell r="O120">
            <v>189.99999999999997</v>
          </cell>
          <cell r="P120">
            <v>136.80000000000001</v>
          </cell>
          <cell r="Q120">
            <v>182.8</v>
          </cell>
          <cell r="R120">
            <v>24.800000000000011</v>
          </cell>
          <cell r="S120">
            <v>36.400000000000006</v>
          </cell>
          <cell r="T120">
            <v>34.799999999999976</v>
          </cell>
          <cell r="U120">
            <v>42.399999999999949</v>
          </cell>
          <cell r="V120">
            <v>59.199999999999974</v>
          </cell>
          <cell r="W120">
            <v>85.199999999999989</v>
          </cell>
          <cell r="X120">
            <v>121.99999999999999</v>
          </cell>
          <cell r="Y120">
            <v>132.4</v>
          </cell>
          <cell r="Z120">
            <v>93.999999999999972</v>
          </cell>
          <cell r="AA120">
            <v>83.2</v>
          </cell>
          <cell r="AB120">
            <v>101.60000000000001</v>
          </cell>
          <cell r="AC120">
            <v>52.40000000000002</v>
          </cell>
          <cell r="AD120">
            <v>30.800000000000033</v>
          </cell>
          <cell r="AE120">
            <v>76.80000000000004</v>
          </cell>
          <cell r="AF120">
            <v>124.00000000000004</v>
          </cell>
          <cell r="AG120">
            <v>77.000000000000057</v>
          </cell>
        </row>
        <row r="121">
          <cell r="C121">
            <v>60</v>
          </cell>
          <cell r="D121">
            <v>130</v>
          </cell>
          <cell r="E121">
            <v>230</v>
          </cell>
          <cell r="F121">
            <v>270</v>
          </cell>
          <cell r="G121">
            <v>280</v>
          </cell>
          <cell r="H121">
            <v>290</v>
          </cell>
          <cell r="I121">
            <v>30</v>
          </cell>
          <cell r="J121">
            <v>20</v>
          </cell>
          <cell r="K121">
            <v>180</v>
          </cell>
          <cell r="L121">
            <v>230</v>
          </cell>
          <cell r="M121">
            <v>260</v>
          </cell>
          <cell r="N121">
            <v>280</v>
          </cell>
          <cell r="O121">
            <v>290</v>
          </cell>
          <cell r="P121">
            <v>50</v>
          </cell>
          <cell r="Q121">
            <v>100</v>
          </cell>
          <cell r="R121">
            <v>230</v>
          </cell>
          <cell r="S121">
            <v>270</v>
          </cell>
          <cell r="T121">
            <v>280</v>
          </cell>
          <cell r="U121">
            <v>290</v>
          </cell>
          <cell r="V121">
            <v>300</v>
          </cell>
          <cell r="W121">
            <v>40</v>
          </cell>
          <cell r="X121">
            <v>120</v>
          </cell>
          <cell r="Y121">
            <v>230</v>
          </cell>
          <cell r="Z121">
            <v>260</v>
          </cell>
          <cell r="AA121">
            <v>20</v>
          </cell>
          <cell r="AB121">
            <v>240</v>
          </cell>
          <cell r="AC121">
            <v>270</v>
          </cell>
          <cell r="AD121">
            <v>50</v>
          </cell>
          <cell r="AE121">
            <v>160</v>
          </cell>
          <cell r="AF121">
            <v>270</v>
          </cell>
          <cell r="AG121">
            <v>70</v>
          </cell>
        </row>
        <row r="122">
          <cell r="C122">
            <v>100</v>
          </cell>
          <cell r="D122">
            <v>200</v>
          </cell>
          <cell r="E122">
            <v>200</v>
          </cell>
          <cell r="F122">
            <v>250</v>
          </cell>
          <cell r="G122">
            <v>250</v>
          </cell>
          <cell r="H122">
            <v>300</v>
          </cell>
          <cell r="I122">
            <v>0</v>
          </cell>
          <cell r="J122">
            <v>0</v>
          </cell>
          <cell r="K122">
            <v>0</v>
          </cell>
          <cell r="L122">
            <v>0</v>
          </cell>
          <cell r="M122">
            <v>150</v>
          </cell>
          <cell r="N122">
            <v>320</v>
          </cell>
          <cell r="O122">
            <v>320</v>
          </cell>
          <cell r="P122">
            <v>0</v>
          </cell>
          <cell r="Q122">
            <v>250</v>
          </cell>
          <cell r="R122">
            <v>200</v>
          </cell>
          <cell r="S122">
            <v>250</v>
          </cell>
          <cell r="T122">
            <v>250</v>
          </cell>
          <cell r="U122">
            <v>250</v>
          </cell>
          <cell r="V122">
            <v>250</v>
          </cell>
          <cell r="W122">
            <v>0</v>
          </cell>
          <cell r="X122">
            <v>100</v>
          </cell>
          <cell r="Y122">
            <v>250</v>
          </cell>
          <cell r="Z122">
            <v>250</v>
          </cell>
          <cell r="AA122">
            <v>0</v>
          </cell>
          <cell r="AB122">
            <v>270</v>
          </cell>
          <cell r="AC122">
            <v>270</v>
          </cell>
          <cell r="AD122">
            <v>0</v>
          </cell>
          <cell r="AE122">
            <v>100</v>
          </cell>
          <cell r="AF122">
            <v>250</v>
          </cell>
          <cell r="AG122">
            <v>100</v>
          </cell>
        </row>
        <row r="123">
          <cell r="C123">
            <v>110</v>
          </cell>
          <cell r="D123">
            <v>35.199999999999989</v>
          </cell>
          <cell r="E123">
            <v>54.799999999999983</v>
          </cell>
          <cell r="F123">
            <v>56.399999999999977</v>
          </cell>
          <cell r="G123">
            <v>64.799999999999955</v>
          </cell>
          <cell r="H123">
            <v>32.399999999999977</v>
          </cell>
          <cell r="I123">
            <v>39.199999999999974</v>
          </cell>
          <cell r="J123">
            <v>25.199999999999974</v>
          </cell>
          <cell r="K123">
            <v>205.2</v>
          </cell>
          <cell r="L123">
            <v>265.2</v>
          </cell>
          <cell r="M123">
            <v>273.2</v>
          </cell>
          <cell r="N123">
            <v>212.39999999999998</v>
          </cell>
          <cell r="O123">
            <v>160</v>
          </cell>
          <cell r="P123">
            <v>186.8</v>
          </cell>
          <cell r="Q123">
            <v>32.800000000000011</v>
          </cell>
          <cell r="R123">
            <v>54.800000000000011</v>
          </cell>
          <cell r="S123">
            <v>56.399999999999977</v>
          </cell>
          <cell r="T123">
            <v>64.799999999999955</v>
          </cell>
          <cell r="U123">
            <v>82.399999999999977</v>
          </cell>
          <cell r="V123">
            <v>109.19999999999999</v>
          </cell>
          <cell r="W123">
            <v>125.19999999999999</v>
          </cell>
          <cell r="X123">
            <v>142</v>
          </cell>
          <cell r="Y123">
            <v>112.39999999999998</v>
          </cell>
          <cell r="Z123">
            <v>104</v>
          </cell>
          <cell r="AA123">
            <v>103.2</v>
          </cell>
          <cell r="AB123">
            <v>71.600000000000023</v>
          </cell>
          <cell r="AC123">
            <v>52.400000000000034</v>
          </cell>
          <cell r="AD123">
            <v>80.80000000000004</v>
          </cell>
          <cell r="AE123">
            <v>136.80000000000004</v>
          </cell>
          <cell r="AF123">
            <v>144.00000000000006</v>
          </cell>
          <cell r="AG123">
            <v>47.000000000000057</v>
          </cell>
        </row>
        <row r="124">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row>
        <row r="125">
          <cell r="C125">
            <v>4.8</v>
          </cell>
          <cell r="D125">
            <v>10.4</v>
          </cell>
          <cell r="E125">
            <v>18.400000000000002</v>
          </cell>
          <cell r="F125">
            <v>21.6</v>
          </cell>
          <cell r="G125">
            <v>22.400000000000002</v>
          </cell>
          <cell r="H125">
            <v>23.2</v>
          </cell>
          <cell r="I125">
            <v>34</v>
          </cell>
          <cell r="J125">
            <v>0</v>
          </cell>
          <cell r="K125">
            <v>170</v>
          </cell>
          <cell r="L125">
            <v>102</v>
          </cell>
          <cell r="M125">
            <v>20.8</v>
          </cell>
          <cell r="N125">
            <v>22.400000000000002</v>
          </cell>
          <cell r="O125">
            <v>23.2</v>
          </cell>
          <cell r="P125">
            <v>4</v>
          </cell>
          <cell r="Q125">
            <v>8</v>
          </cell>
          <cell r="R125">
            <v>18.400000000000002</v>
          </cell>
          <cell r="S125">
            <v>21.6</v>
          </cell>
          <cell r="T125">
            <v>22.400000000000002</v>
          </cell>
          <cell r="U125">
            <v>23.2</v>
          </cell>
          <cell r="V125">
            <v>24</v>
          </cell>
          <cell r="W125">
            <v>3.2</v>
          </cell>
          <cell r="X125">
            <v>9.6</v>
          </cell>
          <cell r="Y125">
            <v>18.400000000000002</v>
          </cell>
          <cell r="Z125">
            <v>20.8</v>
          </cell>
          <cell r="AA125">
            <v>1.6</v>
          </cell>
          <cell r="AB125">
            <v>19.2</v>
          </cell>
          <cell r="AC125">
            <v>21.6</v>
          </cell>
          <cell r="AD125">
            <v>4</v>
          </cell>
          <cell r="AE125">
            <v>12.8</v>
          </cell>
          <cell r="AF125">
            <v>67</v>
          </cell>
          <cell r="AG125">
            <v>67</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row>
        <row r="127">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35</v>
          </cell>
        </row>
        <row r="128">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1</v>
          </cell>
        </row>
        <row r="129">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row>
        <row r="130">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row>
        <row r="131">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1</v>
          </cell>
        </row>
        <row r="132">
          <cell r="C132">
            <v>105.2</v>
          </cell>
          <cell r="D132">
            <v>24.79999999999999</v>
          </cell>
          <cell r="E132">
            <v>36.399999999999977</v>
          </cell>
          <cell r="F132">
            <v>34.799999999999976</v>
          </cell>
          <cell r="G132">
            <v>42.399999999999949</v>
          </cell>
          <cell r="H132">
            <v>9.199999999999978</v>
          </cell>
          <cell r="I132">
            <v>5.1999999999999744</v>
          </cell>
          <cell r="J132">
            <v>25.199999999999974</v>
          </cell>
          <cell r="K132">
            <v>35.199999999999989</v>
          </cell>
          <cell r="L132">
            <v>163.19999999999999</v>
          </cell>
          <cell r="M132">
            <v>252.39999999999998</v>
          </cell>
          <cell r="N132">
            <v>189.99999999999997</v>
          </cell>
          <cell r="O132">
            <v>136.80000000000001</v>
          </cell>
          <cell r="P132">
            <v>182.8</v>
          </cell>
          <cell r="Q132">
            <v>24.800000000000011</v>
          </cell>
          <cell r="R132">
            <v>36.400000000000006</v>
          </cell>
          <cell r="S132">
            <v>34.799999999999976</v>
          </cell>
          <cell r="T132">
            <v>42.399999999999949</v>
          </cell>
          <cell r="U132">
            <v>59.199999999999974</v>
          </cell>
          <cell r="V132">
            <v>85.199999999999989</v>
          </cell>
          <cell r="W132">
            <v>121.99999999999999</v>
          </cell>
          <cell r="X132">
            <v>132.4</v>
          </cell>
          <cell r="Y132">
            <v>93.999999999999972</v>
          </cell>
          <cell r="Z132">
            <v>83.2</v>
          </cell>
          <cell r="AA132">
            <v>101.60000000000001</v>
          </cell>
          <cell r="AB132">
            <v>52.40000000000002</v>
          </cell>
          <cell r="AC132">
            <v>30.800000000000033</v>
          </cell>
          <cell r="AD132">
            <v>76.80000000000004</v>
          </cell>
          <cell r="AE132">
            <v>124.00000000000004</v>
          </cell>
          <cell r="AF132">
            <v>77.000000000000057</v>
          </cell>
          <cell r="AG132">
            <v>15.000000000000057</v>
          </cell>
        </row>
        <row r="133">
          <cell r="C133"/>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row>
        <row r="134">
          <cell r="C134"/>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row>
        <row r="135">
          <cell r="C135"/>
          <cell r="D135"/>
          <cell r="E135"/>
          <cell r="F135"/>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row>
        <row r="136">
          <cell r="C136"/>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row>
        <row r="137">
          <cell r="C137"/>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row>
        <row r="138">
          <cell r="C138">
            <v>45992</v>
          </cell>
          <cell r="D138">
            <v>45993</v>
          </cell>
          <cell r="E138">
            <v>45994</v>
          </cell>
          <cell r="F138">
            <v>45995</v>
          </cell>
          <cell r="G138">
            <v>45996</v>
          </cell>
          <cell r="H138">
            <v>45997</v>
          </cell>
          <cell r="I138">
            <v>45998</v>
          </cell>
          <cell r="J138">
            <v>45999</v>
          </cell>
          <cell r="K138">
            <v>46000</v>
          </cell>
          <cell r="L138">
            <v>46001</v>
          </cell>
          <cell r="M138">
            <v>46002</v>
          </cell>
          <cell r="N138">
            <v>46003</v>
          </cell>
          <cell r="O138">
            <v>46004</v>
          </cell>
          <cell r="P138">
            <v>46005</v>
          </cell>
          <cell r="Q138">
            <v>46006</v>
          </cell>
          <cell r="R138">
            <v>46007</v>
          </cell>
          <cell r="S138">
            <v>46008</v>
          </cell>
          <cell r="T138">
            <v>46009</v>
          </cell>
          <cell r="U138">
            <v>46010</v>
          </cell>
          <cell r="V138">
            <v>46011</v>
          </cell>
          <cell r="W138">
            <v>46012</v>
          </cell>
          <cell r="X138">
            <v>46013</v>
          </cell>
          <cell r="Y138">
            <v>46014</v>
          </cell>
          <cell r="Z138">
            <v>46015</v>
          </cell>
          <cell r="AA138">
            <v>46016</v>
          </cell>
          <cell r="AB138">
            <v>46017</v>
          </cell>
          <cell r="AC138">
            <v>46018</v>
          </cell>
          <cell r="AD138">
            <v>46019</v>
          </cell>
          <cell r="AE138">
            <v>46020</v>
          </cell>
          <cell r="AF138">
            <v>46021</v>
          </cell>
          <cell r="AG138">
            <v>46022</v>
          </cell>
        </row>
        <row r="139">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row>
        <row r="140">
          <cell r="C140">
            <v>0</v>
          </cell>
          <cell r="D140">
            <v>34</v>
          </cell>
          <cell r="E140">
            <v>0</v>
          </cell>
          <cell r="F140">
            <v>34</v>
          </cell>
          <cell r="G140">
            <v>34</v>
          </cell>
          <cell r="H140">
            <v>0</v>
          </cell>
          <cell r="I140">
            <v>0</v>
          </cell>
          <cell r="J140">
            <v>0</v>
          </cell>
          <cell r="K140">
            <v>34</v>
          </cell>
          <cell r="L140">
            <v>0</v>
          </cell>
          <cell r="M140">
            <v>34</v>
          </cell>
          <cell r="N140">
            <v>0</v>
          </cell>
          <cell r="O140">
            <v>70</v>
          </cell>
          <cell r="P140">
            <v>0</v>
          </cell>
          <cell r="Q140">
            <v>34</v>
          </cell>
          <cell r="R140">
            <v>0</v>
          </cell>
          <cell r="S140">
            <v>0</v>
          </cell>
          <cell r="T140">
            <v>34</v>
          </cell>
          <cell r="U140">
            <v>0</v>
          </cell>
          <cell r="V140">
            <v>34</v>
          </cell>
          <cell r="W140">
            <v>0</v>
          </cell>
          <cell r="X140">
            <v>0</v>
          </cell>
          <cell r="Y140">
            <v>69</v>
          </cell>
          <cell r="Z140">
            <v>0</v>
          </cell>
          <cell r="AA140">
            <v>0</v>
          </cell>
          <cell r="AB140">
            <v>0</v>
          </cell>
          <cell r="AC140">
            <v>69</v>
          </cell>
          <cell r="AD140">
            <v>0</v>
          </cell>
          <cell r="AE140">
            <v>0</v>
          </cell>
          <cell r="AF140">
            <v>70</v>
          </cell>
          <cell r="AG140">
            <v>0</v>
          </cell>
        </row>
        <row r="141">
          <cell r="C141">
            <v>0</v>
          </cell>
          <cell r="D141">
            <v>34</v>
          </cell>
          <cell r="E141">
            <v>0</v>
          </cell>
          <cell r="F141">
            <v>34</v>
          </cell>
          <cell r="G141">
            <v>34</v>
          </cell>
          <cell r="H141">
            <v>0</v>
          </cell>
          <cell r="I141">
            <v>0</v>
          </cell>
          <cell r="J141">
            <v>0</v>
          </cell>
          <cell r="K141">
            <v>34</v>
          </cell>
          <cell r="L141">
            <v>0</v>
          </cell>
          <cell r="M141">
            <v>34</v>
          </cell>
          <cell r="N141">
            <v>0</v>
          </cell>
          <cell r="O141">
            <v>70</v>
          </cell>
          <cell r="P141">
            <v>0</v>
          </cell>
          <cell r="Q141">
            <v>34</v>
          </cell>
          <cell r="R141">
            <v>0</v>
          </cell>
          <cell r="S141">
            <v>0</v>
          </cell>
          <cell r="T141">
            <v>34</v>
          </cell>
          <cell r="U141">
            <v>0</v>
          </cell>
          <cell r="V141">
            <v>34</v>
          </cell>
          <cell r="W141">
            <v>0</v>
          </cell>
          <cell r="X141">
            <v>0</v>
          </cell>
          <cell r="Y141">
            <v>69</v>
          </cell>
          <cell r="Z141">
            <v>0</v>
          </cell>
          <cell r="AA141">
            <v>0</v>
          </cell>
          <cell r="AB141">
            <v>0</v>
          </cell>
          <cell r="AC141">
            <v>69</v>
          </cell>
          <cell r="AD141">
            <v>0</v>
          </cell>
          <cell r="AE141">
            <v>0</v>
          </cell>
          <cell r="AF141">
            <v>70</v>
          </cell>
          <cell r="AG141">
            <v>0</v>
          </cell>
        </row>
        <row r="142">
          <cell r="C142">
            <v>0</v>
          </cell>
          <cell r="D142">
            <v>0.97142857142857142</v>
          </cell>
          <cell r="E142">
            <v>0</v>
          </cell>
          <cell r="F142">
            <v>0.97142857142857142</v>
          </cell>
          <cell r="G142">
            <v>0.97142857142857142</v>
          </cell>
          <cell r="H142">
            <v>0</v>
          </cell>
          <cell r="I142">
            <v>0</v>
          </cell>
          <cell r="J142">
            <v>0</v>
          </cell>
          <cell r="K142">
            <v>0.97142857142857142</v>
          </cell>
          <cell r="L142">
            <v>0</v>
          </cell>
          <cell r="M142">
            <v>0.97142857142857142</v>
          </cell>
          <cell r="N142">
            <v>0</v>
          </cell>
          <cell r="O142">
            <v>2</v>
          </cell>
          <cell r="P142">
            <v>0</v>
          </cell>
          <cell r="Q142">
            <v>0.97142857142857142</v>
          </cell>
          <cell r="R142">
            <v>0</v>
          </cell>
          <cell r="S142">
            <v>0</v>
          </cell>
          <cell r="T142">
            <v>0.97142857142857142</v>
          </cell>
          <cell r="U142">
            <v>0</v>
          </cell>
          <cell r="V142">
            <v>0.97142857142857142</v>
          </cell>
          <cell r="W142">
            <v>0</v>
          </cell>
          <cell r="X142">
            <v>0</v>
          </cell>
          <cell r="Y142">
            <v>1.9714285714285715</v>
          </cell>
          <cell r="Z142">
            <v>0</v>
          </cell>
          <cell r="AA142">
            <v>0</v>
          </cell>
          <cell r="AB142">
            <v>0</v>
          </cell>
          <cell r="AC142">
            <v>1.9714285714285715</v>
          </cell>
          <cell r="AD142">
            <v>0</v>
          </cell>
          <cell r="AE142">
            <v>0</v>
          </cell>
          <cell r="AF142">
            <v>2</v>
          </cell>
          <cell r="AG142">
            <v>0</v>
          </cell>
        </row>
        <row r="143">
          <cell r="C143">
            <v>0</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row>
        <row r="144">
          <cell r="C144">
            <v>0</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row>
        <row r="145">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row>
        <row r="146">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row>
        <row r="147">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row>
        <row r="148">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row>
        <row r="149">
          <cell r="C149">
            <v>0</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row>
        <row r="151">
          <cell r="C151"/>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row>
        <row r="152">
          <cell r="C152"/>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row>
        <row r="153">
          <cell r="C153">
            <v>525</v>
          </cell>
          <cell r="D153">
            <v>631</v>
          </cell>
          <cell r="E153">
            <v>625</v>
          </cell>
          <cell r="F153">
            <v>709</v>
          </cell>
          <cell r="G153">
            <v>743</v>
          </cell>
          <cell r="H153">
            <v>755</v>
          </cell>
          <cell r="I153">
            <v>300</v>
          </cell>
          <cell r="J153">
            <v>50</v>
          </cell>
          <cell r="K153">
            <v>594</v>
          </cell>
          <cell r="L153">
            <v>635</v>
          </cell>
          <cell r="M153">
            <v>689</v>
          </cell>
          <cell r="N153">
            <v>695</v>
          </cell>
          <cell r="O153">
            <v>810</v>
          </cell>
          <cell r="P153">
            <v>440</v>
          </cell>
          <cell r="Q153">
            <v>749</v>
          </cell>
          <cell r="R153">
            <v>595</v>
          </cell>
          <cell r="S153">
            <v>638</v>
          </cell>
          <cell r="T153">
            <v>688</v>
          </cell>
          <cell r="U153">
            <v>695</v>
          </cell>
          <cell r="V153">
            <v>744</v>
          </cell>
          <cell r="W153">
            <v>350</v>
          </cell>
          <cell r="X153">
            <v>700</v>
          </cell>
          <cell r="Y153">
            <v>909</v>
          </cell>
          <cell r="Z153">
            <v>150</v>
          </cell>
          <cell r="AA153">
            <v>0</v>
          </cell>
          <cell r="AB153">
            <v>590</v>
          </cell>
          <cell r="AC153">
            <v>759</v>
          </cell>
          <cell r="AD153">
            <v>500</v>
          </cell>
          <cell r="AE153">
            <v>740</v>
          </cell>
          <cell r="AF153">
            <v>992</v>
          </cell>
          <cell r="AG153">
            <v>0</v>
          </cell>
        </row>
      </sheetData>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 val="Fruta nucleos diaria excel (nov"/>
    </sheetNames>
    <sheetDataSet>
      <sheetData sheetId="0">
        <row r="2">
          <cell r="A2">
            <v>45992</v>
          </cell>
          <cell r="B2">
            <v>359350</v>
          </cell>
          <cell r="C2">
            <v>455300</v>
          </cell>
          <cell r="D2">
            <v>113144</v>
          </cell>
          <cell r="E2">
            <v>70100</v>
          </cell>
        </row>
        <row r="3">
          <cell r="A3">
            <v>45993</v>
          </cell>
          <cell r="B3">
            <v>412660</v>
          </cell>
          <cell r="C3">
            <v>605610</v>
          </cell>
          <cell r="D3">
            <v>191936</v>
          </cell>
          <cell r="E3">
            <v>231410</v>
          </cell>
        </row>
        <row r="4">
          <cell r="A4">
            <v>45994</v>
          </cell>
          <cell r="B4">
            <v>832230</v>
          </cell>
          <cell r="C4">
            <v>799380</v>
          </cell>
          <cell r="D4">
            <v>214317</v>
          </cell>
          <cell r="E4">
            <v>284590</v>
          </cell>
        </row>
        <row r="5">
          <cell r="A5">
            <v>45995</v>
          </cell>
          <cell r="B5">
            <v>757850</v>
          </cell>
          <cell r="C5">
            <v>708730</v>
          </cell>
          <cell r="D5">
            <v>187637</v>
          </cell>
          <cell r="E5">
            <v>342600</v>
          </cell>
        </row>
        <row r="6">
          <cell r="A6">
            <v>45996</v>
          </cell>
          <cell r="B6">
            <v>824730</v>
          </cell>
          <cell r="C6">
            <v>742490</v>
          </cell>
          <cell r="D6">
            <v>227728</v>
          </cell>
          <cell r="E6">
            <v>380720</v>
          </cell>
        </row>
        <row r="7">
          <cell r="A7">
            <v>45997</v>
          </cell>
          <cell r="B7">
            <v>511170</v>
          </cell>
          <cell r="C7">
            <v>907600</v>
          </cell>
          <cell r="D7">
            <v>275930</v>
          </cell>
          <cell r="E7">
            <v>420650</v>
          </cell>
        </row>
        <row r="8">
          <cell r="A8">
            <v>45998</v>
          </cell>
          <cell r="B8">
            <v>694460</v>
          </cell>
          <cell r="C8">
            <v>306720</v>
          </cell>
          <cell r="D8">
            <v>96930</v>
          </cell>
          <cell r="E8">
            <v>0</v>
          </cell>
        </row>
        <row r="9">
          <cell r="A9">
            <v>45999</v>
          </cell>
          <cell r="B9">
            <v>192890</v>
          </cell>
          <cell r="C9">
            <v>151320</v>
          </cell>
          <cell r="D9">
            <v>29045</v>
          </cell>
          <cell r="E9">
            <v>0</v>
          </cell>
        </row>
        <row r="10">
          <cell r="A10">
            <v>46000</v>
          </cell>
          <cell r="B10">
            <v>367070</v>
          </cell>
          <cell r="C10">
            <v>754270</v>
          </cell>
          <cell r="D10">
            <v>117540</v>
          </cell>
          <cell r="E10">
            <v>37810</v>
          </cell>
        </row>
        <row r="11">
          <cell r="A11">
            <v>46001</v>
          </cell>
          <cell r="B11">
            <v>588510</v>
          </cell>
          <cell r="C11">
            <v>721260</v>
          </cell>
          <cell r="D11">
            <v>226516</v>
          </cell>
          <cell r="E11">
            <v>248700</v>
          </cell>
        </row>
        <row r="12">
          <cell r="A12">
            <v>46002</v>
          </cell>
          <cell r="B12">
            <v>750680</v>
          </cell>
          <cell r="C12">
            <v>610600</v>
          </cell>
          <cell r="D12">
            <v>289030</v>
          </cell>
          <cell r="E12">
            <v>361910</v>
          </cell>
        </row>
        <row r="13">
          <cell r="A13"/>
          <cell r="B13"/>
          <cell r="C13"/>
          <cell r="D13"/>
          <cell r="E13"/>
        </row>
        <row r="14">
          <cell r="A14"/>
          <cell r="B14"/>
          <cell r="C14"/>
          <cell r="D14"/>
          <cell r="E14"/>
        </row>
        <row r="15">
          <cell r="A15"/>
          <cell r="B15"/>
          <cell r="C15"/>
          <cell r="D15"/>
          <cell r="E15"/>
        </row>
        <row r="16">
          <cell r="A16"/>
          <cell r="B16"/>
          <cell r="C16"/>
          <cell r="D16"/>
          <cell r="E16"/>
        </row>
        <row r="17">
          <cell r="A17"/>
          <cell r="B17"/>
          <cell r="C17"/>
          <cell r="D17"/>
          <cell r="E17"/>
        </row>
        <row r="18">
          <cell r="A18"/>
          <cell r="B18"/>
          <cell r="C18"/>
          <cell r="D18"/>
          <cell r="E18"/>
        </row>
        <row r="19">
          <cell r="A19"/>
          <cell r="B19"/>
          <cell r="C19"/>
          <cell r="D19"/>
          <cell r="E19"/>
        </row>
        <row r="20">
          <cell r="A20"/>
          <cell r="B20"/>
          <cell r="C20"/>
          <cell r="D20"/>
          <cell r="E20"/>
        </row>
        <row r="21">
          <cell r="A21"/>
          <cell r="B21"/>
          <cell r="C21"/>
          <cell r="D21"/>
          <cell r="E21"/>
        </row>
        <row r="22">
          <cell r="A22"/>
          <cell r="B22"/>
          <cell r="C22"/>
          <cell r="D22"/>
          <cell r="E22"/>
        </row>
        <row r="23">
          <cell r="A23"/>
          <cell r="B23"/>
          <cell r="C23"/>
          <cell r="D23"/>
          <cell r="E23"/>
        </row>
        <row r="24">
          <cell r="A24"/>
          <cell r="B24"/>
          <cell r="C24"/>
          <cell r="D24"/>
          <cell r="E24"/>
        </row>
        <row r="25">
          <cell r="A25"/>
          <cell r="B25"/>
          <cell r="C25"/>
          <cell r="D25"/>
          <cell r="E25"/>
        </row>
        <row r="26">
          <cell r="A26"/>
          <cell r="B26"/>
          <cell r="C26"/>
          <cell r="D26"/>
          <cell r="E26"/>
        </row>
        <row r="27">
          <cell r="A27"/>
          <cell r="B27"/>
          <cell r="C27"/>
          <cell r="D27"/>
          <cell r="E27"/>
        </row>
        <row r="28">
          <cell r="A28"/>
          <cell r="B28"/>
          <cell r="C28"/>
          <cell r="D28"/>
          <cell r="E28"/>
        </row>
        <row r="29">
          <cell r="A29"/>
          <cell r="B29"/>
          <cell r="C29"/>
          <cell r="D29"/>
          <cell r="E29"/>
        </row>
        <row r="30">
          <cell r="A30"/>
          <cell r="B30"/>
          <cell r="C30"/>
          <cell r="D30"/>
          <cell r="E30"/>
        </row>
        <row r="31">
          <cell r="A31"/>
          <cell r="B31"/>
          <cell r="C31"/>
          <cell r="D31"/>
          <cell r="E31"/>
        </row>
        <row r="32">
          <cell r="A32"/>
          <cell r="B32"/>
          <cell r="C32"/>
          <cell r="D32"/>
          <cell r="E32"/>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sheetNames>
    <sheetDataSet>
      <sheetData sheetId="0">
        <row r="1">
          <cell r="B1" t="str">
            <v>ZONA</v>
          </cell>
          <cell r="C1">
            <v>45992</v>
          </cell>
          <cell r="D1">
            <v>45993</v>
          </cell>
          <cell r="E1">
            <v>45994</v>
          </cell>
          <cell r="F1">
            <v>45995</v>
          </cell>
          <cell r="G1">
            <v>45996</v>
          </cell>
          <cell r="H1">
            <v>45997</v>
          </cell>
          <cell r="I1">
            <v>45998</v>
          </cell>
          <cell r="J1">
            <v>45999</v>
          </cell>
          <cell r="K1">
            <v>46000</v>
          </cell>
          <cell r="L1">
            <v>46001</v>
          </cell>
          <cell r="M1">
            <v>46002</v>
          </cell>
          <cell r="N1">
            <v>46003</v>
          </cell>
          <cell r="O1">
            <v>46004</v>
          </cell>
          <cell r="P1">
            <v>46005</v>
          </cell>
          <cell r="Q1">
            <v>46006</v>
          </cell>
          <cell r="R1">
            <v>46007</v>
          </cell>
          <cell r="S1">
            <v>46008</v>
          </cell>
          <cell r="T1">
            <v>46009</v>
          </cell>
          <cell r="U1">
            <v>46010</v>
          </cell>
          <cell r="V1">
            <v>46011</v>
          </cell>
          <cell r="W1">
            <v>46012</v>
          </cell>
          <cell r="X1">
            <v>46013</v>
          </cell>
          <cell r="Y1">
            <v>46014</v>
          </cell>
          <cell r="Z1">
            <v>46015</v>
          </cell>
          <cell r="AA1">
            <v>46016</v>
          </cell>
          <cell r="AB1">
            <v>46017</v>
          </cell>
          <cell r="AC1">
            <v>46018</v>
          </cell>
          <cell r="AD1">
            <v>46019</v>
          </cell>
          <cell r="AE1">
            <v>46020</v>
          </cell>
          <cell r="AF1">
            <v>46021</v>
          </cell>
          <cell r="AG1">
            <v>46022</v>
          </cell>
          <cell r="AH1" t="str">
            <v>CANTIDADES</v>
          </cell>
        </row>
        <row r="2">
          <cell r="B2" t="str">
            <v>Codazzi</v>
          </cell>
          <cell r="C2">
            <v>600</v>
          </cell>
          <cell r="D2">
            <v>600</v>
          </cell>
          <cell r="E2">
            <v>650</v>
          </cell>
          <cell r="F2">
            <v>700</v>
          </cell>
          <cell r="G2">
            <v>700</v>
          </cell>
          <cell r="H2">
            <v>800</v>
          </cell>
          <cell r="I2">
            <v>300</v>
          </cell>
          <cell r="J2">
            <v>0</v>
          </cell>
          <cell r="K2">
            <v>400</v>
          </cell>
          <cell r="L2">
            <v>750</v>
          </cell>
          <cell r="M2">
            <v>750</v>
          </cell>
          <cell r="N2">
            <v>750</v>
          </cell>
          <cell r="O2">
            <v>750</v>
          </cell>
          <cell r="P2">
            <v>400</v>
          </cell>
          <cell r="Q2">
            <v>400</v>
          </cell>
          <cell r="R2">
            <v>750</v>
          </cell>
          <cell r="S2">
            <v>750</v>
          </cell>
          <cell r="T2">
            <v>750</v>
          </cell>
          <cell r="U2">
            <v>750</v>
          </cell>
          <cell r="V2">
            <v>750</v>
          </cell>
          <cell r="W2">
            <v>400</v>
          </cell>
          <cell r="X2">
            <v>400</v>
          </cell>
          <cell r="Y2">
            <v>750</v>
          </cell>
          <cell r="Z2">
            <v>400</v>
          </cell>
          <cell r="AA2">
            <v>0</v>
          </cell>
          <cell r="AB2">
            <v>750</v>
          </cell>
          <cell r="AC2">
            <v>750</v>
          </cell>
          <cell r="AD2">
            <v>400</v>
          </cell>
          <cell r="AE2">
            <v>750</v>
          </cell>
          <cell r="AF2">
            <v>750</v>
          </cell>
          <cell r="AG2">
            <v>600</v>
          </cell>
          <cell r="AH2">
            <v>18250</v>
          </cell>
        </row>
        <row r="3">
          <cell r="B3">
            <v>0.216</v>
          </cell>
          <cell r="C3">
            <v>129.6</v>
          </cell>
          <cell r="D3">
            <v>129.6</v>
          </cell>
          <cell r="E3">
            <v>140.4</v>
          </cell>
          <cell r="F3">
            <v>151.19999999999999</v>
          </cell>
          <cell r="G3">
            <v>151.19999999999999</v>
          </cell>
          <cell r="H3">
            <v>172.8</v>
          </cell>
          <cell r="I3">
            <v>64.8</v>
          </cell>
          <cell r="J3">
            <v>0</v>
          </cell>
          <cell r="K3">
            <v>86.4</v>
          </cell>
          <cell r="L3">
            <v>162</v>
          </cell>
          <cell r="M3">
            <v>162</v>
          </cell>
          <cell r="N3">
            <v>162</v>
          </cell>
          <cell r="O3">
            <v>162</v>
          </cell>
          <cell r="P3">
            <v>86.4</v>
          </cell>
          <cell r="Q3">
            <v>86.4</v>
          </cell>
          <cell r="R3">
            <v>162</v>
          </cell>
          <cell r="S3">
            <v>162</v>
          </cell>
          <cell r="T3">
            <v>162</v>
          </cell>
          <cell r="U3">
            <v>162</v>
          </cell>
          <cell r="V3">
            <v>162</v>
          </cell>
          <cell r="W3">
            <v>86.4</v>
          </cell>
          <cell r="X3">
            <v>86.4</v>
          </cell>
          <cell r="Y3">
            <v>162</v>
          </cell>
          <cell r="Z3">
            <v>86.4</v>
          </cell>
          <cell r="AA3">
            <v>0</v>
          </cell>
          <cell r="AB3">
            <v>162</v>
          </cell>
          <cell r="AC3">
            <v>162</v>
          </cell>
          <cell r="AD3">
            <v>86.4</v>
          </cell>
          <cell r="AE3">
            <v>162</v>
          </cell>
          <cell r="AF3">
            <v>162</v>
          </cell>
          <cell r="AG3">
            <v>129.6</v>
          </cell>
          <cell r="AH3">
            <v>3942.0000000000005</v>
          </cell>
        </row>
        <row r="4">
          <cell r="B4" t="str">
            <v>MBL</v>
          </cell>
          <cell r="C4">
            <v>150</v>
          </cell>
          <cell r="D4">
            <v>150</v>
          </cell>
          <cell r="E4">
            <v>200</v>
          </cell>
          <cell r="F4">
            <v>200</v>
          </cell>
          <cell r="G4">
            <v>200</v>
          </cell>
          <cell r="H4">
            <v>200</v>
          </cell>
          <cell r="I4">
            <v>0</v>
          </cell>
          <cell r="J4">
            <v>0</v>
          </cell>
          <cell r="K4">
            <v>100</v>
          </cell>
          <cell r="L4">
            <v>350</v>
          </cell>
          <cell r="M4">
            <v>350</v>
          </cell>
          <cell r="N4">
            <v>350</v>
          </cell>
          <cell r="O4">
            <v>350</v>
          </cell>
          <cell r="P4">
            <v>300</v>
          </cell>
          <cell r="Q4">
            <v>100</v>
          </cell>
          <cell r="R4">
            <v>250</v>
          </cell>
          <cell r="S4">
            <v>250</v>
          </cell>
          <cell r="T4">
            <v>300</v>
          </cell>
          <cell r="U4">
            <v>300</v>
          </cell>
          <cell r="V4">
            <v>300</v>
          </cell>
          <cell r="W4">
            <v>0</v>
          </cell>
          <cell r="X4">
            <v>350</v>
          </cell>
          <cell r="Y4">
            <v>350</v>
          </cell>
          <cell r="Z4">
            <v>280</v>
          </cell>
          <cell r="AA4">
            <v>0</v>
          </cell>
          <cell r="AB4">
            <v>300</v>
          </cell>
          <cell r="AC4">
            <v>300</v>
          </cell>
          <cell r="AD4">
            <v>150</v>
          </cell>
          <cell r="AE4">
            <v>100</v>
          </cell>
          <cell r="AF4">
            <v>370</v>
          </cell>
          <cell r="AG4">
            <v>400</v>
          </cell>
          <cell r="AH4">
            <v>7000</v>
          </cell>
        </row>
        <row r="5">
          <cell r="B5">
            <v>0.186</v>
          </cell>
          <cell r="C5">
            <v>27.9</v>
          </cell>
          <cell r="D5">
            <v>27.9</v>
          </cell>
          <cell r="E5">
            <v>37.200000000000003</v>
          </cell>
          <cell r="F5">
            <v>37.200000000000003</v>
          </cell>
          <cell r="G5">
            <v>37.200000000000003</v>
          </cell>
          <cell r="H5">
            <v>37.200000000000003</v>
          </cell>
          <cell r="I5">
            <v>0</v>
          </cell>
          <cell r="J5">
            <v>0</v>
          </cell>
          <cell r="K5">
            <v>18.600000000000001</v>
          </cell>
          <cell r="L5">
            <v>65.099999999999994</v>
          </cell>
          <cell r="M5">
            <v>65.099999999999994</v>
          </cell>
          <cell r="N5">
            <v>65.099999999999994</v>
          </cell>
          <cell r="O5">
            <v>65.099999999999994</v>
          </cell>
          <cell r="P5">
            <v>55.8</v>
          </cell>
          <cell r="Q5">
            <v>18.600000000000001</v>
          </cell>
          <cell r="R5">
            <v>46.5</v>
          </cell>
          <cell r="S5">
            <v>46.5</v>
          </cell>
          <cell r="T5">
            <v>55.8</v>
          </cell>
          <cell r="U5">
            <v>55.8</v>
          </cell>
          <cell r="V5">
            <v>55.8</v>
          </cell>
          <cell r="W5">
            <v>0</v>
          </cell>
          <cell r="X5">
            <v>65.099999999999994</v>
          </cell>
          <cell r="Y5">
            <v>65.099999999999994</v>
          </cell>
          <cell r="Z5">
            <v>52.08</v>
          </cell>
          <cell r="AA5">
            <v>0</v>
          </cell>
          <cell r="AB5">
            <v>55.8</v>
          </cell>
          <cell r="AC5">
            <v>55.8</v>
          </cell>
          <cell r="AD5">
            <v>27.9</v>
          </cell>
          <cell r="AE5">
            <v>18.600000000000001</v>
          </cell>
          <cell r="AF5">
            <v>68.819999999999993</v>
          </cell>
          <cell r="AG5">
            <v>74.400000000000006</v>
          </cell>
          <cell r="AH5">
            <v>1302</v>
          </cell>
        </row>
        <row r="6">
          <cell r="B6" t="str">
            <v>Sinú</v>
          </cell>
          <cell r="C6">
            <v>100</v>
          </cell>
          <cell r="D6">
            <v>200</v>
          </cell>
          <cell r="E6">
            <v>200</v>
          </cell>
          <cell r="F6">
            <v>250</v>
          </cell>
          <cell r="G6">
            <v>250</v>
          </cell>
          <cell r="H6">
            <v>300</v>
          </cell>
          <cell r="I6">
            <v>0</v>
          </cell>
          <cell r="J6">
            <v>0</v>
          </cell>
          <cell r="K6">
            <v>0</v>
          </cell>
          <cell r="L6">
            <v>0</v>
          </cell>
          <cell r="M6">
            <v>150</v>
          </cell>
          <cell r="N6">
            <v>320</v>
          </cell>
          <cell r="O6">
            <v>320</v>
          </cell>
          <cell r="P6">
            <v>0</v>
          </cell>
          <cell r="Q6">
            <v>250</v>
          </cell>
          <cell r="R6">
            <v>200</v>
          </cell>
          <cell r="S6">
            <v>250</v>
          </cell>
          <cell r="T6">
            <v>250</v>
          </cell>
          <cell r="U6">
            <v>250</v>
          </cell>
          <cell r="V6">
            <v>250</v>
          </cell>
          <cell r="W6">
            <v>0</v>
          </cell>
          <cell r="X6">
            <v>100</v>
          </cell>
          <cell r="Y6">
            <v>250</v>
          </cell>
          <cell r="Z6">
            <v>250</v>
          </cell>
          <cell r="AA6">
            <v>0</v>
          </cell>
          <cell r="AB6">
            <v>270</v>
          </cell>
          <cell r="AC6">
            <v>270</v>
          </cell>
          <cell r="AD6">
            <v>0</v>
          </cell>
          <cell r="AE6">
            <v>100</v>
          </cell>
          <cell r="AF6">
            <v>250</v>
          </cell>
          <cell r="AG6">
            <v>100</v>
          </cell>
          <cell r="AH6">
            <v>5130</v>
          </cell>
        </row>
        <row r="7">
          <cell r="B7">
            <v>0.22</v>
          </cell>
          <cell r="C7">
            <v>22</v>
          </cell>
          <cell r="D7">
            <v>44</v>
          </cell>
          <cell r="E7">
            <v>44</v>
          </cell>
          <cell r="F7">
            <v>55</v>
          </cell>
          <cell r="G7">
            <v>55</v>
          </cell>
          <cell r="H7">
            <v>66</v>
          </cell>
          <cell r="I7">
            <v>0</v>
          </cell>
          <cell r="J7">
            <v>0</v>
          </cell>
          <cell r="K7">
            <v>0</v>
          </cell>
          <cell r="L7">
            <v>0</v>
          </cell>
          <cell r="M7">
            <v>33</v>
          </cell>
          <cell r="N7">
            <v>70.400000000000006</v>
          </cell>
          <cell r="O7">
            <v>70.400000000000006</v>
          </cell>
          <cell r="P7">
            <v>0</v>
          </cell>
          <cell r="Q7">
            <v>55</v>
          </cell>
          <cell r="R7">
            <v>44</v>
          </cell>
          <cell r="S7">
            <v>55</v>
          </cell>
          <cell r="T7">
            <v>55</v>
          </cell>
          <cell r="U7">
            <v>55</v>
          </cell>
          <cell r="V7">
            <v>55</v>
          </cell>
          <cell r="W7">
            <v>0</v>
          </cell>
          <cell r="X7">
            <v>22</v>
          </cell>
          <cell r="Y7">
            <v>55</v>
          </cell>
          <cell r="Z7">
            <v>55</v>
          </cell>
          <cell r="AA7">
            <v>0</v>
          </cell>
          <cell r="AB7">
            <v>59.4</v>
          </cell>
          <cell r="AC7">
            <v>59.4</v>
          </cell>
          <cell r="AD7">
            <v>0</v>
          </cell>
          <cell r="AE7">
            <v>22</v>
          </cell>
          <cell r="AF7">
            <v>55</v>
          </cell>
          <cell r="AG7">
            <v>22</v>
          </cell>
          <cell r="AH7">
            <v>1128.5999999999999</v>
          </cell>
        </row>
        <row r="8">
          <cell r="B8" t="str">
            <v>A&amp;G</v>
          </cell>
          <cell r="C8">
            <v>700</v>
          </cell>
          <cell r="D8">
            <v>850</v>
          </cell>
          <cell r="E8">
            <v>850</v>
          </cell>
          <cell r="F8">
            <v>850</v>
          </cell>
          <cell r="G8">
            <v>850</v>
          </cell>
          <cell r="H8">
            <v>850</v>
          </cell>
          <cell r="I8">
            <v>500</v>
          </cell>
          <cell r="J8">
            <v>0</v>
          </cell>
          <cell r="K8">
            <v>850</v>
          </cell>
          <cell r="L8">
            <v>850</v>
          </cell>
          <cell r="M8">
            <v>850</v>
          </cell>
          <cell r="N8">
            <v>850</v>
          </cell>
          <cell r="O8">
            <v>850</v>
          </cell>
          <cell r="P8">
            <v>850</v>
          </cell>
          <cell r="Q8">
            <v>850</v>
          </cell>
          <cell r="R8">
            <v>850</v>
          </cell>
          <cell r="S8">
            <v>850</v>
          </cell>
          <cell r="T8">
            <v>850</v>
          </cell>
          <cell r="U8">
            <v>850</v>
          </cell>
          <cell r="V8">
            <v>850</v>
          </cell>
          <cell r="W8">
            <v>850</v>
          </cell>
          <cell r="X8">
            <v>400</v>
          </cell>
          <cell r="Y8">
            <v>850</v>
          </cell>
          <cell r="Z8">
            <v>850</v>
          </cell>
          <cell r="AA8">
            <v>0</v>
          </cell>
          <cell r="AB8">
            <v>850</v>
          </cell>
          <cell r="AC8">
            <v>850</v>
          </cell>
          <cell r="AD8">
            <v>500</v>
          </cell>
          <cell r="AE8">
            <v>400</v>
          </cell>
          <cell r="AF8">
            <v>850</v>
          </cell>
          <cell r="AG8">
            <v>0</v>
          </cell>
          <cell r="AH8">
            <v>22050</v>
          </cell>
        </row>
        <row r="9">
          <cell r="B9">
            <v>0.23499999999999999</v>
          </cell>
          <cell r="C9">
            <v>164.5</v>
          </cell>
          <cell r="D9">
            <v>199.75</v>
          </cell>
          <cell r="E9">
            <v>199.75</v>
          </cell>
          <cell r="F9">
            <v>199.75</v>
          </cell>
          <cell r="G9">
            <v>199.75</v>
          </cell>
          <cell r="H9">
            <v>199.75</v>
          </cell>
          <cell r="I9">
            <v>117.5</v>
          </cell>
          <cell r="J9">
            <v>0</v>
          </cell>
          <cell r="K9">
            <v>199.75</v>
          </cell>
          <cell r="L9">
            <v>199.75</v>
          </cell>
          <cell r="M9">
            <v>199.75</v>
          </cell>
          <cell r="N9">
            <v>199.75</v>
          </cell>
          <cell r="O9">
            <v>199.75</v>
          </cell>
          <cell r="P9">
            <v>199.75</v>
          </cell>
          <cell r="Q9">
            <v>199.75</v>
          </cell>
          <cell r="R9">
            <v>199.75</v>
          </cell>
          <cell r="S9">
            <v>199.75</v>
          </cell>
          <cell r="T9">
            <v>199.75</v>
          </cell>
          <cell r="U9">
            <v>199.75</v>
          </cell>
          <cell r="V9">
            <v>199.75</v>
          </cell>
          <cell r="W9">
            <v>199.75</v>
          </cell>
          <cell r="X9">
            <v>94</v>
          </cell>
          <cell r="Y9">
            <v>199.75</v>
          </cell>
          <cell r="Z9">
            <v>199.75</v>
          </cell>
          <cell r="AA9">
            <v>0</v>
          </cell>
          <cell r="AB9">
            <v>199.75</v>
          </cell>
          <cell r="AC9">
            <v>199.75</v>
          </cell>
          <cell r="AD9">
            <v>117.5</v>
          </cell>
          <cell r="AE9">
            <v>94</v>
          </cell>
          <cell r="AF9">
            <v>199.75</v>
          </cell>
          <cell r="AG9">
            <v>0</v>
          </cell>
          <cell r="AH9">
            <v>5181.75</v>
          </cell>
        </row>
        <row r="10">
          <cell r="B10"/>
          <cell r="C10"/>
          <cell r="D10"/>
          <cell r="E10"/>
          <cell r="F10"/>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v>52430</v>
          </cell>
        </row>
        <row r="11">
          <cell r="B11" t="str">
            <v>TOTAL CPO</v>
          </cell>
          <cell r="C11">
            <v>344</v>
          </cell>
          <cell r="D11">
            <v>401.25</v>
          </cell>
          <cell r="E11">
            <v>421.35</v>
          </cell>
          <cell r="F11">
            <v>443.15</v>
          </cell>
          <cell r="G11">
            <v>443.15</v>
          </cell>
          <cell r="H11">
            <v>475.75</v>
          </cell>
          <cell r="I11">
            <v>182.3</v>
          </cell>
          <cell r="J11">
            <v>0</v>
          </cell>
          <cell r="K11">
            <v>304.75</v>
          </cell>
          <cell r="L11">
            <v>426.85</v>
          </cell>
          <cell r="M11">
            <v>459.85</v>
          </cell>
          <cell r="N11">
            <v>497.25</v>
          </cell>
          <cell r="O11">
            <v>497.25</v>
          </cell>
          <cell r="P11">
            <v>341.95</v>
          </cell>
          <cell r="Q11">
            <v>359.75</v>
          </cell>
          <cell r="R11">
            <v>452.25</v>
          </cell>
          <cell r="S11">
            <v>463.25</v>
          </cell>
          <cell r="T11">
            <v>472.55</v>
          </cell>
          <cell r="U11">
            <v>472.55</v>
          </cell>
          <cell r="V11">
            <v>472.55</v>
          </cell>
          <cell r="W11">
            <v>286.14999999999998</v>
          </cell>
          <cell r="X11">
            <v>267.5</v>
          </cell>
          <cell r="Y11">
            <v>481.85</v>
          </cell>
          <cell r="Z11">
            <v>393.23</v>
          </cell>
          <cell r="AA11">
            <v>0</v>
          </cell>
          <cell r="AB11">
            <v>476.95</v>
          </cell>
          <cell r="AC11">
            <v>476.95</v>
          </cell>
          <cell r="AD11">
            <v>231.8</v>
          </cell>
          <cell r="AE11">
            <v>296.60000000000002</v>
          </cell>
          <cell r="AF11">
            <v>485.57</v>
          </cell>
          <cell r="AG11">
            <v>226</v>
          </cell>
          <cell r="AH11">
            <v>11554.35</v>
          </cell>
        </row>
        <row r="12">
          <cell r="B12" t="str">
            <v>PK</v>
          </cell>
          <cell r="C12"/>
          <cell r="D12"/>
          <cell r="E12"/>
          <cell r="F12"/>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v>0.22037669273316804</v>
          </cell>
        </row>
        <row r="13">
          <cell r="B13" t="str">
            <v>ZONA</v>
          </cell>
          <cell r="C13">
            <v>45992</v>
          </cell>
          <cell r="D13">
            <v>45993</v>
          </cell>
          <cell r="E13">
            <v>45994</v>
          </cell>
          <cell r="F13">
            <v>45995</v>
          </cell>
          <cell r="G13">
            <v>45996</v>
          </cell>
          <cell r="H13">
            <v>45997</v>
          </cell>
          <cell r="I13">
            <v>45998</v>
          </cell>
          <cell r="J13">
            <v>45999</v>
          </cell>
          <cell r="K13">
            <v>46000</v>
          </cell>
          <cell r="L13">
            <v>46001</v>
          </cell>
          <cell r="M13">
            <v>46002</v>
          </cell>
          <cell r="N13">
            <v>46003</v>
          </cell>
          <cell r="O13">
            <v>46004</v>
          </cell>
          <cell r="P13">
            <v>46005</v>
          </cell>
          <cell r="Q13">
            <v>46006</v>
          </cell>
          <cell r="R13">
            <v>46007</v>
          </cell>
          <cell r="S13">
            <v>46008</v>
          </cell>
          <cell r="T13">
            <v>46009</v>
          </cell>
          <cell r="U13">
            <v>46010</v>
          </cell>
          <cell r="V13">
            <v>46011</v>
          </cell>
          <cell r="W13">
            <v>46012</v>
          </cell>
          <cell r="X13">
            <v>46013</v>
          </cell>
          <cell r="Y13">
            <v>46014</v>
          </cell>
          <cell r="Z13">
            <v>46015</v>
          </cell>
          <cell r="AA13">
            <v>46016</v>
          </cell>
          <cell r="AB13">
            <v>46017</v>
          </cell>
          <cell r="AC13">
            <v>46018</v>
          </cell>
          <cell r="AD13">
            <v>46019</v>
          </cell>
          <cell r="AE13">
            <v>46020</v>
          </cell>
          <cell r="AF13">
            <v>46021</v>
          </cell>
          <cell r="AG13">
            <v>46022</v>
          </cell>
          <cell r="AH13" t="str">
            <v>CANTIDADES</v>
          </cell>
        </row>
        <row r="14">
          <cell r="B14" t="str">
            <v>Codazzi</v>
          </cell>
          <cell r="C14">
            <v>600</v>
          </cell>
          <cell r="D14">
            <v>600</v>
          </cell>
          <cell r="E14">
            <v>650</v>
          </cell>
          <cell r="F14">
            <v>700</v>
          </cell>
          <cell r="G14">
            <v>700</v>
          </cell>
          <cell r="H14">
            <v>800</v>
          </cell>
          <cell r="I14">
            <v>300</v>
          </cell>
          <cell r="J14">
            <v>0</v>
          </cell>
          <cell r="K14">
            <v>400</v>
          </cell>
          <cell r="L14">
            <v>750</v>
          </cell>
          <cell r="M14">
            <v>750</v>
          </cell>
          <cell r="N14">
            <v>750</v>
          </cell>
          <cell r="O14">
            <v>750</v>
          </cell>
          <cell r="P14">
            <v>400</v>
          </cell>
          <cell r="Q14">
            <v>400</v>
          </cell>
          <cell r="R14">
            <v>750</v>
          </cell>
          <cell r="S14">
            <v>750</v>
          </cell>
          <cell r="T14">
            <v>750</v>
          </cell>
          <cell r="U14">
            <v>750</v>
          </cell>
          <cell r="V14">
            <v>750</v>
          </cell>
          <cell r="W14">
            <v>400</v>
          </cell>
          <cell r="X14">
            <v>400</v>
          </cell>
          <cell r="Y14">
            <v>750</v>
          </cell>
          <cell r="Z14">
            <v>400</v>
          </cell>
          <cell r="AA14">
            <v>0</v>
          </cell>
          <cell r="AB14">
            <v>750</v>
          </cell>
          <cell r="AC14">
            <v>750</v>
          </cell>
          <cell r="AD14">
            <v>400</v>
          </cell>
          <cell r="AE14">
            <v>750</v>
          </cell>
          <cell r="AF14">
            <v>750</v>
          </cell>
          <cell r="AG14">
            <v>600</v>
          </cell>
          <cell r="AH14">
            <v>18250</v>
          </cell>
        </row>
        <row r="15">
          <cell r="B15">
            <v>5.5E-2</v>
          </cell>
          <cell r="C15">
            <v>33</v>
          </cell>
          <cell r="D15">
            <v>33</v>
          </cell>
          <cell r="E15">
            <v>35.75</v>
          </cell>
          <cell r="F15">
            <v>38.5</v>
          </cell>
          <cell r="G15">
            <v>38.5</v>
          </cell>
          <cell r="H15">
            <v>44</v>
          </cell>
          <cell r="I15">
            <v>16.5</v>
          </cell>
          <cell r="J15">
            <v>0</v>
          </cell>
          <cell r="K15">
            <v>22</v>
          </cell>
          <cell r="L15">
            <v>41.25</v>
          </cell>
          <cell r="M15">
            <v>41.25</v>
          </cell>
          <cell r="N15">
            <v>41.25</v>
          </cell>
          <cell r="O15">
            <v>41.25</v>
          </cell>
          <cell r="P15">
            <v>22</v>
          </cell>
          <cell r="Q15">
            <v>22</v>
          </cell>
          <cell r="R15">
            <v>41.25</v>
          </cell>
          <cell r="S15">
            <v>41.25</v>
          </cell>
          <cell r="T15">
            <v>41.25</v>
          </cell>
          <cell r="U15">
            <v>41.25</v>
          </cell>
          <cell r="V15">
            <v>41.25</v>
          </cell>
          <cell r="W15">
            <v>22</v>
          </cell>
          <cell r="X15">
            <v>22</v>
          </cell>
          <cell r="Y15">
            <v>41.25</v>
          </cell>
          <cell r="Z15">
            <v>22</v>
          </cell>
          <cell r="AA15">
            <v>0</v>
          </cell>
          <cell r="AB15">
            <v>41.25</v>
          </cell>
          <cell r="AC15">
            <v>41.25</v>
          </cell>
          <cell r="AD15">
            <v>22</v>
          </cell>
          <cell r="AE15">
            <v>41.25</v>
          </cell>
          <cell r="AF15">
            <v>41.25</v>
          </cell>
          <cell r="AG15">
            <v>33</v>
          </cell>
          <cell r="AH15">
            <v>1003.75</v>
          </cell>
        </row>
        <row r="16">
          <cell r="B16" t="str">
            <v>MBL</v>
          </cell>
          <cell r="C16">
            <v>150</v>
          </cell>
          <cell r="D16">
            <v>150</v>
          </cell>
          <cell r="E16">
            <v>200</v>
          </cell>
          <cell r="F16">
            <v>200</v>
          </cell>
          <cell r="G16">
            <v>200</v>
          </cell>
          <cell r="H16">
            <v>200</v>
          </cell>
          <cell r="I16">
            <v>0</v>
          </cell>
          <cell r="J16">
            <v>0</v>
          </cell>
          <cell r="K16">
            <v>100</v>
          </cell>
          <cell r="L16">
            <v>350</v>
          </cell>
          <cell r="M16">
            <v>350</v>
          </cell>
          <cell r="N16">
            <v>350</v>
          </cell>
          <cell r="O16">
            <v>350</v>
          </cell>
          <cell r="P16">
            <v>300</v>
          </cell>
          <cell r="Q16">
            <v>100</v>
          </cell>
          <cell r="R16">
            <v>250</v>
          </cell>
          <cell r="S16">
            <v>250</v>
          </cell>
          <cell r="T16">
            <v>300</v>
          </cell>
          <cell r="U16">
            <v>300</v>
          </cell>
          <cell r="V16">
            <v>300</v>
          </cell>
          <cell r="W16">
            <v>0</v>
          </cell>
          <cell r="X16">
            <v>350</v>
          </cell>
          <cell r="Y16">
            <v>350</v>
          </cell>
          <cell r="Z16">
            <v>280</v>
          </cell>
          <cell r="AA16">
            <v>0</v>
          </cell>
          <cell r="AB16">
            <v>300</v>
          </cell>
          <cell r="AC16">
            <v>300</v>
          </cell>
          <cell r="AD16">
            <v>150</v>
          </cell>
          <cell r="AE16">
            <v>100</v>
          </cell>
          <cell r="AF16">
            <v>370</v>
          </cell>
          <cell r="AG16">
            <v>400</v>
          </cell>
          <cell r="AH16">
            <v>7000</v>
          </cell>
        </row>
        <row r="17">
          <cell r="B17">
            <v>0.05</v>
          </cell>
          <cell r="C17">
            <v>7.5</v>
          </cell>
          <cell r="D17">
            <v>7.5</v>
          </cell>
          <cell r="E17">
            <v>10</v>
          </cell>
          <cell r="F17">
            <v>10</v>
          </cell>
          <cell r="G17">
            <v>10</v>
          </cell>
          <cell r="H17">
            <v>10</v>
          </cell>
          <cell r="I17">
            <v>0</v>
          </cell>
          <cell r="J17">
            <v>0</v>
          </cell>
          <cell r="K17">
            <v>5</v>
          </cell>
          <cell r="L17">
            <v>17.5</v>
          </cell>
          <cell r="M17">
            <v>17.5</v>
          </cell>
          <cell r="N17">
            <v>17.5</v>
          </cell>
          <cell r="O17">
            <v>17.5</v>
          </cell>
          <cell r="P17">
            <v>15</v>
          </cell>
          <cell r="Q17">
            <v>5</v>
          </cell>
          <cell r="R17">
            <v>12.5</v>
          </cell>
          <cell r="S17">
            <v>12.5</v>
          </cell>
          <cell r="T17">
            <v>15</v>
          </cell>
          <cell r="U17">
            <v>15</v>
          </cell>
          <cell r="V17">
            <v>15</v>
          </cell>
          <cell r="W17">
            <v>0</v>
          </cell>
          <cell r="X17">
            <v>17.5</v>
          </cell>
          <cell r="Y17">
            <v>17.5</v>
          </cell>
          <cell r="Z17">
            <v>14</v>
          </cell>
          <cell r="AA17">
            <v>0</v>
          </cell>
          <cell r="AB17">
            <v>15</v>
          </cell>
          <cell r="AC17">
            <v>15</v>
          </cell>
          <cell r="AD17">
            <v>7.5</v>
          </cell>
          <cell r="AE17">
            <v>5</v>
          </cell>
          <cell r="AF17">
            <v>18.5</v>
          </cell>
          <cell r="AG17">
            <v>20</v>
          </cell>
          <cell r="AH17">
            <v>350</v>
          </cell>
        </row>
        <row r="18">
          <cell r="B18" t="str">
            <v>Sinú</v>
          </cell>
          <cell r="C18">
            <v>100</v>
          </cell>
          <cell r="D18">
            <v>200</v>
          </cell>
          <cell r="E18">
            <v>200</v>
          </cell>
          <cell r="F18">
            <v>250</v>
          </cell>
          <cell r="G18">
            <v>250</v>
          </cell>
          <cell r="H18">
            <v>300</v>
          </cell>
          <cell r="I18">
            <v>0</v>
          </cell>
          <cell r="J18">
            <v>0</v>
          </cell>
          <cell r="K18">
            <v>0</v>
          </cell>
          <cell r="L18">
            <v>0</v>
          </cell>
          <cell r="M18">
            <v>150</v>
          </cell>
          <cell r="N18">
            <v>320</v>
          </cell>
          <cell r="O18">
            <v>320</v>
          </cell>
          <cell r="P18">
            <v>0</v>
          </cell>
          <cell r="Q18">
            <v>250</v>
          </cell>
          <cell r="R18">
            <v>200</v>
          </cell>
          <cell r="S18">
            <v>250</v>
          </cell>
          <cell r="T18">
            <v>250</v>
          </cell>
          <cell r="U18">
            <v>250</v>
          </cell>
          <cell r="V18">
            <v>250</v>
          </cell>
          <cell r="W18">
            <v>0</v>
          </cell>
          <cell r="X18">
            <v>100</v>
          </cell>
          <cell r="Y18">
            <v>250</v>
          </cell>
          <cell r="Z18">
            <v>250</v>
          </cell>
          <cell r="AA18">
            <v>0</v>
          </cell>
          <cell r="AB18">
            <v>270</v>
          </cell>
          <cell r="AC18">
            <v>270</v>
          </cell>
          <cell r="AD18">
            <v>0</v>
          </cell>
          <cell r="AE18">
            <v>100</v>
          </cell>
          <cell r="AF18">
            <v>250</v>
          </cell>
          <cell r="AG18">
            <v>100</v>
          </cell>
          <cell r="AH18">
            <v>5130</v>
          </cell>
        </row>
        <row r="19">
          <cell r="B19">
            <v>4.4999999999999998E-2</v>
          </cell>
          <cell r="C19">
            <v>4.5</v>
          </cell>
          <cell r="D19">
            <v>9</v>
          </cell>
          <cell r="E19">
            <v>9</v>
          </cell>
          <cell r="F19">
            <v>11.25</v>
          </cell>
          <cell r="G19">
            <v>11.25</v>
          </cell>
          <cell r="H19">
            <v>13.5</v>
          </cell>
          <cell r="I19">
            <v>0</v>
          </cell>
          <cell r="J19">
            <v>0</v>
          </cell>
          <cell r="K19">
            <v>0</v>
          </cell>
          <cell r="L19">
            <v>0</v>
          </cell>
          <cell r="M19">
            <v>6.75</v>
          </cell>
          <cell r="N19">
            <v>14.399999999999999</v>
          </cell>
          <cell r="O19">
            <v>14.399999999999999</v>
          </cell>
          <cell r="P19">
            <v>0</v>
          </cell>
          <cell r="Q19">
            <v>11.25</v>
          </cell>
          <cell r="R19">
            <v>9</v>
          </cell>
          <cell r="S19">
            <v>11.25</v>
          </cell>
          <cell r="T19">
            <v>11.25</v>
          </cell>
          <cell r="U19">
            <v>11.25</v>
          </cell>
          <cell r="V19">
            <v>11.25</v>
          </cell>
          <cell r="W19">
            <v>0</v>
          </cell>
          <cell r="X19">
            <v>4.5</v>
          </cell>
          <cell r="Y19">
            <v>11.25</v>
          </cell>
          <cell r="Z19">
            <v>11.25</v>
          </cell>
          <cell r="AA19">
            <v>0</v>
          </cell>
          <cell r="AB19">
            <v>12.15</v>
          </cell>
          <cell r="AC19">
            <v>12.15</v>
          </cell>
          <cell r="AD19">
            <v>0</v>
          </cell>
          <cell r="AE19">
            <v>4.5</v>
          </cell>
          <cell r="AF19">
            <v>11.25</v>
          </cell>
          <cell r="AG19">
            <v>4.5</v>
          </cell>
          <cell r="AH19">
            <v>230.85000000000002</v>
          </cell>
        </row>
        <row r="20">
          <cell r="B20" t="str">
            <v>A&amp;G</v>
          </cell>
          <cell r="C20">
            <v>700</v>
          </cell>
          <cell r="D20">
            <v>850</v>
          </cell>
          <cell r="E20">
            <v>850</v>
          </cell>
          <cell r="F20">
            <v>850</v>
          </cell>
          <cell r="G20">
            <v>850</v>
          </cell>
          <cell r="H20">
            <v>850</v>
          </cell>
          <cell r="I20">
            <v>500</v>
          </cell>
          <cell r="J20">
            <v>0</v>
          </cell>
          <cell r="K20">
            <v>850</v>
          </cell>
          <cell r="L20">
            <v>850</v>
          </cell>
          <cell r="M20">
            <v>850</v>
          </cell>
          <cell r="N20">
            <v>850</v>
          </cell>
          <cell r="O20">
            <v>850</v>
          </cell>
          <cell r="P20">
            <v>850</v>
          </cell>
          <cell r="Q20">
            <v>850</v>
          </cell>
          <cell r="R20">
            <v>850</v>
          </cell>
          <cell r="S20">
            <v>850</v>
          </cell>
          <cell r="T20">
            <v>850</v>
          </cell>
          <cell r="U20">
            <v>850</v>
          </cell>
          <cell r="V20">
            <v>850</v>
          </cell>
          <cell r="W20">
            <v>850</v>
          </cell>
          <cell r="X20">
            <v>400</v>
          </cell>
          <cell r="Y20">
            <v>850</v>
          </cell>
          <cell r="Z20">
            <v>850</v>
          </cell>
          <cell r="AA20">
            <v>0</v>
          </cell>
          <cell r="AB20">
            <v>850</v>
          </cell>
          <cell r="AC20">
            <v>850</v>
          </cell>
          <cell r="AD20">
            <v>500</v>
          </cell>
          <cell r="AE20">
            <v>400</v>
          </cell>
          <cell r="AF20">
            <v>850</v>
          </cell>
          <cell r="AG20">
            <v>0</v>
          </cell>
          <cell r="AH20">
            <v>22050</v>
          </cell>
        </row>
        <row r="21">
          <cell r="B21">
            <v>0.05</v>
          </cell>
          <cell r="C21">
            <v>35</v>
          </cell>
          <cell r="D21">
            <v>42.5</v>
          </cell>
          <cell r="E21">
            <v>42.5</v>
          </cell>
          <cell r="F21">
            <v>42.5</v>
          </cell>
          <cell r="G21">
            <v>42.5</v>
          </cell>
          <cell r="H21">
            <v>42.5</v>
          </cell>
          <cell r="I21">
            <v>25</v>
          </cell>
          <cell r="J21">
            <v>0</v>
          </cell>
          <cell r="K21">
            <v>42.5</v>
          </cell>
          <cell r="L21">
            <v>42.5</v>
          </cell>
          <cell r="M21">
            <v>42.5</v>
          </cell>
          <cell r="N21">
            <v>42.5</v>
          </cell>
          <cell r="O21">
            <v>42.5</v>
          </cell>
          <cell r="P21">
            <v>42.5</v>
          </cell>
          <cell r="Q21">
            <v>42.5</v>
          </cell>
          <cell r="R21">
            <v>42.5</v>
          </cell>
          <cell r="S21">
            <v>42.5</v>
          </cell>
          <cell r="T21">
            <v>42.5</v>
          </cell>
          <cell r="U21">
            <v>42.5</v>
          </cell>
          <cell r="V21">
            <v>42.5</v>
          </cell>
          <cell r="W21">
            <v>42.5</v>
          </cell>
          <cell r="X21">
            <v>20</v>
          </cell>
          <cell r="Y21">
            <v>42.5</v>
          </cell>
          <cell r="Z21">
            <v>42.5</v>
          </cell>
          <cell r="AA21">
            <v>0</v>
          </cell>
          <cell r="AB21">
            <v>42.5</v>
          </cell>
          <cell r="AC21">
            <v>42.5</v>
          </cell>
          <cell r="AD21">
            <v>25</v>
          </cell>
          <cell r="AE21">
            <v>20</v>
          </cell>
          <cell r="AF21">
            <v>42.5</v>
          </cell>
          <cell r="AG21">
            <v>0</v>
          </cell>
          <cell r="AH21">
            <v>1102.5</v>
          </cell>
        </row>
        <row r="22">
          <cell r="B22"/>
          <cell r="C22">
            <v>80</v>
          </cell>
          <cell r="D22">
            <v>92</v>
          </cell>
          <cell r="E22">
            <v>97.25</v>
          </cell>
          <cell r="F22">
            <v>102.25</v>
          </cell>
          <cell r="G22">
            <v>102.25</v>
          </cell>
          <cell r="H22">
            <v>110</v>
          </cell>
          <cell r="I22">
            <v>41.5</v>
          </cell>
          <cell r="J22">
            <v>0</v>
          </cell>
          <cell r="K22">
            <v>69.5</v>
          </cell>
          <cell r="L22">
            <v>101.25</v>
          </cell>
          <cell r="M22">
            <v>108</v>
          </cell>
          <cell r="N22">
            <v>115.65</v>
          </cell>
          <cell r="O22">
            <v>115.65</v>
          </cell>
          <cell r="P22">
            <v>79.5</v>
          </cell>
          <cell r="Q22">
            <v>80.75</v>
          </cell>
          <cell r="R22">
            <v>105.25</v>
          </cell>
          <cell r="S22">
            <v>107.5</v>
          </cell>
          <cell r="T22">
            <v>110</v>
          </cell>
          <cell r="U22">
            <v>110</v>
          </cell>
          <cell r="V22">
            <v>110</v>
          </cell>
          <cell r="W22">
            <v>64.5</v>
          </cell>
          <cell r="X22">
            <v>64</v>
          </cell>
          <cell r="Y22">
            <v>112.5</v>
          </cell>
          <cell r="Z22">
            <v>89.75</v>
          </cell>
          <cell r="AA22">
            <v>0</v>
          </cell>
          <cell r="AB22">
            <v>110.9</v>
          </cell>
          <cell r="AC22">
            <v>110.9</v>
          </cell>
          <cell r="AD22">
            <v>54.5</v>
          </cell>
          <cell r="AE22">
            <v>70.75</v>
          </cell>
          <cell r="AF22">
            <v>113.5</v>
          </cell>
          <cell r="AG22">
            <v>57.5</v>
          </cell>
          <cell r="AH22">
            <v>2687.1</v>
          </cell>
        </row>
        <row r="23">
          <cell r="B23"/>
          <cell r="C23"/>
          <cell r="D23"/>
          <cell r="E23"/>
          <cell r="F23"/>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row>
        <row r="24">
          <cell r="B24" t="str">
            <v>PKO</v>
          </cell>
          <cell r="C24"/>
          <cell r="D24"/>
          <cell r="E24"/>
          <cell r="F24"/>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row>
        <row r="25">
          <cell r="B25" t="str">
            <v>ZONA</v>
          </cell>
          <cell r="C25">
            <v>45992</v>
          </cell>
          <cell r="D25">
            <v>45993</v>
          </cell>
          <cell r="E25">
            <v>45994</v>
          </cell>
          <cell r="F25">
            <v>45995</v>
          </cell>
          <cell r="G25">
            <v>45996</v>
          </cell>
          <cell r="H25">
            <v>45997</v>
          </cell>
          <cell r="I25">
            <v>45998</v>
          </cell>
          <cell r="J25">
            <v>45999</v>
          </cell>
          <cell r="K25">
            <v>46000</v>
          </cell>
          <cell r="L25">
            <v>46001</v>
          </cell>
          <cell r="M25">
            <v>46002</v>
          </cell>
          <cell r="N25">
            <v>46003</v>
          </cell>
          <cell r="O25">
            <v>46004</v>
          </cell>
          <cell r="P25">
            <v>46005</v>
          </cell>
          <cell r="Q25">
            <v>46006</v>
          </cell>
          <cell r="R25">
            <v>46007</v>
          </cell>
          <cell r="S25">
            <v>46008</v>
          </cell>
          <cell r="T25">
            <v>46009</v>
          </cell>
          <cell r="U25">
            <v>46010</v>
          </cell>
          <cell r="V25">
            <v>46011</v>
          </cell>
          <cell r="W25">
            <v>46012</v>
          </cell>
          <cell r="X25">
            <v>46013</v>
          </cell>
          <cell r="Y25">
            <v>46014</v>
          </cell>
          <cell r="Z25">
            <v>46015</v>
          </cell>
          <cell r="AA25">
            <v>46016</v>
          </cell>
          <cell r="AB25">
            <v>46017</v>
          </cell>
          <cell r="AC25">
            <v>46018</v>
          </cell>
          <cell r="AD25">
            <v>46019</v>
          </cell>
          <cell r="AE25">
            <v>46020</v>
          </cell>
          <cell r="AF25">
            <v>46021</v>
          </cell>
          <cell r="AG25">
            <v>46022</v>
          </cell>
          <cell r="AH25" t="str">
            <v>CANTIDADES</v>
          </cell>
          <cell r="AI25"/>
          <cell r="AJ25"/>
        </row>
        <row r="26">
          <cell r="B26" t="str">
            <v>PROCESO PK</v>
          </cell>
          <cell r="C26">
            <v>90</v>
          </cell>
          <cell r="D26">
            <v>90</v>
          </cell>
          <cell r="E26">
            <v>90</v>
          </cell>
          <cell r="F26">
            <v>90</v>
          </cell>
          <cell r="G26">
            <v>90</v>
          </cell>
          <cell r="H26">
            <v>90</v>
          </cell>
          <cell r="I26">
            <v>90</v>
          </cell>
          <cell r="J26">
            <v>90</v>
          </cell>
          <cell r="K26">
            <v>90</v>
          </cell>
          <cell r="L26">
            <v>100</v>
          </cell>
          <cell r="M26">
            <v>100</v>
          </cell>
          <cell r="N26">
            <v>100</v>
          </cell>
          <cell r="O26">
            <v>100</v>
          </cell>
          <cell r="P26">
            <v>100</v>
          </cell>
          <cell r="Q26">
            <v>100</v>
          </cell>
          <cell r="R26">
            <v>90</v>
          </cell>
          <cell r="S26">
            <v>100</v>
          </cell>
          <cell r="T26">
            <v>100</v>
          </cell>
          <cell r="U26">
            <v>100</v>
          </cell>
          <cell r="V26">
            <v>100</v>
          </cell>
          <cell r="W26">
            <v>100</v>
          </cell>
          <cell r="X26">
            <v>100</v>
          </cell>
          <cell r="Y26">
            <v>100</v>
          </cell>
          <cell r="Z26">
            <v>100</v>
          </cell>
          <cell r="AA26">
            <v>100</v>
          </cell>
          <cell r="AB26">
            <v>100</v>
          </cell>
          <cell r="AC26">
            <v>100</v>
          </cell>
          <cell r="AD26">
            <v>100</v>
          </cell>
          <cell r="AE26">
            <v>100</v>
          </cell>
          <cell r="AF26">
            <v>100</v>
          </cell>
          <cell r="AG26">
            <v>100</v>
          </cell>
          <cell r="AH26">
            <v>3000</v>
          </cell>
          <cell r="AI26" t="str">
            <v>PK</v>
          </cell>
          <cell r="AJ26"/>
        </row>
        <row r="27">
          <cell r="B27">
            <v>0.41</v>
          </cell>
          <cell r="C27">
            <v>38.225999999999999</v>
          </cell>
          <cell r="D27">
            <v>36.9</v>
          </cell>
          <cell r="E27">
            <v>36.9</v>
          </cell>
          <cell r="F27">
            <v>36.9</v>
          </cell>
          <cell r="G27">
            <v>36.9</v>
          </cell>
          <cell r="H27">
            <v>36.9</v>
          </cell>
          <cell r="I27">
            <v>36.9</v>
          </cell>
          <cell r="J27">
            <v>36.9</v>
          </cell>
          <cell r="K27">
            <v>36.9</v>
          </cell>
          <cell r="L27">
            <v>41</v>
          </cell>
          <cell r="M27">
            <v>41</v>
          </cell>
          <cell r="N27">
            <v>41</v>
          </cell>
          <cell r="O27">
            <v>41</v>
          </cell>
          <cell r="P27">
            <v>41</v>
          </cell>
          <cell r="Q27">
            <v>41</v>
          </cell>
          <cell r="R27">
            <v>36.9</v>
          </cell>
          <cell r="S27">
            <v>41</v>
          </cell>
          <cell r="T27">
            <v>41</v>
          </cell>
          <cell r="U27">
            <v>41</v>
          </cell>
          <cell r="V27">
            <v>41</v>
          </cell>
          <cell r="W27">
            <v>41</v>
          </cell>
          <cell r="X27">
            <v>41</v>
          </cell>
          <cell r="Y27">
            <v>41</v>
          </cell>
          <cell r="Z27">
            <v>41</v>
          </cell>
          <cell r="AA27">
            <v>41</v>
          </cell>
          <cell r="AB27">
            <v>41</v>
          </cell>
          <cell r="AC27">
            <v>41</v>
          </cell>
          <cell r="AD27">
            <v>41</v>
          </cell>
          <cell r="AE27">
            <v>41</v>
          </cell>
          <cell r="AF27">
            <v>41</v>
          </cell>
          <cell r="AG27">
            <v>41</v>
          </cell>
          <cell r="AH27">
            <v>1231.326</v>
          </cell>
          <cell r="AI27" t="str">
            <v>KPO</v>
          </cell>
          <cell r="AJ27"/>
        </row>
        <row r="28">
          <cell r="B28"/>
          <cell r="C28"/>
          <cell r="D28"/>
          <cell r="E28"/>
          <cell r="F28"/>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row>
        <row r="29">
          <cell r="B29"/>
          <cell r="C29">
            <v>100</v>
          </cell>
          <cell r="D29">
            <v>102</v>
          </cell>
          <cell r="E29">
            <v>109.25</v>
          </cell>
          <cell r="F29">
            <v>121.5</v>
          </cell>
          <cell r="G29">
            <v>133.75</v>
          </cell>
          <cell r="H29">
            <v>153.75</v>
          </cell>
          <cell r="I29">
            <v>105.25</v>
          </cell>
          <cell r="J29">
            <v>15.25</v>
          </cell>
          <cell r="K29">
            <v>-5.25</v>
          </cell>
          <cell r="L29">
            <v>-4</v>
          </cell>
          <cell r="M29">
            <v>4</v>
          </cell>
          <cell r="N29">
            <v>19.650000000000006</v>
          </cell>
          <cell r="O29">
            <v>35.300000000000011</v>
          </cell>
          <cell r="P29">
            <v>14.800000000000011</v>
          </cell>
          <cell r="Q29">
            <v>-4.4499999999999886</v>
          </cell>
          <cell r="R29">
            <v>10.800000000000011</v>
          </cell>
          <cell r="S29">
            <v>18.300000000000011</v>
          </cell>
          <cell r="T29">
            <v>28.300000000000011</v>
          </cell>
          <cell r="U29">
            <v>38.300000000000011</v>
          </cell>
          <cell r="V29">
            <v>48.300000000000011</v>
          </cell>
          <cell r="W29">
            <v>12.800000000000011</v>
          </cell>
          <cell r="X29">
            <v>-23.199999999999989</v>
          </cell>
          <cell r="Y29">
            <v>-10.699999999999989</v>
          </cell>
          <cell r="Z29">
            <v>-20.949999999999989</v>
          </cell>
          <cell r="AA29">
            <v>-120.94999999999999</v>
          </cell>
          <cell r="AB29">
            <v>-110.04999999999998</v>
          </cell>
          <cell r="AC29">
            <v>-99.149999999999977</v>
          </cell>
          <cell r="AD29">
            <v>-166.45</v>
          </cell>
          <cell r="AE29">
            <v>-139.29999999999998</v>
          </cell>
          <cell r="AF29">
            <v>-85.649999999999977</v>
          </cell>
          <cell r="AG29"/>
          <cell r="AH29"/>
          <cell r="AI29"/>
          <cell r="AJ29"/>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k_Aceites"/>
      <sheetName val="SINU_TANQUE1"/>
      <sheetName val="SINU_TANQUE2"/>
      <sheetName val="Inf_Diairo_SINU"/>
      <sheetName val="BD Sinu"/>
      <sheetName val="Medidas_Sinu"/>
      <sheetName val="Aforo_Sinu"/>
      <sheetName val="SINU_TANQUE 2"/>
      <sheetName val="SINU_TANQUE 1"/>
      <sheetName val="Inf_Diaro_CPO_GEO"/>
      <sheetName val="Base de Datos"/>
      <sheetName val="Medidas_Tn_Alm"/>
      <sheetName val="Calidad Tnk"/>
      <sheetName val="Tk_3"/>
      <sheetName val="Tk_4"/>
      <sheetName val="Tabla Densidad"/>
      <sheetName val="tanque3"/>
      <sheetName val="tanque4"/>
      <sheetName val="CZZ_tanque2"/>
      <sheetName val="Tnk_15"/>
      <sheetName val="Tk_2"/>
      <sheetName val="Tnk_6"/>
      <sheetName val="CZZ_Tanque_6"/>
      <sheetName val="ANEXO TABLA"/>
      <sheetName val="AGC_Aforo_TK1"/>
      <sheetName val="AGC_Aforo_TK2"/>
      <sheetName val="MLB_Aforo_TK1"/>
      <sheetName val="MLB_Aforo_TK2"/>
    </sheetNames>
    <sheetDataSet>
      <sheetData sheetId="0"/>
      <sheetData sheetId="1"/>
      <sheetData sheetId="2"/>
      <sheetData sheetId="3"/>
      <sheetData sheetId="4">
        <row r="5">
          <cell r="A5">
            <v>45992</v>
          </cell>
          <cell r="B5">
            <v>50379</v>
          </cell>
          <cell r="C5">
            <v>0</v>
          </cell>
          <cell r="D5">
            <v>0</v>
          </cell>
          <cell r="E5">
            <v>0</v>
          </cell>
          <cell r="F5">
            <v>0</v>
          </cell>
          <cell r="G5">
            <v>0</v>
          </cell>
          <cell r="H5">
            <v>0</v>
          </cell>
          <cell r="I5" t="e">
            <v>#N/A</v>
          </cell>
          <cell r="J5" t="e">
            <v>#DIV/0!</v>
          </cell>
          <cell r="K5">
            <v>50379</v>
          </cell>
          <cell r="L5" t="str">
            <v>n/a</v>
          </cell>
          <cell r="M5" t="str">
            <v>n/a</v>
          </cell>
          <cell r="N5" t="str">
            <v>n/a</v>
          </cell>
          <cell r="O5">
            <v>0</v>
          </cell>
        </row>
        <row r="6">
          <cell r="A6">
            <v>45993</v>
          </cell>
          <cell r="B6">
            <v>50379</v>
          </cell>
          <cell r="C6">
            <v>34340</v>
          </cell>
          <cell r="D6">
            <v>34340</v>
          </cell>
          <cell r="E6">
            <v>52166</v>
          </cell>
          <cell r="F6">
            <v>52166</v>
          </cell>
          <cell r="G6">
            <v>324000</v>
          </cell>
          <cell r="H6">
            <v>324000</v>
          </cell>
          <cell r="I6">
            <v>0.16100617283950616</v>
          </cell>
          <cell r="J6">
            <v>0.16100617283950616</v>
          </cell>
          <cell r="K6">
            <v>68205</v>
          </cell>
          <cell r="L6" t="str">
            <v>n/a</v>
          </cell>
          <cell r="M6" t="str">
            <v>n/a</v>
          </cell>
          <cell r="N6" t="str">
            <v>n/a</v>
          </cell>
          <cell r="O6">
            <v>0</v>
          </cell>
        </row>
        <row r="7">
          <cell r="A7">
            <v>45994</v>
          </cell>
          <cell r="B7">
            <v>68205</v>
          </cell>
          <cell r="C7">
            <v>0</v>
          </cell>
          <cell r="D7">
            <v>34340</v>
          </cell>
          <cell r="E7">
            <v>27033</v>
          </cell>
          <cell r="F7">
            <v>79199</v>
          </cell>
          <cell r="G7">
            <v>148500</v>
          </cell>
          <cell r="H7">
            <v>472500</v>
          </cell>
          <cell r="I7">
            <v>0.18204040404040403</v>
          </cell>
          <cell r="J7">
            <v>0.16761693121693122</v>
          </cell>
          <cell r="K7">
            <v>95238</v>
          </cell>
          <cell r="L7" t="str">
            <v>n/a</v>
          </cell>
          <cell r="M7" t="str">
            <v>n/a</v>
          </cell>
          <cell r="N7" t="str">
            <v>n/a</v>
          </cell>
          <cell r="O7">
            <v>0</v>
          </cell>
        </row>
        <row r="8">
          <cell r="A8">
            <v>45995</v>
          </cell>
          <cell r="B8">
            <v>95238</v>
          </cell>
          <cell r="C8">
            <v>34740</v>
          </cell>
          <cell r="D8">
            <v>69080</v>
          </cell>
          <cell r="E8">
            <v>74626</v>
          </cell>
          <cell r="F8">
            <v>153825</v>
          </cell>
          <cell r="G8">
            <v>391500</v>
          </cell>
          <cell r="H8">
            <v>864000</v>
          </cell>
          <cell r="I8">
            <v>0.19061558109833973</v>
          </cell>
          <cell r="J8">
            <v>0.17803819444444444</v>
          </cell>
          <cell r="K8">
            <v>135124</v>
          </cell>
          <cell r="L8" t="str">
            <v>n/a</v>
          </cell>
          <cell r="M8" t="str">
            <v>n/a</v>
          </cell>
          <cell r="N8" t="str">
            <v>n/a</v>
          </cell>
          <cell r="O8">
            <v>0</v>
          </cell>
        </row>
        <row r="9">
          <cell r="A9">
            <v>45996</v>
          </cell>
          <cell r="B9">
            <v>135124</v>
          </cell>
          <cell r="C9">
            <v>0</v>
          </cell>
          <cell r="D9">
            <v>69080</v>
          </cell>
          <cell r="E9">
            <v>66634</v>
          </cell>
          <cell r="F9">
            <v>220459</v>
          </cell>
          <cell r="G9">
            <v>351000</v>
          </cell>
          <cell r="H9">
            <v>1215000</v>
          </cell>
          <cell r="I9">
            <v>0.18984045584045584</v>
          </cell>
          <cell r="J9">
            <v>0.18144773662551442</v>
          </cell>
          <cell r="K9">
            <v>201758</v>
          </cell>
          <cell r="L9" t="str">
            <v>n/a</v>
          </cell>
          <cell r="M9" t="str">
            <v>n/a</v>
          </cell>
          <cell r="N9" t="str">
            <v>n/a</v>
          </cell>
          <cell r="O9">
            <v>0</v>
          </cell>
        </row>
        <row r="10">
          <cell r="A10">
            <v>45997</v>
          </cell>
          <cell r="B10">
            <v>201758</v>
          </cell>
          <cell r="C10">
            <v>33240</v>
          </cell>
          <cell r="D10">
            <v>102320</v>
          </cell>
          <cell r="E10">
            <v>82781</v>
          </cell>
          <cell r="F10">
            <v>303240</v>
          </cell>
          <cell r="G10">
            <v>351000</v>
          </cell>
          <cell r="H10">
            <v>1566000</v>
          </cell>
          <cell r="I10">
            <v>0.23584330484330485</v>
          </cell>
          <cell r="J10">
            <v>0.19363984674329501</v>
          </cell>
          <cell r="K10">
            <v>251299</v>
          </cell>
          <cell r="L10" t="str">
            <v>n/a</v>
          </cell>
          <cell r="M10" t="str">
            <v>n/a</v>
          </cell>
          <cell r="N10" t="str">
            <v>n/a</v>
          </cell>
          <cell r="O10">
            <v>0</v>
          </cell>
        </row>
        <row r="11">
          <cell r="A11">
            <v>45998</v>
          </cell>
          <cell r="B11">
            <v>251299</v>
          </cell>
          <cell r="C11">
            <v>68810</v>
          </cell>
          <cell r="D11">
            <v>171130</v>
          </cell>
          <cell r="E11">
            <v>0</v>
          </cell>
          <cell r="F11">
            <v>303240</v>
          </cell>
          <cell r="G11">
            <v>0</v>
          </cell>
          <cell r="H11">
            <v>1566000</v>
          </cell>
          <cell r="I11" t="e">
            <v>#N/A</v>
          </cell>
          <cell r="J11">
            <v>0.19363984674329501</v>
          </cell>
          <cell r="K11">
            <v>182489</v>
          </cell>
          <cell r="L11" t="str">
            <v>n/a</v>
          </cell>
          <cell r="M11" t="str">
            <v>n/a</v>
          </cell>
          <cell r="N11" t="str">
            <v>n/a</v>
          </cell>
          <cell r="O11">
            <v>0</v>
          </cell>
        </row>
        <row r="12">
          <cell r="A12">
            <v>45999</v>
          </cell>
          <cell r="B12">
            <v>182489</v>
          </cell>
          <cell r="C12">
            <v>0</v>
          </cell>
          <cell r="D12">
            <v>171130</v>
          </cell>
          <cell r="E12">
            <v>0</v>
          </cell>
          <cell r="F12">
            <v>303240</v>
          </cell>
          <cell r="G12">
            <v>0</v>
          </cell>
          <cell r="H12">
            <v>1566000</v>
          </cell>
          <cell r="I12" t="e">
            <v>#N/A</v>
          </cell>
          <cell r="J12">
            <v>0.19363984674329501</v>
          </cell>
          <cell r="K12">
            <v>182489</v>
          </cell>
          <cell r="L12" t="str">
            <v>n/a</v>
          </cell>
          <cell r="M12" t="str">
            <v>n/a</v>
          </cell>
          <cell r="N12" t="str">
            <v>n/a</v>
          </cell>
          <cell r="O12">
            <v>0</v>
          </cell>
        </row>
        <row r="13">
          <cell r="A13">
            <v>46000</v>
          </cell>
          <cell r="B13">
            <v>182489</v>
          </cell>
          <cell r="C13">
            <v>34410</v>
          </cell>
          <cell r="D13">
            <v>205540</v>
          </cell>
          <cell r="E13">
            <v>0</v>
          </cell>
          <cell r="F13">
            <v>303240</v>
          </cell>
          <cell r="G13">
            <v>0</v>
          </cell>
          <cell r="H13">
            <v>1566000</v>
          </cell>
          <cell r="I13" t="e">
            <v>#N/A</v>
          </cell>
          <cell r="J13">
            <v>0.19363984674329501</v>
          </cell>
          <cell r="K13">
            <v>148079</v>
          </cell>
          <cell r="L13" t="str">
            <v>n/a</v>
          </cell>
          <cell r="M13" t="str">
            <v>n/a</v>
          </cell>
          <cell r="N13" t="str">
            <v>n/a</v>
          </cell>
          <cell r="O13">
            <v>0</v>
          </cell>
        </row>
        <row r="14">
          <cell r="A14">
            <v>46001</v>
          </cell>
          <cell r="B14">
            <v>148079</v>
          </cell>
          <cell r="C14">
            <v>33870</v>
          </cell>
          <cell r="D14">
            <v>239410</v>
          </cell>
          <cell r="E14">
            <v>0</v>
          </cell>
          <cell r="F14">
            <v>303240</v>
          </cell>
          <cell r="G14">
            <v>0</v>
          </cell>
          <cell r="H14">
            <v>1566000</v>
          </cell>
          <cell r="I14" t="e">
            <v>#N/A</v>
          </cell>
          <cell r="J14">
            <v>0.19363984674329501</v>
          </cell>
          <cell r="K14">
            <v>114209</v>
          </cell>
          <cell r="L14" t="str">
            <v>n/a</v>
          </cell>
          <cell r="M14" t="str">
            <v>n/a</v>
          </cell>
          <cell r="N14" t="str">
            <v>n/a</v>
          </cell>
          <cell r="O14">
            <v>0</v>
          </cell>
        </row>
        <row r="15">
          <cell r="A15">
            <v>46002</v>
          </cell>
          <cell r="B15">
            <v>114209</v>
          </cell>
          <cell r="C15">
            <v>0</v>
          </cell>
          <cell r="D15">
            <v>239410</v>
          </cell>
          <cell r="E15">
            <v>7396</v>
          </cell>
          <cell r="F15">
            <v>310636</v>
          </cell>
          <cell r="G15">
            <v>108000</v>
          </cell>
          <cell r="H15">
            <v>1674000</v>
          </cell>
          <cell r="I15">
            <v>6.8481481481481477E-2</v>
          </cell>
          <cell r="J15">
            <v>0.18556511350059737</v>
          </cell>
          <cell r="K15">
            <v>121605</v>
          </cell>
          <cell r="L15" t="str">
            <v>n/a</v>
          </cell>
          <cell r="M15" t="str">
            <v>n/a</v>
          </cell>
          <cell r="N15" t="str">
            <v>n/a</v>
          </cell>
          <cell r="O15">
            <v>0</v>
          </cell>
        </row>
        <row r="16">
          <cell r="A16">
            <v>46003</v>
          </cell>
          <cell r="B16">
            <v>121605</v>
          </cell>
          <cell r="C16"/>
          <cell r="D16">
            <v>239410</v>
          </cell>
          <cell r="E16" t="e">
            <v>#VALUE!</v>
          </cell>
          <cell r="F16" t="e">
            <v>#VALUE!</v>
          </cell>
          <cell r="G16"/>
          <cell r="H16">
            <v>1674000</v>
          </cell>
          <cell r="I16" t="e">
            <v>#N/A</v>
          </cell>
          <cell r="J16" t="e">
            <v>#VALUE!</v>
          </cell>
          <cell r="K16" t="e">
            <v>#VALUE!</v>
          </cell>
          <cell r="L16" t="str">
            <v>n/a</v>
          </cell>
          <cell r="M16" t="str">
            <v>n/a</v>
          </cell>
          <cell r="N16" t="str">
            <v>n/a</v>
          </cell>
          <cell r="O16">
            <v>0</v>
          </cell>
        </row>
        <row r="17">
          <cell r="A17">
            <v>46004</v>
          </cell>
          <cell r="B17" t="e">
            <v>#VALUE!</v>
          </cell>
          <cell r="C17"/>
          <cell r="D17">
            <v>239410</v>
          </cell>
          <cell r="E17" t="e">
            <v>#VALUE!</v>
          </cell>
          <cell r="F17" t="e">
            <v>#VALUE!</v>
          </cell>
          <cell r="G17"/>
          <cell r="H17">
            <v>1674000</v>
          </cell>
          <cell r="I17" t="e">
            <v>#N/A</v>
          </cell>
          <cell r="J17" t="e">
            <v>#VALUE!</v>
          </cell>
          <cell r="K17" t="e">
            <v>#VALUE!</v>
          </cell>
          <cell r="L17" t="str">
            <v>n/a</v>
          </cell>
          <cell r="M17" t="str">
            <v>n/a</v>
          </cell>
          <cell r="N17" t="str">
            <v>n/a</v>
          </cell>
          <cell r="O17">
            <v>0</v>
          </cell>
        </row>
        <row r="18">
          <cell r="A18">
            <v>46005</v>
          </cell>
          <cell r="B18" t="e">
            <v>#VALUE!</v>
          </cell>
          <cell r="C18"/>
          <cell r="D18">
            <v>239410</v>
          </cell>
          <cell r="E18" t="e">
            <v>#VALUE!</v>
          </cell>
          <cell r="F18" t="e">
            <v>#VALUE!</v>
          </cell>
          <cell r="G18"/>
          <cell r="H18">
            <v>1674000</v>
          </cell>
          <cell r="I18" t="e">
            <v>#N/A</v>
          </cell>
          <cell r="J18" t="e">
            <v>#VALUE!</v>
          </cell>
          <cell r="K18" t="e">
            <v>#VALUE!</v>
          </cell>
          <cell r="L18" t="str">
            <v>n/a</v>
          </cell>
          <cell r="M18" t="str">
            <v>n/a</v>
          </cell>
          <cell r="N18" t="str">
            <v>n/a</v>
          </cell>
          <cell r="O18">
            <v>0</v>
          </cell>
        </row>
        <row r="19">
          <cell r="A19">
            <v>46006</v>
          </cell>
          <cell r="B19" t="e">
            <v>#VALUE!</v>
          </cell>
          <cell r="C19"/>
          <cell r="D19">
            <v>239410</v>
          </cell>
          <cell r="E19" t="e">
            <v>#VALUE!</v>
          </cell>
          <cell r="F19" t="e">
            <v>#VALUE!</v>
          </cell>
          <cell r="G19"/>
          <cell r="H19">
            <v>1674000</v>
          </cell>
          <cell r="I19" t="e">
            <v>#N/A</v>
          </cell>
          <cell r="J19" t="e">
            <v>#VALUE!</v>
          </cell>
          <cell r="K19" t="e">
            <v>#VALUE!</v>
          </cell>
          <cell r="L19" t="str">
            <v>n/a</v>
          </cell>
          <cell r="M19" t="str">
            <v>n/a</v>
          </cell>
          <cell r="N19" t="str">
            <v>n/a</v>
          </cell>
          <cell r="O19">
            <v>0</v>
          </cell>
        </row>
        <row r="20">
          <cell r="A20">
            <v>46007</v>
          </cell>
          <cell r="B20" t="e">
            <v>#VALUE!</v>
          </cell>
          <cell r="C20"/>
          <cell r="D20">
            <v>239410</v>
          </cell>
          <cell r="E20" t="e">
            <v>#VALUE!</v>
          </cell>
          <cell r="F20" t="e">
            <v>#VALUE!</v>
          </cell>
          <cell r="G20"/>
          <cell r="H20">
            <v>1674000</v>
          </cell>
          <cell r="I20" t="e">
            <v>#N/A</v>
          </cell>
          <cell r="J20" t="e">
            <v>#VALUE!</v>
          </cell>
          <cell r="K20" t="e">
            <v>#VALUE!</v>
          </cell>
          <cell r="L20" t="str">
            <v>n/a</v>
          </cell>
          <cell r="M20" t="str">
            <v>n/a</v>
          </cell>
          <cell r="N20" t="str">
            <v>n/a</v>
          </cell>
          <cell r="O20">
            <v>0</v>
          </cell>
          <cell r="P20"/>
        </row>
        <row r="21">
          <cell r="A21">
            <v>46008</v>
          </cell>
          <cell r="B21" t="e">
            <v>#VALUE!</v>
          </cell>
          <cell r="C21"/>
          <cell r="D21">
            <v>239410</v>
          </cell>
          <cell r="E21" t="e">
            <v>#VALUE!</v>
          </cell>
          <cell r="F21" t="e">
            <v>#VALUE!</v>
          </cell>
          <cell r="G21"/>
          <cell r="H21">
            <v>1674000</v>
          </cell>
          <cell r="I21" t="e">
            <v>#N/A</v>
          </cell>
          <cell r="J21" t="e">
            <v>#VALUE!</v>
          </cell>
          <cell r="K21" t="e">
            <v>#VALUE!</v>
          </cell>
          <cell r="L21" t="str">
            <v>n/a</v>
          </cell>
          <cell r="M21" t="str">
            <v>n/a</v>
          </cell>
          <cell r="N21" t="str">
            <v>n/a</v>
          </cell>
          <cell r="O21">
            <v>0</v>
          </cell>
        </row>
        <row r="22">
          <cell r="A22">
            <v>46009</v>
          </cell>
          <cell r="B22" t="e">
            <v>#VALUE!</v>
          </cell>
          <cell r="C22"/>
          <cell r="D22">
            <v>239410</v>
          </cell>
          <cell r="E22" t="e">
            <v>#VALUE!</v>
          </cell>
          <cell r="F22" t="e">
            <v>#VALUE!</v>
          </cell>
          <cell r="G22"/>
          <cell r="H22">
            <v>1674000</v>
          </cell>
          <cell r="I22" t="e">
            <v>#N/A</v>
          </cell>
          <cell r="J22" t="e">
            <v>#VALUE!</v>
          </cell>
          <cell r="K22" t="e">
            <v>#VALUE!</v>
          </cell>
          <cell r="L22" t="str">
            <v>n/a</v>
          </cell>
          <cell r="M22" t="str">
            <v>n/a</v>
          </cell>
          <cell r="N22" t="str">
            <v>n/a</v>
          </cell>
          <cell r="O22">
            <v>0</v>
          </cell>
        </row>
        <row r="23">
          <cell r="A23">
            <v>46010</v>
          </cell>
          <cell r="B23" t="e">
            <v>#VALUE!</v>
          </cell>
          <cell r="C23"/>
          <cell r="D23">
            <v>239410</v>
          </cell>
          <cell r="E23" t="e">
            <v>#VALUE!</v>
          </cell>
          <cell r="F23" t="e">
            <v>#VALUE!</v>
          </cell>
          <cell r="G23"/>
          <cell r="H23">
            <v>1674000</v>
          </cell>
          <cell r="I23" t="e">
            <v>#N/A</v>
          </cell>
          <cell r="J23" t="e">
            <v>#VALUE!</v>
          </cell>
          <cell r="K23" t="e">
            <v>#VALUE!</v>
          </cell>
          <cell r="L23" t="str">
            <v>n/a</v>
          </cell>
          <cell r="M23" t="str">
            <v>n/a</v>
          </cell>
          <cell r="N23" t="str">
            <v>n/a</v>
          </cell>
          <cell r="O23">
            <v>0</v>
          </cell>
        </row>
        <row r="24">
          <cell r="A24">
            <v>46011</v>
          </cell>
          <cell r="B24" t="e">
            <v>#VALUE!</v>
          </cell>
          <cell r="C24"/>
          <cell r="D24">
            <v>239410</v>
          </cell>
          <cell r="E24" t="e">
            <v>#VALUE!</v>
          </cell>
          <cell r="F24" t="e">
            <v>#VALUE!</v>
          </cell>
          <cell r="G24"/>
          <cell r="H24">
            <v>1674000</v>
          </cell>
          <cell r="I24" t="e">
            <v>#N/A</v>
          </cell>
          <cell r="J24" t="e">
            <v>#VALUE!</v>
          </cell>
          <cell r="K24" t="e">
            <v>#VALUE!</v>
          </cell>
          <cell r="L24" t="str">
            <v>n/a</v>
          </cell>
          <cell r="M24" t="str">
            <v>n/a</v>
          </cell>
          <cell r="N24" t="str">
            <v>n/a</v>
          </cell>
          <cell r="O24">
            <v>0</v>
          </cell>
        </row>
        <row r="25">
          <cell r="A25">
            <v>46012</v>
          </cell>
          <cell r="B25" t="e">
            <v>#VALUE!</v>
          </cell>
          <cell r="C25"/>
          <cell r="D25">
            <v>239410</v>
          </cell>
          <cell r="E25" t="e">
            <v>#VALUE!</v>
          </cell>
          <cell r="F25" t="e">
            <v>#VALUE!</v>
          </cell>
          <cell r="G25"/>
          <cell r="H25">
            <v>1674000</v>
          </cell>
          <cell r="I25" t="e">
            <v>#N/A</v>
          </cell>
          <cell r="J25" t="e">
            <v>#VALUE!</v>
          </cell>
          <cell r="K25" t="e">
            <v>#VALUE!</v>
          </cell>
          <cell r="L25" t="str">
            <v>n/a</v>
          </cell>
          <cell r="M25" t="str">
            <v>n/a</v>
          </cell>
          <cell r="N25" t="str">
            <v>n/a</v>
          </cell>
          <cell r="O25">
            <v>0</v>
          </cell>
        </row>
        <row r="26">
          <cell r="A26">
            <v>46013</v>
          </cell>
          <cell r="B26" t="e">
            <v>#VALUE!</v>
          </cell>
          <cell r="C26"/>
          <cell r="D26">
            <v>239410</v>
          </cell>
          <cell r="E26" t="e">
            <v>#VALUE!</v>
          </cell>
          <cell r="F26" t="e">
            <v>#VALUE!</v>
          </cell>
          <cell r="G26"/>
          <cell r="H26">
            <v>1674000</v>
          </cell>
          <cell r="I26" t="e">
            <v>#N/A</v>
          </cell>
          <cell r="J26" t="e">
            <v>#VALUE!</v>
          </cell>
          <cell r="K26" t="e">
            <v>#VALUE!</v>
          </cell>
          <cell r="L26" t="str">
            <v>n/a</v>
          </cell>
          <cell r="M26" t="str">
            <v>n/a</v>
          </cell>
          <cell r="N26" t="str">
            <v>n/a</v>
          </cell>
          <cell r="O26">
            <v>0</v>
          </cell>
        </row>
        <row r="27">
          <cell r="A27">
            <v>46014</v>
          </cell>
          <cell r="B27" t="e">
            <v>#VALUE!</v>
          </cell>
          <cell r="C27"/>
          <cell r="D27">
            <v>239410</v>
          </cell>
          <cell r="E27" t="e">
            <v>#VALUE!</v>
          </cell>
          <cell r="F27" t="e">
            <v>#VALUE!</v>
          </cell>
          <cell r="G27"/>
          <cell r="H27">
            <v>1674000</v>
          </cell>
          <cell r="I27" t="e">
            <v>#N/A</v>
          </cell>
          <cell r="J27" t="e">
            <v>#VALUE!</v>
          </cell>
          <cell r="K27" t="e">
            <v>#VALUE!</v>
          </cell>
          <cell r="L27" t="str">
            <v>n/a</v>
          </cell>
          <cell r="M27" t="str">
            <v>n/a</v>
          </cell>
          <cell r="N27" t="str">
            <v>n/a</v>
          </cell>
          <cell r="O27">
            <v>0</v>
          </cell>
        </row>
        <row r="28">
          <cell r="A28">
            <v>46015</v>
          </cell>
          <cell r="B28" t="e">
            <v>#VALUE!</v>
          </cell>
          <cell r="C28"/>
          <cell r="D28">
            <v>239410</v>
          </cell>
          <cell r="E28" t="e">
            <v>#VALUE!</v>
          </cell>
          <cell r="F28" t="e">
            <v>#VALUE!</v>
          </cell>
          <cell r="G28"/>
          <cell r="H28">
            <v>1674000</v>
          </cell>
          <cell r="I28" t="e">
            <v>#N/A</v>
          </cell>
          <cell r="J28" t="e">
            <v>#VALUE!</v>
          </cell>
          <cell r="K28" t="e">
            <v>#VALUE!</v>
          </cell>
          <cell r="L28" t="str">
            <v>n/a</v>
          </cell>
          <cell r="M28" t="str">
            <v>n/a</v>
          </cell>
          <cell r="N28" t="str">
            <v>n/a</v>
          </cell>
          <cell r="O28">
            <v>0</v>
          </cell>
        </row>
        <row r="29">
          <cell r="A29">
            <v>46016</v>
          </cell>
          <cell r="B29" t="e">
            <v>#VALUE!</v>
          </cell>
          <cell r="C29"/>
          <cell r="D29">
            <v>239410</v>
          </cell>
          <cell r="E29" t="e">
            <v>#VALUE!</v>
          </cell>
          <cell r="F29" t="e">
            <v>#VALUE!</v>
          </cell>
          <cell r="G29"/>
          <cell r="H29">
            <v>1674000</v>
          </cell>
          <cell r="I29" t="e">
            <v>#N/A</v>
          </cell>
          <cell r="J29" t="e">
            <v>#VALUE!</v>
          </cell>
          <cell r="K29" t="e">
            <v>#VALUE!</v>
          </cell>
          <cell r="L29" t="str">
            <v>n/a</v>
          </cell>
          <cell r="M29" t="str">
            <v>n/a</v>
          </cell>
          <cell r="N29" t="str">
            <v>n/a</v>
          </cell>
          <cell r="O29">
            <v>0</v>
          </cell>
        </row>
        <row r="30">
          <cell r="A30">
            <v>46017</v>
          </cell>
          <cell r="B30" t="e">
            <v>#VALUE!</v>
          </cell>
          <cell r="C30"/>
          <cell r="D30">
            <v>239410</v>
          </cell>
          <cell r="E30" t="e">
            <v>#VALUE!</v>
          </cell>
          <cell r="F30" t="e">
            <v>#VALUE!</v>
          </cell>
          <cell r="G30"/>
          <cell r="H30">
            <v>1674000</v>
          </cell>
          <cell r="I30" t="e">
            <v>#N/A</v>
          </cell>
          <cell r="J30" t="e">
            <v>#VALUE!</v>
          </cell>
          <cell r="K30" t="e">
            <v>#VALUE!</v>
          </cell>
          <cell r="L30" t="str">
            <v>n/a</v>
          </cell>
          <cell r="M30" t="str">
            <v>n/a</v>
          </cell>
          <cell r="N30" t="str">
            <v>n/a</v>
          </cell>
          <cell r="O30">
            <v>0</v>
          </cell>
        </row>
        <row r="31">
          <cell r="A31">
            <v>46018</v>
          </cell>
          <cell r="B31" t="e">
            <v>#VALUE!</v>
          </cell>
          <cell r="C31"/>
          <cell r="D31">
            <v>239410</v>
          </cell>
          <cell r="E31" t="e">
            <v>#VALUE!</v>
          </cell>
          <cell r="F31" t="e">
            <v>#VALUE!</v>
          </cell>
          <cell r="G31"/>
          <cell r="H31">
            <v>1674000</v>
          </cell>
          <cell r="I31" t="e">
            <v>#N/A</v>
          </cell>
          <cell r="J31" t="e">
            <v>#VALUE!</v>
          </cell>
          <cell r="K31" t="e">
            <v>#VALUE!</v>
          </cell>
          <cell r="L31" t="str">
            <v>n/a</v>
          </cell>
          <cell r="M31" t="str">
            <v>n/a</v>
          </cell>
          <cell r="N31" t="str">
            <v>n/a</v>
          </cell>
          <cell r="O31">
            <v>0</v>
          </cell>
        </row>
        <row r="32">
          <cell r="A32">
            <v>46019</v>
          </cell>
          <cell r="B32" t="e">
            <v>#VALUE!</v>
          </cell>
          <cell r="C32"/>
          <cell r="D32">
            <v>239410</v>
          </cell>
          <cell r="E32" t="e">
            <v>#VALUE!</v>
          </cell>
          <cell r="F32" t="e">
            <v>#VALUE!</v>
          </cell>
          <cell r="G32"/>
          <cell r="H32">
            <v>1674000</v>
          </cell>
          <cell r="I32" t="e">
            <v>#N/A</v>
          </cell>
          <cell r="J32" t="e">
            <v>#VALUE!</v>
          </cell>
          <cell r="K32" t="e">
            <v>#VALUE!</v>
          </cell>
          <cell r="L32" t="str">
            <v>n/a</v>
          </cell>
          <cell r="M32" t="str">
            <v>n/a</v>
          </cell>
          <cell r="N32" t="str">
            <v>n/a</v>
          </cell>
          <cell r="O32">
            <v>0</v>
          </cell>
        </row>
        <row r="33">
          <cell r="A33">
            <v>46020</v>
          </cell>
          <cell r="B33" t="e">
            <v>#VALUE!</v>
          </cell>
          <cell r="C33"/>
          <cell r="D33">
            <v>239410</v>
          </cell>
          <cell r="E33" t="e">
            <v>#VALUE!</v>
          </cell>
          <cell r="F33" t="e">
            <v>#VALUE!</v>
          </cell>
          <cell r="G33"/>
          <cell r="H33">
            <v>1674000</v>
          </cell>
          <cell r="I33" t="e">
            <v>#N/A</v>
          </cell>
          <cell r="J33" t="e">
            <v>#VALUE!</v>
          </cell>
          <cell r="K33" t="e">
            <v>#VALUE!</v>
          </cell>
          <cell r="L33" t="str">
            <v>n/a</v>
          </cell>
          <cell r="M33" t="str">
            <v>n/a</v>
          </cell>
          <cell r="N33" t="str">
            <v>n/a</v>
          </cell>
          <cell r="O33">
            <v>0</v>
          </cell>
          <cell r="P33"/>
          <cell r="Q33"/>
        </row>
        <row r="34">
          <cell r="A34">
            <v>46021</v>
          </cell>
          <cell r="B34" t="e">
            <v>#VALUE!</v>
          </cell>
          <cell r="C34"/>
          <cell r="D34">
            <v>239410</v>
          </cell>
          <cell r="E34" t="e">
            <v>#VALUE!</v>
          </cell>
          <cell r="F34" t="e">
            <v>#VALUE!</v>
          </cell>
          <cell r="G34"/>
          <cell r="H34">
            <v>1674000</v>
          </cell>
          <cell r="I34" t="e">
            <v>#N/A</v>
          </cell>
          <cell r="J34" t="e">
            <v>#VALUE!</v>
          </cell>
          <cell r="K34" t="e">
            <v>#VALUE!</v>
          </cell>
          <cell r="L34" t="str">
            <v>n/a</v>
          </cell>
          <cell r="M34" t="str">
            <v>n/a</v>
          </cell>
          <cell r="N34" t="str">
            <v>n/a</v>
          </cell>
          <cell r="O34">
            <v>0</v>
          </cell>
        </row>
        <row r="35">
          <cell r="A35">
            <v>46022</v>
          </cell>
          <cell r="B35" t="e">
            <v>#VALUE!</v>
          </cell>
          <cell r="C35"/>
          <cell r="D35">
            <v>239410</v>
          </cell>
          <cell r="E35" t="e">
            <v>#VALUE!</v>
          </cell>
          <cell r="F35" t="e">
            <v>#VALUE!</v>
          </cell>
          <cell r="G35"/>
          <cell r="H35">
            <v>1674000</v>
          </cell>
          <cell r="I35" t="e">
            <v>#N/A</v>
          </cell>
          <cell r="J35" t="e">
            <v>#VALUE!</v>
          </cell>
          <cell r="K35" t="e">
            <v>#VALUE!</v>
          </cell>
          <cell r="L35" t="str">
            <v>n/a</v>
          </cell>
          <cell r="M35" t="str">
            <v>n/a</v>
          </cell>
          <cell r="N35" t="str">
            <v>n/a</v>
          </cell>
          <cell r="O35">
            <v>0</v>
          </cell>
        </row>
      </sheetData>
      <sheetData sheetId="5"/>
      <sheetData sheetId="6"/>
      <sheetData sheetId="7"/>
      <sheetData sheetId="8"/>
      <sheetData sheetId="9"/>
      <sheetData sheetId="10">
        <row r="5">
          <cell r="A5">
            <v>45992</v>
          </cell>
          <cell r="B5">
            <v>169128</v>
          </cell>
          <cell r="C5">
            <v>0</v>
          </cell>
          <cell r="D5">
            <v>0</v>
          </cell>
          <cell r="E5">
            <v>0</v>
          </cell>
          <cell r="F5">
            <v>0</v>
          </cell>
          <cell r="G5">
            <v>0</v>
          </cell>
          <cell r="H5">
            <v>0</v>
          </cell>
          <cell r="I5" t="e">
            <v>#N/A</v>
          </cell>
          <cell r="J5" t="e">
            <v>#DIV/0!</v>
          </cell>
          <cell r="K5">
            <v>169128</v>
          </cell>
          <cell r="L5">
            <v>15852540</v>
          </cell>
          <cell r="M5">
            <v>15852540</v>
          </cell>
          <cell r="N5">
            <v>0</v>
          </cell>
          <cell r="O5">
            <v>0</v>
          </cell>
          <cell r="P5">
            <v>280522</v>
          </cell>
          <cell r="Q5">
            <v>202940</v>
          </cell>
          <cell r="R5">
            <v>202940</v>
          </cell>
          <cell r="S5">
            <v>120300</v>
          </cell>
          <cell r="T5">
            <v>120300</v>
          </cell>
          <cell r="U5">
            <v>511504</v>
          </cell>
          <cell r="V5">
            <v>511504</v>
          </cell>
          <cell r="W5">
            <v>0.23518877662735777</v>
          </cell>
          <cell r="X5">
            <v>0.23518877662735777</v>
          </cell>
          <cell r="Y5">
            <v>197882</v>
          </cell>
          <cell r="Z5"/>
          <cell r="AA5"/>
          <cell r="AB5"/>
          <cell r="AC5">
            <v>0</v>
          </cell>
          <cell r="AD5">
            <v>524304</v>
          </cell>
          <cell r="AE5">
            <v>439320</v>
          </cell>
          <cell r="AF5"/>
          <cell r="AG5">
            <v>439320</v>
          </cell>
          <cell r="AH5">
            <v>162948</v>
          </cell>
          <cell r="AI5">
            <v>162948</v>
          </cell>
          <cell r="AJ5">
            <v>701250</v>
          </cell>
          <cell r="AK5">
            <v>701250</v>
          </cell>
          <cell r="AL5">
            <v>0.23236791443850269</v>
          </cell>
          <cell r="AM5">
            <v>0.23236791443850269</v>
          </cell>
          <cell r="AN5">
            <v>709468</v>
          </cell>
          <cell r="AO5">
            <v>417104</v>
          </cell>
          <cell r="AP5">
            <v>417104</v>
          </cell>
          <cell r="AQ5">
            <v>48945416</v>
          </cell>
          <cell r="AR5">
            <v>49108364</v>
          </cell>
          <cell r="AS5">
            <v>20081474</v>
          </cell>
          <cell r="AT5">
            <v>20498578</v>
          </cell>
          <cell r="AU5">
            <v>697063</v>
          </cell>
          <cell r="AV5">
            <v>-12405</v>
          </cell>
          <cell r="AW5"/>
          <cell r="AX5">
            <v>0</v>
          </cell>
          <cell r="AY5">
            <v>283248</v>
          </cell>
          <cell r="AZ5">
            <v>283248</v>
          </cell>
          <cell r="BA5">
            <v>1212754</v>
          </cell>
          <cell r="BB5">
            <v>1212754</v>
          </cell>
          <cell r="BC5">
            <v>0.23355767121774079</v>
          </cell>
          <cell r="BD5">
            <v>0.23355767121774079</v>
          </cell>
          <cell r="BE5"/>
          <cell r="BF5"/>
          <cell r="BG5"/>
          <cell r="BH5">
            <v>0</v>
          </cell>
          <cell r="BI5"/>
          <cell r="BJ5"/>
          <cell r="BK5"/>
          <cell r="BL5">
            <v>0</v>
          </cell>
          <cell r="BM5">
            <v>0</v>
          </cell>
          <cell r="BN5"/>
          <cell r="BO5"/>
          <cell r="BP5">
            <v>0</v>
          </cell>
          <cell r="BQ5">
            <v>0</v>
          </cell>
          <cell r="BR5">
            <v>-12405</v>
          </cell>
          <cell r="BT5"/>
          <cell r="BV5">
            <v>44593</v>
          </cell>
          <cell r="BW5">
            <v>287170</v>
          </cell>
          <cell r="BX5">
            <v>287170</v>
          </cell>
          <cell r="CC5">
            <v>524304</v>
          </cell>
          <cell r="CE5">
            <v>0</v>
          </cell>
          <cell r="CF5">
            <v>0</v>
          </cell>
          <cell r="CG5">
            <v>0</v>
          </cell>
          <cell r="CH5">
            <v>162948</v>
          </cell>
          <cell r="CI5">
            <v>0</v>
          </cell>
          <cell r="CJ5">
            <v>162948</v>
          </cell>
          <cell r="CK5">
            <v>0</v>
          </cell>
          <cell r="CL5">
            <v>701250</v>
          </cell>
          <cell r="CM5">
            <v>0</v>
          </cell>
          <cell r="CN5">
            <v>701250</v>
          </cell>
          <cell r="CO5">
            <v>0</v>
          </cell>
          <cell r="CP5">
            <v>0.23236791443850269</v>
          </cell>
          <cell r="CQ5">
            <v>0</v>
          </cell>
          <cell r="CR5">
            <v>0.23236791443850269</v>
          </cell>
          <cell r="CS5">
            <v>0</v>
          </cell>
          <cell r="CT5">
            <v>709468</v>
          </cell>
          <cell r="CU5">
            <v>0</v>
          </cell>
          <cell r="CV5">
            <v>697063</v>
          </cell>
          <cell r="CW5">
            <v>0</v>
          </cell>
          <cell r="CX5">
            <v>169128</v>
          </cell>
          <cell r="CY5"/>
          <cell r="CZ5"/>
          <cell r="DA5">
            <v>0</v>
          </cell>
          <cell r="DB5">
            <v>0</v>
          </cell>
          <cell r="DC5">
            <v>0</v>
          </cell>
          <cell r="DD5">
            <v>0</v>
          </cell>
          <cell r="DE5">
            <v>0</v>
          </cell>
          <cell r="DF5">
            <v>0</v>
          </cell>
          <cell r="DG5">
            <v>0</v>
          </cell>
          <cell r="DH5">
            <v>0</v>
          </cell>
          <cell r="DI5">
            <v>0</v>
          </cell>
          <cell r="DJ5">
            <v>0</v>
          </cell>
          <cell r="DK5">
            <v>0</v>
          </cell>
          <cell r="DL5">
            <v>0</v>
          </cell>
          <cell r="DM5">
            <v>0</v>
          </cell>
          <cell r="DN5">
            <v>0</v>
          </cell>
          <cell r="DO5">
            <v>169128</v>
          </cell>
          <cell r="DP5">
            <v>0</v>
          </cell>
          <cell r="DQ5">
            <v>280522</v>
          </cell>
          <cell r="DR5">
            <v>0</v>
          </cell>
          <cell r="DS5">
            <v>202940</v>
          </cell>
          <cell r="DU5">
            <v>202940</v>
          </cell>
          <cell r="DV5">
            <v>120300</v>
          </cell>
          <cell r="DW5"/>
          <cell r="DX5">
            <v>120300</v>
          </cell>
          <cell r="DY5">
            <v>0</v>
          </cell>
          <cell r="DZ5">
            <v>511504</v>
          </cell>
          <cell r="EA5">
            <v>0</v>
          </cell>
          <cell r="EB5">
            <v>511504</v>
          </cell>
          <cell r="ED5">
            <v>0.23518877662735777</v>
          </cell>
          <cell r="EE5">
            <v>0</v>
          </cell>
          <cell r="EF5">
            <v>0.23518877662735777</v>
          </cell>
          <cell r="EG5">
            <v>0</v>
          </cell>
          <cell r="EH5">
            <v>197882</v>
          </cell>
          <cell r="EI5">
            <v>0</v>
          </cell>
        </row>
        <row r="6">
          <cell r="A6">
            <v>45993</v>
          </cell>
          <cell r="B6">
            <v>169128</v>
          </cell>
          <cell r="C6">
            <v>0</v>
          </cell>
          <cell r="D6">
            <v>0</v>
          </cell>
          <cell r="E6">
            <v>64044</v>
          </cell>
          <cell r="F6">
            <v>64044</v>
          </cell>
          <cell r="G6">
            <v>331500</v>
          </cell>
          <cell r="H6">
            <v>331500</v>
          </cell>
          <cell r="I6">
            <v>0.19319457013574662</v>
          </cell>
          <cell r="J6">
            <v>0.19319457013574662</v>
          </cell>
          <cell r="K6">
            <v>233172</v>
          </cell>
          <cell r="L6">
            <v>15852540</v>
          </cell>
          <cell r="M6">
            <v>15915182</v>
          </cell>
          <cell r="N6">
            <v>62642</v>
          </cell>
          <cell r="O6">
            <v>1402</v>
          </cell>
          <cell r="P6">
            <v>197882</v>
          </cell>
          <cell r="Q6">
            <v>101350</v>
          </cell>
          <cell r="R6">
            <v>304290</v>
          </cell>
          <cell r="S6">
            <v>78136</v>
          </cell>
          <cell r="T6">
            <v>198436</v>
          </cell>
          <cell r="U6">
            <v>349349</v>
          </cell>
          <cell r="V6">
            <v>860853</v>
          </cell>
          <cell r="W6">
            <v>0.22366172509438986</v>
          </cell>
          <cell r="X6">
            <v>0.23051090023499948</v>
          </cell>
          <cell r="Y6">
            <v>174668</v>
          </cell>
          <cell r="Z6"/>
          <cell r="AA6"/>
          <cell r="AB6"/>
          <cell r="AC6">
            <v>0</v>
          </cell>
          <cell r="AD6">
            <v>709468</v>
          </cell>
          <cell r="AE6">
            <v>271610</v>
          </cell>
          <cell r="AF6"/>
          <cell r="AG6">
            <v>710930</v>
          </cell>
          <cell r="AH6">
            <v>64560</v>
          </cell>
          <cell r="AI6">
            <v>227508</v>
          </cell>
          <cell r="AJ6">
            <v>319000</v>
          </cell>
          <cell r="AK6">
            <v>1020250</v>
          </cell>
          <cell r="AL6">
            <v>0.20238244514106582</v>
          </cell>
          <cell r="AM6">
            <v>0.2229924038225925</v>
          </cell>
          <cell r="AN6">
            <v>718390</v>
          </cell>
          <cell r="AO6">
            <v>327248</v>
          </cell>
          <cell r="AP6">
            <v>744352</v>
          </cell>
          <cell r="AQ6">
            <v>49108364</v>
          </cell>
          <cell r="AR6">
            <v>49172924</v>
          </cell>
          <cell r="AS6">
            <v>20498578</v>
          </cell>
          <cell r="AT6">
            <v>20825826</v>
          </cell>
          <cell r="AU6">
            <v>709683.21134835202</v>
          </cell>
          <cell r="AV6">
            <v>-8706.7886516479775</v>
          </cell>
          <cell r="AW6"/>
          <cell r="AX6">
            <v>0</v>
          </cell>
          <cell r="AY6">
            <v>206740</v>
          </cell>
          <cell r="AZ6">
            <v>489988</v>
          </cell>
          <cell r="BA6">
            <v>999849</v>
          </cell>
          <cell r="BB6">
            <v>2212603</v>
          </cell>
          <cell r="BC6">
            <v>0.20677122245459065</v>
          </cell>
          <cell r="BD6">
            <v>0.2214531933654614</v>
          </cell>
          <cell r="BE6"/>
          <cell r="BF6"/>
          <cell r="BG6"/>
          <cell r="BH6">
            <v>0</v>
          </cell>
          <cell r="BI6"/>
          <cell r="BJ6"/>
          <cell r="BK6"/>
          <cell r="BL6">
            <v>0</v>
          </cell>
          <cell r="BM6">
            <v>0</v>
          </cell>
          <cell r="BN6"/>
          <cell r="BO6"/>
          <cell r="BP6">
            <v>0</v>
          </cell>
          <cell r="BQ6">
            <v>0</v>
          </cell>
          <cell r="BR6">
            <v>-8706.7886516479775</v>
          </cell>
          <cell r="BS6">
            <v>-3698.2113483520225</v>
          </cell>
          <cell r="BT6"/>
          <cell r="BV6">
            <v>44594</v>
          </cell>
          <cell r="BW6">
            <v>238694</v>
          </cell>
          <cell r="BX6">
            <v>525864</v>
          </cell>
          <cell r="CC6">
            <v>709468</v>
          </cell>
          <cell r="CD6"/>
          <cell r="CE6">
            <v>0</v>
          </cell>
          <cell r="CF6">
            <v>0</v>
          </cell>
          <cell r="CG6">
            <v>0</v>
          </cell>
          <cell r="CH6">
            <v>64560</v>
          </cell>
          <cell r="CI6">
            <v>0</v>
          </cell>
          <cell r="CJ6">
            <v>227508</v>
          </cell>
          <cell r="CK6">
            <v>0</v>
          </cell>
          <cell r="CL6">
            <v>319000</v>
          </cell>
          <cell r="CM6">
            <v>0</v>
          </cell>
          <cell r="CN6">
            <v>1020250</v>
          </cell>
          <cell r="CO6">
            <v>0</v>
          </cell>
          <cell r="CP6">
            <v>0.20238244514106582</v>
          </cell>
          <cell r="CQ6">
            <v>0</v>
          </cell>
          <cell r="CR6">
            <v>0.2229924038225925</v>
          </cell>
          <cell r="CS6">
            <v>0</v>
          </cell>
          <cell r="CT6">
            <v>718390</v>
          </cell>
          <cell r="CU6">
            <v>0</v>
          </cell>
          <cell r="CV6">
            <v>709683.21134835202</v>
          </cell>
          <cell r="CW6">
            <v>0</v>
          </cell>
          <cell r="CX6">
            <v>169128</v>
          </cell>
          <cell r="CY6">
            <v>0</v>
          </cell>
          <cell r="CZ6">
            <v>0</v>
          </cell>
          <cell r="DA6">
            <v>0</v>
          </cell>
          <cell r="DB6">
            <v>0</v>
          </cell>
          <cell r="DC6">
            <v>64044</v>
          </cell>
          <cell r="DD6">
            <v>0</v>
          </cell>
          <cell r="DE6">
            <v>64044</v>
          </cell>
          <cell r="DF6">
            <v>0</v>
          </cell>
          <cell r="DG6">
            <v>331500</v>
          </cell>
          <cell r="DH6">
            <v>0</v>
          </cell>
          <cell r="DI6">
            <v>331500</v>
          </cell>
          <cell r="DJ6">
            <v>0</v>
          </cell>
          <cell r="DK6">
            <v>0.19319457013574662</v>
          </cell>
          <cell r="DL6">
            <v>0</v>
          </cell>
          <cell r="DM6">
            <v>0</v>
          </cell>
          <cell r="DN6">
            <v>0</v>
          </cell>
          <cell r="DO6">
            <v>233172</v>
          </cell>
          <cell r="DP6">
            <v>0</v>
          </cell>
          <cell r="DQ6">
            <v>197882</v>
          </cell>
          <cell r="DR6">
            <v>0</v>
          </cell>
          <cell r="DS6">
            <v>101350</v>
          </cell>
          <cell r="DU6">
            <v>304290</v>
          </cell>
          <cell r="DV6">
            <v>78136</v>
          </cell>
          <cell r="DW6"/>
          <cell r="DX6">
            <v>198436</v>
          </cell>
          <cell r="DY6">
            <v>0</v>
          </cell>
          <cell r="DZ6">
            <v>349349</v>
          </cell>
          <cell r="EA6">
            <v>0</v>
          </cell>
          <cell r="EB6">
            <v>860853</v>
          </cell>
          <cell r="ED6">
            <v>0.22366172509438986</v>
          </cell>
          <cell r="EE6">
            <v>0</v>
          </cell>
          <cell r="EF6">
            <v>0.23051090023499948</v>
          </cell>
          <cell r="EG6">
            <v>0</v>
          </cell>
          <cell r="EH6">
            <v>174668</v>
          </cell>
          <cell r="EI6">
            <v>0</v>
          </cell>
        </row>
        <row r="7">
          <cell r="A7">
            <v>45994</v>
          </cell>
          <cell r="B7">
            <v>233172</v>
          </cell>
          <cell r="C7">
            <v>68140</v>
          </cell>
          <cell r="D7">
            <v>68140</v>
          </cell>
          <cell r="E7">
            <v>59259</v>
          </cell>
          <cell r="F7">
            <v>123303</v>
          </cell>
          <cell r="G7">
            <v>316200</v>
          </cell>
          <cell r="H7">
            <v>647700</v>
          </cell>
          <cell r="I7">
            <v>0.18740986717267552</v>
          </cell>
          <cell r="J7">
            <v>0.19037054191755443</v>
          </cell>
          <cell r="K7">
            <v>224291</v>
          </cell>
          <cell r="L7">
            <v>15915182</v>
          </cell>
          <cell r="M7">
            <v>15974691</v>
          </cell>
          <cell r="N7">
            <v>59509</v>
          </cell>
          <cell r="O7">
            <v>-250</v>
          </cell>
          <cell r="P7">
            <v>174668</v>
          </cell>
          <cell r="Q7">
            <v>66810</v>
          </cell>
          <cell r="R7">
            <v>371100</v>
          </cell>
          <cell r="S7">
            <v>149477</v>
          </cell>
          <cell r="T7">
            <v>347913</v>
          </cell>
          <cell r="U7">
            <v>605220</v>
          </cell>
          <cell r="V7">
            <v>1466073</v>
          </cell>
          <cell r="W7">
            <v>0.24697961072006874</v>
          </cell>
          <cell r="X7">
            <v>0.23730946549046331</v>
          </cell>
          <cell r="Y7">
            <v>257335</v>
          </cell>
          <cell r="Z7"/>
          <cell r="AA7"/>
          <cell r="AB7"/>
          <cell r="AC7">
            <v>0</v>
          </cell>
          <cell r="AD7">
            <v>718390</v>
          </cell>
          <cell r="AE7">
            <v>236750</v>
          </cell>
          <cell r="AF7"/>
          <cell r="AG7">
            <v>947680</v>
          </cell>
          <cell r="AH7">
            <v>155836</v>
          </cell>
          <cell r="AI7">
            <v>383344</v>
          </cell>
          <cell r="AJ7">
            <v>726000</v>
          </cell>
          <cell r="AK7">
            <v>1746250</v>
          </cell>
          <cell r="AL7">
            <v>0.21465013774104683</v>
          </cell>
          <cell r="AM7">
            <v>0.21952412312097352</v>
          </cell>
          <cell r="AN7">
            <v>845156</v>
          </cell>
          <cell r="AO7">
            <v>260130</v>
          </cell>
          <cell r="AP7">
            <v>1004482</v>
          </cell>
          <cell r="AQ7">
            <v>49172924</v>
          </cell>
          <cell r="AR7">
            <v>49328760</v>
          </cell>
          <cell r="AS7">
            <v>20825826</v>
          </cell>
          <cell r="AT7">
            <v>21085956</v>
          </cell>
          <cell r="AU7">
            <v>791731.84503235074</v>
          </cell>
          <cell r="AV7">
            <v>-53424.154967649258</v>
          </cell>
          <cell r="AW7">
            <v>5690</v>
          </cell>
          <cell r="AX7">
            <v>5690</v>
          </cell>
          <cell r="AY7">
            <v>364572</v>
          </cell>
          <cell r="AZ7">
            <v>854560</v>
          </cell>
          <cell r="BA7">
            <v>1647420</v>
          </cell>
          <cell r="BB7">
            <v>3860023</v>
          </cell>
          <cell r="BC7">
            <v>0.22129875805805441</v>
          </cell>
          <cell r="BD7">
            <v>0.221387281889253</v>
          </cell>
          <cell r="BE7"/>
          <cell r="BF7"/>
          <cell r="BG7"/>
          <cell r="BH7">
            <v>0</v>
          </cell>
          <cell r="BI7"/>
          <cell r="BJ7"/>
          <cell r="BK7"/>
          <cell r="BL7">
            <v>0</v>
          </cell>
          <cell r="BM7">
            <v>0</v>
          </cell>
          <cell r="BN7"/>
          <cell r="BO7"/>
          <cell r="BP7">
            <v>0</v>
          </cell>
          <cell r="BQ7">
            <v>0</v>
          </cell>
          <cell r="BR7">
            <v>-53424.154967649258</v>
          </cell>
          <cell r="BS7">
            <v>44717.36631600128</v>
          </cell>
          <cell r="BT7"/>
          <cell r="BV7">
            <v>44595</v>
          </cell>
          <cell r="BW7">
            <v>3164</v>
          </cell>
          <cell r="BX7">
            <v>529028</v>
          </cell>
          <cell r="CC7">
            <v>718390</v>
          </cell>
          <cell r="CD7"/>
          <cell r="CE7">
            <v>5690</v>
          </cell>
          <cell r="CF7">
            <v>0</v>
          </cell>
          <cell r="CG7">
            <v>0</v>
          </cell>
          <cell r="CH7">
            <v>155836</v>
          </cell>
          <cell r="CI7">
            <v>0</v>
          </cell>
          <cell r="CJ7">
            <v>383344</v>
          </cell>
          <cell r="CK7">
            <v>0</v>
          </cell>
          <cell r="CL7">
            <v>726000</v>
          </cell>
          <cell r="CM7">
            <v>0</v>
          </cell>
          <cell r="CN7">
            <v>1746250</v>
          </cell>
          <cell r="CO7">
            <v>0</v>
          </cell>
          <cell r="CP7">
            <v>0.21465013774104683</v>
          </cell>
          <cell r="CQ7">
            <v>0</v>
          </cell>
          <cell r="CR7">
            <v>0.21952412312097352</v>
          </cell>
          <cell r="CS7">
            <v>0</v>
          </cell>
          <cell r="CT7">
            <v>845156</v>
          </cell>
          <cell r="CU7">
            <v>0</v>
          </cell>
          <cell r="CV7">
            <v>791731.84503235074</v>
          </cell>
          <cell r="CW7">
            <v>0</v>
          </cell>
          <cell r="CX7">
            <v>233172</v>
          </cell>
          <cell r="CY7">
            <v>0</v>
          </cell>
          <cell r="CZ7">
            <v>68140</v>
          </cell>
          <cell r="DA7">
            <v>0</v>
          </cell>
          <cell r="DB7">
            <v>68140</v>
          </cell>
          <cell r="DC7">
            <v>59259</v>
          </cell>
          <cell r="DD7">
            <v>0</v>
          </cell>
          <cell r="DE7">
            <v>123303</v>
          </cell>
          <cell r="DF7">
            <v>0</v>
          </cell>
          <cell r="DG7">
            <v>316200</v>
          </cell>
          <cell r="DH7">
            <v>0</v>
          </cell>
          <cell r="DI7">
            <v>647700</v>
          </cell>
          <cell r="DJ7">
            <v>0</v>
          </cell>
          <cell r="DK7">
            <v>0.18740986717267552</v>
          </cell>
          <cell r="DL7">
            <v>0</v>
          </cell>
          <cell r="DM7">
            <v>0</v>
          </cell>
          <cell r="DN7">
            <v>0</v>
          </cell>
          <cell r="DO7">
            <v>224291</v>
          </cell>
          <cell r="DP7">
            <v>0</v>
          </cell>
          <cell r="DQ7">
            <v>174668</v>
          </cell>
          <cell r="DR7">
            <v>0</v>
          </cell>
          <cell r="DS7">
            <v>66810</v>
          </cell>
          <cell r="DU7">
            <v>371100</v>
          </cell>
          <cell r="DV7">
            <v>149477</v>
          </cell>
          <cell r="DW7"/>
          <cell r="DX7">
            <v>347913</v>
          </cell>
          <cell r="DY7">
            <v>0</v>
          </cell>
          <cell r="DZ7">
            <v>605220</v>
          </cell>
          <cell r="EA7">
            <v>0</v>
          </cell>
          <cell r="EB7">
            <v>1466073</v>
          </cell>
          <cell r="ED7">
            <v>0.24697961072006874</v>
          </cell>
          <cell r="EE7">
            <v>0</v>
          </cell>
          <cell r="EF7">
            <v>0.23730946549046331</v>
          </cell>
          <cell r="EG7">
            <v>0</v>
          </cell>
          <cell r="EH7">
            <v>257335</v>
          </cell>
          <cell r="EI7">
            <v>0</v>
          </cell>
        </row>
        <row r="8">
          <cell r="A8">
            <v>45995</v>
          </cell>
          <cell r="B8">
            <v>224291</v>
          </cell>
          <cell r="C8">
            <v>100140</v>
          </cell>
          <cell r="D8">
            <v>168280</v>
          </cell>
          <cell r="E8">
            <v>57210</v>
          </cell>
          <cell r="F8">
            <v>180513</v>
          </cell>
          <cell r="G8">
            <v>323310</v>
          </cell>
          <cell r="H8">
            <v>971010</v>
          </cell>
          <cell r="I8">
            <v>0.17695091398348334</v>
          </cell>
          <cell r="J8">
            <v>0.18590230790620077</v>
          </cell>
          <cell r="K8">
            <v>181361</v>
          </cell>
          <cell r="L8">
            <v>15974691</v>
          </cell>
          <cell r="M8">
            <v>16031784</v>
          </cell>
          <cell r="N8">
            <v>57093</v>
          </cell>
          <cell r="O8">
            <v>117</v>
          </cell>
          <cell r="P8">
            <v>257335</v>
          </cell>
          <cell r="Q8">
            <v>203350</v>
          </cell>
          <cell r="R8">
            <v>574450</v>
          </cell>
          <cell r="S8">
            <v>167895</v>
          </cell>
          <cell r="T8">
            <v>515808</v>
          </cell>
          <cell r="U8">
            <v>714168</v>
          </cell>
          <cell r="V8">
            <v>2180241</v>
          </cell>
          <cell r="W8">
            <v>0.23509174311926606</v>
          </cell>
          <cell r="X8">
            <v>0.23658301995054676</v>
          </cell>
          <cell r="Y8">
            <v>221880</v>
          </cell>
          <cell r="Z8"/>
          <cell r="AA8"/>
          <cell r="AB8"/>
          <cell r="AC8">
            <v>0</v>
          </cell>
          <cell r="AD8">
            <v>845156</v>
          </cell>
          <cell r="AE8">
            <v>136650</v>
          </cell>
          <cell r="AF8"/>
          <cell r="AG8">
            <v>1084330</v>
          </cell>
          <cell r="AH8">
            <v>158532</v>
          </cell>
          <cell r="AI8">
            <v>541876</v>
          </cell>
          <cell r="AJ8">
            <v>792000</v>
          </cell>
          <cell r="AK8">
            <v>2538250</v>
          </cell>
          <cell r="AL8">
            <v>0.20016666666666666</v>
          </cell>
          <cell r="AM8">
            <v>0.21348409337141733</v>
          </cell>
          <cell r="AN8">
            <v>743262</v>
          </cell>
          <cell r="AO8">
            <v>394936</v>
          </cell>
          <cell r="AP8">
            <v>1399418</v>
          </cell>
          <cell r="AQ8">
            <v>49328760</v>
          </cell>
          <cell r="AR8">
            <v>49487292</v>
          </cell>
          <cell r="AS8">
            <v>21085956</v>
          </cell>
          <cell r="AT8">
            <v>21480892</v>
          </cell>
          <cell r="AU8">
            <v>695314.49526914838</v>
          </cell>
          <cell r="AV8">
            <v>-47947.504730851622</v>
          </cell>
          <cell r="AW8">
            <v>2140</v>
          </cell>
          <cell r="AX8">
            <v>7830</v>
          </cell>
          <cell r="AY8">
            <v>383637</v>
          </cell>
          <cell r="AZ8">
            <v>1238197</v>
          </cell>
          <cell r="BA8">
            <v>1829478</v>
          </cell>
          <cell r="BB8">
            <v>5689501</v>
          </cell>
          <cell r="BC8">
            <v>0.20969752027627553</v>
          </cell>
          <cell r="BD8">
            <v>0.21762840010046575</v>
          </cell>
          <cell r="BE8"/>
          <cell r="BF8"/>
          <cell r="BG8"/>
          <cell r="BH8">
            <v>0</v>
          </cell>
          <cell r="BI8"/>
          <cell r="BJ8"/>
          <cell r="BK8"/>
          <cell r="BL8">
            <v>0</v>
          </cell>
          <cell r="BM8">
            <v>0</v>
          </cell>
          <cell r="BN8"/>
          <cell r="BO8"/>
          <cell r="BP8">
            <v>0</v>
          </cell>
          <cell r="BQ8">
            <v>0</v>
          </cell>
          <cell r="BR8">
            <v>-47947.504730851622</v>
          </cell>
          <cell r="BS8">
            <v>-5476.6502367976354</v>
          </cell>
          <cell r="BT8"/>
          <cell r="BV8">
            <v>44596</v>
          </cell>
          <cell r="BW8">
            <v>0</v>
          </cell>
          <cell r="BX8">
            <v>529028</v>
          </cell>
          <cell r="CC8">
            <v>845156</v>
          </cell>
          <cell r="CD8"/>
          <cell r="CE8">
            <v>2140</v>
          </cell>
          <cell r="CF8">
            <v>0</v>
          </cell>
          <cell r="CG8">
            <v>0</v>
          </cell>
          <cell r="CH8">
            <v>158532</v>
          </cell>
          <cell r="CI8">
            <v>0</v>
          </cell>
          <cell r="CJ8">
            <v>541876</v>
          </cell>
          <cell r="CK8">
            <v>0</v>
          </cell>
          <cell r="CL8">
            <v>792000</v>
          </cell>
          <cell r="CM8">
            <v>0</v>
          </cell>
          <cell r="CN8">
            <v>2538250</v>
          </cell>
          <cell r="CO8">
            <v>0</v>
          </cell>
          <cell r="CP8">
            <v>0.20016666666666666</v>
          </cell>
          <cell r="CQ8">
            <v>0</v>
          </cell>
          <cell r="CR8">
            <v>0.21348409337141733</v>
          </cell>
          <cell r="CS8">
            <v>0</v>
          </cell>
          <cell r="CT8">
            <v>743262</v>
          </cell>
          <cell r="CU8">
            <v>0</v>
          </cell>
          <cell r="CV8">
            <v>695314.49526914838</v>
          </cell>
          <cell r="CW8">
            <v>0</v>
          </cell>
          <cell r="CX8">
            <v>224291</v>
          </cell>
          <cell r="CY8">
            <v>0</v>
          </cell>
          <cell r="CZ8">
            <v>100140</v>
          </cell>
          <cell r="DA8">
            <v>0</v>
          </cell>
          <cell r="DB8">
            <v>168280</v>
          </cell>
          <cell r="DC8">
            <v>57210</v>
          </cell>
          <cell r="DD8">
            <v>0</v>
          </cell>
          <cell r="DE8">
            <v>180513</v>
          </cell>
          <cell r="DF8">
            <v>0</v>
          </cell>
          <cell r="DG8">
            <v>323310</v>
          </cell>
          <cell r="DH8">
            <v>0</v>
          </cell>
          <cell r="DI8">
            <v>971010</v>
          </cell>
          <cell r="DJ8">
            <v>0</v>
          </cell>
          <cell r="DK8">
            <v>0.17695091398348334</v>
          </cell>
          <cell r="DL8">
            <v>0</v>
          </cell>
          <cell r="DM8">
            <v>0</v>
          </cell>
          <cell r="DN8">
            <v>0</v>
          </cell>
          <cell r="DO8">
            <v>181361</v>
          </cell>
          <cell r="DP8">
            <v>0</v>
          </cell>
          <cell r="DQ8">
            <v>257335</v>
          </cell>
          <cell r="DR8">
            <v>0</v>
          </cell>
          <cell r="DS8">
            <v>203350</v>
          </cell>
          <cell r="DU8">
            <v>574450</v>
          </cell>
          <cell r="DV8">
            <v>167895</v>
          </cell>
          <cell r="DW8"/>
          <cell r="DX8">
            <v>515808</v>
          </cell>
          <cell r="DY8">
            <v>0</v>
          </cell>
          <cell r="DZ8">
            <v>714168</v>
          </cell>
          <cell r="EA8">
            <v>0</v>
          </cell>
          <cell r="EB8">
            <v>2180241</v>
          </cell>
          <cell r="ED8">
            <v>0.23509174311926606</v>
          </cell>
          <cell r="EE8">
            <v>0</v>
          </cell>
          <cell r="EF8">
            <v>0.23658301995054676</v>
          </cell>
          <cell r="EG8">
            <v>0</v>
          </cell>
          <cell r="EH8">
            <v>221880</v>
          </cell>
          <cell r="EI8">
            <v>0</v>
          </cell>
        </row>
        <row r="9">
          <cell r="A9">
            <v>45996</v>
          </cell>
          <cell r="B9">
            <v>181361</v>
          </cell>
          <cell r="C9">
            <v>135080</v>
          </cell>
          <cell r="D9">
            <v>303360</v>
          </cell>
          <cell r="E9">
            <v>27769</v>
          </cell>
          <cell r="F9">
            <v>208282</v>
          </cell>
          <cell r="G9">
            <v>163200</v>
          </cell>
          <cell r="H9">
            <v>1134210</v>
          </cell>
          <cell r="I9">
            <v>0.17015318627450982</v>
          </cell>
          <cell r="J9">
            <v>0.18363618730217507</v>
          </cell>
          <cell r="K9">
            <v>74050</v>
          </cell>
          <cell r="L9">
            <v>16031784</v>
          </cell>
          <cell r="M9">
            <v>16060574</v>
          </cell>
          <cell r="N9">
            <v>28790</v>
          </cell>
          <cell r="O9">
            <v>-1021</v>
          </cell>
          <cell r="P9">
            <v>221880</v>
          </cell>
          <cell r="Q9">
            <v>169490</v>
          </cell>
          <cell r="R9">
            <v>743940</v>
          </cell>
          <cell r="S9">
            <v>167420</v>
          </cell>
          <cell r="T9">
            <v>683228</v>
          </cell>
          <cell r="U9">
            <v>706706</v>
          </cell>
          <cell r="V9">
            <v>2886947</v>
          </cell>
          <cell r="W9">
            <v>0.23690190829001026</v>
          </cell>
          <cell r="X9">
            <v>0.23666108175868833</v>
          </cell>
          <cell r="Y9">
            <v>219810</v>
          </cell>
          <cell r="Z9"/>
          <cell r="AA9"/>
          <cell r="AB9"/>
          <cell r="AC9">
            <v>0</v>
          </cell>
          <cell r="AD9">
            <v>743262</v>
          </cell>
          <cell r="AE9">
            <v>303520</v>
          </cell>
          <cell r="AF9"/>
          <cell r="AG9">
            <v>1387850</v>
          </cell>
          <cell r="AH9">
            <v>159892</v>
          </cell>
          <cell r="AI9">
            <v>701768</v>
          </cell>
          <cell r="AJ9">
            <v>759000</v>
          </cell>
          <cell r="AK9">
            <v>3297250</v>
          </cell>
          <cell r="AL9">
            <v>0.21066139657444005</v>
          </cell>
          <cell r="AM9">
            <v>0.21283433164000304</v>
          </cell>
          <cell r="AN9">
            <v>880606</v>
          </cell>
          <cell r="AO9">
            <v>321718</v>
          </cell>
          <cell r="AP9">
            <v>1721136</v>
          </cell>
          <cell r="AQ9">
            <v>49487292</v>
          </cell>
          <cell r="AR9">
            <v>49647184</v>
          </cell>
          <cell r="AS9">
            <v>21480892</v>
          </cell>
          <cell r="AT9">
            <v>21802610</v>
          </cell>
          <cell r="AU9">
            <v>837021.18341764889</v>
          </cell>
          <cell r="AV9">
            <v>-43584.816582351108</v>
          </cell>
          <cell r="AW9">
            <v>4350</v>
          </cell>
          <cell r="AX9">
            <v>12180</v>
          </cell>
          <cell r="AY9">
            <v>355081</v>
          </cell>
          <cell r="AZ9">
            <v>1593278</v>
          </cell>
          <cell r="BA9">
            <v>1628906</v>
          </cell>
          <cell r="BB9">
            <v>7318407</v>
          </cell>
          <cell r="BC9">
            <v>0.21798740995490223</v>
          </cell>
          <cell r="BD9">
            <v>0.21770830728599816</v>
          </cell>
          <cell r="BE9"/>
          <cell r="BF9"/>
          <cell r="BG9"/>
          <cell r="BH9">
            <v>0</v>
          </cell>
          <cell r="BI9"/>
          <cell r="BJ9"/>
          <cell r="BK9"/>
          <cell r="BL9">
            <v>0</v>
          </cell>
          <cell r="BM9">
            <v>0</v>
          </cell>
          <cell r="BN9"/>
          <cell r="BO9"/>
          <cell r="BP9">
            <v>0</v>
          </cell>
          <cell r="BQ9">
            <v>0</v>
          </cell>
          <cell r="BR9">
            <v>-43584.816582351108</v>
          </cell>
          <cell r="BS9">
            <v>-4362.6881485005142</v>
          </cell>
          <cell r="BT9"/>
          <cell r="BV9">
            <v>44597</v>
          </cell>
          <cell r="BW9">
            <v>173093</v>
          </cell>
          <cell r="BX9">
            <v>702121</v>
          </cell>
          <cell r="CC9">
            <v>743262</v>
          </cell>
          <cell r="CD9"/>
          <cell r="CE9">
            <v>4350</v>
          </cell>
          <cell r="CF9">
            <v>0</v>
          </cell>
          <cell r="CG9">
            <v>0</v>
          </cell>
          <cell r="CH9">
            <v>159892</v>
          </cell>
          <cell r="CI9">
            <v>0</v>
          </cell>
          <cell r="CJ9">
            <v>701768</v>
          </cell>
          <cell r="CK9">
            <v>0</v>
          </cell>
          <cell r="CL9">
            <v>759000</v>
          </cell>
          <cell r="CM9">
            <v>0</v>
          </cell>
          <cell r="CN9">
            <v>3297250</v>
          </cell>
          <cell r="CO9">
            <v>0</v>
          </cell>
          <cell r="CP9">
            <v>0.21066139657444005</v>
          </cell>
          <cell r="CQ9">
            <v>0</v>
          </cell>
          <cell r="CR9">
            <v>0.21283433164000304</v>
          </cell>
          <cell r="CS9">
            <v>0</v>
          </cell>
          <cell r="CT9">
            <v>880606</v>
          </cell>
          <cell r="CU9">
            <v>0</v>
          </cell>
          <cell r="CV9">
            <v>837021.18341764889</v>
          </cell>
          <cell r="CW9">
            <v>0</v>
          </cell>
          <cell r="CX9">
            <v>181361</v>
          </cell>
          <cell r="CY9">
            <v>0</v>
          </cell>
          <cell r="CZ9">
            <v>135080</v>
          </cell>
          <cell r="DA9">
            <v>0</v>
          </cell>
          <cell r="DB9">
            <v>303360</v>
          </cell>
          <cell r="DC9">
            <v>27769</v>
          </cell>
          <cell r="DD9">
            <v>0</v>
          </cell>
          <cell r="DE9">
            <v>208282</v>
          </cell>
          <cell r="DF9">
            <v>0</v>
          </cell>
          <cell r="DG9">
            <v>163200</v>
          </cell>
          <cell r="DH9">
            <v>0</v>
          </cell>
          <cell r="DI9">
            <v>1134210</v>
          </cell>
          <cell r="DJ9">
            <v>0</v>
          </cell>
          <cell r="DK9">
            <v>0.17015318627450982</v>
          </cell>
          <cell r="DL9">
            <v>0</v>
          </cell>
          <cell r="DM9">
            <v>0</v>
          </cell>
          <cell r="DN9">
            <v>0</v>
          </cell>
          <cell r="DO9">
            <v>74050</v>
          </cell>
          <cell r="DP9">
            <v>0</v>
          </cell>
          <cell r="DQ9">
            <v>221880</v>
          </cell>
          <cell r="DR9">
            <v>0</v>
          </cell>
          <cell r="DS9">
            <v>169490</v>
          </cell>
          <cell r="DU9">
            <v>743940</v>
          </cell>
          <cell r="DV9">
            <v>167420</v>
          </cell>
          <cell r="DW9"/>
          <cell r="DX9">
            <v>683228</v>
          </cell>
          <cell r="DY9">
            <v>0</v>
          </cell>
          <cell r="DZ9">
            <v>706706</v>
          </cell>
          <cell r="EA9">
            <v>0</v>
          </cell>
          <cell r="EB9">
            <v>2886947</v>
          </cell>
          <cell r="ED9">
            <v>0.23690190829001026</v>
          </cell>
          <cell r="EE9">
            <v>0</v>
          </cell>
          <cell r="EF9">
            <v>0.23666108175868833</v>
          </cell>
          <cell r="EG9">
            <v>0</v>
          </cell>
          <cell r="EH9">
            <v>219810</v>
          </cell>
          <cell r="EI9">
            <v>0</v>
          </cell>
        </row>
        <row r="10">
          <cell r="A10">
            <v>45997</v>
          </cell>
          <cell r="B10">
            <v>74050</v>
          </cell>
          <cell r="C10">
            <v>100730</v>
          </cell>
          <cell r="D10">
            <v>404090</v>
          </cell>
          <cell r="E10">
            <v>53479</v>
          </cell>
          <cell r="F10">
            <v>261761</v>
          </cell>
          <cell r="G10">
            <v>285600</v>
          </cell>
          <cell r="H10">
            <v>1419810</v>
          </cell>
          <cell r="I10">
            <v>0.1872514005602241</v>
          </cell>
          <cell r="J10">
            <v>0.18436340073671828</v>
          </cell>
          <cell r="K10">
            <v>26799</v>
          </cell>
          <cell r="L10">
            <v>16060574</v>
          </cell>
          <cell r="M10">
            <v>16114485</v>
          </cell>
          <cell r="N10">
            <v>53911</v>
          </cell>
          <cell r="O10">
            <v>-432</v>
          </cell>
          <cell r="P10">
            <v>219810</v>
          </cell>
          <cell r="Q10">
            <v>97470</v>
          </cell>
          <cell r="R10">
            <v>841410</v>
          </cell>
          <cell r="S10">
            <v>158212</v>
          </cell>
          <cell r="T10">
            <v>841440</v>
          </cell>
          <cell r="U10">
            <v>668972</v>
          </cell>
          <cell r="V10">
            <v>3555919</v>
          </cell>
          <cell r="W10">
            <v>0.23650018236936673</v>
          </cell>
          <cell r="X10">
            <v>0.23663081189419669</v>
          </cell>
          <cell r="Y10">
            <v>280552</v>
          </cell>
          <cell r="Z10"/>
          <cell r="AA10"/>
          <cell r="AB10"/>
          <cell r="AC10">
            <v>0</v>
          </cell>
          <cell r="AD10">
            <v>880606</v>
          </cell>
          <cell r="AE10">
            <v>270480</v>
          </cell>
          <cell r="AF10"/>
          <cell r="AG10">
            <v>1658330</v>
          </cell>
          <cell r="AH10">
            <v>115172</v>
          </cell>
          <cell r="AI10">
            <v>816940</v>
          </cell>
          <cell r="AJ10">
            <v>555500</v>
          </cell>
          <cell r="AK10">
            <v>3852750</v>
          </cell>
          <cell r="AL10">
            <v>0.20733033303330334</v>
          </cell>
          <cell r="AM10">
            <v>0.21204075011355525</v>
          </cell>
          <cell r="AN10">
            <v>869160</v>
          </cell>
          <cell r="AO10">
            <v>397098</v>
          </cell>
          <cell r="AP10">
            <v>2118234</v>
          </cell>
          <cell r="AQ10">
            <v>49647184</v>
          </cell>
          <cell r="AR10">
            <v>49762356</v>
          </cell>
          <cell r="AS10">
            <v>21802610</v>
          </cell>
          <cell r="AT10">
            <v>22199708</v>
          </cell>
          <cell r="AU10">
            <v>830817.39117896394</v>
          </cell>
          <cell r="AV10">
            <v>-38342.608821036061</v>
          </cell>
          <cell r="AW10"/>
          <cell r="AX10">
            <v>12180</v>
          </cell>
          <cell r="AY10">
            <v>326863</v>
          </cell>
          <cell r="AZ10">
            <v>1920141</v>
          </cell>
          <cell r="BA10">
            <v>1510072</v>
          </cell>
          <cell r="BB10">
            <v>8828479</v>
          </cell>
          <cell r="BC10">
            <v>0.21645524186926185</v>
          </cell>
          <cell r="BD10">
            <v>0.21749397602916651</v>
          </cell>
          <cell r="BE10"/>
          <cell r="BF10"/>
          <cell r="BG10"/>
          <cell r="BH10">
            <v>0</v>
          </cell>
          <cell r="BI10"/>
          <cell r="BJ10"/>
          <cell r="BK10"/>
          <cell r="BL10">
            <v>0</v>
          </cell>
          <cell r="BM10">
            <v>0</v>
          </cell>
          <cell r="BN10"/>
          <cell r="BO10"/>
          <cell r="BP10">
            <v>0</v>
          </cell>
          <cell r="BQ10">
            <v>0</v>
          </cell>
          <cell r="BR10">
            <v>-38342.608821036061</v>
          </cell>
          <cell r="BS10">
            <v>-5242.2077613150468</v>
          </cell>
          <cell r="BT10"/>
          <cell r="BV10">
            <v>44598</v>
          </cell>
          <cell r="BW10">
            <v>244858</v>
          </cell>
          <cell r="BX10">
            <v>946979</v>
          </cell>
          <cell r="CC10">
            <v>880606</v>
          </cell>
          <cell r="CD10"/>
          <cell r="CE10">
            <v>0</v>
          </cell>
          <cell r="CF10">
            <v>0</v>
          </cell>
          <cell r="CG10">
            <v>0</v>
          </cell>
          <cell r="CH10">
            <v>115172</v>
          </cell>
          <cell r="CI10">
            <v>0</v>
          </cell>
          <cell r="CJ10">
            <v>816940</v>
          </cell>
          <cell r="CK10">
            <v>0</v>
          </cell>
          <cell r="CL10">
            <v>555500</v>
          </cell>
          <cell r="CM10">
            <v>0</v>
          </cell>
          <cell r="CN10">
            <v>3852750</v>
          </cell>
          <cell r="CO10">
            <v>0</v>
          </cell>
          <cell r="CP10">
            <v>0.20733033303330334</v>
          </cell>
          <cell r="CQ10">
            <v>0</v>
          </cell>
          <cell r="CR10">
            <v>0.21204075011355525</v>
          </cell>
          <cell r="CS10">
            <v>0</v>
          </cell>
          <cell r="CT10">
            <v>869160</v>
          </cell>
          <cell r="CU10">
            <v>0</v>
          </cell>
          <cell r="CV10">
            <v>830817.39117896394</v>
          </cell>
          <cell r="CW10">
            <v>0</v>
          </cell>
          <cell r="CX10">
            <v>74050</v>
          </cell>
          <cell r="CY10">
            <v>0</v>
          </cell>
          <cell r="CZ10">
            <v>100730</v>
          </cell>
          <cell r="DA10">
            <v>0</v>
          </cell>
          <cell r="DB10">
            <v>404090</v>
          </cell>
          <cell r="DC10">
            <v>53479</v>
          </cell>
          <cell r="DD10">
            <v>0</v>
          </cell>
          <cell r="DE10">
            <v>261761</v>
          </cell>
          <cell r="DF10">
            <v>0</v>
          </cell>
          <cell r="DG10">
            <v>285600</v>
          </cell>
          <cell r="DH10">
            <v>0</v>
          </cell>
          <cell r="DI10">
            <v>1419810</v>
          </cell>
          <cell r="DJ10">
            <v>0</v>
          </cell>
          <cell r="DK10">
            <v>0.1872514005602241</v>
          </cell>
          <cell r="DL10">
            <v>0</v>
          </cell>
          <cell r="DM10">
            <v>0</v>
          </cell>
          <cell r="DN10">
            <v>0</v>
          </cell>
          <cell r="DO10">
            <v>26799</v>
          </cell>
          <cell r="DP10">
            <v>0</v>
          </cell>
          <cell r="DQ10">
            <v>219810</v>
          </cell>
          <cell r="DR10">
            <v>0</v>
          </cell>
          <cell r="DS10">
            <v>97470</v>
          </cell>
          <cell r="DU10">
            <v>841410</v>
          </cell>
          <cell r="DV10">
            <v>158212</v>
          </cell>
          <cell r="DW10"/>
          <cell r="DX10">
            <v>841440</v>
          </cell>
          <cell r="DY10">
            <v>0</v>
          </cell>
          <cell r="DZ10">
            <v>668972</v>
          </cell>
          <cell r="EA10">
            <v>0</v>
          </cell>
          <cell r="EB10">
            <v>3555919</v>
          </cell>
          <cell r="ED10">
            <v>0.23650018236936673</v>
          </cell>
          <cell r="EE10">
            <v>0</v>
          </cell>
          <cell r="EF10">
            <v>0.23663081189419669</v>
          </cell>
          <cell r="EG10">
            <v>0</v>
          </cell>
          <cell r="EH10">
            <v>280552</v>
          </cell>
          <cell r="EI10">
            <v>0</v>
          </cell>
        </row>
        <row r="11">
          <cell r="A11">
            <v>45998</v>
          </cell>
          <cell r="B11">
            <v>26799</v>
          </cell>
          <cell r="C11">
            <v>0</v>
          </cell>
          <cell r="D11">
            <v>404090</v>
          </cell>
          <cell r="E11">
            <v>0</v>
          </cell>
          <cell r="F11">
            <v>261761</v>
          </cell>
          <cell r="G11">
            <v>0</v>
          </cell>
          <cell r="H11">
            <v>1419810</v>
          </cell>
          <cell r="I11" t="e">
            <v>#N/A</v>
          </cell>
          <cell r="J11">
            <v>0.18436340073671828</v>
          </cell>
          <cell r="K11">
            <v>26799</v>
          </cell>
          <cell r="L11">
            <v>16114485</v>
          </cell>
          <cell r="M11">
            <v>16114485</v>
          </cell>
          <cell r="N11">
            <v>0</v>
          </cell>
          <cell r="O11">
            <v>0</v>
          </cell>
          <cell r="P11">
            <v>280552</v>
          </cell>
          <cell r="Q11">
            <v>101400</v>
          </cell>
          <cell r="R11">
            <v>942810</v>
          </cell>
          <cell r="S11">
            <v>108704</v>
          </cell>
          <cell r="T11">
            <v>950144</v>
          </cell>
          <cell r="U11">
            <v>504790</v>
          </cell>
          <cell r="V11">
            <v>4060709</v>
          </cell>
          <cell r="W11">
            <v>0.21534499494839437</v>
          </cell>
          <cell r="X11">
            <v>0.23398475487901252</v>
          </cell>
          <cell r="Y11">
            <v>287856</v>
          </cell>
          <cell r="Z11"/>
          <cell r="AA11"/>
          <cell r="AB11"/>
          <cell r="AC11">
            <v>0</v>
          </cell>
          <cell r="AD11">
            <v>869160</v>
          </cell>
          <cell r="AE11">
            <v>135880</v>
          </cell>
          <cell r="AF11"/>
          <cell r="AG11">
            <v>1794210</v>
          </cell>
          <cell r="AH11">
            <v>170816</v>
          </cell>
          <cell r="AI11">
            <v>987756</v>
          </cell>
          <cell r="AJ11">
            <v>830500</v>
          </cell>
          <cell r="AK11">
            <v>4683250</v>
          </cell>
          <cell r="AL11">
            <v>0.20567850692354003</v>
          </cell>
          <cell r="AM11">
            <v>0.21091250733998826</v>
          </cell>
          <cell r="AN11">
            <v>748498</v>
          </cell>
          <cell r="AO11">
            <v>427358</v>
          </cell>
          <cell r="AP11">
            <v>2545592</v>
          </cell>
          <cell r="AQ11">
            <v>49762356</v>
          </cell>
          <cell r="AR11">
            <v>49933172</v>
          </cell>
          <cell r="AS11">
            <v>22199708</v>
          </cell>
          <cell r="AT11">
            <v>22627066</v>
          </cell>
          <cell r="AU11">
            <v>715641.37363077351</v>
          </cell>
          <cell r="AV11">
            <v>-32856.626369226491</v>
          </cell>
          <cell r="AW11"/>
          <cell r="AX11">
            <v>12180</v>
          </cell>
          <cell r="AY11">
            <v>279520</v>
          </cell>
          <cell r="AZ11">
            <v>2199661</v>
          </cell>
          <cell r="BA11">
            <v>1335290</v>
          </cell>
          <cell r="BB11">
            <v>10163769</v>
          </cell>
          <cell r="BC11">
            <v>0.20933280410996863</v>
          </cell>
          <cell r="BD11">
            <v>0.21642178211645699</v>
          </cell>
          <cell r="BE11"/>
          <cell r="BF11"/>
          <cell r="BG11"/>
          <cell r="BH11">
            <v>0</v>
          </cell>
          <cell r="BI11"/>
          <cell r="BJ11"/>
          <cell r="BK11"/>
          <cell r="BL11">
            <v>0</v>
          </cell>
          <cell r="BM11">
            <v>0</v>
          </cell>
          <cell r="BN11"/>
          <cell r="BO11"/>
          <cell r="BP11">
            <v>0</v>
          </cell>
          <cell r="BQ11">
            <v>0</v>
          </cell>
          <cell r="BR11">
            <v>-32856.626369226491</v>
          </cell>
          <cell r="BS11">
            <v>-5485.9824518095702</v>
          </cell>
          <cell r="BT11"/>
          <cell r="BV11">
            <v>44599</v>
          </cell>
          <cell r="BW11">
            <v>294523</v>
          </cell>
          <cell r="BX11">
            <v>1241502</v>
          </cell>
          <cell r="CC11">
            <v>869160</v>
          </cell>
          <cell r="CD11"/>
          <cell r="CE11">
            <v>0</v>
          </cell>
          <cell r="CF11">
            <v>0</v>
          </cell>
          <cell r="CG11">
            <v>0</v>
          </cell>
          <cell r="CH11">
            <v>170816</v>
          </cell>
          <cell r="CI11">
            <v>0</v>
          </cell>
          <cell r="CJ11">
            <v>987756</v>
          </cell>
          <cell r="CK11">
            <v>0</v>
          </cell>
          <cell r="CL11">
            <v>830500</v>
          </cell>
          <cell r="CM11">
            <v>0</v>
          </cell>
          <cell r="CN11">
            <v>4683250</v>
          </cell>
          <cell r="CO11">
            <v>0</v>
          </cell>
          <cell r="CP11">
            <v>0.20567850692354003</v>
          </cell>
          <cell r="CQ11">
            <v>0</v>
          </cell>
          <cell r="CR11">
            <v>0.21091250733998826</v>
          </cell>
          <cell r="CS11">
            <v>0</v>
          </cell>
          <cell r="CT11">
            <v>748498</v>
          </cell>
          <cell r="CU11">
            <v>0</v>
          </cell>
          <cell r="CV11">
            <v>715641.37363077351</v>
          </cell>
          <cell r="CW11">
            <v>0</v>
          </cell>
          <cell r="CX11">
            <v>26799</v>
          </cell>
          <cell r="CY11">
            <v>0</v>
          </cell>
          <cell r="CZ11">
            <v>0</v>
          </cell>
          <cell r="DA11">
            <v>0</v>
          </cell>
          <cell r="DB11">
            <v>404090</v>
          </cell>
          <cell r="DC11">
            <v>0</v>
          </cell>
          <cell r="DD11">
            <v>0</v>
          </cell>
          <cell r="DE11">
            <v>261761</v>
          </cell>
          <cell r="DF11">
            <v>0</v>
          </cell>
          <cell r="DG11">
            <v>0</v>
          </cell>
          <cell r="DH11"/>
          <cell r="DI11">
            <v>1419810</v>
          </cell>
          <cell r="DJ11">
            <v>0</v>
          </cell>
          <cell r="DK11" t="e">
            <v>#DIV/0!</v>
          </cell>
          <cell r="DL11">
            <v>0</v>
          </cell>
          <cell r="DM11">
            <v>0</v>
          </cell>
          <cell r="DN11">
            <v>0</v>
          </cell>
          <cell r="DO11">
            <v>26799</v>
          </cell>
          <cell r="DP11">
            <v>0</v>
          </cell>
          <cell r="DQ11">
            <v>280552</v>
          </cell>
          <cell r="DR11">
            <v>0</v>
          </cell>
          <cell r="DS11">
            <v>101400</v>
          </cell>
          <cell r="DU11">
            <v>942810</v>
          </cell>
          <cell r="DV11">
            <v>108704</v>
          </cell>
          <cell r="DW11"/>
          <cell r="DX11">
            <v>950144</v>
          </cell>
          <cell r="DY11">
            <v>0</v>
          </cell>
          <cell r="DZ11">
            <v>504790</v>
          </cell>
          <cell r="EA11">
            <v>0</v>
          </cell>
          <cell r="EB11">
            <v>4060709</v>
          </cell>
          <cell r="ED11">
            <v>0.21534499494839437</v>
          </cell>
          <cell r="EE11">
            <v>0</v>
          </cell>
          <cell r="EF11">
            <v>0.23398475487901252</v>
          </cell>
          <cell r="EG11">
            <v>0</v>
          </cell>
          <cell r="EH11">
            <v>287856</v>
          </cell>
          <cell r="EI11">
            <v>0</v>
          </cell>
        </row>
        <row r="12">
          <cell r="A12">
            <v>45999</v>
          </cell>
          <cell r="B12">
            <v>26799</v>
          </cell>
          <cell r="C12">
            <v>0</v>
          </cell>
          <cell r="D12">
            <v>404090</v>
          </cell>
          <cell r="E12">
            <v>0</v>
          </cell>
          <cell r="F12">
            <v>261761</v>
          </cell>
          <cell r="G12">
            <v>0</v>
          </cell>
          <cell r="H12">
            <v>1419810</v>
          </cell>
          <cell r="I12" t="e">
            <v>#N/A</v>
          </cell>
          <cell r="J12">
            <v>0.18436340073671828</v>
          </cell>
          <cell r="K12">
            <v>26799</v>
          </cell>
          <cell r="L12">
            <v>16114485</v>
          </cell>
          <cell r="M12">
            <v>16114485</v>
          </cell>
          <cell r="N12">
            <v>0</v>
          </cell>
          <cell r="O12">
            <v>0</v>
          </cell>
          <cell r="P12">
            <v>287856</v>
          </cell>
          <cell r="Q12">
            <v>0</v>
          </cell>
          <cell r="R12">
            <v>942810</v>
          </cell>
          <cell r="S12">
            <v>171567</v>
          </cell>
          <cell r="T12">
            <v>1121711</v>
          </cell>
          <cell r="U12">
            <v>723142</v>
          </cell>
          <cell r="V12">
            <v>4783851</v>
          </cell>
          <cell r="W12">
            <v>0.23725215794408291</v>
          </cell>
          <cell r="X12">
            <v>0.23447866582801177</v>
          </cell>
          <cell r="Y12">
            <v>459423</v>
          </cell>
          <cell r="Z12"/>
          <cell r="AA12"/>
          <cell r="AB12"/>
          <cell r="AC12">
            <v>0</v>
          </cell>
          <cell r="AD12">
            <v>748498</v>
          </cell>
          <cell r="AE12">
            <v>304180</v>
          </cell>
          <cell r="AF12"/>
          <cell r="AG12">
            <v>2098390</v>
          </cell>
          <cell r="AH12">
            <v>122624</v>
          </cell>
          <cell r="AI12">
            <v>1110380</v>
          </cell>
          <cell r="AJ12">
            <v>527609</v>
          </cell>
          <cell r="AK12">
            <v>5210859</v>
          </cell>
          <cell r="AL12">
            <v>0.23241453424789948</v>
          </cell>
          <cell r="AM12">
            <v>0.21308962687341954</v>
          </cell>
          <cell r="AN12">
            <v>754158</v>
          </cell>
          <cell r="AO12">
            <v>419244</v>
          </cell>
          <cell r="AP12">
            <v>2964836</v>
          </cell>
          <cell r="AQ12">
            <v>49933172</v>
          </cell>
          <cell r="AR12">
            <v>50055796</v>
          </cell>
          <cell r="AS12">
            <v>22627066</v>
          </cell>
          <cell r="AT12">
            <v>23046310</v>
          </cell>
          <cell r="AU12">
            <v>731108.60300476896</v>
          </cell>
          <cell r="AV12">
            <v>-23049.396995231044</v>
          </cell>
          <cell r="AW12">
            <v>1900</v>
          </cell>
          <cell r="AX12">
            <v>14080</v>
          </cell>
          <cell r="AY12">
            <v>294191</v>
          </cell>
          <cell r="AZ12">
            <v>2493852</v>
          </cell>
          <cell r="BA12">
            <v>1250751</v>
          </cell>
          <cell r="BB12">
            <v>11414520</v>
          </cell>
          <cell r="BC12">
            <v>0.23521148493984814</v>
          </cell>
          <cell r="BD12">
            <v>0.21848067198620705</v>
          </cell>
          <cell r="BE12"/>
          <cell r="BF12"/>
          <cell r="BG12"/>
          <cell r="BH12">
            <v>0</v>
          </cell>
          <cell r="BI12"/>
          <cell r="BJ12"/>
          <cell r="BK12"/>
          <cell r="BL12">
            <v>0</v>
          </cell>
          <cell r="BM12">
            <v>0</v>
          </cell>
          <cell r="BN12"/>
          <cell r="BO12"/>
          <cell r="BP12">
            <v>0</v>
          </cell>
          <cell r="BQ12">
            <v>0</v>
          </cell>
          <cell r="BR12">
            <v>-23049.396995231044</v>
          </cell>
          <cell r="BS12">
            <v>-9807.2293739954475</v>
          </cell>
          <cell r="BT12"/>
          <cell r="BV12">
            <v>44600</v>
          </cell>
          <cell r="BW12">
            <v>388008</v>
          </cell>
          <cell r="BX12">
            <v>1629510</v>
          </cell>
          <cell r="CC12">
            <v>748498</v>
          </cell>
          <cell r="CD12"/>
          <cell r="CE12">
            <v>1900</v>
          </cell>
          <cell r="CF12">
            <v>0</v>
          </cell>
          <cell r="CG12">
            <v>0</v>
          </cell>
          <cell r="CH12">
            <v>122624</v>
          </cell>
          <cell r="CI12">
            <v>0</v>
          </cell>
          <cell r="CJ12">
            <v>1110380</v>
          </cell>
          <cell r="CK12">
            <v>0</v>
          </cell>
          <cell r="CL12">
            <v>527609</v>
          </cell>
          <cell r="CM12">
            <v>0</v>
          </cell>
          <cell r="CN12">
            <v>5210859</v>
          </cell>
          <cell r="CO12">
            <v>0</v>
          </cell>
          <cell r="CP12">
            <v>0.23241453424789948</v>
          </cell>
          <cell r="CQ12">
            <v>0</v>
          </cell>
          <cell r="CR12">
            <v>0.21308962687341954</v>
          </cell>
          <cell r="CS12">
            <v>0</v>
          </cell>
          <cell r="CT12">
            <v>754158</v>
          </cell>
          <cell r="CU12">
            <v>0</v>
          </cell>
          <cell r="CV12">
            <v>731108.60300476896</v>
          </cell>
          <cell r="CW12">
            <v>0</v>
          </cell>
          <cell r="CX12">
            <v>26799</v>
          </cell>
          <cell r="CY12">
            <v>0</v>
          </cell>
          <cell r="CZ12">
            <v>0</v>
          </cell>
          <cell r="DA12">
            <v>0</v>
          </cell>
          <cell r="DB12">
            <v>404090</v>
          </cell>
          <cell r="DC12">
            <v>0</v>
          </cell>
          <cell r="DD12">
            <v>0</v>
          </cell>
          <cell r="DE12">
            <v>261761</v>
          </cell>
          <cell r="DF12">
            <v>0</v>
          </cell>
          <cell r="DG12">
            <v>0</v>
          </cell>
          <cell r="DH12">
            <v>0</v>
          </cell>
          <cell r="DI12">
            <v>1419810</v>
          </cell>
          <cell r="DJ12">
            <v>0</v>
          </cell>
          <cell r="DK12" t="e">
            <v>#DIV/0!</v>
          </cell>
          <cell r="DL12">
            <v>0</v>
          </cell>
          <cell r="DM12">
            <v>0</v>
          </cell>
          <cell r="DN12">
            <v>0</v>
          </cell>
          <cell r="DO12">
            <v>26799</v>
          </cell>
          <cell r="DP12">
            <v>0</v>
          </cell>
          <cell r="DQ12">
            <v>287856</v>
          </cell>
          <cell r="DR12">
            <v>0</v>
          </cell>
          <cell r="DS12">
            <v>0</v>
          </cell>
          <cell r="DU12">
            <v>942810</v>
          </cell>
          <cell r="DV12">
            <v>171567</v>
          </cell>
          <cell r="DW12"/>
          <cell r="DX12">
            <v>1121711</v>
          </cell>
          <cell r="DY12">
            <v>0</v>
          </cell>
          <cell r="DZ12">
            <v>723142</v>
          </cell>
          <cell r="EA12">
            <v>0</v>
          </cell>
          <cell r="EB12">
            <v>4783851</v>
          </cell>
          <cell r="ED12">
            <v>0.23725215794408291</v>
          </cell>
          <cell r="EE12">
            <v>0</v>
          </cell>
          <cell r="EF12">
            <v>0.23447866582801177</v>
          </cell>
          <cell r="EG12">
            <v>0</v>
          </cell>
          <cell r="EH12">
            <v>459423</v>
          </cell>
          <cell r="EI12">
            <v>0</v>
          </cell>
        </row>
        <row r="13">
          <cell r="A13">
            <v>46000</v>
          </cell>
          <cell r="B13">
            <v>26799</v>
          </cell>
          <cell r="C13">
            <v>0</v>
          </cell>
          <cell r="D13">
            <v>404090</v>
          </cell>
          <cell r="E13">
            <v>26384</v>
          </cell>
          <cell r="F13">
            <v>288145</v>
          </cell>
          <cell r="G13">
            <v>142800</v>
          </cell>
          <cell r="H13">
            <v>1562610</v>
          </cell>
          <cell r="I13">
            <v>0.18476190476190477</v>
          </cell>
          <cell r="J13">
            <v>0.184399818252795</v>
          </cell>
          <cell r="K13">
            <v>53183</v>
          </cell>
          <cell r="L13">
            <v>16114485</v>
          </cell>
          <cell r="M13">
            <v>16151902</v>
          </cell>
          <cell r="N13">
            <v>37417</v>
          </cell>
          <cell r="O13">
            <v>-11033</v>
          </cell>
          <cell r="P13">
            <v>459423</v>
          </cell>
          <cell r="Q13">
            <v>337960</v>
          </cell>
          <cell r="R13">
            <v>1280770</v>
          </cell>
          <cell r="S13">
            <v>154342</v>
          </cell>
          <cell r="T13">
            <v>1276053</v>
          </cell>
          <cell r="U13">
            <v>607422</v>
          </cell>
          <cell r="V13">
            <v>5391273</v>
          </cell>
          <cell r="W13">
            <v>0.25409352970422538</v>
          </cell>
          <cell r="X13">
            <v>0.23668862622983478</v>
          </cell>
          <cell r="Y13">
            <v>275805</v>
          </cell>
          <cell r="Z13"/>
          <cell r="AA13"/>
          <cell r="AB13"/>
          <cell r="AC13">
            <v>0</v>
          </cell>
          <cell r="AD13">
            <v>754158</v>
          </cell>
          <cell r="AE13">
            <v>35180</v>
          </cell>
          <cell r="AF13"/>
          <cell r="AG13">
            <v>2133570</v>
          </cell>
          <cell r="AH13">
            <v>36280</v>
          </cell>
          <cell r="AI13">
            <v>1146660</v>
          </cell>
          <cell r="AJ13">
            <v>187000</v>
          </cell>
          <cell r="AK13">
            <v>5397859</v>
          </cell>
          <cell r="AL13">
            <v>0.19401069518716577</v>
          </cell>
          <cell r="AM13">
            <v>0.21242866847763159</v>
          </cell>
          <cell r="AN13">
            <v>426910</v>
          </cell>
          <cell r="AO13">
            <v>398708</v>
          </cell>
          <cell r="AP13">
            <v>3363544</v>
          </cell>
          <cell r="AQ13">
            <v>50055796</v>
          </cell>
          <cell r="AR13">
            <v>50092076</v>
          </cell>
          <cell r="AS13">
            <v>23046310</v>
          </cell>
          <cell r="AT13">
            <v>23445018</v>
          </cell>
          <cell r="AU13">
            <v>405055.8367414794</v>
          </cell>
          <cell r="AV13">
            <v>-21854.163258520595</v>
          </cell>
          <cell r="AW13"/>
          <cell r="AX13">
            <v>14080</v>
          </cell>
          <cell r="AY13">
            <v>217006</v>
          </cell>
          <cell r="AZ13">
            <v>2710858</v>
          </cell>
          <cell r="BA13">
            <v>937222</v>
          </cell>
          <cell r="BB13">
            <v>12351742</v>
          </cell>
          <cell r="BC13">
            <v>0.23154172650663343</v>
          </cell>
          <cell r="BD13">
            <v>0.21947171500181917</v>
          </cell>
          <cell r="BE13"/>
          <cell r="BF13"/>
          <cell r="BG13"/>
          <cell r="BH13">
            <v>0</v>
          </cell>
          <cell r="BI13"/>
          <cell r="BJ13"/>
          <cell r="BK13"/>
          <cell r="BL13">
            <v>0</v>
          </cell>
          <cell r="BM13">
            <v>0</v>
          </cell>
          <cell r="BN13"/>
          <cell r="BO13"/>
          <cell r="BP13">
            <v>0</v>
          </cell>
          <cell r="BQ13">
            <v>0</v>
          </cell>
          <cell r="BR13">
            <v>-21854.163258520595</v>
          </cell>
          <cell r="BS13">
            <v>-1195.2337367104483</v>
          </cell>
          <cell r="BT13"/>
          <cell r="BV13">
            <v>44601</v>
          </cell>
          <cell r="BW13">
            <v>273438</v>
          </cell>
          <cell r="BX13">
            <v>1902948</v>
          </cell>
          <cell r="CC13">
            <v>754158</v>
          </cell>
          <cell r="CD13"/>
          <cell r="CE13">
            <v>0</v>
          </cell>
          <cell r="CF13">
            <v>0</v>
          </cell>
          <cell r="CG13">
            <v>0</v>
          </cell>
          <cell r="CH13">
            <v>36280</v>
          </cell>
          <cell r="CI13">
            <v>0</v>
          </cell>
          <cell r="CJ13">
            <v>1146660</v>
          </cell>
          <cell r="CK13">
            <v>0</v>
          </cell>
          <cell r="CL13">
            <v>187000</v>
          </cell>
          <cell r="CM13">
            <v>0</v>
          </cell>
          <cell r="CN13">
            <v>5397859</v>
          </cell>
          <cell r="CO13">
            <v>0</v>
          </cell>
          <cell r="CP13">
            <v>0.19401069518716577</v>
          </cell>
          <cell r="CQ13">
            <v>0</v>
          </cell>
          <cell r="CR13">
            <v>0.21242866847763159</v>
          </cell>
          <cell r="CS13">
            <v>0</v>
          </cell>
          <cell r="CT13">
            <v>426910</v>
          </cell>
          <cell r="CU13">
            <v>0</v>
          </cell>
          <cell r="CV13">
            <v>405055.8367414794</v>
          </cell>
          <cell r="CW13">
            <v>0</v>
          </cell>
          <cell r="CX13">
            <v>26799</v>
          </cell>
          <cell r="CY13">
            <v>0</v>
          </cell>
          <cell r="CZ13">
            <v>0</v>
          </cell>
          <cell r="DA13">
            <v>0</v>
          </cell>
          <cell r="DB13">
            <v>404090</v>
          </cell>
          <cell r="DC13">
            <v>26384</v>
          </cell>
          <cell r="DD13">
            <v>0</v>
          </cell>
          <cell r="DE13">
            <v>288145</v>
          </cell>
          <cell r="DF13">
            <v>0</v>
          </cell>
          <cell r="DG13">
            <v>142800</v>
          </cell>
          <cell r="DH13">
            <v>0</v>
          </cell>
          <cell r="DI13">
            <v>1562610</v>
          </cell>
          <cell r="DJ13">
            <v>0</v>
          </cell>
          <cell r="DK13">
            <v>0.18476190476190477</v>
          </cell>
          <cell r="DL13">
            <v>0</v>
          </cell>
          <cell r="DM13">
            <v>0</v>
          </cell>
          <cell r="DN13">
            <v>0</v>
          </cell>
          <cell r="DO13">
            <v>53183</v>
          </cell>
          <cell r="DP13">
            <v>0</v>
          </cell>
          <cell r="DQ13">
            <v>459423</v>
          </cell>
          <cell r="DR13">
            <v>0</v>
          </cell>
          <cell r="DS13">
            <v>337960</v>
          </cell>
          <cell r="DU13">
            <v>1280770</v>
          </cell>
          <cell r="DV13">
            <v>154342</v>
          </cell>
          <cell r="DW13"/>
          <cell r="DX13">
            <v>1276053</v>
          </cell>
          <cell r="DY13">
            <v>0</v>
          </cell>
          <cell r="DZ13">
            <v>607422</v>
          </cell>
          <cell r="EA13">
            <v>0</v>
          </cell>
          <cell r="EB13">
            <v>5391273</v>
          </cell>
          <cell r="ED13">
            <v>0.25409352970422538</v>
          </cell>
          <cell r="EE13">
            <v>0</v>
          </cell>
          <cell r="EF13">
            <v>0.23668862622983478</v>
          </cell>
          <cell r="EG13">
            <v>0</v>
          </cell>
          <cell r="EH13">
            <v>275805</v>
          </cell>
          <cell r="EI13">
            <v>0</v>
          </cell>
        </row>
        <row r="14">
          <cell r="A14">
            <v>46001</v>
          </cell>
          <cell r="B14">
            <v>53183</v>
          </cell>
          <cell r="C14">
            <v>34340</v>
          </cell>
          <cell r="D14">
            <v>438430</v>
          </cell>
          <cell r="E14">
            <v>68814</v>
          </cell>
          <cell r="F14">
            <v>356959</v>
          </cell>
          <cell r="G14">
            <v>357000</v>
          </cell>
          <cell r="H14">
            <v>1919610</v>
          </cell>
          <cell r="I14">
            <v>0.19275630252100839</v>
          </cell>
          <cell r="J14">
            <v>0.18595391772287079</v>
          </cell>
          <cell r="K14">
            <v>87657</v>
          </cell>
          <cell r="L14">
            <v>16151902</v>
          </cell>
          <cell r="M14">
            <v>16218277</v>
          </cell>
          <cell r="N14">
            <v>66375</v>
          </cell>
          <cell r="O14">
            <v>2439</v>
          </cell>
          <cell r="P14">
            <v>275805</v>
          </cell>
          <cell r="Q14">
            <v>206780</v>
          </cell>
          <cell r="R14">
            <v>1487550</v>
          </cell>
          <cell r="S14">
            <v>87544</v>
          </cell>
          <cell r="T14">
            <v>1363597</v>
          </cell>
          <cell r="U14">
            <v>431965</v>
          </cell>
          <cell r="V14">
            <v>5823238</v>
          </cell>
          <cell r="W14">
            <v>0.20266456773118194</v>
          </cell>
          <cell r="X14">
            <v>0.23416473790011674</v>
          </cell>
          <cell r="Y14">
            <v>156569</v>
          </cell>
          <cell r="Z14"/>
          <cell r="AA14"/>
          <cell r="AB14"/>
          <cell r="AC14">
            <v>0</v>
          </cell>
          <cell r="AD14">
            <v>426910</v>
          </cell>
          <cell r="AE14">
            <v>97590</v>
          </cell>
          <cell r="AF14"/>
          <cell r="AG14">
            <v>2231160</v>
          </cell>
          <cell r="AH14">
            <v>134408</v>
          </cell>
          <cell r="AI14">
            <v>1281068</v>
          </cell>
          <cell r="AJ14">
            <v>613250</v>
          </cell>
          <cell r="AK14">
            <v>6011109</v>
          </cell>
          <cell r="AL14">
            <v>0.21917325723603751</v>
          </cell>
          <cell r="AM14">
            <v>0.21311674767501304</v>
          </cell>
          <cell r="AN14">
            <v>297232</v>
          </cell>
          <cell r="AO14">
            <v>361676</v>
          </cell>
          <cell r="AP14">
            <v>3725220</v>
          </cell>
          <cell r="AQ14">
            <v>50092076</v>
          </cell>
          <cell r="AR14">
            <v>50226484</v>
          </cell>
          <cell r="AS14">
            <v>23445018</v>
          </cell>
          <cell r="AT14">
            <v>23806694</v>
          </cell>
          <cell r="AU14">
            <v>275711</v>
          </cell>
          <cell r="AV14">
            <v>-21521</v>
          </cell>
          <cell r="AW14"/>
          <cell r="AX14">
            <v>14080</v>
          </cell>
          <cell r="AY14">
            <v>290766</v>
          </cell>
          <cell r="AZ14">
            <v>3001624</v>
          </cell>
          <cell r="BA14">
            <v>1402215</v>
          </cell>
          <cell r="BB14">
            <v>13753957</v>
          </cell>
          <cell r="BC14">
            <v>0.20736192381339524</v>
          </cell>
          <cell r="BD14">
            <v>0.21823712259679159</v>
          </cell>
          <cell r="BE14"/>
          <cell r="BF14"/>
          <cell r="BG14"/>
          <cell r="BH14">
            <v>0</v>
          </cell>
          <cell r="BI14"/>
          <cell r="BJ14"/>
          <cell r="BK14"/>
          <cell r="BL14">
            <v>0</v>
          </cell>
          <cell r="BM14">
            <v>0</v>
          </cell>
          <cell r="BN14"/>
          <cell r="BO14"/>
          <cell r="BP14">
            <v>0</v>
          </cell>
          <cell r="BQ14">
            <v>0</v>
          </cell>
          <cell r="BR14">
            <v>-21521</v>
          </cell>
          <cell r="BS14">
            <v>-333.16325852059526</v>
          </cell>
          <cell r="BT14"/>
          <cell r="BV14">
            <v>44602</v>
          </cell>
          <cell r="BW14">
            <v>273438</v>
          </cell>
          <cell r="BX14">
            <v>1902948</v>
          </cell>
          <cell r="CC14">
            <v>426910</v>
          </cell>
          <cell r="CD14"/>
          <cell r="CE14">
            <v>0</v>
          </cell>
          <cell r="CF14">
            <v>0</v>
          </cell>
          <cell r="CG14">
            <v>0</v>
          </cell>
          <cell r="CH14">
            <v>134408</v>
          </cell>
          <cell r="CI14">
            <v>0</v>
          </cell>
          <cell r="CJ14">
            <v>1281068</v>
          </cell>
          <cell r="CK14">
            <v>0</v>
          </cell>
          <cell r="CL14">
            <v>613250</v>
          </cell>
          <cell r="CM14">
            <v>0</v>
          </cell>
          <cell r="CN14">
            <v>6011109</v>
          </cell>
          <cell r="CO14">
            <v>0</v>
          </cell>
          <cell r="CP14">
            <v>0.21917325723603751</v>
          </cell>
          <cell r="CQ14">
            <v>0</v>
          </cell>
          <cell r="CR14">
            <v>0.21311674767501304</v>
          </cell>
          <cell r="CS14">
            <v>0</v>
          </cell>
          <cell r="CT14">
            <v>297232</v>
          </cell>
          <cell r="CU14">
            <v>0</v>
          </cell>
          <cell r="CV14">
            <v>275711</v>
          </cell>
          <cell r="CW14">
            <v>0</v>
          </cell>
          <cell r="CX14">
            <v>53183</v>
          </cell>
          <cell r="CY14">
            <v>0</v>
          </cell>
          <cell r="CZ14">
            <v>34340</v>
          </cell>
          <cell r="DA14">
            <v>0</v>
          </cell>
          <cell r="DB14">
            <v>438430</v>
          </cell>
          <cell r="DC14">
            <v>68814</v>
          </cell>
          <cell r="DD14">
            <v>0</v>
          </cell>
          <cell r="DE14">
            <v>356959</v>
          </cell>
          <cell r="DF14">
            <v>0</v>
          </cell>
          <cell r="DG14">
            <v>357000</v>
          </cell>
          <cell r="DH14">
            <v>0</v>
          </cell>
          <cell r="DI14">
            <v>1919610</v>
          </cell>
          <cell r="DJ14">
            <v>0</v>
          </cell>
          <cell r="DK14">
            <v>0.19275630252100839</v>
          </cell>
          <cell r="DL14">
            <v>0</v>
          </cell>
          <cell r="DM14">
            <v>0</v>
          </cell>
          <cell r="DN14">
            <v>0</v>
          </cell>
          <cell r="DO14">
            <v>87657</v>
          </cell>
          <cell r="DP14">
            <v>0</v>
          </cell>
          <cell r="DQ14">
            <v>275805</v>
          </cell>
          <cell r="DR14">
            <v>0</v>
          </cell>
          <cell r="DS14">
            <v>206780</v>
          </cell>
          <cell r="DU14">
            <v>1487550</v>
          </cell>
          <cell r="DV14">
            <v>87544</v>
          </cell>
          <cell r="DW14"/>
          <cell r="DX14">
            <v>1363597</v>
          </cell>
          <cell r="DY14">
            <v>0</v>
          </cell>
          <cell r="DZ14">
            <v>431965</v>
          </cell>
          <cell r="EA14">
            <v>0</v>
          </cell>
          <cell r="EB14">
            <v>5823238</v>
          </cell>
          <cell r="ED14">
            <v>0.20266456773118194</v>
          </cell>
          <cell r="EE14">
            <v>0</v>
          </cell>
          <cell r="EF14">
            <v>0.23416473790011674</v>
          </cell>
          <cell r="EG14">
            <v>0</v>
          </cell>
          <cell r="EH14">
            <v>156569</v>
          </cell>
          <cell r="EI14">
            <v>0</v>
          </cell>
        </row>
        <row r="15">
          <cell r="A15">
            <v>46002</v>
          </cell>
          <cell r="B15">
            <v>87657</v>
          </cell>
          <cell r="C15">
            <v>66760</v>
          </cell>
          <cell r="D15">
            <v>505190</v>
          </cell>
          <cell r="E15">
            <v>67739</v>
          </cell>
          <cell r="F15">
            <v>424698</v>
          </cell>
          <cell r="G15">
            <v>351900</v>
          </cell>
          <cell r="H15">
            <v>2271510</v>
          </cell>
          <cell r="I15">
            <v>0.19249502699630577</v>
          </cell>
          <cell r="J15">
            <v>0.18696725966427619</v>
          </cell>
          <cell r="K15">
            <v>88636</v>
          </cell>
          <cell r="L15">
            <v>16218277</v>
          </cell>
          <cell r="M15">
            <v>16285752</v>
          </cell>
          <cell r="N15">
            <v>67475</v>
          </cell>
          <cell r="O15">
            <v>264</v>
          </cell>
          <cell r="P15">
            <v>156569</v>
          </cell>
          <cell r="Q15">
            <v>135270</v>
          </cell>
          <cell r="R15">
            <v>1622820</v>
          </cell>
          <cell r="S15">
            <v>152958</v>
          </cell>
          <cell r="T15">
            <v>1516555</v>
          </cell>
          <cell r="U15">
            <v>670440</v>
          </cell>
          <cell r="V15">
            <v>6493678</v>
          </cell>
          <cell r="W15">
            <v>0.2281456953642384</v>
          </cell>
          <cell r="X15">
            <v>0.23354330165431669</v>
          </cell>
          <cell r="Y15">
            <v>174257</v>
          </cell>
          <cell r="Z15"/>
          <cell r="AA15"/>
          <cell r="AB15"/>
          <cell r="AC15">
            <v>0</v>
          </cell>
          <cell r="AD15">
            <v>297232</v>
          </cell>
          <cell r="AE15">
            <v>476050</v>
          </cell>
          <cell r="AF15"/>
          <cell r="AG15">
            <v>2707210</v>
          </cell>
          <cell r="AH15">
            <v>162652</v>
          </cell>
          <cell r="AI15">
            <v>1443720</v>
          </cell>
          <cell r="AJ15">
            <v>728750</v>
          </cell>
          <cell r="AK15">
            <v>6739859</v>
          </cell>
          <cell r="AL15">
            <v>0.22319313893653517</v>
          </cell>
          <cell r="AM15">
            <v>0.21420626158499756</v>
          </cell>
          <cell r="AN15">
            <v>575736</v>
          </cell>
          <cell r="AO15">
            <v>360198</v>
          </cell>
          <cell r="AP15">
            <v>4085418</v>
          </cell>
          <cell r="AQ15">
            <v>50226484</v>
          </cell>
          <cell r="AR15">
            <v>50389136</v>
          </cell>
          <cell r="AS15">
            <v>23806694</v>
          </cell>
          <cell r="AT15">
            <v>24166892</v>
          </cell>
          <cell r="AU15">
            <v>542077</v>
          </cell>
          <cell r="AV15">
            <v>-33659</v>
          </cell>
          <cell r="AW15"/>
          <cell r="AX15">
            <v>14080</v>
          </cell>
          <cell r="AY15">
            <v>383349</v>
          </cell>
          <cell r="AZ15">
            <v>3384973</v>
          </cell>
          <cell r="BA15">
            <v>1751090</v>
          </cell>
          <cell r="BB15">
            <v>15505047</v>
          </cell>
          <cell r="BC15">
            <v>0.21892021540868831</v>
          </cell>
          <cell r="BD15">
            <v>0.21831426889579889</v>
          </cell>
          <cell r="BE15"/>
          <cell r="BF15"/>
          <cell r="BG15"/>
          <cell r="BH15">
            <v>0</v>
          </cell>
          <cell r="BI15"/>
          <cell r="BJ15"/>
          <cell r="BK15"/>
          <cell r="BL15">
            <v>0</v>
          </cell>
          <cell r="BM15">
            <v>0</v>
          </cell>
          <cell r="BN15"/>
          <cell r="BO15"/>
          <cell r="BP15">
            <v>0</v>
          </cell>
          <cell r="BQ15">
            <v>0</v>
          </cell>
          <cell r="BR15">
            <v>-33659</v>
          </cell>
          <cell r="BS15">
            <v>12138</v>
          </cell>
          <cell r="BT15"/>
          <cell r="BV15">
            <v>44603</v>
          </cell>
          <cell r="BW15">
            <v>273438</v>
          </cell>
          <cell r="BX15">
            <v>1902948</v>
          </cell>
          <cell r="CC15">
            <v>297232</v>
          </cell>
          <cell r="CD15"/>
          <cell r="CE15">
            <v>0</v>
          </cell>
          <cell r="CF15">
            <v>0</v>
          </cell>
          <cell r="CG15">
            <v>0</v>
          </cell>
          <cell r="CH15">
            <v>162652</v>
          </cell>
          <cell r="CI15">
            <v>0</v>
          </cell>
          <cell r="CJ15">
            <v>1443720</v>
          </cell>
          <cell r="CK15">
            <v>0</v>
          </cell>
          <cell r="CL15">
            <v>728750</v>
          </cell>
          <cell r="CM15">
            <v>0</v>
          </cell>
          <cell r="CN15">
            <v>6739859</v>
          </cell>
          <cell r="CO15">
            <v>0</v>
          </cell>
          <cell r="CP15">
            <v>0.22319313893653517</v>
          </cell>
          <cell r="CQ15">
            <v>0</v>
          </cell>
          <cell r="CR15">
            <v>0.21420626158499756</v>
          </cell>
          <cell r="CS15">
            <v>0</v>
          </cell>
          <cell r="CT15">
            <v>575736</v>
          </cell>
          <cell r="CU15">
            <v>0</v>
          </cell>
          <cell r="CV15">
            <v>542077</v>
          </cell>
          <cell r="CW15">
            <v>0</v>
          </cell>
          <cell r="CX15">
            <v>87657</v>
          </cell>
          <cell r="CY15">
            <v>0</v>
          </cell>
          <cell r="CZ15">
            <v>66760</v>
          </cell>
          <cell r="DA15">
            <v>0</v>
          </cell>
          <cell r="DB15">
            <v>505190</v>
          </cell>
          <cell r="DC15">
            <v>67739</v>
          </cell>
          <cell r="DD15">
            <v>0</v>
          </cell>
          <cell r="DE15">
            <v>424698</v>
          </cell>
          <cell r="DF15">
            <v>0</v>
          </cell>
          <cell r="DG15">
            <v>351900</v>
          </cell>
          <cell r="DH15">
            <v>0</v>
          </cell>
          <cell r="DI15">
            <v>2271510</v>
          </cell>
          <cell r="DJ15">
            <v>0</v>
          </cell>
          <cell r="DK15">
            <v>0.19249502699630577</v>
          </cell>
          <cell r="DL15">
            <v>0</v>
          </cell>
          <cell r="DM15">
            <v>0</v>
          </cell>
          <cell r="DN15">
            <v>0</v>
          </cell>
          <cell r="DO15">
            <v>88636</v>
          </cell>
          <cell r="DP15">
            <v>0</v>
          </cell>
          <cell r="DQ15">
            <v>156569</v>
          </cell>
          <cell r="DR15">
            <v>0</v>
          </cell>
          <cell r="DS15">
            <v>135270</v>
          </cell>
          <cell r="DU15">
            <v>1622820</v>
          </cell>
          <cell r="DV15">
            <v>152958</v>
          </cell>
          <cell r="DW15"/>
          <cell r="DX15">
            <v>1516555</v>
          </cell>
          <cell r="DY15">
            <v>0</v>
          </cell>
          <cell r="DZ15">
            <v>670440</v>
          </cell>
          <cell r="EA15">
            <v>0</v>
          </cell>
          <cell r="EB15">
            <v>6493678</v>
          </cell>
          <cell r="ED15">
            <v>0.2281456953642384</v>
          </cell>
          <cell r="EE15">
            <v>0</v>
          </cell>
          <cell r="EF15">
            <v>0.23354330165431669</v>
          </cell>
          <cell r="EG15">
            <v>0</v>
          </cell>
          <cell r="EH15">
            <v>174257</v>
          </cell>
          <cell r="EI15">
            <v>0</v>
          </cell>
        </row>
        <row r="16">
          <cell r="A16">
            <v>46003</v>
          </cell>
          <cell r="B16">
            <v>88636</v>
          </cell>
          <cell r="C16"/>
          <cell r="D16">
            <v>505190</v>
          </cell>
          <cell r="E16" t="str">
            <v/>
          </cell>
          <cell r="F16" t="e">
            <v>#VALUE!</v>
          </cell>
          <cell r="G16"/>
          <cell r="H16">
            <v>2271510</v>
          </cell>
          <cell r="I16" t="e">
            <v>#N/A</v>
          </cell>
          <cell r="J16" t="e">
            <v>#VALUE!</v>
          </cell>
          <cell r="K16" t="e">
            <v>#VALUE!</v>
          </cell>
          <cell r="L16">
            <v>16285752</v>
          </cell>
          <cell r="M16"/>
          <cell r="N16">
            <v>-16285752</v>
          </cell>
          <cell r="O16" t="e">
            <v>#VALUE!</v>
          </cell>
          <cell r="P16">
            <v>174257</v>
          </cell>
          <cell r="Q16"/>
          <cell r="R16">
            <v>1622820</v>
          </cell>
          <cell r="S16" t="e">
            <v>#VALUE!</v>
          </cell>
          <cell r="T16" t="e">
            <v>#VALUE!</v>
          </cell>
          <cell r="U16"/>
          <cell r="V16">
            <v>6493678</v>
          </cell>
          <cell r="W16" t="e">
            <v>#N/A</v>
          </cell>
          <cell r="X16" t="e">
            <v>#VALUE!</v>
          </cell>
          <cell r="Y16" t="e">
            <v>#VALUE!</v>
          </cell>
          <cell r="Z16"/>
          <cell r="AA16"/>
          <cell r="AB16"/>
          <cell r="AC16">
            <v>0</v>
          </cell>
          <cell r="AD16">
            <v>575736</v>
          </cell>
          <cell r="AE16"/>
          <cell r="AF16"/>
          <cell r="AG16">
            <v>2707210</v>
          </cell>
          <cell r="AH16" t="str">
            <v xml:space="preserve"> </v>
          </cell>
          <cell r="AI16" t="e">
            <v>#VALUE!</v>
          </cell>
          <cell r="AJ16"/>
          <cell r="AK16">
            <v>6739859</v>
          </cell>
          <cell r="AL16" t="e">
            <v>#N/A</v>
          </cell>
          <cell r="AM16" t="e">
            <v>#VALUE!</v>
          </cell>
          <cell r="AN16" t="e">
            <v>#VALUE!</v>
          </cell>
          <cell r="AO16">
            <v>-24166892</v>
          </cell>
          <cell r="AP16">
            <v>-20081474</v>
          </cell>
          <cell r="AQ16">
            <v>50389136</v>
          </cell>
          <cell r="AR16"/>
          <cell r="AS16">
            <v>24166892</v>
          </cell>
          <cell r="AT16"/>
          <cell r="AU16" t="e">
            <v>#VALUE!</v>
          </cell>
          <cell r="AV16" t="e">
            <v>#VALUE!</v>
          </cell>
          <cell r="AW16"/>
          <cell r="AX16">
            <v>14080</v>
          </cell>
          <cell r="AY16" t="e">
            <v>#VALUE!</v>
          </cell>
          <cell r="AZ16" t="e">
            <v>#VALUE!</v>
          </cell>
          <cell r="BA16">
            <v>0</v>
          </cell>
          <cell r="BB16">
            <v>15505047</v>
          </cell>
          <cell r="BC16" t="e">
            <v>#VALUE!</v>
          </cell>
          <cell r="BD16" t="e">
            <v>#VALUE!</v>
          </cell>
          <cell r="BE16"/>
          <cell r="BF16"/>
          <cell r="BG16"/>
          <cell r="BH16">
            <v>0</v>
          </cell>
          <cell r="BI16"/>
          <cell r="BJ16"/>
          <cell r="BK16"/>
          <cell r="BL16">
            <v>0</v>
          </cell>
          <cell r="BM16">
            <v>0</v>
          </cell>
          <cell r="BN16"/>
          <cell r="BO16"/>
          <cell r="BP16">
            <v>0</v>
          </cell>
          <cell r="BQ16">
            <v>0</v>
          </cell>
          <cell r="BR16" t="e">
            <v>#VALUE!</v>
          </cell>
          <cell r="BS16" t="e">
            <v>#VALUE!</v>
          </cell>
          <cell r="BT16"/>
          <cell r="BV16">
            <v>44604</v>
          </cell>
          <cell r="BW16">
            <v>273438</v>
          </cell>
          <cell r="BX16">
            <v>1902948</v>
          </cell>
          <cell r="CC16">
            <v>575736</v>
          </cell>
          <cell r="CD16"/>
          <cell r="CE16">
            <v>0</v>
          </cell>
          <cell r="CF16">
            <v>0</v>
          </cell>
          <cell r="CG16">
            <v>0</v>
          </cell>
          <cell r="CH16" t="e">
            <v>#VALUE!</v>
          </cell>
          <cell r="CI16">
            <v>0</v>
          </cell>
          <cell r="CJ16" t="e">
            <v>#VALUE!</v>
          </cell>
          <cell r="CK16">
            <v>0</v>
          </cell>
          <cell r="CL16">
            <v>0</v>
          </cell>
          <cell r="CM16">
            <v>0</v>
          </cell>
          <cell r="CN16">
            <v>6739859</v>
          </cell>
          <cell r="CO16">
            <v>0</v>
          </cell>
          <cell r="CP16" t="e">
            <v>#VALUE!</v>
          </cell>
          <cell r="CQ16">
            <v>0</v>
          </cell>
          <cell r="CR16" t="e">
            <v>#VALUE!</v>
          </cell>
          <cell r="CS16">
            <v>0</v>
          </cell>
          <cell r="CT16" t="e">
            <v>#VALUE!</v>
          </cell>
          <cell r="CU16">
            <v>0</v>
          </cell>
          <cell r="CV16" t="e">
            <v>#VALUE!</v>
          </cell>
          <cell r="CW16">
            <v>0</v>
          </cell>
          <cell r="CX16">
            <v>88636</v>
          </cell>
          <cell r="CY16">
            <v>0</v>
          </cell>
          <cell r="CZ16">
            <v>0</v>
          </cell>
          <cell r="DA16">
            <v>0</v>
          </cell>
          <cell r="DB16">
            <v>505190</v>
          </cell>
          <cell r="DC16" t="e">
            <v>#VALUE!</v>
          </cell>
          <cell r="DD16">
            <v>0</v>
          </cell>
          <cell r="DE16" t="e">
            <v>#VALUE!</v>
          </cell>
          <cell r="DF16">
            <v>0</v>
          </cell>
          <cell r="DG16">
            <v>0</v>
          </cell>
          <cell r="DH16">
            <v>0</v>
          </cell>
          <cell r="DI16">
            <v>2271510</v>
          </cell>
          <cell r="DJ16">
            <v>0</v>
          </cell>
          <cell r="DK16" t="e">
            <v>#VALUE!</v>
          </cell>
          <cell r="DL16">
            <v>0</v>
          </cell>
          <cell r="DM16">
            <v>0</v>
          </cell>
          <cell r="DN16">
            <v>0</v>
          </cell>
          <cell r="DO16" t="e">
            <v>#VALUE!</v>
          </cell>
          <cell r="DP16">
            <v>0</v>
          </cell>
          <cell r="DQ16">
            <v>174257</v>
          </cell>
          <cell r="DR16">
            <v>0</v>
          </cell>
          <cell r="DS16">
            <v>0</v>
          </cell>
          <cell r="DU16">
            <v>1622820</v>
          </cell>
          <cell r="DV16" t="e">
            <v>#VALUE!</v>
          </cell>
          <cell r="DW16"/>
          <cell r="DX16" t="e">
            <v>#VALUE!</v>
          </cell>
          <cell r="DY16">
            <v>0</v>
          </cell>
          <cell r="DZ16">
            <v>0</v>
          </cell>
          <cell r="EA16">
            <v>0</v>
          </cell>
          <cell r="EB16">
            <v>6493678</v>
          </cell>
          <cell r="ED16">
            <v>0</v>
          </cell>
          <cell r="EE16">
            <v>0</v>
          </cell>
          <cell r="EF16" t="e">
            <v>#VALUE!</v>
          </cell>
          <cell r="EG16">
            <v>0</v>
          </cell>
          <cell r="EH16" t="e">
            <v>#VALUE!</v>
          </cell>
          <cell r="EI16">
            <v>0</v>
          </cell>
        </row>
        <row r="17">
          <cell r="A17">
            <v>46004</v>
          </cell>
          <cell r="B17" t="e">
            <v>#VALUE!</v>
          </cell>
          <cell r="C17"/>
          <cell r="D17">
            <v>505190</v>
          </cell>
          <cell r="E17" t="str">
            <v/>
          </cell>
          <cell r="F17" t="e">
            <v>#VALUE!</v>
          </cell>
          <cell r="G17"/>
          <cell r="H17">
            <v>2271510</v>
          </cell>
          <cell r="I17" t="e">
            <v>#N/A</v>
          </cell>
          <cell r="J17" t="e">
            <v>#VALUE!</v>
          </cell>
          <cell r="K17" t="e">
            <v>#VALUE!</v>
          </cell>
          <cell r="L17">
            <v>0</v>
          </cell>
          <cell r="M17"/>
          <cell r="N17">
            <v>0</v>
          </cell>
          <cell r="O17" t="e">
            <v>#VALUE!</v>
          </cell>
          <cell r="P17" t="e">
            <v>#VALUE!</v>
          </cell>
          <cell r="Q17"/>
          <cell r="R17">
            <v>1622820</v>
          </cell>
          <cell r="S17" t="e">
            <v>#VALUE!</v>
          </cell>
          <cell r="T17" t="e">
            <v>#VALUE!</v>
          </cell>
          <cell r="U17"/>
          <cell r="V17">
            <v>6493678</v>
          </cell>
          <cell r="W17" t="e">
            <v>#N/A</v>
          </cell>
          <cell r="X17" t="e">
            <v>#VALUE!</v>
          </cell>
          <cell r="Y17" t="e">
            <v>#VALUE!</v>
          </cell>
          <cell r="Z17"/>
          <cell r="AA17"/>
          <cell r="AB17"/>
          <cell r="AC17">
            <v>0</v>
          </cell>
          <cell r="AD17" t="e">
            <v>#VALUE!</v>
          </cell>
          <cell r="AE17"/>
          <cell r="AF17"/>
          <cell r="AG17">
            <v>2707210</v>
          </cell>
          <cell r="AH17">
            <v>0</v>
          </cell>
          <cell r="AI17" t="e">
            <v>#VALUE!</v>
          </cell>
          <cell r="AJ17"/>
          <cell r="AK17">
            <v>6739859</v>
          </cell>
          <cell r="AL17" t="e">
            <v>#N/A</v>
          </cell>
          <cell r="AM17" t="e">
            <v>#VALUE!</v>
          </cell>
          <cell r="AN17" t="e">
            <v>#VALUE!</v>
          </cell>
          <cell r="AO17">
            <v>0</v>
          </cell>
          <cell r="AP17">
            <v>-20081474</v>
          </cell>
          <cell r="AQ17">
            <v>0</v>
          </cell>
          <cell r="AR17"/>
          <cell r="AS17">
            <v>0</v>
          </cell>
          <cell r="AT17"/>
          <cell r="AU17" t="e">
            <v>#VALUE!</v>
          </cell>
          <cell r="AV17" t="e">
            <v>#VALUE!</v>
          </cell>
          <cell r="AW17"/>
          <cell r="AX17">
            <v>14080</v>
          </cell>
          <cell r="AY17" t="e">
            <v>#VALUE!</v>
          </cell>
          <cell r="AZ17" t="e">
            <v>#VALUE!</v>
          </cell>
          <cell r="BA17">
            <v>0</v>
          </cell>
          <cell r="BB17">
            <v>15505047</v>
          </cell>
          <cell r="BC17" t="e">
            <v>#VALUE!</v>
          </cell>
          <cell r="BD17" t="e">
            <v>#VALUE!</v>
          </cell>
          <cell r="BE17"/>
          <cell r="BF17"/>
          <cell r="BG17"/>
          <cell r="BH17">
            <v>0</v>
          </cell>
          <cell r="BI17"/>
          <cell r="BJ17"/>
          <cell r="BK17"/>
          <cell r="BL17">
            <v>0</v>
          </cell>
          <cell r="BM17">
            <v>0</v>
          </cell>
          <cell r="BN17"/>
          <cell r="BO17"/>
          <cell r="BP17">
            <v>0</v>
          </cell>
          <cell r="BQ17">
            <v>0</v>
          </cell>
          <cell r="BR17" t="e">
            <v>#VALUE!</v>
          </cell>
          <cell r="BS17" t="e">
            <v>#VALUE!</v>
          </cell>
          <cell r="BT17"/>
          <cell r="BV17">
            <v>44605</v>
          </cell>
          <cell r="BW17">
            <v>273438</v>
          </cell>
          <cell r="BX17">
            <v>1902948</v>
          </cell>
          <cell r="CC17" t="e">
            <v>#VALUE!</v>
          </cell>
          <cell r="CD17"/>
          <cell r="CE17" t="e">
            <v>#REF!</v>
          </cell>
          <cell r="CF17">
            <v>0</v>
          </cell>
          <cell r="CG17">
            <v>0</v>
          </cell>
          <cell r="CH17">
            <v>0</v>
          </cell>
          <cell r="CI17">
            <v>0</v>
          </cell>
          <cell r="CJ17" t="e">
            <v>#VALUE!</v>
          </cell>
          <cell r="CK17">
            <v>0</v>
          </cell>
          <cell r="CL17">
            <v>0</v>
          </cell>
          <cell r="CM17">
            <v>0</v>
          </cell>
          <cell r="CN17">
            <v>6739859</v>
          </cell>
          <cell r="CO17">
            <v>0</v>
          </cell>
          <cell r="CP17" t="e">
            <v>#DIV/0!</v>
          </cell>
          <cell r="CQ17">
            <v>0</v>
          </cell>
          <cell r="CR17" t="e">
            <v>#VALUE!</v>
          </cell>
          <cell r="CS17">
            <v>0</v>
          </cell>
          <cell r="CT17" t="e">
            <v>#VALUE!</v>
          </cell>
          <cell r="CU17">
            <v>0</v>
          </cell>
          <cell r="CV17" t="e">
            <v>#VALUE!</v>
          </cell>
          <cell r="CW17">
            <v>0</v>
          </cell>
          <cell r="CX17" t="e">
            <v>#VALUE!</v>
          </cell>
          <cell r="CY17">
            <v>0</v>
          </cell>
          <cell r="CZ17">
            <v>0</v>
          </cell>
          <cell r="DA17">
            <v>0</v>
          </cell>
          <cell r="DB17">
            <v>505190</v>
          </cell>
          <cell r="DC17" t="e">
            <v>#VALUE!</v>
          </cell>
          <cell r="DD17">
            <v>0</v>
          </cell>
          <cell r="DE17" t="e">
            <v>#VALUE!</v>
          </cell>
          <cell r="DF17">
            <v>0</v>
          </cell>
          <cell r="DG17">
            <v>0</v>
          </cell>
          <cell r="DH17">
            <v>0</v>
          </cell>
          <cell r="DI17">
            <v>2271510</v>
          </cell>
          <cell r="DJ17">
            <v>0</v>
          </cell>
          <cell r="DK17" t="e">
            <v>#VALUE!</v>
          </cell>
          <cell r="DL17">
            <v>0</v>
          </cell>
          <cell r="DM17">
            <v>0</v>
          </cell>
          <cell r="DN17">
            <v>0</v>
          </cell>
          <cell r="DO17" t="e">
            <v>#VALUE!</v>
          </cell>
          <cell r="DP17">
            <v>0</v>
          </cell>
          <cell r="DQ17" t="e">
            <v>#VALUE!</v>
          </cell>
          <cell r="DR17">
            <v>0</v>
          </cell>
          <cell r="DS17">
            <v>0</v>
          </cell>
          <cell r="DU17">
            <v>1622820</v>
          </cell>
          <cell r="DV17" t="e">
            <v>#VALUE!</v>
          </cell>
          <cell r="DW17"/>
          <cell r="DX17" t="e">
            <v>#VALUE!</v>
          </cell>
          <cell r="DY17">
            <v>0</v>
          </cell>
          <cell r="DZ17">
            <v>0</v>
          </cell>
          <cell r="EA17">
            <v>0</v>
          </cell>
          <cell r="EB17">
            <v>6493678</v>
          </cell>
          <cell r="ED17">
            <v>0</v>
          </cell>
          <cell r="EE17">
            <v>0</v>
          </cell>
          <cell r="EF17" t="e">
            <v>#VALUE!</v>
          </cell>
          <cell r="EG17">
            <v>0</v>
          </cell>
          <cell r="EH17" t="e">
            <v>#VALUE!</v>
          </cell>
          <cell r="EI17">
            <v>0</v>
          </cell>
        </row>
        <row r="18">
          <cell r="A18">
            <v>46005</v>
          </cell>
          <cell r="B18" t="e">
            <v>#VALUE!</v>
          </cell>
          <cell r="C18"/>
          <cell r="D18">
            <v>505190</v>
          </cell>
          <cell r="E18" t="str">
            <v/>
          </cell>
          <cell r="F18" t="e">
            <v>#VALUE!</v>
          </cell>
          <cell r="G18"/>
          <cell r="H18">
            <v>2271510</v>
          </cell>
          <cell r="I18" t="e">
            <v>#N/A</v>
          </cell>
          <cell r="J18" t="e">
            <v>#VALUE!</v>
          </cell>
          <cell r="K18" t="e">
            <v>#VALUE!</v>
          </cell>
          <cell r="L18">
            <v>0</v>
          </cell>
          <cell r="M18"/>
          <cell r="N18">
            <v>0</v>
          </cell>
          <cell r="O18" t="e">
            <v>#VALUE!</v>
          </cell>
          <cell r="P18" t="e">
            <v>#VALUE!</v>
          </cell>
          <cell r="Q18"/>
          <cell r="R18">
            <v>1622820</v>
          </cell>
          <cell r="S18" t="e">
            <v>#VALUE!</v>
          </cell>
          <cell r="T18" t="e">
            <v>#VALUE!</v>
          </cell>
          <cell r="U18"/>
          <cell r="V18">
            <v>6493678</v>
          </cell>
          <cell r="W18" t="e">
            <v>#N/A</v>
          </cell>
          <cell r="X18" t="e">
            <v>#VALUE!</v>
          </cell>
          <cell r="Y18" t="e">
            <v>#VALUE!</v>
          </cell>
          <cell r="Z18"/>
          <cell r="AA18"/>
          <cell r="AB18"/>
          <cell r="AC18">
            <v>0</v>
          </cell>
          <cell r="AD18" t="e">
            <v>#VALUE!</v>
          </cell>
          <cell r="AE18"/>
          <cell r="AF18"/>
          <cell r="AG18">
            <v>2707210</v>
          </cell>
          <cell r="AH18">
            <v>0</v>
          </cell>
          <cell r="AI18" t="e">
            <v>#VALUE!</v>
          </cell>
          <cell r="AJ18"/>
          <cell r="AK18">
            <v>6739859</v>
          </cell>
          <cell r="AL18" t="e">
            <v>#N/A</v>
          </cell>
          <cell r="AM18" t="e">
            <v>#VALUE!</v>
          </cell>
          <cell r="AN18" t="e">
            <v>#VALUE!</v>
          </cell>
          <cell r="AO18">
            <v>0</v>
          </cell>
          <cell r="AP18">
            <v>-20081474</v>
          </cell>
          <cell r="AQ18">
            <v>0</v>
          </cell>
          <cell r="AR18"/>
          <cell r="AS18">
            <v>0</v>
          </cell>
          <cell r="AT18"/>
          <cell r="AU18" t="e">
            <v>#VALUE!</v>
          </cell>
          <cell r="AV18" t="e">
            <v>#VALUE!</v>
          </cell>
          <cell r="AW18"/>
          <cell r="AX18">
            <v>14080</v>
          </cell>
          <cell r="AY18" t="e">
            <v>#VALUE!</v>
          </cell>
          <cell r="AZ18" t="e">
            <v>#VALUE!</v>
          </cell>
          <cell r="BA18">
            <v>0</v>
          </cell>
          <cell r="BB18">
            <v>15505047</v>
          </cell>
          <cell r="BC18" t="e">
            <v>#VALUE!</v>
          </cell>
          <cell r="BD18" t="e">
            <v>#VALUE!</v>
          </cell>
          <cell r="BE18"/>
          <cell r="BF18"/>
          <cell r="BG18"/>
          <cell r="BH18">
            <v>0</v>
          </cell>
          <cell r="BI18"/>
          <cell r="BJ18"/>
          <cell r="BK18"/>
          <cell r="BL18">
            <v>0</v>
          </cell>
          <cell r="BM18">
            <v>0</v>
          </cell>
          <cell r="BN18"/>
          <cell r="BO18"/>
          <cell r="BP18">
            <v>0</v>
          </cell>
          <cell r="BQ18">
            <v>0</v>
          </cell>
          <cell r="BR18" t="e">
            <v>#VALUE!</v>
          </cell>
          <cell r="BS18" t="e">
            <v>#VALUE!</v>
          </cell>
          <cell r="BT18"/>
          <cell r="BV18">
            <v>44606</v>
          </cell>
          <cell r="BW18">
            <v>273438</v>
          </cell>
          <cell r="BX18">
            <v>1902948</v>
          </cell>
          <cell r="CC18" t="e">
            <v>#VALUE!</v>
          </cell>
          <cell r="CD18"/>
          <cell r="CE18">
            <v>0</v>
          </cell>
          <cell r="CF18">
            <v>0</v>
          </cell>
          <cell r="CG18">
            <v>0</v>
          </cell>
          <cell r="CH18">
            <v>0</v>
          </cell>
          <cell r="CI18">
            <v>0</v>
          </cell>
          <cell r="CJ18" t="e">
            <v>#VALUE!</v>
          </cell>
          <cell r="CK18">
            <v>0</v>
          </cell>
          <cell r="CL18">
            <v>0</v>
          </cell>
          <cell r="CM18">
            <v>0</v>
          </cell>
          <cell r="CN18">
            <v>6739859</v>
          </cell>
          <cell r="CO18">
            <v>0</v>
          </cell>
          <cell r="CP18" t="e">
            <v>#DIV/0!</v>
          </cell>
          <cell r="CQ18">
            <v>0</v>
          </cell>
          <cell r="CR18" t="e">
            <v>#VALUE!</v>
          </cell>
          <cell r="CS18">
            <v>0</v>
          </cell>
          <cell r="CT18" t="e">
            <v>#VALUE!</v>
          </cell>
          <cell r="CU18">
            <v>0</v>
          </cell>
          <cell r="CV18" t="e">
            <v>#VALUE!</v>
          </cell>
          <cell r="CW18">
            <v>0</v>
          </cell>
          <cell r="CX18" t="e">
            <v>#VALUE!</v>
          </cell>
          <cell r="CY18">
            <v>0</v>
          </cell>
          <cell r="CZ18">
            <v>0</v>
          </cell>
          <cell r="DA18">
            <v>0</v>
          </cell>
          <cell r="DB18">
            <v>505190</v>
          </cell>
          <cell r="DC18" t="e">
            <v>#VALUE!</v>
          </cell>
          <cell r="DD18">
            <v>0</v>
          </cell>
          <cell r="DE18" t="e">
            <v>#VALUE!</v>
          </cell>
          <cell r="DF18">
            <v>0</v>
          </cell>
          <cell r="DG18">
            <v>0</v>
          </cell>
          <cell r="DH18">
            <v>0</v>
          </cell>
          <cell r="DI18">
            <v>2271510</v>
          </cell>
          <cell r="DJ18">
            <v>0</v>
          </cell>
          <cell r="DK18" t="e">
            <v>#VALUE!</v>
          </cell>
          <cell r="DL18">
            <v>0</v>
          </cell>
          <cell r="DM18">
            <v>0</v>
          </cell>
          <cell r="DN18">
            <v>0</v>
          </cell>
          <cell r="DO18" t="e">
            <v>#VALUE!</v>
          </cell>
          <cell r="DP18">
            <v>0</v>
          </cell>
          <cell r="DQ18" t="e">
            <v>#VALUE!</v>
          </cell>
          <cell r="DR18">
            <v>0</v>
          </cell>
          <cell r="DS18">
            <v>0</v>
          </cell>
          <cell r="DU18">
            <v>1622820</v>
          </cell>
          <cell r="DV18" t="e">
            <v>#VALUE!</v>
          </cell>
          <cell r="DW18"/>
          <cell r="DX18" t="e">
            <v>#VALUE!</v>
          </cell>
          <cell r="DY18">
            <v>0</v>
          </cell>
          <cell r="DZ18">
            <v>0</v>
          </cell>
          <cell r="EA18">
            <v>0</v>
          </cell>
          <cell r="EB18">
            <v>6493678</v>
          </cell>
          <cell r="ED18">
            <v>0</v>
          </cell>
          <cell r="EE18">
            <v>0</v>
          </cell>
          <cell r="EF18" t="e">
            <v>#VALUE!</v>
          </cell>
          <cell r="EG18">
            <v>0</v>
          </cell>
          <cell r="EH18" t="e">
            <v>#VALUE!</v>
          </cell>
          <cell r="EI18">
            <v>0</v>
          </cell>
        </row>
        <row r="19">
          <cell r="A19">
            <v>46006</v>
          </cell>
          <cell r="B19" t="e">
            <v>#VALUE!</v>
          </cell>
          <cell r="C19"/>
          <cell r="D19">
            <v>505190</v>
          </cell>
          <cell r="E19" t="str">
            <v/>
          </cell>
          <cell r="F19" t="e">
            <v>#VALUE!</v>
          </cell>
          <cell r="G19"/>
          <cell r="H19">
            <v>2271510</v>
          </cell>
          <cell r="I19" t="e">
            <v>#N/A</v>
          </cell>
          <cell r="J19" t="e">
            <v>#VALUE!</v>
          </cell>
          <cell r="K19" t="e">
            <v>#VALUE!</v>
          </cell>
          <cell r="L19">
            <v>0</v>
          </cell>
          <cell r="M19"/>
          <cell r="N19">
            <v>0</v>
          </cell>
          <cell r="O19" t="e">
            <v>#VALUE!</v>
          </cell>
          <cell r="P19" t="e">
            <v>#VALUE!</v>
          </cell>
          <cell r="Q19"/>
          <cell r="R19">
            <v>1622820</v>
          </cell>
          <cell r="S19" t="e">
            <v>#VALUE!</v>
          </cell>
          <cell r="T19" t="e">
            <v>#VALUE!</v>
          </cell>
          <cell r="U19"/>
          <cell r="V19">
            <v>6493678</v>
          </cell>
          <cell r="W19" t="e">
            <v>#N/A</v>
          </cell>
          <cell r="X19" t="e">
            <v>#VALUE!</v>
          </cell>
          <cell r="Y19" t="e">
            <v>#VALUE!</v>
          </cell>
          <cell r="Z19"/>
          <cell r="AA19"/>
          <cell r="AB19"/>
          <cell r="AC19"/>
          <cell r="AD19" t="e">
            <v>#VALUE!</v>
          </cell>
          <cell r="AE19"/>
          <cell r="AF19"/>
          <cell r="AG19">
            <v>2707210</v>
          </cell>
          <cell r="AH19">
            <v>0</v>
          </cell>
          <cell r="AI19" t="e">
            <v>#VALUE!</v>
          </cell>
          <cell r="AJ19"/>
          <cell r="AK19">
            <v>6739859</v>
          </cell>
          <cell r="AL19" t="e">
            <v>#N/A</v>
          </cell>
          <cell r="AM19" t="e">
            <v>#VALUE!</v>
          </cell>
          <cell r="AN19" t="e">
            <v>#VALUE!</v>
          </cell>
          <cell r="AO19">
            <v>0</v>
          </cell>
          <cell r="AP19">
            <v>-20081474</v>
          </cell>
          <cell r="AQ19">
            <v>0</v>
          </cell>
          <cell r="AR19"/>
          <cell r="AS19">
            <v>0</v>
          </cell>
          <cell r="AT19"/>
          <cell r="AU19" t="e">
            <v>#VALUE!</v>
          </cell>
          <cell r="AV19" t="e">
            <v>#VALUE!</v>
          </cell>
          <cell r="AW19"/>
          <cell r="AX19">
            <v>14080</v>
          </cell>
          <cell r="AY19" t="e">
            <v>#VALUE!</v>
          </cell>
          <cell r="AZ19" t="e">
            <v>#VALUE!</v>
          </cell>
          <cell r="BA19">
            <v>0</v>
          </cell>
          <cell r="BB19">
            <v>15505047</v>
          </cell>
          <cell r="BC19" t="e">
            <v>#VALUE!</v>
          </cell>
          <cell r="BD19" t="e">
            <v>#VALUE!</v>
          </cell>
          <cell r="BE19"/>
          <cell r="BF19"/>
          <cell r="BG19"/>
          <cell r="BH19">
            <v>0</v>
          </cell>
          <cell r="BI19"/>
          <cell r="BJ19"/>
          <cell r="BK19"/>
          <cell r="BL19">
            <v>0</v>
          </cell>
          <cell r="BM19">
            <v>0</v>
          </cell>
          <cell r="BN19"/>
          <cell r="BO19"/>
          <cell r="BP19">
            <v>0</v>
          </cell>
          <cell r="BQ19">
            <v>0</v>
          </cell>
          <cell r="BR19" t="e">
            <v>#VALUE!</v>
          </cell>
          <cell r="BS19" t="e">
            <v>#VALUE!</v>
          </cell>
          <cell r="BT19"/>
          <cell r="BV19">
            <v>44607</v>
          </cell>
          <cell r="BW19">
            <v>273438</v>
          </cell>
          <cell r="BX19">
            <v>1902948</v>
          </cell>
          <cell r="CC19" t="e">
            <v>#VALUE!</v>
          </cell>
          <cell r="CD19"/>
          <cell r="CE19">
            <v>0</v>
          </cell>
          <cell r="CF19">
            <v>0</v>
          </cell>
          <cell r="CG19">
            <v>0</v>
          </cell>
          <cell r="CH19">
            <v>0</v>
          </cell>
          <cell r="CI19">
            <v>0</v>
          </cell>
          <cell r="CJ19" t="e">
            <v>#VALUE!</v>
          </cell>
          <cell r="CK19">
            <v>0</v>
          </cell>
          <cell r="CL19">
            <v>0</v>
          </cell>
          <cell r="CM19">
            <v>0</v>
          </cell>
          <cell r="CN19">
            <v>6739859</v>
          </cell>
          <cell r="CO19">
            <v>0</v>
          </cell>
          <cell r="CP19" t="e">
            <v>#DIV/0!</v>
          </cell>
          <cell r="CQ19">
            <v>0</v>
          </cell>
          <cell r="CR19" t="e">
            <v>#VALUE!</v>
          </cell>
          <cell r="CS19">
            <v>0</v>
          </cell>
          <cell r="CT19" t="e">
            <v>#VALUE!</v>
          </cell>
          <cell r="CU19">
            <v>0</v>
          </cell>
          <cell r="CV19" t="e">
            <v>#VALUE!</v>
          </cell>
          <cell r="CW19">
            <v>0</v>
          </cell>
          <cell r="CX19" t="e">
            <v>#VALUE!</v>
          </cell>
          <cell r="CY19">
            <v>0</v>
          </cell>
          <cell r="CZ19">
            <v>0</v>
          </cell>
          <cell r="DA19">
            <v>0</v>
          </cell>
          <cell r="DB19">
            <v>505190</v>
          </cell>
          <cell r="DC19" t="e">
            <v>#VALUE!</v>
          </cell>
          <cell r="DD19">
            <v>0</v>
          </cell>
          <cell r="DE19" t="e">
            <v>#VALUE!</v>
          </cell>
          <cell r="DF19">
            <v>0</v>
          </cell>
          <cell r="DG19">
            <v>0</v>
          </cell>
          <cell r="DH19">
            <v>0</v>
          </cell>
          <cell r="DI19">
            <v>2271510</v>
          </cell>
          <cell r="DJ19">
            <v>0</v>
          </cell>
          <cell r="DK19" t="e">
            <v>#VALUE!</v>
          </cell>
          <cell r="DL19">
            <v>0</v>
          </cell>
          <cell r="DM19">
            <v>0</v>
          </cell>
          <cell r="DN19">
            <v>0</v>
          </cell>
          <cell r="DO19" t="e">
            <v>#VALUE!</v>
          </cell>
          <cell r="DP19">
            <v>0</v>
          </cell>
          <cell r="DQ19" t="e">
            <v>#VALUE!</v>
          </cell>
          <cell r="DR19">
            <v>0</v>
          </cell>
          <cell r="DS19">
            <v>0</v>
          </cell>
          <cell r="DU19">
            <v>1622820</v>
          </cell>
          <cell r="DV19" t="e">
            <v>#VALUE!</v>
          </cell>
          <cell r="DW19"/>
          <cell r="DX19" t="e">
            <v>#VALUE!</v>
          </cell>
          <cell r="DY19">
            <v>0</v>
          </cell>
          <cell r="DZ19">
            <v>0</v>
          </cell>
          <cell r="EA19">
            <v>0</v>
          </cell>
          <cell r="EB19">
            <v>6493678</v>
          </cell>
          <cell r="ED19">
            <v>0</v>
          </cell>
          <cell r="EE19">
            <v>0</v>
          </cell>
          <cell r="EF19" t="e">
            <v>#VALUE!</v>
          </cell>
          <cell r="EG19">
            <v>0</v>
          </cell>
          <cell r="EH19" t="e">
            <v>#VALUE!</v>
          </cell>
          <cell r="EI19">
            <v>0</v>
          </cell>
        </row>
        <row r="20">
          <cell r="A20">
            <v>46007</v>
          </cell>
          <cell r="B20" t="e">
            <v>#VALUE!</v>
          </cell>
          <cell r="C20"/>
          <cell r="D20">
            <v>505190</v>
          </cell>
          <cell r="E20" t="str">
            <v/>
          </cell>
          <cell r="F20" t="e">
            <v>#VALUE!</v>
          </cell>
          <cell r="G20"/>
          <cell r="H20">
            <v>2271510</v>
          </cell>
          <cell r="I20" t="e">
            <v>#N/A</v>
          </cell>
          <cell r="J20" t="e">
            <v>#VALUE!</v>
          </cell>
          <cell r="K20" t="e">
            <v>#VALUE!</v>
          </cell>
          <cell r="L20">
            <v>0</v>
          </cell>
          <cell r="M20"/>
          <cell r="N20">
            <v>0</v>
          </cell>
          <cell r="O20" t="e">
            <v>#VALUE!</v>
          </cell>
          <cell r="P20" t="e">
            <v>#VALUE!</v>
          </cell>
          <cell r="Q20"/>
          <cell r="R20">
            <v>1622820</v>
          </cell>
          <cell r="S20" t="e">
            <v>#VALUE!</v>
          </cell>
          <cell r="T20" t="e">
            <v>#VALUE!</v>
          </cell>
          <cell r="U20"/>
          <cell r="V20">
            <v>6493678</v>
          </cell>
          <cell r="W20" t="e">
            <v>#N/A</v>
          </cell>
          <cell r="X20" t="e">
            <v>#VALUE!</v>
          </cell>
          <cell r="Y20" t="e">
            <v>#VALUE!</v>
          </cell>
          <cell r="Z20"/>
          <cell r="AA20"/>
          <cell r="AB20"/>
          <cell r="AC20"/>
          <cell r="AD20" t="e">
            <v>#VALUE!</v>
          </cell>
          <cell r="AE20"/>
          <cell r="AF20"/>
          <cell r="AG20">
            <v>2707210</v>
          </cell>
          <cell r="AH20">
            <v>0</v>
          </cell>
          <cell r="AI20" t="e">
            <v>#VALUE!</v>
          </cell>
          <cell r="AJ20"/>
          <cell r="AK20">
            <v>6739859</v>
          </cell>
          <cell r="AL20" t="e">
            <v>#N/A</v>
          </cell>
          <cell r="AM20" t="e">
            <v>#VALUE!</v>
          </cell>
          <cell r="AN20" t="e">
            <v>#VALUE!</v>
          </cell>
          <cell r="AO20">
            <v>0</v>
          </cell>
          <cell r="AP20">
            <v>-20081474</v>
          </cell>
          <cell r="AQ20">
            <v>0</v>
          </cell>
          <cell r="AR20"/>
          <cell r="AS20">
            <v>0</v>
          </cell>
          <cell r="AT20"/>
          <cell r="AU20" t="e">
            <v>#VALUE!</v>
          </cell>
          <cell r="AV20" t="e">
            <v>#VALUE!</v>
          </cell>
          <cell r="AW20"/>
          <cell r="AX20">
            <v>14080</v>
          </cell>
          <cell r="AY20" t="e">
            <v>#VALUE!</v>
          </cell>
          <cell r="AZ20" t="e">
            <v>#VALUE!</v>
          </cell>
          <cell r="BA20">
            <v>0</v>
          </cell>
          <cell r="BB20">
            <v>15505047</v>
          </cell>
          <cell r="BC20" t="e">
            <v>#VALUE!</v>
          </cell>
          <cell r="BD20" t="e">
            <v>#VALUE!</v>
          </cell>
          <cell r="BE20"/>
          <cell r="BF20"/>
          <cell r="BG20"/>
          <cell r="BH20">
            <v>0</v>
          </cell>
          <cell r="BI20"/>
          <cell r="BJ20"/>
          <cell r="BK20"/>
          <cell r="BL20">
            <v>0</v>
          </cell>
          <cell r="BM20">
            <v>0</v>
          </cell>
          <cell r="BN20"/>
          <cell r="BO20"/>
          <cell r="BP20">
            <v>0</v>
          </cell>
          <cell r="BQ20">
            <v>0</v>
          </cell>
          <cell r="BR20" t="e">
            <v>#VALUE!</v>
          </cell>
          <cell r="BS20" t="e">
            <v>#VALUE!</v>
          </cell>
          <cell r="BT20"/>
          <cell r="BV20">
            <v>44608</v>
          </cell>
          <cell r="BW20">
            <v>273438</v>
          </cell>
          <cell r="BX20">
            <v>1902948</v>
          </cell>
          <cell r="CC20" t="e">
            <v>#VALUE!</v>
          </cell>
          <cell r="CD20"/>
          <cell r="CE20">
            <v>0</v>
          </cell>
          <cell r="CF20">
            <v>0</v>
          </cell>
          <cell r="CG20">
            <v>0</v>
          </cell>
          <cell r="CH20">
            <v>0</v>
          </cell>
          <cell r="CI20">
            <v>0</v>
          </cell>
          <cell r="CJ20" t="e">
            <v>#VALUE!</v>
          </cell>
          <cell r="CK20">
            <v>0</v>
          </cell>
          <cell r="CL20">
            <v>0</v>
          </cell>
          <cell r="CM20">
            <v>0</v>
          </cell>
          <cell r="CN20">
            <v>6739859</v>
          </cell>
          <cell r="CO20">
            <v>0</v>
          </cell>
          <cell r="CP20" t="e">
            <v>#DIV/0!</v>
          </cell>
          <cell r="CQ20">
            <v>0</v>
          </cell>
          <cell r="CR20" t="e">
            <v>#VALUE!</v>
          </cell>
          <cell r="CS20">
            <v>0</v>
          </cell>
          <cell r="CT20" t="e">
            <v>#VALUE!</v>
          </cell>
          <cell r="CU20">
            <v>0</v>
          </cell>
          <cell r="CV20" t="e">
            <v>#VALUE!</v>
          </cell>
          <cell r="CW20">
            <v>0</v>
          </cell>
          <cell r="CX20" t="e">
            <v>#VALUE!</v>
          </cell>
          <cell r="CY20">
            <v>0</v>
          </cell>
          <cell r="CZ20">
            <v>0</v>
          </cell>
          <cell r="DA20">
            <v>0</v>
          </cell>
          <cell r="DB20">
            <v>505190</v>
          </cell>
          <cell r="DC20" t="e">
            <v>#VALUE!</v>
          </cell>
          <cell r="DD20">
            <v>0</v>
          </cell>
          <cell r="DE20" t="e">
            <v>#VALUE!</v>
          </cell>
          <cell r="DF20">
            <v>0</v>
          </cell>
          <cell r="DG20">
            <v>0</v>
          </cell>
          <cell r="DH20">
            <v>0</v>
          </cell>
          <cell r="DI20">
            <v>2271510</v>
          </cell>
          <cell r="DJ20">
            <v>0</v>
          </cell>
          <cell r="DK20" t="e">
            <v>#VALUE!</v>
          </cell>
          <cell r="DL20">
            <v>0</v>
          </cell>
          <cell r="DM20">
            <v>0</v>
          </cell>
          <cell r="DN20">
            <v>0</v>
          </cell>
          <cell r="DO20" t="e">
            <v>#VALUE!</v>
          </cell>
          <cell r="DP20">
            <v>0</v>
          </cell>
          <cell r="DQ20" t="e">
            <v>#VALUE!</v>
          </cell>
          <cell r="DR20">
            <v>0</v>
          </cell>
          <cell r="DS20">
            <v>0</v>
          </cell>
          <cell r="DU20">
            <v>1622820</v>
          </cell>
          <cell r="DV20" t="e">
            <v>#VALUE!</v>
          </cell>
          <cell r="DW20"/>
          <cell r="DX20" t="e">
            <v>#VALUE!</v>
          </cell>
          <cell r="DY20">
            <v>0</v>
          </cell>
          <cell r="DZ20">
            <v>0</v>
          </cell>
          <cell r="EA20">
            <v>0</v>
          </cell>
          <cell r="EB20">
            <v>6493678</v>
          </cell>
          <cell r="ED20">
            <v>0</v>
          </cell>
          <cell r="EE20">
            <v>0</v>
          </cell>
          <cell r="EF20" t="e">
            <v>#VALUE!</v>
          </cell>
          <cell r="EG20">
            <v>0</v>
          </cell>
          <cell r="EH20" t="e">
            <v>#VALUE!</v>
          </cell>
          <cell r="EI20">
            <v>0</v>
          </cell>
        </row>
        <row r="21">
          <cell r="A21">
            <v>46008</v>
          </cell>
          <cell r="B21" t="e">
            <v>#VALUE!</v>
          </cell>
          <cell r="C21"/>
          <cell r="D21">
            <v>505190</v>
          </cell>
          <cell r="E21" t="str">
            <v/>
          </cell>
          <cell r="F21" t="e">
            <v>#VALUE!</v>
          </cell>
          <cell r="G21"/>
          <cell r="H21">
            <v>2271510</v>
          </cell>
          <cell r="I21" t="e">
            <v>#N/A</v>
          </cell>
          <cell r="J21" t="e">
            <v>#VALUE!</v>
          </cell>
          <cell r="K21" t="e">
            <v>#VALUE!</v>
          </cell>
          <cell r="L21">
            <v>0</v>
          </cell>
          <cell r="M21"/>
          <cell r="N21">
            <v>0</v>
          </cell>
          <cell r="O21" t="e">
            <v>#VALUE!</v>
          </cell>
          <cell r="P21" t="e">
            <v>#VALUE!</v>
          </cell>
          <cell r="Q21"/>
          <cell r="R21">
            <v>1622820</v>
          </cell>
          <cell r="S21" t="e">
            <v>#VALUE!</v>
          </cell>
          <cell r="T21" t="e">
            <v>#VALUE!</v>
          </cell>
          <cell r="U21"/>
          <cell r="V21">
            <v>6493678</v>
          </cell>
          <cell r="W21" t="e">
            <v>#N/A</v>
          </cell>
          <cell r="X21" t="e">
            <v>#VALUE!</v>
          </cell>
          <cell r="Y21" t="e">
            <v>#VALUE!</v>
          </cell>
          <cell r="Z21"/>
          <cell r="AA21"/>
          <cell r="AB21"/>
          <cell r="AC21"/>
          <cell r="AD21" t="e">
            <v>#VALUE!</v>
          </cell>
          <cell r="AE21"/>
          <cell r="AF21"/>
          <cell r="AG21">
            <v>2707210</v>
          </cell>
          <cell r="AH21">
            <v>0</v>
          </cell>
          <cell r="AI21" t="e">
            <v>#VALUE!</v>
          </cell>
          <cell r="AJ21"/>
          <cell r="AK21">
            <v>6739859</v>
          </cell>
          <cell r="AL21" t="e">
            <v>#N/A</v>
          </cell>
          <cell r="AM21" t="e">
            <v>#VALUE!</v>
          </cell>
          <cell r="AN21" t="e">
            <v>#VALUE!</v>
          </cell>
          <cell r="AO21">
            <v>0</v>
          </cell>
          <cell r="AP21">
            <v>-20081474</v>
          </cell>
          <cell r="AQ21">
            <v>0</v>
          </cell>
          <cell r="AR21"/>
          <cell r="AS21">
            <v>0</v>
          </cell>
          <cell r="AT21"/>
          <cell r="AU21" t="e">
            <v>#VALUE!</v>
          </cell>
          <cell r="AV21" t="e">
            <v>#VALUE!</v>
          </cell>
          <cell r="AW21"/>
          <cell r="AX21">
            <v>14080</v>
          </cell>
          <cell r="AY21" t="e">
            <v>#VALUE!</v>
          </cell>
          <cell r="AZ21" t="e">
            <v>#VALUE!</v>
          </cell>
          <cell r="BA21">
            <v>0</v>
          </cell>
          <cell r="BB21">
            <v>15505047</v>
          </cell>
          <cell r="BC21" t="e">
            <v>#VALUE!</v>
          </cell>
          <cell r="BD21" t="e">
            <v>#VALUE!</v>
          </cell>
          <cell r="BE21"/>
          <cell r="BF21"/>
          <cell r="BG21"/>
          <cell r="BH21">
            <v>0</v>
          </cell>
          <cell r="BI21"/>
          <cell r="BJ21"/>
          <cell r="BK21"/>
          <cell r="BL21">
            <v>0</v>
          </cell>
          <cell r="BM21">
            <v>0</v>
          </cell>
          <cell r="BN21"/>
          <cell r="BO21"/>
          <cell r="BP21">
            <v>0</v>
          </cell>
          <cell r="BQ21">
            <v>0</v>
          </cell>
          <cell r="BR21" t="e">
            <v>#VALUE!</v>
          </cell>
          <cell r="BS21" t="e">
            <v>#VALUE!</v>
          </cell>
          <cell r="BT21"/>
          <cell r="BV21">
            <v>44609</v>
          </cell>
          <cell r="BW21">
            <v>273438</v>
          </cell>
          <cell r="BX21">
            <v>1902948</v>
          </cell>
          <cell r="CC21" t="e">
            <v>#VALUE!</v>
          </cell>
          <cell r="CD21"/>
          <cell r="CE21">
            <v>0</v>
          </cell>
          <cell r="CF21">
            <v>0</v>
          </cell>
          <cell r="CG21">
            <v>0</v>
          </cell>
          <cell r="CH21">
            <v>0</v>
          </cell>
          <cell r="CI21">
            <v>0</v>
          </cell>
          <cell r="CJ21" t="e">
            <v>#VALUE!</v>
          </cell>
          <cell r="CK21">
            <v>0</v>
          </cell>
          <cell r="CL21">
            <v>0</v>
          </cell>
          <cell r="CM21">
            <v>0</v>
          </cell>
          <cell r="CN21">
            <v>6739859</v>
          </cell>
          <cell r="CO21">
            <v>0</v>
          </cell>
          <cell r="CP21" t="e">
            <v>#DIV/0!</v>
          </cell>
          <cell r="CQ21">
            <v>0</v>
          </cell>
          <cell r="CR21" t="e">
            <v>#VALUE!</v>
          </cell>
          <cell r="CS21">
            <v>0</v>
          </cell>
          <cell r="CT21" t="e">
            <v>#VALUE!</v>
          </cell>
          <cell r="CU21">
            <v>0</v>
          </cell>
          <cell r="CV21" t="e">
            <v>#VALUE!</v>
          </cell>
          <cell r="CW21">
            <v>0</v>
          </cell>
          <cell r="CX21" t="e">
            <v>#VALUE!</v>
          </cell>
          <cell r="CY21">
            <v>0</v>
          </cell>
          <cell r="CZ21">
            <v>0</v>
          </cell>
          <cell r="DA21">
            <v>0</v>
          </cell>
          <cell r="DB21">
            <v>505190</v>
          </cell>
          <cell r="DC21" t="e">
            <v>#VALUE!</v>
          </cell>
          <cell r="DD21">
            <v>0</v>
          </cell>
          <cell r="DE21" t="e">
            <v>#VALUE!</v>
          </cell>
          <cell r="DF21">
            <v>0</v>
          </cell>
          <cell r="DG21">
            <v>0</v>
          </cell>
          <cell r="DH21">
            <v>0</v>
          </cell>
          <cell r="DI21">
            <v>2271510</v>
          </cell>
          <cell r="DJ21">
            <v>0</v>
          </cell>
          <cell r="DK21" t="e">
            <v>#VALUE!</v>
          </cell>
          <cell r="DL21">
            <v>0</v>
          </cell>
          <cell r="DM21">
            <v>0</v>
          </cell>
          <cell r="DN21">
            <v>0</v>
          </cell>
          <cell r="DO21" t="e">
            <v>#VALUE!</v>
          </cell>
          <cell r="DP21">
            <v>0</v>
          </cell>
          <cell r="DQ21" t="e">
            <v>#VALUE!</v>
          </cell>
          <cell r="DR21">
            <v>0</v>
          </cell>
          <cell r="DS21">
            <v>0</v>
          </cell>
          <cell r="DU21">
            <v>1622820</v>
          </cell>
          <cell r="DV21" t="e">
            <v>#VALUE!</v>
          </cell>
          <cell r="DW21"/>
          <cell r="DX21" t="e">
            <v>#VALUE!</v>
          </cell>
          <cell r="DY21">
            <v>0</v>
          </cell>
          <cell r="DZ21">
            <v>0</v>
          </cell>
          <cell r="EA21">
            <v>0</v>
          </cell>
          <cell r="EB21">
            <v>6493678</v>
          </cell>
          <cell r="ED21">
            <v>0</v>
          </cell>
          <cell r="EE21">
            <v>0</v>
          </cell>
          <cell r="EF21" t="e">
            <v>#VALUE!</v>
          </cell>
          <cell r="EG21">
            <v>0</v>
          </cell>
          <cell r="EH21" t="e">
            <v>#VALUE!</v>
          </cell>
          <cell r="EI21">
            <v>0</v>
          </cell>
        </row>
        <row r="22">
          <cell r="A22">
            <v>46009</v>
          </cell>
          <cell r="B22" t="e">
            <v>#VALUE!</v>
          </cell>
          <cell r="C22"/>
          <cell r="D22">
            <v>505190</v>
          </cell>
          <cell r="E22" t="str">
            <v/>
          </cell>
          <cell r="F22" t="e">
            <v>#VALUE!</v>
          </cell>
          <cell r="G22"/>
          <cell r="H22">
            <v>2271510</v>
          </cell>
          <cell r="I22" t="e">
            <v>#N/A</v>
          </cell>
          <cell r="J22" t="e">
            <v>#VALUE!</v>
          </cell>
          <cell r="K22" t="e">
            <v>#VALUE!</v>
          </cell>
          <cell r="L22">
            <v>0</v>
          </cell>
          <cell r="M22"/>
          <cell r="N22">
            <v>0</v>
          </cell>
          <cell r="O22" t="e">
            <v>#VALUE!</v>
          </cell>
          <cell r="P22" t="e">
            <v>#VALUE!</v>
          </cell>
          <cell r="Q22"/>
          <cell r="R22">
            <v>1622820</v>
          </cell>
          <cell r="S22" t="e">
            <v>#VALUE!</v>
          </cell>
          <cell r="T22" t="e">
            <v>#VALUE!</v>
          </cell>
          <cell r="U22"/>
          <cell r="V22">
            <v>6493678</v>
          </cell>
          <cell r="W22" t="e">
            <v>#N/A</v>
          </cell>
          <cell r="X22" t="e">
            <v>#VALUE!</v>
          </cell>
          <cell r="Y22" t="e">
            <v>#VALUE!</v>
          </cell>
          <cell r="Z22"/>
          <cell r="AA22"/>
          <cell r="AB22"/>
          <cell r="AC22"/>
          <cell r="AD22" t="e">
            <v>#VALUE!</v>
          </cell>
          <cell r="AE22"/>
          <cell r="AF22"/>
          <cell r="AG22">
            <v>2707210</v>
          </cell>
          <cell r="AH22">
            <v>0</v>
          </cell>
          <cell r="AI22" t="e">
            <v>#VALUE!</v>
          </cell>
          <cell r="AJ22"/>
          <cell r="AK22">
            <v>6739859</v>
          </cell>
          <cell r="AL22" t="e">
            <v>#N/A</v>
          </cell>
          <cell r="AM22" t="e">
            <v>#VALUE!</v>
          </cell>
          <cell r="AN22" t="e">
            <v>#VALUE!</v>
          </cell>
          <cell r="AO22">
            <v>0</v>
          </cell>
          <cell r="AP22">
            <v>-20081474</v>
          </cell>
          <cell r="AQ22">
            <v>0</v>
          </cell>
          <cell r="AR22"/>
          <cell r="AS22">
            <v>0</v>
          </cell>
          <cell r="AT22"/>
          <cell r="AU22" t="e">
            <v>#VALUE!</v>
          </cell>
          <cell r="AV22" t="e">
            <v>#VALUE!</v>
          </cell>
          <cell r="AW22"/>
          <cell r="AX22">
            <v>14080</v>
          </cell>
          <cell r="AY22" t="e">
            <v>#VALUE!</v>
          </cell>
          <cell r="AZ22" t="e">
            <v>#VALUE!</v>
          </cell>
          <cell r="BA22">
            <v>0</v>
          </cell>
          <cell r="BB22">
            <v>15505047</v>
          </cell>
          <cell r="BC22" t="e">
            <v>#VALUE!</v>
          </cell>
          <cell r="BD22" t="e">
            <v>#VALUE!</v>
          </cell>
          <cell r="BE22"/>
          <cell r="BF22"/>
          <cell r="BG22"/>
          <cell r="BH22">
            <v>0</v>
          </cell>
          <cell r="BI22"/>
          <cell r="BJ22"/>
          <cell r="BK22"/>
          <cell r="BL22">
            <v>0</v>
          </cell>
          <cell r="BM22">
            <v>0</v>
          </cell>
          <cell r="BN22"/>
          <cell r="BO22"/>
          <cell r="BP22">
            <v>0</v>
          </cell>
          <cell r="BQ22">
            <v>0</v>
          </cell>
          <cell r="BR22" t="e">
            <v>#VALUE!</v>
          </cell>
          <cell r="BS22" t="e">
            <v>#VALUE!</v>
          </cell>
          <cell r="BT22"/>
          <cell r="BV22">
            <v>44610</v>
          </cell>
          <cell r="BW22">
            <v>273438</v>
          </cell>
          <cell r="BX22">
            <v>1902948</v>
          </cell>
          <cell r="CC22" t="e">
            <v>#VALUE!</v>
          </cell>
          <cell r="CD22"/>
          <cell r="CE22">
            <v>0</v>
          </cell>
          <cell r="CF22">
            <v>0</v>
          </cell>
          <cell r="CG22">
            <v>0</v>
          </cell>
          <cell r="CH22">
            <v>0</v>
          </cell>
          <cell r="CI22">
            <v>0</v>
          </cell>
          <cell r="CJ22" t="e">
            <v>#VALUE!</v>
          </cell>
          <cell r="CK22">
            <v>0</v>
          </cell>
          <cell r="CL22">
            <v>0</v>
          </cell>
          <cell r="CM22">
            <v>0</v>
          </cell>
          <cell r="CN22">
            <v>6739859</v>
          </cell>
          <cell r="CO22">
            <v>0</v>
          </cell>
          <cell r="CP22" t="e">
            <v>#DIV/0!</v>
          </cell>
          <cell r="CQ22">
            <v>0</v>
          </cell>
          <cell r="CR22" t="e">
            <v>#VALUE!</v>
          </cell>
          <cell r="CS22">
            <v>0</v>
          </cell>
          <cell r="CT22" t="e">
            <v>#VALUE!</v>
          </cell>
          <cell r="CU22">
            <v>0</v>
          </cell>
          <cell r="CV22" t="e">
            <v>#VALUE!</v>
          </cell>
          <cell r="CW22">
            <v>0</v>
          </cell>
          <cell r="CX22" t="e">
            <v>#VALUE!</v>
          </cell>
          <cell r="CY22">
            <v>0</v>
          </cell>
          <cell r="CZ22">
            <v>0</v>
          </cell>
          <cell r="DA22">
            <v>0</v>
          </cell>
          <cell r="DB22">
            <v>505190</v>
          </cell>
          <cell r="DC22" t="e">
            <v>#VALUE!</v>
          </cell>
          <cell r="DD22">
            <v>0</v>
          </cell>
          <cell r="DE22" t="e">
            <v>#VALUE!</v>
          </cell>
          <cell r="DF22">
            <v>0</v>
          </cell>
          <cell r="DG22">
            <v>0</v>
          </cell>
          <cell r="DH22">
            <v>0</v>
          </cell>
          <cell r="DI22">
            <v>2271510</v>
          </cell>
          <cell r="DJ22">
            <v>0</v>
          </cell>
          <cell r="DK22" t="e">
            <v>#VALUE!</v>
          </cell>
          <cell r="DL22">
            <v>0</v>
          </cell>
          <cell r="DM22">
            <v>0</v>
          </cell>
          <cell r="DN22">
            <v>0</v>
          </cell>
          <cell r="DO22" t="e">
            <v>#VALUE!</v>
          </cell>
          <cell r="DP22">
            <v>0</v>
          </cell>
          <cell r="DQ22" t="e">
            <v>#VALUE!</v>
          </cell>
          <cell r="DR22">
            <v>0</v>
          </cell>
          <cell r="DS22">
            <v>0</v>
          </cell>
          <cell r="DU22">
            <v>1622820</v>
          </cell>
          <cell r="DV22" t="e">
            <v>#VALUE!</v>
          </cell>
          <cell r="DW22"/>
          <cell r="DX22" t="e">
            <v>#VALUE!</v>
          </cell>
          <cell r="DY22">
            <v>0</v>
          </cell>
          <cell r="DZ22">
            <v>0</v>
          </cell>
          <cell r="EA22">
            <v>0</v>
          </cell>
          <cell r="EB22">
            <v>6493678</v>
          </cell>
          <cell r="ED22">
            <v>0</v>
          </cell>
          <cell r="EE22">
            <v>0</v>
          </cell>
          <cell r="EF22" t="e">
            <v>#VALUE!</v>
          </cell>
          <cell r="EG22">
            <v>0</v>
          </cell>
          <cell r="EH22" t="e">
            <v>#VALUE!</v>
          </cell>
          <cell r="EI22">
            <v>0</v>
          </cell>
        </row>
        <row r="23">
          <cell r="A23">
            <v>46010</v>
          </cell>
          <cell r="B23" t="e">
            <v>#VALUE!</v>
          </cell>
          <cell r="C23"/>
          <cell r="D23">
            <v>505190</v>
          </cell>
          <cell r="E23" t="str">
            <v/>
          </cell>
          <cell r="F23" t="e">
            <v>#VALUE!</v>
          </cell>
          <cell r="G23"/>
          <cell r="H23">
            <v>2271510</v>
          </cell>
          <cell r="I23" t="e">
            <v>#N/A</v>
          </cell>
          <cell r="J23" t="e">
            <v>#VALUE!</v>
          </cell>
          <cell r="K23" t="e">
            <v>#VALUE!</v>
          </cell>
          <cell r="L23">
            <v>0</v>
          </cell>
          <cell r="M23"/>
          <cell r="N23">
            <v>0</v>
          </cell>
          <cell r="O23" t="e">
            <v>#VALUE!</v>
          </cell>
          <cell r="P23" t="e">
            <v>#VALUE!</v>
          </cell>
          <cell r="Q23"/>
          <cell r="R23">
            <v>1622820</v>
          </cell>
          <cell r="S23" t="e">
            <v>#VALUE!</v>
          </cell>
          <cell r="T23" t="e">
            <v>#VALUE!</v>
          </cell>
          <cell r="U23"/>
          <cell r="V23">
            <v>6493678</v>
          </cell>
          <cell r="W23" t="e">
            <v>#N/A</v>
          </cell>
          <cell r="X23" t="e">
            <v>#VALUE!</v>
          </cell>
          <cell r="Y23" t="e">
            <v>#VALUE!</v>
          </cell>
          <cell r="Z23"/>
          <cell r="AA23"/>
          <cell r="AB23"/>
          <cell r="AC23"/>
          <cell r="AD23" t="e">
            <v>#VALUE!</v>
          </cell>
          <cell r="AE23"/>
          <cell r="AF23"/>
          <cell r="AG23">
            <v>2707210</v>
          </cell>
          <cell r="AH23">
            <v>0</v>
          </cell>
          <cell r="AI23" t="e">
            <v>#VALUE!</v>
          </cell>
          <cell r="AJ23"/>
          <cell r="AK23">
            <v>6739859</v>
          </cell>
          <cell r="AL23" t="e">
            <v>#N/A</v>
          </cell>
          <cell r="AM23" t="e">
            <v>#VALUE!</v>
          </cell>
          <cell r="AN23" t="e">
            <v>#VALUE!</v>
          </cell>
          <cell r="AO23">
            <v>0</v>
          </cell>
          <cell r="AP23">
            <v>-20081474</v>
          </cell>
          <cell r="AQ23">
            <v>0</v>
          </cell>
          <cell r="AR23"/>
          <cell r="AS23">
            <v>0</v>
          </cell>
          <cell r="AT23"/>
          <cell r="AU23" t="e">
            <v>#VALUE!</v>
          </cell>
          <cell r="AV23" t="e">
            <v>#VALUE!</v>
          </cell>
          <cell r="AW23"/>
          <cell r="AX23">
            <v>14080</v>
          </cell>
          <cell r="AY23" t="e">
            <v>#VALUE!</v>
          </cell>
          <cell r="AZ23" t="e">
            <v>#VALUE!</v>
          </cell>
          <cell r="BA23">
            <v>0</v>
          </cell>
          <cell r="BB23">
            <v>15505047</v>
          </cell>
          <cell r="BC23" t="e">
            <v>#VALUE!</v>
          </cell>
          <cell r="BD23" t="e">
            <v>#VALUE!</v>
          </cell>
          <cell r="BE23"/>
          <cell r="BF23"/>
          <cell r="BG23"/>
          <cell r="BH23">
            <v>0</v>
          </cell>
          <cell r="BI23"/>
          <cell r="BJ23"/>
          <cell r="BK23"/>
          <cell r="BL23">
            <v>0</v>
          </cell>
          <cell r="BM23">
            <v>0</v>
          </cell>
          <cell r="BN23"/>
          <cell r="BO23"/>
          <cell r="BP23">
            <v>0</v>
          </cell>
          <cell r="BQ23">
            <v>0</v>
          </cell>
          <cell r="BR23" t="e">
            <v>#VALUE!</v>
          </cell>
          <cell r="BS23" t="e">
            <v>#VALUE!</v>
          </cell>
          <cell r="BT23"/>
          <cell r="BV23">
            <v>44611</v>
          </cell>
          <cell r="BW23">
            <v>273438</v>
          </cell>
          <cell r="BX23">
            <v>1902948</v>
          </cell>
          <cell r="CC23" t="e">
            <v>#VALUE!</v>
          </cell>
          <cell r="CD23"/>
          <cell r="CE23">
            <v>0</v>
          </cell>
          <cell r="CF23">
            <v>0</v>
          </cell>
          <cell r="CG23">
            <v>0</v>
          </cell>
          <cell r="CH23">
            <v>0</v>
          </cell>
          <cell r="CI23">
            <v>0</v>
          </cell>
          <cell r="CJ23" t="e">
            <v>#VALUE!</v>
          </cell>
          <cell r="CK23">
            <v>0</v>
          </cell>
          <cell r="CL23">
            <v>0</v>
          </cell>
          <cell r="CM23">
            <v>0</v>
          </cell>
          <cell r="CN23">
            <v>6739859</v>
          </cell>
          <cell r="CO23">
            <v>0</v>
          </cell>
          <cell r="CP23" t="e">
            <v>#DIV/0!</v>
          </cell>
          <cell r="CQ23">
            <v>0</v>
          </cell>
          <cell r="CR23" t="e">
            <v>#VALUE!</v>
          </cell>
          <cell r="CS23">
            <v>0</v>
          </cell>
          <cell r="CT23" t="e">
            <v>#VALUE!</v>
          </cell>
          <cell r="CU23">
            <v>0</v>
          </cell>
          <cell r="CV23" t="e">
            <v>#VALUE!</v>
          </cell>
          <cell r="CW23">
            <v>0</v>
          </cell>
          <cell r="CX23" t="e">
            <v>#VALUE!</v>
          </cell>
          <cell r="CY23">
            <v>0</v>
          </cell>
          <cell r="CZ23">
            <v>0</v>
          </cell>
          <cell r="DA23">
            <v>0</v>
          </cell>
          <cell r="DB23">
            <v>505190</v>
          </cell>
          <cell r="DC23" t="e">
            <v>#VALUE!</v>
          </cell>
          <cell r="DD23">
            <v>0</v>
          </cell>
          <cell r="DE23" t="e">
            <v>#VALUE!</v>
          </cell>
          <cell r="DF23">
            <v>0</v>
          </cell>
          <cell r="DG23">
            <v>0</v>
          </cell>
          <cell r="DH23">
            <v>0</v>
          </cell>
          <cell r="DI23">
            <v>2271510</v>
          </cell>
          <cell r="DJ23">
            <v>0</v>
          </cell>
          <cell r="DK23" t="e">
            <v>#VALUE!</v>
          </cell>
          <cell r="DL23">
            <v>0</v>
          </cell>
          <cell r="DM23">
            <v>0</v>
          </cell>
          <cell r="DN23">
            <v>0</v>
          </cell>
          <cell r="DO23" t="e">
            <v>#VALUE!</v>
          </cell>
          <cell r="DP23">
            <v>0</v>
          </cell>
          <cell r="DQ23" t="e">
            <v>#VALUE!</v>
          </cell>
          <cell r="DR23">
            <v>0</v>
          </cell>
          <cell r="DS23">
            <v>0</v>
          </cell>
          <cell r="DU23">
            <v>1622820</v>
          </cell>
          <cell r="DV23" t="e">
            <v>#VALUE!</v>
          </cell>
          <cell r="DW23"/>
          <cell r="DX23" t="e">
            <v>#VALUE!</v>
          </cell>
          <cell r="DY23">
            <v>0</v>
          </cell>
          <cell r="DZ23">
            <v>0</v>
          </cell>
          <cell r="EA23">
            <v>0</v>
          </cell>
          <cell r="EB23">
            <v>6493678</v>
          </cell>
          <cell r="ED23">
            <v>0</v>
          </cell>
          <cell r="EE23">
            <v>0</v>
          </cell>
          <cell r="EF23" t="e">
            <v>#VALUE!</v>
          </cell>
          <cell r="EG23">
            <v>0</v>
          </cell>
          <cell r="EH23" t="e">
            <v>#VALUE!</v>
          </cell>
          <cell r="EI23">
            <v>0</v>
          </cell>
        </row>
        <row r="24">
          <cell r="A24">
            <v>46011</v>
          </cell>
          <cell r="B24" t="e">
            <v>#VALUE!</v>
          </cell>
          <cell r="C24"/>
          <cell r="D24">
            <v>505190</v>
          </cell>
          <cell r="E24" t="str">
            <v/>
          </cell>
          <cell r="F24" t="e">
            <v>#VALUE!</v>
          </cell>
          <cell r="G24"/>
          <cell r="H24">
            <v>2271510</v>
          </cell>
          <cell r="I24" t="e">
            <v>#N/A</v>
          </cell>
          <cell r="J24" t="e">
            <v>#VALUE!</v>
          </cell>
          <cell r="K24" t="e">
            <v>#VALUE!</v>
          </cell>
          <cell r="L24">
            <v>0</v>
          </cell>
          <cell r="M24"/>
          <cell r="N24">
            <v>0</v>
          </cell>
          <cell r="O24" t="e">
            <v>#VALUE!</v>
          </cell>
          <cell r="P24" t="e">
            <v>#VALUE!</v>
          </cell>
          <cell r="Q24"/>
          <cell r="R24">
            <v>1622820</v>
          </cell>
          <cell r="S24" t="e">
            <v>#VALUE!</v>
          </cell>
          <cell r="T24" t="e">
            <v>#VALUE!</v>
          </cell>
          <cell r="U24"/>
          <cell r="V24">
            <v>6493678</v>
          </cell>
          <cell r="W24" t="e">
            <v>#N/A</v>
          </cell>
          <cell r="X24" t="e">
            <v>#VALUE!</v>
          </cell>
          <cell r="Y24" t="e">
            <v>#VALUE!</v>
          </cell>
          <cell r="Z24"/>
          <cell r="AA24"/>
          <cell r="AB24"/>
          <cell r="AC24"/>
          <cell r="AD24" t="e">
            <v>#VALUE!</v>
          </cell>
          <cell r="AE24"/>
          <cell r="AF24"/>
          <cell r="AG24">
            <v>2707210</v>
          </cell>
          <cell r="AH24">
            <v>0</v>
          </cell>
          <cell r="AI24" t="e">
            <v>#VALUE!</v>
          </cell>
          <cell r="AJ24"/>
          <cell r="AK24">
            <v>6739859</v>
          </cell>
          <cell r="AL24" t="e">
            <v>#N/A</v>
          </cell>
          <cell r="AM24" t="e">
            <v>#VALUE!</v>
          </cell>
          <cell r="AN24" t="e">
            <v>#VALUE!</v>
          </cell>
          <cell r="AO24">
            <v>0</v>
          </cell>
          <cell r="AP24">
            <v>-20081474</v>
          </cell>
          <cell r="AQ24">
            <v>0</v>
          </cell>
          <cell r="AR24"/>
          <cell r="AS24">
            <v>0</v>
          </cell>
          <cell r="AT24"/>
          <cell r="AU24" t="e">
            <v>#VALUE!</v>
          </cell>
          <cell r="AV24" t="e">
            <v>#VALUE!</v>
          </cell>
          <cell r="AW24"/>
          <cell r="AX24">
            <v>14080</v>
          </cell>
          <cell r="AY24" t="e">
            <v>#VALUE!</v>
          </cell>
          <cell r="AZ24" t="e">
            <v>#VALUE!</v>
          </cell>
          <cell r="BA24">
            <v>0</v>
          </cell>
          <cell r="BB24">
            <v>15505047</v>
          </cell>
          <cell r="BC24" t="e">
            <v>#VALUE!</v>
          </cell>
          <cell r="BD24" t="e">
            <v>#VALUE!</v>
          </cell>
          <cell r="BE24"/>
          <cell r="BF24"/>
          <cell r="BG24"/>
          <cell r="BH24">
            <v>0</v>
          </cell>
          <cell r="BI24"/>
          <cell r="BJ24"/>
          <cell r="BK24"/>
          <cell r="BL24">
            <v>0</v>
          </cell>
          <cell r="BM24">
            <v>0</v>
          </cell>
          <cell r="BN24"/>
          <cell r="BO24"/>
          <cell r="BP24">
            <v>0</v>
          </cell>
          <cell r="BQ24">
            <v>0</v>
          </cell>
          <cell r="BR24" t="e">
            <v>#VALUE!</v>
          </cell>
          <cell r="BS24" t="e">
            <v>#VALUE!</v>
          </cell>
          <cell r="BT24"/>
          <cell r="BV24">
            <v>44612</v>
          </cell>
          <cell r="BW24">
            <v>273438</v>
          </cell>
          <cell r="BX24">
            <v>1902948</v>
          </cell>
          <cell r="CC24" t="e">
            <v>#VALUE!</v>
          </cell>
          <cell r="CD24"/>
          <cell r="CE24">
            <v>0</v>
          </cell>
          <cell r="CF24">
            <v>0</v>
          </cell>
          <cell r="CG24">
            <v>0</v>
          </cell>
          <cell r="CH24">
            <v>0</v>
          </cell>
          <cell r="CI24">
            <v>0</v>
          </cell>
          <cell r="CJ24" t="e">
            <v>#VALUE!</v>
          </cell>
          <cell r="CK24">
            <v>0</v>
          </cell>
          <cell r="CL24">
            <v>0</v>
          </cell>
          <cell r="CM24">
            <v>0</v>
          </cell>
          <cell r="CN24">
            <v>6739859</v>
          </cell>
          <cell r="CO24">
            <v>0</v>
          </cell>
          <cell r="CP24" t="e">
            <v>#DIV/0!</v>
          </cell>
          <cell r="CQ24">
            <v>0</v>
          </cell>
          <cell r="CR24" t="e">
            <v>#VALUE!</v>
          </cell>
          <cell r="CS24">
            <v>0</v>
          </cell>
          <cell r="CT24" t="e">
            <v>#VALUE!</v>
          </cell>
          <cell r="CU24">
            <v>0</v>
          </cell>
          <cell r="CV24" t="e">
            <v>#VALUE!</v>
          </cell>
          <cell r="CW24">
            <v>0</v>
          </cell>
          <cell r="CX24" t="e">
            <v>#VALUE!</v>
          </cell>
          <cell r="CY24">
            <v>0</v>
          </cell>
          <cell r="CZ24">
            <v>0</v>
          </cell>
          <cell r="DA24">
            <v>0</v>
          </cell>
          <cell r="DB24">
            <v>505190</v>
          </cell>
          <cell r="DC24" t="e">
            <v>#VALUE!</v>
          </cell>
          <cell r="DD24">
            <v>0</v>
          </cell>
          <cell r="DE24" t="e">
            <v>#VALUE!</v>
          </cell>
          <cell r="DF24">
            <v>0</v>
          </cell>
          <cell r="DG24">
            <v>0</v>
          </cell>
          <cell r="DH24">
            <v>0</v>
          </cell>
          <cell r="DI24">
            <v>2271510</v>
          </cell>
          <cell r="DJ24">
            <v>0</v>
          </cell>
          <cell r="DK24" t="e">
            <v>#VALUE!</v>
          </cell>
          <cell r="DL24">
            <v>0</v>
          </cell>
          <cell r="DM24">
            <v>0</v>
          </cell>
          <cell r="DN24">
            <v>0</v>
          </cell>
          <cell r="DO24" t="e">
            <v>#VALUE!</v>
          </cell>
          <cell r="DP24">
            <v>0</v>
          </cell>
          <cell r="DQ24" t="e">
            <v>#VALUE!</v>
          </cell>
          <cell r="DR24">
            <v>0</v>
          </cell>
          <cell r="DS24">
            <v>0</v>
          </cell>
          <cell r="DU24">
            <v>1622820</v>
          </cell>
          <cell r="DV24" t="e">
            <v>#VALUE!</v>
          </cell>
          <cell r="DW24"/>
          <cell r="DX24" t="e">
            <v>#VALUE!</v>
          </cell>
          <cell r="DY24">
            <v>0</v>
          </cell>
          <cell r="DZ24">
            <v>0</v>
          </cell>
          <cell r="EA24">
            <v>0</v>
          </cell>
          <cell r="EB24">
            <v>6493678</v>
          </cell>
          <cell r="ED24">
            <v>0</v>
          </cell>
          <cell r="EE24">
            <v>0</v>
          </cell>
          <cell r="EF24" t="e">
            <v>#VALUE!</v>
          </cell>
          <cell r="EG24">
            <v>0</v>
          </cell>
          <cell r="EH24" t="e">
            <v>#VALUE!</v>
          </cell>
          <cell r="EI24">
            <v>0</v>
          </cell>
        </row>
        <row r="25">
          <cell r="A25">
            <v>46012</v>
          </cell>
          <cell r="B25" t="e">
            <v>#VALUE!</v>
          </cell>
          <cell r="C25"/>
          <cell r="D25">
            <v>505190</v>
          </cell>
          <cell r="E25" t="str">
            <v/>
          </cell>
          <cell r="F25" t="e">
            <v>#VALUE!</v>
          </cell>
          <cell r="G25"/>
          <cell r="H25">
            <v>2271510</v>
          </cell>
          <cell r="I25" t="e">
            <v>#N/A</v>
          </cell>
          <cell r="J25" t="e">
            <v>#VALUE!</v>
          </cell>
          <cell r="K25" t="e">
            <v>#VALUE!</v>
          </cell>
          <cell r="L25">
            <v>0</v>
          </cell>
          <cell r="M25"/>
          <cell r="N25">
            <v>0</v>
          </cell>
          <cell r="O25" t="e">
            <v>#VALUE!</v>
          </cell>
          <cell r="P25" t="e">
            <v>#VALUE!</v>
          </cell>
          <cell r="Q25"/>
          <cell r="R25">
            <v>1622820</v>
          </cell>
          <cell r="S25" t="e">
            <v>#VALUE!</v>
          </cell>
          <cell r="T25" t="e">
            <v>#VALUE!</v>
          </cell>
          <cell r="U25"/>
          <cell r="V25">
            <v>6493678</v>
          </cell>
          <cell r="W25" t="e">
            <v>#N/A</v>
          </cell>
          <cell r="X25" t="e">
            <v>#VALUE!</v>
          </cell>
          <cell r="Y25" t="e">
            <v>#VALUE!</v>
          </cell>
          <cell r="Z25"/>
          <cell r="AA25"/>
          <cell r="AB25"/>
          <cell r="AC25"/>
          <cell r="AD25" t="e">
            <v>#VALUE!</v>
          </cell>
          <cell r="AE25"/>
          <cell r="AF25"/>
          <cell r="AG25">
            <v>2707210</v>
          </cell>
          <cell r="AH25">
            <v>0</v>
          </cell>
          <cell r="AI25" t="e">
            <v>#VALUE!</v>
          </cell>
          <cell r="AJ25"/>
          <cell r="AK25">
            <v>6739859</v>
          </cell>
          <cell r="AL25" t="e">
            <v>#N/A</v>
          </cell>
          <cell r="AM25" t="e">
            <v>#VALUE!</v>
          </cell>
          <cell r="AN25" t="e">
            <v>#VALUE!</v>
          </cell>
          <cell r="AO25">
            <v>0</v>
          </cell>
          <cell r="AP25">
            <v>-20081474</v>
          </cell>
          <cell r="AQ25">
            <v>0</v>
          </cell>
          <cell r="AR25"/>
          <cell r="AS25">
            <v>0</v>
          </cell>
          <cell r="AT25"/>
          <cell r="AU25" t="e">
            <v>#VALUE!</v>
          </cell>
          <cell r="AV25" t="e">
            <v>#VALUE!</v>
          </cell>
          <cell r="AW25"/>
          <cell r="AX25">
            <v>14080</v>
          </cell>
          <cell r="AY25" t="e">
            <v>#VALUE!</v>
          </cell>
          <cell r="AZ25" t="e">
            <v>#VALUE!</v>
          </cell>
          <cell r="BA25">
            <v>0</v>
          </cell>
          <cell r="BB25">
            <v>15505047</v>
          </cell>
          <cell r="BC25" t="e">
            <v>#VALUE!</v>
          </cell>
          <cell r="BD25" t="e">
            <v>#VALUE!</v>
          </cell>
          <cell r="BE25"/>
          <cell r="BF25"/>
          <cell r="BG25"/>
          <cell r="BH25">
            <v>0</v>
          </cell>
          <cell r="BI25"/>
          <cell r="BJ25"/>
          <cell r="BK25"/>
          <cell r="BL25">
            <v>0</v>
          </cell>
          <cell r="BM25">
            <v>0</v>
          </cell>
          <cell r="BN25"/>
          <cell r="BO25"/>
          <cell r="BP25">
            <v>0</v>
          </cell>
          <cell r="BQ25">
            <v>0</v>
          </cell>
          <cell r="BR25" t="e">
            <v>#VALUE!</v>
          </cell>
          <cell r="BS25" t="e">
            <v>#VALUE!</v>
          </cell>
          <cell r="BT25"/>
          <cell r="BV25">
            <v>44613</v>
          </cell>
          <cell r="BW25">
            <v>273438</v>
          </cell>
          <cell r="BX25">
            <v>1902948</v>
          </cell>
          <cell r="CC25" t="e">
            <v>#VALUE!</v>
          </cell>
          <cell r="CD25"/>
          <cell r="CE25">
            <v>0</v>
          </cell>
          <cell r="CF25">
            <v>0</v>
          </cell>
          <cell r="CG25">
            <v>0</v>
          </cell>
          <cell r="CH25">
            <v>0</v>
          </cell>
          <cell r="CI25">
            <v>0</v>
          </cell>
          <cell r="CJ25" t="e">
            <v>#VALUE!</v>
          </cell>
          <cell r="CK25">
            <v>0</v>
          </cell>
          <cell r="CL25">
            <v>0</v>
          </cell>
          <cell r="CM25">
            <v>0</v>
          </cell>
          <cell r="CN25">
            <v>6739859</v>
          </cell>
          <cell r="CO25">
            <v>0</v>
          </cell>
          <cell r="CP25" t="e">
            <v>#DIV/0!</v>
          </cell>
          <cell r="CQ25">
            <v>0</v>
          </cell>
          <cell r="CR25" t="e">
            <v>#VALUE!</v>
          </cell>
          <cell r="CS25">
            <v>0</v>
          </cell>
          <cell r="CT25" t="e">
            <v>#VALUE!</v>
          </cell>
          <cell r="CU25">
            <v>0</v>
          </cell>
          <cell r="CV25" t="e">
            <v>#VALUE!</v>
          </cell>
          <cell r="CW25">
            <v>0</v>
          </cell>
          <cell r="CX25" t="e">
            <v>#VALUE!</v>
          </cell>
          <cell r="CY25">
            <v>0</v>
          </cell>
          <cell r="CZ25">
            <v>0</v>
          </cell>
          <cell r="DA25">
            <v>0</v>
          </cell>
          <cell r="DB25">
            <v>505190</v>
          </cell>
          <cell r="DC25" t="e">
            <v>#VALUE!</v>
          </cell>
          <cell r="DD25">
            <v>0</v>
          </cell>
          <cell r="DE25" t="e">
            <v>#VALUE!</v>
          </cell>
          <cell r="DF25">
            <v>0</v>
          </cell>
          <cell r="DG25">
            <v>0</v>
          </cell>
          <cell r="DH25">
            <v>0</v>
          </cell>
          <cell r="DI25">
            <v>2271510</v>
          </cell>
          <cell r="DJ25">
            <v>0</v>
          </cell>
          <cell r="DK25" t="e">
            <v>#VALUE!</v>
          </cell>
          <cell r="DL25">
            <v>0</v>
          </cell>
          <cell r="DM25">
            <v>0</v>
          </cell>
          <cell r="DN25">
            <v>0</v>
          </cell>
          <cell r="DO25" t="e">
            <v>#VALUE!</v>
          </cell>
          <cell r="DP25">
            <v>0</v>
          </cell>
          <cell r="DQ25" t="e">
            <v>#VALUE!</v>
          </cell>
          <cell r="DR25">
            <v>0</v>
          </cell>
          <cell r="DS25">
            <v>0</v>
          </cell>
          <cell r="DU25">
            <v>1622820</v>
          </cell>
          <cell r="DV25" t="e">
            <v>#VALUE!</v>
          </cell>
          <cell r="DW25"/>
          <cell r="DX25" t="e">
            <v>#VALUE!</v>
          </cell>
          <cell r="DY25">
            <v>0</v>
          </cell>
          <cell r="DZ25">
            <v>0</v>
          </cell>
          <cell r="EA25">
            <v>0</v>
          </cell>
          <cell r="EB25">
            <v>6493678</v>
          </cell>
          <cell r="ED25">
            <v>0</v>
          </cell>
          <cell r="EE25">
            <v>0</v>
          </cell>
          <cell r="EF25" t="e">
            <v>#VALUE!</v>
          </cell>
          <cell r="EG25">
            <v>0</v>
          </cell>
          <cell r="EH25" t="e">
            <v>#VALUE!</v>
          </cell>
          <cell r="EI25">
            <v>0</v>
          </cell>
        </row>
        <row r="26">
          <cell r="A26">
            <v>46013</v>
          </cell>
          <cell r="B26" t="e">
            <v>#VALUE!</v>
          </cell>
          <cell r="C26"/>
          <cell r="D26">
            <v>505190</v>
          </cell>
          <cell r="E26" t="str">
            <v/>
          </cell>
          <cell r="F26" t="e">
            <v>#VALUE!</v>
          </cell>
          <cell r="G26"/>
          <cell r="H26">
            <v>2271510</v>
          </cell>
          <cell r="I26" t="e">
            <v>#N/A</v>
          </cell>
          <cell r="J26" t="e">
            <v>#VALUE!</v>
          </cell>
          <cell r="K26" t="e">
            <v>#VALUE!</v>
          </cell>
          <cell r="L26">
            <v>0</v>
          </cell>
          <cell r="M26"/>
          <cell r="N26">
            <v>0</v>
          </cell>
          <cell r="O26" t="e">
            <v>#VALUE!</v>
          </cell>
          <cell r="P26" t="e">
            <v>#VALUE!</v>
          </cell>
          <cell r="Q26"/>
          <cell r="R26">
            <v>1622820</v>
          </cell>
          <cell r="S26" t="e">
            <v>#VALUE!</v>
          </cell>
          <cell r="T26" t="e">
            <v>#VALUE!</v>
          </cell>
          <cell r="U26"/>
          <cell r="V26">
            <v>6493678</v>
          </cell>
          <cell r="W26" t="e">
            <v>#N/A</v>
          </cell>
          <cell r="X26" t="e">
            <v>#VALUE!</v>
          </cell>
          <cell r="Y26" t="e">
            <v>#VALUE!</v>
          </cell>
          <cell r="Z26"/>
          <cell r="AA26"/>
          <cell r="AB26"/>
          <cell r="AC26"/>
          <cell r="AD26" t="e">
            <v>#VALUE!</v>
          </cell>
          <cell r="AE26"/>
          <cell r="AF26"/>
          <cell r="AG26">
            <v>2707210</v>
          </cell>
          <cell r="AH26">
            <v>0</v>
          </cell>
          <cell r="AI26" t="e">
            <v>#VALUE!</v>
          </cell>
          <cell r="AJ26"/>
          <cell r="AK26">
            <v>6739859</v>
          </cell>
          <cell r="AL26" t="e">
            <v>#N/A</v>
          </cell>
          <cell r="AM26" t="e">
            <v>#VALUE!</v>
          </cell>
          <cell r="AN26" t="e">
            <v>#VALUE!</v>
          </cell>
          <cell r="AO26">
            <v>0</v>
          </cell>
          <cell r="AP26">
            <v>-20081474</v>
          </cell>
          <cell r="AQ26">
            <v>0</v>
          </cell>
          <cell r="AR26"/>
          <cell r="AS26">
            <v>0</v>
          </cell>
          <cell r="AT26"/>
          <cell r="AU26" t="e">
            <v>#VALUE!</v>
          </cell>
          <cell r="AV26" t="e">
            <v>#VALUE!</v>
          </cell>
          <cell r="AW26"/>
          <cell r="AX26">
            <v>14080</v>
          </cell>
          <cell r="AY26" t="e">
            <v>#VALUE!</v>
          </cell>
          <cell r="AZ26" t="e">
            <v>#VALUE!</v>
          </cell>
          <cell r="BA26">
            <v>0</v>
          </cell>
          <cell r="BB26">
            <v>15505047</v>
          </cell>
          <cell r="BC26" t="e">
            <v>#VALUE!</v>
          </cell>
          <cell r="BD26" t="e">
            <v>#VALUE!</v>
          </cell>
          <cell r="BE26"/>
          <cell r="BF26"/>
          <cell r="BG26"/>
          <cell r="BH26">
            <v>0</v>
          </cell>
          <cell r="BI26"/>
          <cell r="BJ26"/>
          <cell r="BK26"/>
          <cell r="BL26">
            <v>0</v>
          </cell>
          <cell r="BM26">
            <v>0</v>
          </cell>
          <cell r="BN26"/>
          <cell r="BO26"/>
          <cell r="BP26">
            <v>0</v>
          </cell>
          <cell r="BQ26">
            <v>0</v>
          </cell>
          <cell r="BR26" t="e">
            <v>#VALUE!</v>
          </cell>
          <cell r="BS26" t="e">
            <v>#VALUE!</v>
          </cell>
          <cell r="BT26"/>
          <cell r="BV26">
            <v>44614</v>
          </cell>
          <cell r="BW26">
            <v>273438</v>
          </cell>
          <cell r="BX26">
            <v>1902948</v>
          </cell>
          <cell r="CC26" t="e">
            <v>#VALUE!</v>
          </cell>
          <cell r="CD26"/>
          <cell r="CE26">
            <v>0</v>
          </cell>
          <cell r="CF26">
            <v>0</v>
          </cell>
          <cell r="CG26">
            <v>0</v>
          </cell>
          <cell r="CH26">
            <v>0</v>
          </cell>
          <cell r="CI26">
            <v>0</v>
          </cell>
          <cell r="CJ26" t="e">
            <v>#VALUE!</v>
          </cell>
          <cell r="CK26">
            <v>0</v>
          </cell>
          <cell r="CL26">
            <v>0</v>
          </cell>
          <cell r="CM26">
            <v>0</v>
          </cell>
          <cell r="CN26">
            <v>6739859</v>
          </cell>
          <cell r="CO26">
            <v>0</v>
          </cell>
          <cell r="CP26" t="e">
            <v>#DIV/0!</v>
          </cell>
          <cell r="CQ26">
            <v>0</v>
          </cell>
          <cell r="CR26" t="e">
            <v>#VALUE!</v>
          </cell>
          <cell r="CS26">
            <v>0</v>
          </cell>
          <cell r="CT26" t="e">
            <v>#VALUE!</v>
          </cell>
          <cell r="CU26">
            <v>0</v>
          </cell>
          <cell r="CV26" t="e">
            <v>#VALUE!</v>
          </cell>
          <cell r="CW26">
            <v>0</v>
          </cell>
          <cell r="CX26" t="e">
            <v>#VALUE!</v>
          </cell>
          <cell r="CY26">
            <v>0</v>
          </cell>
          <cell r="CZ26">
            <v>0</v>
          </cell>
          <cell r="DA26">
            <v>0</v>
          </cell>
          <cell r="DB26">
            <v>505190</v>
          </cell>
          <cell r="DC26" t="e">
            <v>#VALUE!</v>
          </cell>
          <cell r="DD26">
            <v>0</v>
          </cell>
          <cell r="DE26" t="e">
            <v>#VALUE!</v>
          </cell>
          <cell r="DF26">
            <v>0</v>
          </cell>
          <cell r="DG26">
            <v>0</v>
          </cell>
          <cell r="DH26">
            <v>0</v>
          </cell>
          <cell r="DI26">
            <v>2271510</v>
          </cell>
          <cell r="DJ26">
            <v>0</v>
          </cell>
          <cell r="DK26" t="e">
            <v>#VALUE!</v>
          </cell>
          <cell r="DL26">
            <v>0</v>
          </cell>
          <cell r="DM26">
            <v>0</v>
          </cell>
          <cell r="DN26">
            <v>0</v>
          </cell>
          <cell r="DO26" t="e">
            <v>#VALUE!</v>
          </cell>
          <cell r="DP26">
            <v>0</v>
          </cell>
          <cell r="DQ26" t="e">
            <v>#VALUE!</v>
          </cell>
          <cell r="DR26">
            <v>0</v>
          </cell>
          <cell r="DS26">
            <v>0</v>
          </cell>
          <cell r="DU26">
            <v>1622820</v>
          </cell>
          <cell r="DV26" t="e">
            <v>#VALUE!</v>
          </cell>
          <cell r="DW26"/>
          <cell r="DX26" t="e">
            <v>#VALUE!</v>
          </cell>
          <cell r="DY26">
            <v>0</v>
          </cell>
          <cell r="DZ26">
            <v>0</v>
          </cell>
          <cell r="EA26">
            <v>0</v>
          </cell>
          <cell r="EB26">
            <v>6493678</v>
          </cell>
          <cell r="ED26">
            <v>0</v>
          </cell>
          <cell r="EE26">
            <v>0</v>
          </cell>
          <cell r="EF26" t="e">
            <v>#VALUE!</v>
          </cell>
          <cell r="EG26">
            <v>0</v>
          </cell>
          <cell r="EH26" t="e">
            <v>#VALUE!</v>
          </cell>
          <cell r="EI26">
            <v>0</v>
          </cell>
        </row>
        <row r="27">
          <cell r="A27">
            <v>46014</v>
          </cell>
          <cell r="B27" t="e">
            <v>#VALUE!</v>
          </cell>
          <cell r="C27"/>
          <cell r="D27">
            <v>505190</v>
          </cell>
          <cell r="E27" t="str">
            <v/>
          </cell>
          <cell r="F27" t="e">
            <v>#VALUE!</v>
          </cell>
          <cell r="G27"/>
          <cell r="H27">
            <v>2271510</v>
          </cell>
          <cell r="I27" t="e">
            <v>#N/A</v>
          </cell>
          <cell r="J27" t="e">
            <v>#VALUE!</v>
          </cell>
          <cell r="K27" t="e">
            <v>#VALUE!</v>
          </cell>
          <cell r="L27">
            <v>0</v>
          </cell>
          <cell r="M27"/>
          <cell r="N27">
            <v>0</v>
          </cell>
          <cell r="O27" t="e">
            <v>#VALUE!</v>
          </cell>
          <cell r="P27" t="e">
            <v>#VALUE!</v>
          </cell>
          <cell r="Q27"/>
          <cell r="R27">
            <v>1622820</v>
          </cell>
          <cell r="S27" t="e">
            <v>#VALUE!</v>
          </cell>
          <cell r="T27" t="e">
            <v>#VALUE!</v>
          </cell>
          <cell r="U27"/>
          <cell r="V27">
            <v>6493678</v>
          </cell>
          <cell r="W27" t="e">
            <v>#N/A</v>
          </cell>
          <cell r="X27" t="e">
            <v>#VALUE!</v>
          </cell>
          <cell r="Y27" t="e">
            <v>#VALUE!</v>
          </cell>
          <cell r="Z27"/>
          <cell r="AA27"/>
          <cell r="AB27"/>
          <cell r="AC27"/>
          <cell r="AD27" t="e">
            <v>#VALUE!</v>
          </cell>
          <cell r="AE27"/>
          <cell r="AF27"/>
          <cell r="AG27">
            <v>2707210</v>
          </cell>
          <cell r="AH27">
            <v>0</v>
          </cell>
          <cell r="AI27" t="e">
            <v>#VALUE!</v>
          </cell>
          <cell r="AJ27"/>
          <cell r="AK27">
            <v>6739859</v>
          </cell>
          <cell r="AL27" t="e">
            <v>#N/A</v>
          </cell>
          <cell r="AM27" t="e">
            <v>#VALUE!</v>
          </cell>
          <cell r="AN27" t="e">
            <v>#VALUE!</v>
          </cell>
          <cell r="AO27">
            <v>0</v>
          </cell>
          <cell r="AP27">
            <v>-20081474</v>
          </cell>
          <cell r="AQ27">
            <v>0</v>
          </cell>
          <cell r="AR27"/>
          <cell r="AS27">
            <v>0</v>
          </cell>
          <cell r="AT27"/>
          <cell r="AU27" t="e">
            <v>#VALUE!</v>
          </cell>
          <cell r="AV27" t="e">
            <v>#VALUE!</v>
          </cell>
          <cell r="AW27"/>
          <cell r="AX27">
            <v>14080</v>
          </cell>
          <cell r="AY27" t="e">
            <v>#VALUE!</v>
          </cell>
          <cell r="AZ27" t="e">
            <v>#VALUE!</v>
          </cell>
          <cell r="BA27">
            <v>0</v>
          </cell>
          <cell r="BB27">
            <v>15505047</v>
          </cell>
          <cell r="BC27" t="e">
            <v>#VALUE!</v>
          </cell>
          <cell r="BD27" t="e">
            <v>#VALUE!</v>
          </cell>
          <cell r="BE27"/>
          <cell r="BF27"/>
          <cell r="BG27"/>
          <cell r="BH27">
            <v>0</v>
          </cell>
          <cell r="BI27"/>
          <cell r="BJ27"/>
          <cell r="BK27"/>
          <cell r="BL27">
            <v>0</v>
          </cell>
          <cell r="BM27">
            <v>0</v>
          </cell>
          <cell r="BN27"/>
          <cell r="BO27"/>
          <cell r="BP27">
            <v>0</v>
          </cell>
          <cell r="BQ27">
            <v>0</v>
          </cell>
          <cell r="BR27" t="e">
            <v>#VALUE!</v>
          </cell>
          <cell r="BS27" t="e">
            <v>#VALUE!</v>
          </cell>
          <cell r="BT27"/>
          <cell r="BV27">
            <v>44615</v>
          </cell>
          <cell r="BW27">
            <v>273438</v>
          </cell>
          <cell r="BX27">
            <v>1902948</v>
          </cell>
          <cell r="CC27" t="e">
            <v>#VALUE!</v>
          </cell>
          <cell r="CD27"/>
          <cell r="CE27">
            <v>0</v>
          </cell>
          <cell r="CF27">
            <v>0</v>
          </cell>
          <cell r="CG27">
            <v>0</v>
          </cell>
          <cell r="CH27">
            <v>0</v>
          </cell>
          <cell r="CI27">
            <v>0</v>
          </cell>
          <cell r="CJ27" t="e">
            <v>#VALUE!</v>
          </cell>
          <cell r="CK27">
            <v>0</v>
          </cell>
          <cell r="CL27">
            <v>0</v>
          </cell>
          <cell r="CM27">
            <v>0</v>
          </cell>
          <cell r="CN27">
            <v>6739859</v>
          </cell>
          <cell r="CO27">
            <v>0</v>
          </cell>
          <cell r="CP27" t="e">
            <v>#DIV/0!</v>
          </cell>
          <cell r="CQ27">
            <v>0</v>
          </cell>
          <cell r="CR27" t="e">
            <v>#VALUE!</v>
          </cell>
          <cell r="CS27">
            <v>0</v>
          </cell>
          <cell r="CT27" t="e">
            <v>#VALUE!</v>
          </cell>
          <cell r="CU27">
            <v>0</v>
          </cell>
          <cell r="CV27" t="e">
            <v>#VALUE!</v>
          </cell>
          <cell r="CW27">
            <v>0</v>
          </cell>
          <cell r="CX27" t="e">
            <v>#VALUE!</v>
          </cell>
          <cell r="CY27">
            <v>0</v>
          </cell>
          <cell r="CZ27">
            <v>0</v>
          </cell>
          <cell r="DA27">
            <v>0</v>
          </cell>
          <cell r="DB27">
            <v>505190</v>
          </cell>
          <cell r="DC27" t="e">
            <v>#VALUE!</v>
          </cell>
          <cell r="DD27">
            <v>0</v>
          </cell>
          <cell r="DE27" t="e">
            <v>#VALUE!</v>
          </cell>
          <cell r="DF27">
            <v>0</v>
          </cell>
          <cell r="DG27">
            <v>0</v>
          </cell>
          <cell r="DH27">
            <v>0</v>
          </cell>
          <cell r="DI27">
            <v>2271510</v>
          </cell>
          <cell r="DJ27">
            <v>0</v>
          </cell>
          <cell r="DK27" t="e">
            <v>#VALUE!</v>
          </cell>
          <cell r="DL27">
            <v>0</v>
          </cell>
          <cell r="DM27">
            <v>0</v>
          </cell>
          <cell r="DN27">
            <v>0</v>
          </cell>
          <cell r="DO27" t="e">
            <v>#VALUE!</v>
          </cell>
          <cell r="DP27">
            <v>0</v>
          </cell>
          <cell r="DQ27" t="e">
            <v>#VALUE!</v>
          </cell>
          <cell r="DR27">
            <v>0</v>
          </cell>
          <cell r="DS27">
            <v>0</v>
          </cell>
          <cell r="DU27">
            <v>1622820</v>
          </cell>
          <cell r="DV27" t="e">
            <v>#VALUE!</v>
          </cell>
          <cell r="DW27"/>
          <cell r="DX27" t="e">
            <v>#VALUE!</v>
          </cell>
          <cell r="DY27">
            <v>0</v>
          </cell>
          <cell r="DZ27">
            <v>0</v>
          </cell>
          <cell r="EA27">
            <v>0</v>
          </cell>
          <cell r="EB27">
            <v>6493678</v>
          </cell>
          <cell r="ED27">
            <v>0</v>
          </cell>
          <cell r="EE27">
            <v>0</v>
          </cell>
          <cell r="EF27" t="e">
            <v>#VALUE!</v>
          </cell>
          <cell r="EG27">
            <v>0</v>
          </cell>
          <cell r="EH27" t="e">
            <v>#VALUE!</v>
          </cell>
          <cell r="EI27">
            <v>0</v>
          </cell>
        </row>
        <row r="28">
          <cell r="A28">
            <v>46015</v>
          </cell>
          <cell r="B28" t="e">
            <v>#VALUE!</v>
          </cell>
          <cell r="C28"/>
          <cell r="D28">
            <v>505190</v>
          </cell>
          <cell r="E28" t="str">
            <v/>
          </cell>
          <cell r="F28" t="e">
            <v>#VALUE!</v>
          </cell>
          <cell r="G28"/>
          <cell r="H28">
            <v>2271510</v>
          </cell>
          <cell r="I28" t="e">
            <v>#N/A</v>
          </cell>
          <cell r="J28" t="e">
            <v>#VALUE!</v>
          </cell>
          <cell r="K28" t="e">
            <v>#VALUE!</v>
          </cell>
          <cell r="L28">
            <v>0</v>
          </cell>
          <cell r="M28"/>
          <cell r="N28">
            <v>0</v>
          </cell>
          <cell r="O28" t="e">
            <v>#VALUE!</v>
          </cell>
          <cell r="P28" t="e">
            <v>#VALUE!</v>
          </cell>
          <cell r="Q28"/>
          <cell r="R28">
            <v>1622820</v>
          </cell>
          <cell r="S28" t="e">
            <v>#VALUE!</v>
          </cell>
          <cell r="T28" t="e">
            <v>#VALUE!</v>
          </cell>
          <cell r="U28"/>
          <cell r="V28">
            <v>6493678</v>
          </cell>
          <cell r="W28" t="e">
            <v>#N/A</v>
          </cell>
          <cell r="X28" t="e">
            <v>#VALUE!</v>
          </cell>
          <cell r="Y28" t="e">
            <v>#VALUE!</v>
          </cell>
          <cell r="Z28"/>
          <cell r="AA28"/>
          <cell r="AB28"/>
          <cell r="AC28"/>
          <cell r="AD28" t="e">
            <v>#VALUE!</v>
          </cell>
          <cell r="AE28"/>
          <cell r="AF28"/>
          <cell r="AG28">
            <v>2707210</v>
          </cell>
          <cell r="AH28">
            <v>0</v>
          </cell>
          <cell r="AI28" t="e">
            <v>#VALUE!</v>
          </cell>
          <cell r="AJ28"/>
          <cell r="AK28">
            <v>6739859</v>
          </cell>
          <cell r="AL28" t="e">
            <v>#N/A</v>
          </cell>
          <cell r="AM28" t="e">
            <v>#VALUE!</v>
          </cell>
          <cell r="AN28" t="e">
            <v>#VALUE!</v>
          </cell>
          <cell r="AO28">
            <v>0</v>
          </cell>
          <cell r="AP28">
            <v>-20081474</v>
          </cell>
          <cell r="AQ28">
            <v>0</v>
          </cell>
          <cell r="AR28"/>
          <cell r="AS28">
            <v>0</v>
          </cell>
          <cell r="AT28"/>
          <cell r="AU28" t="e">
            <v>#VALUE!</v>
          </cell>
          <cell r="AV28" t="e">
            <v>#VALUE!</v>
          </cell>
          <cell r="AW28"/>
          <cell r="AX28">
            <v>14080</v>
          </cell>
          <cell r="AY28" t="e">
            <v>#VALUE!</v>
          </cell>
          <cell r="AZ28" t="e">
            <v>#VALUE!</v>
          </cell>
          <cell r="BA28">
            <v>0</v>
          </cell>
          <cell r="BB28">
            <v>15505047</v>
          </cell>
          <cell r="BC28" t="e">
            <v>#VALUE!</v>
          </cell>
          <cell r="BD28" t="e">
            <v>#VALUE!</v>
          </cell>
          <cell r="BE28"/>
          <cell r="BF28"/>
          <cell r="BG28"/>
          <cell r="BH28">
            <v>0</v>
          </cell>
          <cell r="BI28"/>
          <cell r="BJ28"/>
          <cell r="BK28"/>
          <cell r="BL28">
            <v>0</v>
          </cell>
          <cell r="BM28">
            <v>0</v>
          </cell>
          <cell r="BN28"/>
          <cell r="BO28"/>
          <cell r="BP28">
            <v>0</v>
          </cell>
          <cell r="BQ28">
            <v>0</v>
          </cell>
          <cell r="BR28" t="e">
            <v>#VALUE!</v>
          </cell>
          <cell r="BS28" t="e">
            <v>#VALUE!</v>
          </cell>
          <cell r="BT28"/>
          <cell r="BV28">
            <v>44616</v>
          </cell>
          <cell r="BW28">
            <v>273438</v>
          </cell>
          <cell r="BX28">
            <v>1902948</v>
          </cell>
          <cell r="CC28" t="e">
            <v>#VALUE!</v>
          </cell>
          <cell r="CD28"/>
          <cell r="CE28">
            <v>0</v>
          </cell>
          <cell r="CF28">
            <v>0</v>
          </cell>
          <cell r="CG28">
            <v>0</v>
          </cell>
          <cell r="CH28">
            <v>0</v>
          </cell>
          <cell r="CI28">
            <v>0</v>
          </cell>
          <cell r="CJ28" t="e">
            <v>#VALUE!</v>
          </cell>
          <cell r="CK28">
            <v>0</v>
          </cell>
          <cell r="CL28">
            <v>0</v>
          </cell>
          <cell r="CM28">
            <v>0</v>
          </cell>
          <cell r="CN28">
            <v>6739859</v>
          </cell>
          <cell r="CO28">
            <v>0</v>
          </cell>
          <cell r="CP28" t="e">
            <v>#DIV/0!</v>
          </cell>
          <cell r="CQ28">
            <v>0</v>
          </cell>
          <cell r="CR28" t="e">
            <v>#VALUE!</v>
          </cell>
          <cell r="CS28">
            <v>0</v>
          </cell>
          <cell r="CT28" t="e">
            <v>#VALUE!</v>
          </cell>
          <cell r="CU28">
            <v>0</v>
          </cell>
          <cell r="CV28" t="e">
            <v>#VALUE!</v>
          </cell>
          <cell r="CW28">
            <v>0</v>
          </cell>
          <cell r="CX28" t="e">
            <v>#VALUE!</v>
          </cell>
          <cell r="CY28">
            <v>0</v>
          </cell>
          <cell r="CZ28">
            <v>0</v>
          </cell>
          <cell r="DA28">
            <v>0</v>
          </cell>
          <cell r="DB28">
            <v>505190</v>
          </cell>
          <cell r="DC28" t="e">
            <v>#VALUE!</v>
          </cell>
          <cell r="DD28">
            <v>0</v>
          </cell>
          <cell r="DE28" t="e">
            <v>#VALUE!</v>
          </cell>
          <cell r="DF28">
            <v>0</v>
          </cell>
          <cell r="DG28">
            <v>0</v>
          </cell>
          <cell r="DH28">
            <v>0</v>
          </cell>
          <cell r="DI28">
            <v>2271510</v>
          </cell>
          <cell r="DJ28">
            <v>0</v>
          </cell>
          <cell r="DK28" t="e">
            <v>#VALUE!</v>
          </cell>
          <cell r="DL28">
            <v>0</v>
          </cell>
          <cell r="DM28">
            <v>0</v>
          </cell>
          <cell r="DN28">
            <v>0</v>
          </cell>
          <cell r="DO28" t="e">
            <v>#VALUE!</v>
          </cell>
          <cell r="DP28">
            <v>0</v>
          </cell>
          <cell r="DQ28" t="e">
            <v>#VALUE!</v>
          </cell>
          <cell r="DR28">
            <v>0</v>
          </cell>
          <cell r="DS28">
            <v>0</v>
          </cell>
          <cell r="DU28">
            <v>1622820</v>
          </cell>
          <cell r="DV28" t="e">
            <v>#VALUE!</v>
          </cell>
          <cell r="DW28"/>
          <cell r="DX28" t="e">
            <v>#VALUE!</v>
          </cell>
          <cell r="DY28">
            <v>0</v>
          </cell>
          <cell r="DZ28">
            <v>0</v>
          </cell>
          <cell r="EA28">
            <v>0</v>
          </cell>
          <cell r="EB28">
            <v>6493678</v>
          </cell>
          <cell r="ED28">
            <v>0</v>
          </cell>
          <cell r="EE28">
            <v>0</v>
          </cell>
          <cell r="EF28" t="e">
            <v>#VALUE!</v>
          </cell>
          <cell r="EG28">
            <v>0</v>
          </cell>
          <cell r="EH28" t="e">
            <v>#VALUE!</v>
          </cell>
          <cell r="EI28">
            <v>0</v>
          </cell>
        </row>
        <row r="29">
          <cell r="A29">
            <v>46016</v>
          </cell>
          <cell r="B29" t="e">
            <v>#VALUE!</v>
          </cell>
          <cell r="C29"/>
          <cell r="D29">
            <v>505190</v>
          </cell>
          <cell r="E29" t="str">
            <v/>
          </cell>
          <cell r="F29" t="e">
            <v>#VALUE!</v>
          </cell>
          <cell r="G29"/>
          <cell r="H29">
            <v>2271510</v>
          </cell>
          <cell r="I29" t="e">
            <v>#N/A</v>
          </cell>
          <cell r="J29" t="e">
            <v>#VALUE!</v>
          </cell>
          <cell r="K29" t="e">
            <v>#VALUE!</v>
          </cell>
          <cell r="L29">
            <v>0</v>
          </cell>
          <cell r="M29"/>
          <cell r="N29">
            <v>0</v>
          </cell>
          <cell r="O29" t="e">
            <v>#VALUE!</v>
          </cell>
          <cell r="P29" t="e">
            <v>#VALUE!</v>
          </cell>
          <cell r="Q29"/>
          <cell r="R29">
            <v>1622820</v>
          </cell>
          <cell r="S29" t="e">
            <v>#VALUE!</v>
          </cell>
          <cell r="T29" t="e">
            <v>#VALUE!</v>
          </cell>
          <cell r="U29"/>
          <cell r="V29">
            <v>6493678</v>
          </cell>
          <cell r="W29" t="e">
            <v>#N/A</v>
          </cell>
          <cell r="X29" t="e">
            <v>#VALUE!</v>
          </cell>
          <cell r="Y29" t="e">
            <v>#VALUE!</v>
          </cell>
          <cell r="Z29"/>
          <cell r="AA29"/>
          <cell r="AB29"/>
          <cell r="AC29"/>
          <cell r="AD29" t="e">
            <v>#VALUE!</v>
          </cell>
          <cell r="AE29"/>
          <cell r="AF29"/>
          <cell r="AG29">
            <v>2707210</v>
          </cell>
          <cell r="AH29">
            <v>0</v>
          </cell>
          <cell r="AI29" t="e">
            <v>#VALUE!</v>
          </cell>
          <cell r="AJ29"/>
          <cell r="AK29">
            <v>6739859</v>
          </cell>
          <cell r="AL29" t="e">
            <v>#N/A</v>
          </cell>
          <cell r="AM29" t="e">
            <v>#VALUE!</v>
          </cell>
          <cell r="AN29" t="e">
            <v>#VALUE!</v>
          </cell>
          <cell r="AO29">
            <v>0</v>
          </cell>
          <cell r="AP29">
            <v>-20081474</v>
          </cell>
          <cell r="AQ29">
            <v>0</v>
          </cell>
          <cell r="AR29"/>
          <cell r="AS29">
            <v>0</v>
          </cell>
          <cell r="AT29"/>
          <cell r="AU29" t="e">
            <v>#VALUE!</v>
          </cell>
          <cell r="AV29" t="e">
            <v>#VALUE!</v>
          </cell>
          <cell r="AW29"/>
          <cell r="AX29">
            <v>14080</v>
          </cell>
          <cell r="AY29" t="e">
            <v>#VALUE!</v>
          </cell>
          <cell r="AZ29" t="e">
            <v>#VALUE!</v>
          </cell>
          <cell r="BA29">
            <v>0</v>
          </cell>
          <cell r="BB29">
            <v>15505047</v>
          </cell>
          <cell r="BC29" t="e">
            <v>#VALUE!</v>
          </cell>
          <cell r="BD29" t="e">
            <v>#VALUE!</v>
          </cell>
          <cell r="BE29"/>
          <cell r="BF29"/>
          <cell r="BG29"/>
          <cell r="BH29">
            <v>0</v>
          </cell>
          <cell r="BI29"/>
          <cell r="BJ29"/>
          <cell r="BK29"/>
          <cell r="BL29">
            <v>0</v>
          </cell>
          <cell r="BM29">
            <v>0</v>
          </cell>
          <cell r="BN29"/>
          <cell r="BO29"/>
          <cell r="BP29">
            <v>0</v>
          </cell>
          <cell r="BQ29">
            <v>0</v>
          </cell>
          <cell r="BR29" t="e">
            <v>#VALUE!</v>
          </cell>
          <cell r="BS29" t="e">
            <v>#VALUE!</v>
          </cell>
          <cell r="BT29"/>
          <cell r="BV29">
            <v>44617</v>
          </cell>
          <cell r="BW29">
            <v>273438</v>
          </cell>
          <cell r="BX29">
            <v>1902948</v>
          </cell>
          <cell r="CC29" t="e">
            <v>#VALUE!</v>
          </cell>
          <cell r="CD29"/>
          <cell r="CE29">
            <v>0</v>
          </cell>
          <cell r="CF29">
            <v>0</v>
          </cell>
          <cell r="CG29">
            <v>0</v>
          </cell>
          <cell r="CH29">
            <v>0</v>
          </cell>
          <cell r="CI29">
            <v>0</v>
          </cell>
          <cell r="CJ29" t="e">
            <v>#VALUE!</v>
          </cell>
          <cell r="CK29">
            <v>0</v>
          </cell>
          <cell r="CL29">
            <v>0</v>
          </cell>
          <cell r="CM29">
            <v>0</v>
          </cell>
          <cell r="CN29">
            <v>6739859</v>
          </cell>
          <cell r="CO29">
            <v>0</v>
          </cell>
          <cell r="CP29" t="e">
            <v>#DIV/0!</v>
          </cell>
          <cell r="CQ29">
            <v>0</v>
          </cell>
          <cell r="CR29" t="e">
            <v>#VALUE!</v>
          </cell>
          <cell r="CS29">
            <v>0</v>
          </cell>
          <cell r="CT29" t="e">
            <v>#VALUE!</v>
          </cell>
          <cell r="CU29">
            <v>0</v>
          </cell>
          <cell r="CV29" t="e">
            <v>#VALUE!</v>
          </cell>
          <cell r="CW29">
            <v>0</v>
          </cell>
          <cell r="CX29" t="e">
            <v>#VALUE!</v>
          </cell>
          <cell r="CY29">
            <v>0</v>
          </cell>
          <cell r="CZ29">
            <v>0</v>
          </cell>
          <cell r="DA29">
            <v>0</v>
          </cell>
          <cell r="DB29">
            <v>505190</v>
          </cell>
          <cell r="DC29" t="e">
            <v>#VALUE!</v>
          </cell>
          <cell r="DD29">
            <v>0</v>
          </cell>
          <cell r="DE29" t="e">
            <v>#VALUE!</v>
          </cell>
          <cell r="DF29">
            <v>0</v>
          </cell>
          <cell r="DG29">
            <v>0</v>
          </cell>
          <cell r="DH29">
            <v>0</v>
          </cell>
          <cell r="DI29">
            <v>2271510</v>
          </cell>
          <cell r="DJ29">
            <v>0</v>
          </cell>
          <cell r="DK29" t="e">
            <v>#VALUE!</v>
          </cell>
          <cell r="DL29">
            <v>0</v>
          </cell>
          <cell r="DM29">
            <v>0</v>
          </cell>
          <cell r="DN29">
            <v>0</v>
          </cell>
          <cell r="DO29" t="e">
            <v>#VALUE!</v>
          </cell>
          <cell r="DP29">
            <v>0</v>
          </cell>
          <cell r="DQ29" t="e">
            <v>#VALUE!</v>
          </cell>
          <cell r="DR29">
            <v>0</v>
          </cell>
          <cell r="DS29">
            <v>0</v>
          </cell>
          <cell r="DU29">
            <v>1622820</v>
          </cell>
          <cell r="DV29" t="e">
            <v>#VALUE!</v>
          </cell>
          <cell r="DW29"/>
          <cell r="DX29" t="e">
            <v>#VALUE!</v>
          </cell>
          <cell r="DY29">
            <v>0</v>
          </cell>
          <cell r="DZ29">
            <v>0</v>
          </cell>
          <cell r="EA29">
            <v>0</v>
          </cell>
          <cell r="EB29">
            <v>6493678</v>
          </cell>
          <cell r="ED29">
            <v>0</v>
          </cell>
          <cell r="EE29">
            <v>0</v>
          </cell>
          <cell r="EF29" t="e">
            <v>#VALUE!</v>
          </cell>
          <cell r="EG29">
            <v>0</v>
          </cell>
          <cell r="EH29" t="e">
            <v>#VALUE!</v>
          </cell>
          <cell r="EI29">
            <v>0</v>
          </cell>
        </row>
        <row r="30">
          <cell r="A30">
            <v>46017</v>
          </cell>
          <cell r="B30" t="e">
            <v>#VALUE!</v>
          </cell>
          <cell r="C30"/>
          <cell r="D30">
            <v>505190</v>
          </cell>
          <cell r="E30" t="str">
            <v/>
          </cell>
          <cell r="F30" t="e">
            <v>#VALUE!</v>
          </cell>
          <cell r="G30"/>
          <cell r="H30">
            <v>2271510</v>
          </cell>
          <cell r="I30" t="e">
            <v>#N/A</v>
          </cell>
          <cell r="J30" t="e">
            <v>#VALUE!</v>
          </cell>
          <cell r="K30" t="e">
            <v>#VALUE!</v>
          </cell>
          <cell r="L30">
            <v>0</v>
          </cell>
          <cell r="M30"/>
          <cell r="N30">
            <v>0</v>
          </cell>
          <cell r="O30" t="e">
            <v>#VALUE!</v>
          </cell>
          <cell r="P30" t="e">
            <v>#VALUE!</v>
          </cell>
          <cell r="Q30"/>
          <cell r="R30">
            <v>1622820</v>
          </cell>
          <cell r="S30" t="e">
            <v>#VALUE!</v>
          </cell>
          <cell r="T30" t="e">
            <v>#VALUE!</v>
          </cell>
          <cell r="U30"/>
          <cell r="V30">
            <v>6493678</v>
          </cell>
          <cell r="W30" t="e">
            <v>#N/A</v>
          </cell>
          <cell r="X30" t="e">
            <v>#VALUE!</v>
          </cell>
          <cell r="Y30" t="e">
            <v>#VALUE!</v>
          </cell>
          <cell r="Z30"/>
          <cell r="AA30"/>
          <cell r="AB30"/>
          <cell r="AC30"/>
          <cell r="AD30" t="e">
            <v>#VALUE!</v>
          </cell>
          <cell r="AE30"/>
          <cell r="AF30"/>
          <cell r="AG30">
            <v>2707210</v>
          </cell>
          <cell r="AH30">
            <v>0</v>
          </cell>
          <cell r="AI30" t="e">
            <v>#VALUE!</v>
          </cell>
          <cell r="AJ30"/>
          <cell r="AK30">
            <v>6739859</v>
          </cell>
          <cell r="AL30" t="e">
            <v>#N/A</v>
          </cell>
          <cell r="AM30" t="e">
            <v>#VALUE!</v>
          </cell>
          <cell r="AN30" t="e">
            <v>#VALUE!</v>
          </cell>
          <cell r="AO30">
            <v>0</v>
          </cell>
          <cell r="AP30">
            <v>-20081474</v>
          </cell>
          <cell r="AQ30">
            <v>0</v>
          </cell>
          <cell r="AR30"/>
          <cell r="AS30">
            <v>0</v>
          </cell>
          <cell r="AT30"/>
          <cell r="AU30" t="e">
            <v>#VALUE!</v>
          </cell>
          <cell r="AV30" t="e">
            <v>#VALUE!</v>
          </cell>
          <cell r="AW30"/>
          <cell r="AX30">
            <v>14080</v>
          </cell>
          <cell r="AY30" t="e">
            <v>#VALUE!</v>
          </cell>
          <cell r="AZ30" t="e">
            <v>#VALUE!</v>
          </cell>
          <cell r="BA30">
            <v>0</v>
          </cell>
          <cell r="BB30">
            <v>15505047</v>
          </cell>
          <cell r="BC30" t="e">
            <v>#VALUE!</v>
          </cell>
          <cell r="BD30" t="e">
            <v>#VALUE!</v>
          </cell>
          <cell r="BE30"/>
          <cell r="BF30"/>
          <cell r="BG30"/>
          <cell r="BH30">
            <v>0</v>
          </cell>
          <cell r="BI30"/>
          <cell r="BJ30"/>
          <cell r="BK30"/>
          <cell r="BL30">
            <v>0</v>
          </cell>
          <cell r="BM30">
            <v>0</v>
          </cell>
          <cell r="BN30"/>
          <cell r="BO30"/>
          <cell r="BP30">
            <v>0</v>
          </cell>
          <cell r="BQ30">
            <v>0</v>
          </cell>
          <cell r="BR30" t="e">
            <v>#VALUE!</v>
          </cell>
          <cell r="BS30" t="e">
            <v>#VALUE!</v>
          </cell>
          <cell r="BT30"/>
          <cell r="BV30">
            <v>44618</v>
          </cell>
          <cell r="BW30">
            <v>273438</v>
          </cell>
          <cell r="BX30">
            <v>1902948</v>
          </cell>
          <cell r="CC30" t="e">
            <v>#VALUE!</v>
          </cell>
          <cell r="CD30"/>
          <cell r="CE30">
            <v>0</v>
          </cell>
          <cell r="CF30">
            <v>0</v>
          </cell>
          <cell r="CG30">
            <v>0</v>
          </cell>
          <cell r="CH30">
            <v>0</v>
          </cell>
          <cell r="CI30">
            <v>0</v>
          </cell>
          <cell r="CJ30" t="e">
            <v>#VALUE!</v>
          </cell>
          <cell r="CK30">
            <v>0</v>
          </cell>
          <cell r="CL30">
            <v>0</v>
          </cell>
          <cell r="CM30">
            <v>0</v>
          </cell>
          <cell r="CN30">
            <v>6739859</v>
          </cell>
          <cell r="CO30">
            <v>0</v>
          </cell>
          <cell r="CP30" t="e">
            <v>#DIV/0!</v>
          </cell>
          <cell r="CQ30">
            <v>0</v>
          </cell>
          <cell r="CR30" t="e">
            <v>#VALUE!</v>
          </cell>
          <cell r="CS30">
            <v>0</v>
          </cell>
          <cell r="CT30" t="e">
            <v>#VALUE!</v>
          </cell>
          <cell r="CU30">
            <v>0</v>
          </cell>
          <cell r="CV30" t="e">
            <v>#VALUE!</v>
          </cell>
          <cell r="CW30">
            <v>0</v>
          </cell>
          <cell r="CX30" t="e">
            <v>#VALUE!</v>
          </cell>
          <cell r="CY30">
            <v>0</v>
          </cell>
          <cell r="CZ30">
            <v>0</v>
          </cell>
          <cell r="DA30">
            <v>0</v>
          </cell>
          <cell r="DB30">
            <v>505190</v>
          </cell>
          <cell r="DC30" t="e">
            <v>#VALUE!</v>
          </cell>
          <cell r="DD30">
            <v>0</v>
          </cell>
          <cell r="DE30" t="e">
            <v>#VALUE!</v>
          </cell>
          <cell r="DF30">
            <v>0</v>
          </cell>
          <cell r="DG30">
            <v>0</v>
          </cell>
          <cell r="DH30">
            <v>0</v>
          </cell>
          <cell r="DI30">
            <v>2271510</v>
          </cell>
          <cell r="DJ30">
            <v>0</v>
          </cell>
          <cell r="DK30" t="e">
            <v>#VALUE!</v>
          </cell>
          <cell r="DL30">
            <v>0</v>
          </cell>
          <cell r="DM30">
            <v>0</v>
          </cell>
          <cell r="DN30">
            <v>0</v>
          </cell>
          <cell r="DO30" t="e">
            <v>#VALUE!</v>
          </cell>
          <cell r="DP30">
            <v>0</v>
          </cell>
          <cell r="DQ30" t="e">
            <v>#VALUE!</v>
          </cell>
          <cell r="DR30">
            <v>0</v>
          </cell>
          <cell r="DS30">
            <v>0</v>
          </cell>
          <cell r="DU30">
            <v>1622820</v>
          </cell>
          <cell r="DV30" t="e">
            <v>#VALUE!</v>
          </cell>
          <cell r="DW30"/>
          <cell r="DX30" t="e">
            <v>#VALUE!</v>
          </cell>
          <cell r="DY30">
            <v>0</v>
          </cell>
          <cell r="DZ30">
            <v>0</v>
          </cell>
          <cell r="EA30">
            <v>0</v>
          </cell>
          <cell r="EB30">
            <v>6493678</v>
          </cell>
          <cell r="ED30">
            <v>0</v>
          </cell>
          <cell r="EE30">
            <v>0</v>
          </cell>
          <cell r="EF30" t="e">
            <v>#VALUE!</v>
          </cell>
          <cell r="EG30">
            <v>0</v>
          </cell>
          <cell r="EH30" t="e">
            <v>#VALUE!</v>
          </cell>
          <cell r="EI30">
            <v>0</v>
          </cell>
        </row>
        <row r="31">
          <cell r="A31">
            <v>46018</v>
          </cell>
          <cell r="B31" t="e">
            <v>#VALUE!</v>
          </cell>
          <cell r="C31"/>
          <cell r="D31">
            <v>505190</v>
          </cell>
          <cell r="E31" t="str">
            <v/>
          </cell>
          <cell r="F31" t="e">
            <v>#VALUE!</v>
          </cell>
          <cell r="G31"/>
          <cell r="H31">
            <v>2271510</v>
          </cell>
          <cell r="I31" t="e">
            <v>#N/A</v>
          </cell>
          <cell r="J31" t="e">
            <v>#VALUE!</v>
          </cell>
          <cell r="K31" t="e">
            <v>#VALUE!</v>
          </cell>
          <cell r="L31">
            <v>0</v>
          </cell>
          <cell r="M31"/>
          <cell r="N31">
            <v>0</v>
          </cell>
          <cell r="O31" t="e">
            <v>#VALUE!</v>
          </cell>
          <cell r="P31" t="e">
            <v>#VALUE!</v>
          </cell>
          <cell r="Q31"/>
          <cell r="R31">
            <v>1622820</v>
          </cell>
          <cell r="S31" t="e">
            <v>#VALUE!</v>
          </cell>
          <cell r="T31" t="e">
            <v>#VALUE!</v>
          </cell>
          <cell r="U31"/>
          <cell r="V31">
            <v>6493678</v>
          </cell>
          <cell r="W31" t="e">
            <v>#N/A</v>
          </cell>
          <cell r="X31" t="e">
            <v>#VALUE!</v>
          </cell>
          <cell r="Y31" t="e">
            <v>#VALUE!</v>
          </cell>
          <cell r="Z31"/>
          <cell r="AA31"/>
          <cell r="AB31"/>
          <cell r="AC31"/>
          <cell r="AD31" t="e">
            <v>#VALUE!</v>
          </cell>
          <cell r="AE31"/>
          <cell r="AF31"/>
          <cell r="AG31">
            <v>2707210</v>
          </cell>
          <cell r="AH31">
            <v>0</v>
          </cell>
          <cell r="AI31" t="e">
            <v>#VALUE!</v>
          </cell>
          <cell r="AJ31"/>
          <cell r="AK31">
            <v>6739859</v>
          </cell>
          <cell r="AL31" t="e">
            <v>#N/A</v>
          </cell>
          <cell r="AM31" t="e">
            <v>#VALUE!</v>
          </cell>
          <cell r="AN31" t="e">
            <v>#VALUE!</v>
          </cell>
          <cell r="AO31">
            <v>0</v>
          </cell>
          <cell r="AP31">
            <v>-20081474</v>
          </cell>
          <cell r="AQ31">
            <v>0</v>
          </cell>
          <cell r="AR31"/>
          <cell r="AS31">
            <v>0</v>
          </cell>
          <cell r="AT31"/>
          <cell r="AU31" t="e">
            <v>#VALUE!</v>
          </cell>
          <cell r="AV31" t="e">
            <v>#VALUE!</v>
          </cell>
          <cell r="AW31"/>
          <cell r="AX31">
            <v>14080</v>
          </cell>
          <cell r="AY31" t="e">
            <v>#VALUE!</v>
          </cell>
          <cell r="AZ31" t="e">
            <v>#VALUE!</v>
          </cell>
          <cell r="BA31">
            <v>0</v>
          </cell>
          <cell r="BB31">
            <v>15505047</v>
          </cell>
          <cell r="BC31" t="e">
            <v>#VALUE!</v>
          </cell>
          <cell r="BD31" t="e">
            <v>#VALUE!</v>
          </cell>
          <cell r="BE31"/>
          <cell r="BF31"/>
          <cell r="BG31"/>
          <cell r="BH31">
            <v>0</v>
          </cell>
          <cell r="BI31"/>
          <cell r="BJ31"/>
          <cell r="BK31"/>
          <cell r="BL31">
            <v>0</v>
          </cell>
          <cell r="BM31">
            <v>0</v>
          </cell>
          <cell r="BN31"/>
          <cell r="BO31"/>
          <cell r="BP31">
            <v>0</v>
          </cell>
          <cell r="BQ31">
            <v>0</v>
          </cell>
          <cell r="BR31" t="e">
            <v>#VALUE!</v>
          </cell>
          <cell r="BS31" t="e">
            <v>#VALUE!</v>
          </cell>
          <cell r="BT31"/>
          <cell r="BV31">
            <v>44619</v>
          </cell>
          <cell r="BW31">
            <v>273438</v>
          </cell>
          <cell r="BX31">
            <v>1902948</v>
          </cell>
          <cell r="CC31" t="e">
            <v>#VALUE!</v>
          </cell>
          <cell r="CD31"/>
          <cell r="CE31">
            <v>0</v>
          </cell>
          <cell r="CF31">
            <v>0</v>
          </cell>
          <cell r="CG31">
            <v>0</v>
          </cell>
          <cell r="CH31">
            <v>0</v>
          </cell>
          <cell r="CI31">
            <v>0</v>
          </cell>
          <cell r="CJ31" t="e">
            <v>#VALUE!</v>
          </cell>
          <cell r="CK31">
            <v>0</v>
          </cell>
          <cell r="CL31">
            <v>0</v>
          </cell>
          <cell r="CM31">
            <v>0</v>
          </cell>
          <cell r="CN31">
            <v>6739859</v>
          </cell>
          <cell r="CO31">
            <v>0</v>
          </cell>
          <cell r="CP31" t="e">
            <v>#DIV/0!</v>
          </cell>
          <cell r="CQ31">
            <v>0</v>
          </cell>
          <cell r="CR31" t="e">
            <v>#VALUE!</v>
          </cell>
          <cell r="CS31">
            <v>0</v>
          </cell>
          <cell r="CT31" t="e">
            <v>#VALUE!</v>
          </cell>
          <cell r="CU31">
            <v>0</v>
          </cell>
          <cell r="CV31" t="e">
            <v>#VALUE!</v>
          </cell>
          <cell r="CW31">
            <v>0</v>
          </cell>
          <cell r="CX31" t="e">
            <v>#VALUE!</v>
          </cell>
          <cell r="CY31">
            <v>0</v>
          </cell>
          <cell r="CZ31">
            <v>0</v>
          </cell>
          <cell r="DA31">
            <v>0</v>
          </cell>
          <cell r="DB31">
            <v>505190</v>
          </cell>
          <cell r="DC31" t="e">
            <v>#VALUE!</v>
          </cell>
          <cell r="DD31">
            <v>0</v>
          </cell>
          <cell r="DE31" t="e">
            <v>#VALUE!</v>
          </cell>
          <cell r="DF31">
            <v>0</v>
          </cell>
          <cell r="DG31">
            <v>0</v>
          </cell>
          <cell r="DH31">
            <v>0</v>
          </cell>
          <cell r="DI31">
            <v>2271510</v>
          </cell>
          <cell r="DJ31">
            <v>0</v>
          </cell>
          <cell r="DK31" t="e">
            <v>#VALUE!</v>
          </cell>
          <cell r="DL31">
            <v>0</v>
          </cell>
          <cell r="DM31">
            <v>0</v>
          </cell>
          <cell r="DN31">
            <v>0</v>
          </cell>
          <cell r="DO31" t="e">
            <v>#VALUE!</v>
          </cell>
          <cell r="DP31">
            <v>0</v>
          </cell>
          <cell r="DQ31" t="e">
            <v>#VALUE!</v>
          </cell>
          <cell r="DR31">
            <v>0</v>
          </cell>
          <cell r="DS31">
            <v>0</v>
          </cell>
          <cell r="DU31">
            <v>1622820</v>
          </cell>
          <cell r="DV31" t="e">
            <v>#VALUE!</v>
          </cell>
          <cell r="DW31"/>
          <cell r="DX31" t="e">
            <v>#VALUE!</v>
          </cell>
          <cell r="DY31">
            <v>0</v>
          </cell>
          <cell r="DZ31">
            <v>0</v>
          </cell>
          <cell r="EA31">
            <v>0</v>
          </cell>
          <cell r="EB31">
            <v>6493678</v>
          </cell>
          <cell r="ED31">
            <v>0</v>
          </cell>
          <cell r="EE31">
            <v>0</v>
          </cell>
          <cell r="EF31" t="e">
            <v>#VALUE!</v>
          </cell>
          <cell r="EG31">
            <v>0</v>
          </cell>
          <cell r="EH31" t="e">
            <v>#VALUE!</v>
          </cell>
          <cell r="EI31">
            <v>0</v>
          </cell>
        </row>
        <row r="32">
          <cell r="A32">
            <v>46019</v>
          </cell>
          <cell r="B32" t="e">
            <v>#VALUE!</v>
          </cell>
          <cell r="C32"/>
          <cell r="D32">
            <v>505190</v>
          </cell>
          <cell r="E32" t="str">
            <v/>
          </cell>
          <cell r="F32" t="e">
            <v>#VALUE!</v>
          </cell>
          <cell r="G32"/>
          <cell r="H32">
            <v>2271510</v>
          </cell>
          <cell r="I32" t="e">
            <v>#N/A</v>
          </cell>
          <cell r="J32" t="e">
            <v>#VALUE!</v>
          </cell>
          <cell r="K32" t="e">
            <v>#VALUE!</v>
          </cell>
          <cell r="L32">
            <v>0</v>
          </cell>
          <cell r="M32"/>
          <cell r="N32">
            <v>0</v>
          </cell>
          <cell r="O32" t="e">
            <v>#VALUE!</v>
          </cell>
          <cell r="P32" t="e">
            <v>#VALUE!</v>
          </cell>
          <cell r="Q32"/>
          <cell r="R32">
            <v>1622820</v>
          </cell>
          <cell r="S32" t="e">
            <v>#VALUE!</v>
          </cell>
          <cell r="T32" t="e">
            <v>#VALUE!</v>
          </cell>
          <cell r="U32"/>
          <cell r="V32">
            <v>6493678</v>
          </cell>
          <cell r="W32" t="e">
            <v>#N/A</v>
          </cell>
          <cell r="X32" t="e">
            <v>#VALUE!</v>
          </cell>
          <cell r="Y32" t="e">
            <v>#VALUE!</v>
          </cell>
          <cell r="Z32"/>
          <cell r="AA32"/>
          <cell r="AB32"/>
          <cell r="AC32"/>
          <cell r="AD32" t="e">
            <v>#VALUE!</v>
          </cell>
          <cell r="AE32"/>
          <cell r="AF32"/>
          <cell r="AG32">
            <v>2707210</v>
          </cell>
          <cell r="AH32">
            <v>0</v>
          </cell>
          <cell r="AI32" t="e">
            <v>#VALUE!</v>
          </cell>
          <cell r="AJ32"/>
          <cell r="AK32">
            <v>6739859</v>
          </cell>
          <cell r="AL32" t="e">
            <v>#N/A</v>
          </cell>
          <cell r="AM32" t="e">
            <v>#VALUE!</v>
          </cell>
          <cell r="AN32" t="e">
            <v>#VALUE!</v>
          </cell>
          <cell r="AO32">
            <v>0</v>
          </cell>
          <cell r="AP32">
            <v>-20081474</v>
          </cell>
          <cell r="AQ32">
            <v>0</v>
          </cell>
          <cell r="AR32"/>
          <cell r="AS32">
            <v>0</v>
          </cell>
          <cell r="AT32"/>
          <cell r="AU32" t="e">
            <v>#VALUE!</v>
          </cell>
          <cell r="AV32" t="e">
            <v>#VALUE!</v>
          </cell>
          <cell r="AW32"/>
          <cell r="AX32">
            <v>14080</v>
          </cell>
          <cell r="AY32" t="e">
            <v>#VALUE!</v>
          </cell>
          <cell r="AZ32" t="e">
            <v>#VALUE!</v>
          </cell>
          <cell r="BA32">
            <v>0</v>
          </cell>
          <cell r="BB32">
            <v>15505047</v>
          </cell>
          <cell r="BC32" t="e">
            <v>#VALUE!</v>
          </cell>
          <cell r="BD32" t="e">
            <v>#VALUE!</v>
          </cell>
          <cell r="BE32"/>
          <cell r="BF32"/>
          <cell r="BG32"/>
          <cell r="BH32">
            <v>0</v>
          </cell>
          <cell r="BI32"/>
          <cell r="BJ32"/>
          <cell r="BK32"/>
          <cell r="BL32">
            <v>0</v>
          </cell>
          <cell r="BM32">
            <v>0</v>
          </cell>
          <cell r="BN32"/>
          <cell r="BO32"/>
          <cell r="BP32">
            <v>0</v>
          </cell>
          <cell r="BQ32">
            <v>0</v>
          </cell>
          <cell r="BR32" t="e">
            <v>#VALUE!</v>
          </cell>
          <cell r="BS32" t="e">
            <v>#VALUE!</v>
          </cell>
          <cell r="BT32"/>
          <cell r="BV32">
            <v>44620</v>
          </cell>
          <cell r="BW32">
            <v>273438</v>
          </cell>
          <cell r="BX32">
            <v>1902948</v>
          </cell>
          <cell r="CC32" t="e">
            <v>#VALUE!</v>
          </cell>
          <cell r="CD32"/>
          <cell r="CE32">
            <v>0</v>
          </cell>
          <cell r="CF32">
            <v>0</v>
          </cell>
          <cell r="CG32">
            <v>0</v>
          </cell>
          <cell r="CH32">
            <v>0</v>
          </cell>
          <cell r="CI32">
            <v>0</v>
          </cell>
          <cell r="CJ32" t="e">
            <v>#VALUE!</v>
          </cell>
          <cell r="CK32">
            <v>0</v>
          </cell>
          <cell r="CL32">
            <v>0</v>
          </cell>
          <cell r="CM32">
            <v>0</v>
          </cell>
          <cell r="CN32">
            <v>6739859</v>
          </cell>
          <cell r="CO32">
            <v>0</v>
          </cell>
          <cell r="CP32" t="e">
            <v>#DIV/0!</v>
          </cell>
          <cell r="CQ32">
            <v>0</v>
          </cell>
          <cell r="CR32" t="e">
            <v>#VALUE!</v>
          </cell>
          <cell r="CS32">
            <v>0</v>
          </cell>
          <cell r="CT32" t="e">
            <v>#VALUE!</v>
          </cell>
          <cell r="CU32">
            <v>0</v>
          </cell>
          <cell r="CV32" t="e">
            <v>#VALUE!</v>
          </cell>
          <cell r="CW32">
            <v>0</v>
          </cell>
          <cell r="CX32" t="e">
            <v>#VALUE!</v>
          </cell>
          <cell r="CY32">
            <v>0</v>
          </cell>
          <cell r="CZ32">
            <v>0</v>
          </cell>
          <cell r="DA32">
            <v>0</v>
          </cell>
          <cell r="DB32">
            <v>505190</v>
          </cell>
          <cell r="DC32" t="e">
            <v>#VALUE!</v>
          </cell>
          <cell r="DD32">
            <v>0</v>
          </cell>
          <cell r="DE32" t="e">
            <v>#VALUE!</v>
          </cell>
          <cell r="DF32">
            <v>0</v>
          </cell>
          <cell r="DG32">
            <v>0</v>
          </cell>
          <cell r="DH32">
            <v>0</v>
          </cell>
          <cell r="DI32">
            <v>2271510</v>
          </cell>
          <cell r="DJ32">
            <v>0</v>
          </cell>
          <cell r="DK32" t="e">
            <v>#VALUE!</v>
          </cell>
          <cell r="DL32">
            <v>0</v>
          </cell>
          <cell r="DM32">
            <v>0</v>
          </cell>
          <cell r="DN32">
            <v>0</v>
          </cell>
          <cell r="DO32" t="e">
            <v>#VALUE!</v>
          </cell>
          <cell r="DP32">
            <v>0</v>
          </cell>
          <cell r="DQ32" t="e">
            <v>#VALUE!</v>
          </cell>
          <cell r="DR32">
            <v>0</v>
          </cell>
          <cell r="DS32">
            <v>0</v>
          </cell>
          <cell r="DU32">
            <v>1622820</v>
          </cell>
          <cell r="DV32" t="e">
            <v>#VALUE!</v>
          </cell>
          <cell r="DW32"/>
          <cell r="DX32" t="e">
            <v>#VALUE!</v>
          </cell>
          <cell r="DY32">
            <v>0</v>
          </cell>
          <cell r="DZ32">
            <v>0</v>
          </cell>
          <cell r="EA32">
            <v>0</v>
          </cell>
          <cell r="EB32">
            <v>6493678</v>
          </cell>
          <cell r="ED32">
            <v>0</v>
          </cell>
          <cell r="EE32">
            <v>0</v>
          </cell>
          <cell r="EF32" t="e">
            <v>#VALUE!</v>
          </cell>
          <cell r="EG32">
            <v>0</v>
          </cell>
          <cell r="EH32" t="e">
            <v>#VALUE!</v>
          </cell>
          <cell r="EI32">
            <v>0</v>
          </cell>
        </row>
        <row r="33">
          <cell r="A33">
            <v>46020</v>
          </cell>
          <cell r="B33" t="e">
            <v>#VALUE!</v>
          </cell>
          <cell r="C33"/>
          <cell r="D33">
            <v>505190</v>
          </cell>
          <cell r="E33" t="str">
            <v/>
          </cell>
          <cell r="F33" t="e">
            <v>#VALUE!</v>
          </cell>
          <cell r="G33"/>
          <cell r="H33">
            <v>2271510</v>
          </cell>
          <cell r="I33" t="e">
            <v>#N/A</v>
          </cell>
          <cell r="J33" t="e">
            <v>#VALUE!</v>
          </cell>
          <cell r="K33" t="e">
            <v>#VALUE!</v>
          </cell>
          <cell r="L33">
            <v>0</v>
          </cell>
          <cell r="M33"/>
          <cell r="N33">
            <v>0</v>
          </cell>
          <cell r="O33" t="e">
            <v>#VALUE!</v>
          </cell>
          <cell r="P33" t="e">
            <v>#VALUE!</v>
          </cell>
          <cell r="Q33"/>
          <cell r="R33">
            <v>1622820</v>
          </cell>
          <cell r="S33" t="e">
            <v>#VALUE!</v>
          </cell>
          <cell r="T33" t="e">
            <v>#VALUE!</v>
          </cell>
          <cell r="U33"/>
          <cell r="V33">
            <v>6493678</v>
          </cell>
          <cell r="W33" t="e">
            <v>#N/A</v>
          </cell>
          <cell r="X33" t="e">
            <v>#VALUE!</v>
          </cell>
          <cell r="Y33" t="e">
            <v>#VALUE!</v>
          </cell>
          <cell r="Z33"/>
          <cell r="AA33"/>
          <cell r="AB33"/>
          <cell r="AC33"/>
          <cell r="AD33" t="e">
            <v>#VALUE!</v>
          </cell>
          <cell r="AE33"/>
          <cell r="AF33"/>
          <cell r="AG33">
            <v>2707210</v>
          </cell>
          <cell r="AH33">
            <v>0</v>
          </cell>
          <cell r="AI33" t="e">
            <v>#VALUE!</v>
          </cell>
          <cell r="AJ33"/>
          <cell r="AK33">
            <v>6739859</v>
          </cell>
          <cell r="AL33" t="e">
            <v>#N/A</v>
          </cell>
          <cell r="AM33" t="e">
            <v>#VALUE!</v>
          </cell>
          <cell r="AN33" t="e">
            <v>#VALUE!</v>
          </cell>
          <cell r="AO33">
            <v>0</v>
          </cell>
          <cell r="AP33">
            <v>-20081474</v>
          </cell>
          <cell r="AQ33">
            <v>0</v>
          </cell>
          <cell r="AR33"/>
          <cell r="AS33">
            <v>0</v>
          </cell>
          <cell r="AT33"/>
          <cell r="AU33" t="e">
            <v>#VALUE!</v>
          </cell>
          <cell r="AV33" t="e">
            <v>#VALUE!</v>
          </cell>
          <cell r="AW33"/>
          <cell r="AX33">
            <v>14080</v>
          </cell>
          <cell r="AY33" t="e">
            <v>#VALUE!</v>
          </cell>
          <cell r="AZ33" t="e">
            <v>#VALUE!</v>
          </cell>
          <cell r="BA33">
            <v>0</v>
          </cell>
          <cell r="BB33">
            <v>15505047</v>
          </cell>
          <cell r="BC33" t="e">
            <v>#VALUE!</v>
          </cell>
          <cell r="BD33" t="e">
            <v>#VALUE!</v>
          </cell>
          <cell r="BE33"/>
          <cell r="BF33"/>
          <cell r="BG33"/>
          <cell r="BH33">
            <v>0</v>
          </cell>
          <cell r="BI33"/>
          <cell r="BJ33"/>
          <cell r="BK33"/>
          <cell r="BL33">
            <v>0</v>
          </cell>
          <cell r="BM33">
            <v>0</v>
          </cell>
          <cell r="BN33"/>
          <cell r="BO33"/>
          <cell r="BP33">
            <v>0</v>
          </cell>
          <cell r="BQ33">
            <v>0</v>
          </cell>
          <cell r="BR33" t="e">
            <v>#VALUE!</v>
          </cell>
          <cell r="BS33" t="e">
            <v>#VALUE!</v>
          </cell>
          <cell r="BT33"/>
          <cell r="BV33">
            <v>44621</v>
          </cell>
          <cell r="BW33">
            <v>273438</v>
          </cell>
          <cell r="BX33">
            <v>1902948</v>
          </cell>
          <cell r="CC33" t="e">
            <v>#VALUE!</v>
          </cell>
          <cell r="CD33"/>
          <cell r="CE33">
            <v>0</v>
          </cell>
          <cell r="CF33">
            <v>0</v>
          </cell>
          <cell r="CG33">
            <v>0</v>
          </cell>
          <cell r="CH33">
            <v>0</v>
          </cell>
          <cell r="CI33">
            <v>0</v>
          </cell>
          <cell r="CJ33" t="e">
            <v>#VALUE!</v>
          </cell>
          <cell r="CK33">
            <v>0</v>
          </cell>
          <cell r="CL33">
            <v>0</v>
          </cell>
          <cell r="CM33">
            <v>0</v>
          </cell>
          <cell r="CN33">
            <v>6739859</v>
          </cell>
          <cell r="CO33">
            <v>0</v>
          </cell>
          <cell r="CP33" t="e">
            <v>#DIV/0!</v>
          </cell>
          <cell r="CQ33">
            <v>0</v>
          </cell>
          <cell r="CR33" t="e">
            <v>#VALUE!</v>
          </cell>
          <cell r="CS33">
            <v>0</v>
          </cell>
          <cell r="CT33" t="e">
            <v>#VALUE!</v>
          </cell>
          <cell r="CU33">
            <v>0</v>
          </cell>
          <cell r="CV33" t="e">
            <v>#VALUE!</v>
          </cell>
          <cell r="CW33">
            <v>0</v>
          </cell>
          <cell r="CX33" t="e">
            <v>#VALUE!</v>
          </cell>
          <cell r="CY33">
            <v>0</v>
          </cell>
          <cell r="CZ33">
            <v>0</v>
          </cell>
          <cell r="DA33">
            <v>0</v>
          </cell>
          <cell r="DB33">
            <v>505190</v>
          </cell>
          <cell r="DC33" t="e">
            <v>#VALUE!</v>
          </cell>
          <cell r="DD33">
            <v>0</v>
          </cell>
          <cell r="DE33" t="e">
            <v>#VALUE!</v>
          </cell>
          <cell r="DF33">
            <v>0</v>
          </cell>
          <cell r="DG33">
            <v>0</v>
          </cell>
          <cell r="DH33">
            <v>0</v>
          </cell>
          <cell r="DI33">
            <v>2271510</v>
          </cell>
          <cell r="DJ33">
            <v>0</v>
          </cell>
          <cell r="DK33" t="e">
            <v>#VALUE!</v>
          </cell>
          <cell r="DL33">
            <v>0</v>
          </cell>
          <cell r="DM33">
            <v>0</v>
          </cell>
          <cell r="DN33">
            <v>0</v>
          </cell>
          <cell r="DO33" t="e">
            <v>#VALUE!</v>
          </cell>
          <cell r="DP33">
            <v>0</v>
          </cell>
          <cell r="DQ33" t="e">
            <v>#VALUE!</v>
          </cell>
          <cell r="DR33">
            <v>0</v>
          </cell>
          <cell r="DS33">
            <v>0</v>
          </cell>
          <cell r="DU33">
            <v>1622820</v>
          </cell>
          <cell r="DV33" t="e">
            <v>#VALUE!</v>
          </cell>
          <cell r="DW33"/>
          <cell r="DX33" t="e">
            <v>#VALUE!</v>
          </cell>
          <cell r="DY33">
            <v>0</v>
          </cell>
          <cell r="DZ33">
            <v>0</v>
          </cell>
          <cell r="EA33">
            <v>0</v>
          </cell>
          <cell r="EB33">
            <v>6493678</v>
          </cell>
          <cell r="ED33">
            <v>0</v>
          </cell>
          <cell r="EE33">
            <v>0</v>
          </cell>
          <cell r="EF33" t="e">
            <v>#VALUE!</v>
          </cell>
          <cell r="EG33">
            <v>0</v>
          </cell>
          <cell r="EH33" t="e">
            <v>#VALUE!</v>
          </cell>
          <cell r="EI33">
            <v>0</v>
          </cell>
        </row>
        <row r="34">
          <cell r="A34">
            <v>46021</v>
          </cell>
          <cell r="B34" t="e">
            <v>#VALUE!</v>
          </cell>
          <cell r="C34"/>
          <cell r="D34">
            <v>505190</v>
          </cell>
          <cell r="E34" t="str">
            <v/>
          </cell>
          <cell r="F34" t="e">
            <v>#VALUE!</v>
          </cell>
          <cell r="G34"/>
          <cell r="H34">
            <v>2271510</v>
          </cell>
          <cell r="I34" t="e">
            <v>#N/A</v>
          </cell>
          <cell r="J34" t="e">
            <v>#VALUE!</v>
          </cell>
          <cell r="K34" t="e">
            <v>#VALUE!</v>
          </cell>
          <cell r="L34">
            <v>0</v>
          </cell>
          <cell r="M34"/>
          <cell r="N34">
            <v>0</v>
          </cell>
          <cell r="O34" t="e">
            <v>#VALUE!</v>
          </cell>
          <cell r="P34" t="e">
            <v>#VALUE!</v>
          </cell>
          <cell r="Q34"/>
          <cell r="R34">
            <v>1622820</v>
          </cell>
          <cell r="S34" t="e">
            <v>#VALUE!</v>
          </cell>
          <cell r="T34" t="e">
            <v>#VALUE!</v>
          </cell>
          <cell r="U34"/>
          <cell r="V34">
            <v>6493678</v>
          </cell>
          <cell r="W34" t="e">
            <v>#N/A</v>
          </cell>
          <cell r="X34" t="e">
            <v>#VALUE!</v>
          </cell>
          <cell r="Y34" t="e">
            <v>#VALUE!</v>
          </cell>
          <cell r="Z34"/>
          <cell r="AA34"/>
          <cell r="AB34"/>
          <cell r="AC34"/>
          <cell r="AD34" t="e">
            <v>#VALUE!</v>
          </cell>
          <cell r="AE34"/>
          <cell r="AF34"/>
          <cell r="AG34">
            <v>2707210</v>
          </cell>
          <cell r="AH34">
            <v>12417</v>
          </cell>
          <cell r="AI34" t="e">
            <v>#VALUE!</v>
          </cell>
          <cell r="AJ34"/>
          <cell r="AK34">
            <v>6739859</v>
          </cell>
          <cell r="AL34" t="e">
            <v>#N/A</v>
          </cell>
          <cell r="AM34" t="e">
            <v>#VALUE!</v>
          </cell>
          <cell r="AN34" t="e">
            <v>#VALUE!</v>
          </cell>
          <cell r="AO34">
            <v>-31256</v>
          </cell>
          <cell r="AP34">
            <v>-20112730</v>
          </cell>
          <cell r="AQ34">
            <v>0</v>
          </cell>
          <cell r="AR34"/>
          <cell r="AS34">
            <v>0</v>
          </cell>
          <cell r="AT34"/>
          <cell r="AU34" t="e">
            <v>#VALUE!</v>
          </cell>
          <cell r="AV34" t="e">
            <v>#VALUE!</v>
          </cell>
          <cell r="AW34"/>
          <cell r="AX34">
            <v>14080</v>
          </cell>
          <cell r="AY34" t="e">
            <v>#VALUE!</v>
          </cell>
          <cell r="AZ34" t="e">
            <v>#VALUE!</v>
          </cell>
          <cell r="BA34">
            <v>0</v>
          </cell>
          <cell r="BB34">
            <v>15505047</v>
          </cell>
          <cell r="BC34" t="e">
            <v>#VALUE!</v>
          </cell>
          <cell r="BD34" t="e">
            <v>#VALUE!</v>
          </cell>
          <cell r="BE34"/>
          <cell r="BF34"/>
          <cell r="BG34"/>
          <cell r="BH34">
            <v>0</v>
          </cell>
          <cell r="BI34"/>
          <cell r="BJ34"/>
          <cell r="BK34"/>
          <cell r="BL34">
            <v>0</v>
          </cell>
          <cell r="BM34">
            <v>0</v>
          </cell>
          <cell r="BN34"/>
          <cell r="BO34"/>
          <cell r="BP34">
            <v>0</v>
          </cell>
          <cell r="BQ34">
            <v>0</v>
          </cell>
          <cell r="BR34" t="e">
            <v>#VALUE!</v>
          </cell>
          <cell r="BS34" t="e">
            <v>#VALUE!</v>
          </cell>
          <cell r="BT34"/>
          <cell r="BV34">
            <v>44622</v>
          </cell>
          <cell r="BW34">
            <v>273438</v>
          </cell>
          <cell r="BX34">
            <v>1902948</v>
          </cell>
          <cell r="CC34" t="e">
            <v>#VALUE!</v>
          </cell>
          <cell r="CD34"/>
          <cell r="CE34">
            <v>0</v>
          </cell>
          <cell r="CF34">
            <v>0</v>
          </cell>
          <cell r="CG34">
            <v>0</v>
          </cell>
          <cell r="CH34">
            <v>12417</v>
          </cell>
          <cell r="CI34">
            <v>0</v>
          </cell>
          <cell r="CJ34" t="e">
            <v>#VALUE!</v>
          </cell>
          <cell r="CK34">
            <v>0</v>
          </cell>
          <cell r="CL34">
            <v>0</v>
          </cell>
          <cell r="CM34">
            <v>0</v>
          </cell>
          <cell r="CN34">
            <v>6739859</v>
          </cell>
          <cell r="CO34">
            <v>0</v>
          </cell>
          <cell r="CP34" t="e">
            <v>#DIV/0!</v>
          </cell>
          <cell r="CQ34">
            <v>0</v>
          </cell>
          <cell r="CR34" t="e">
            <v>#VALUE!</v>
          </cell>
          <cell r="CS34">
            <v>0</v>
          </cell>
          <cell r="CT34" t="e">
            <v>#VALUE!</v>
          </cell>
          <cell r="CU34">
            <v>0</v>
          </cell>
          <cell r="CV34" t="e">
            <v>#VALUE!</v>
          </cell>
          <cell r="CW34">
            <v>0</v>
          </cell>
          <cell r="CX34" t="e">
            <v>#VALUE!</v>
          </cell>
          <cell r="CY34">
            <v>0</v>
          </cell>
          <cell r="CZ34">
            <v>0</v>
          </cell>
          <cell r="DA34">
            <v>0</v>
          </cell>
          <cell r="DB34">
            <v>505190</v>
          </cell>
          <cell r="DC34" t="e">
            <v>#VALUE!</v>
          </cell>
          <cell r="DD34">
            <v>0</v>
          </cell>
          <cell r="DE34" t="e">
            <v>#VALUE!</v>
          </cell>
          <cell r="DF34">
            <v>0</v>
          </cell>
          <cell r="DG34">
            <v>0</v>
          </cell>
          <cell r="DH34">
            <v>0</v>
          </cell>
          <cell r="DI34">
            <v>2271510</v>
          </cell>
          <cell r="DJ34">
            <v>0</v>
          </cell>
          <cell r="DK34" t="e">
            <v>#VALUE!</v>
          </cell>
          <cell r="DL34">
            <v>0</v>
          </cell>
          <cell r="DM34">
            <v>0</v>
          </cell>
          <cell r="DN34">
            <v>0</v>
          </cell>
          <cell r="DO34" t="e">
            <v>#VALUE!</v>
          </cell>
          <cell r="DP34">
            <v>0</v>
          </cell>
          <cell r="DQ34" t="e">
            <v>#VALUE!</v>
          </cell>
          <cell r="DR34">
            <v>0</v>
          </cell>
          <cell r="DS34">
            <v>0</v>
          </cell>
          <cell r="DU34">
            <v>1622820</v>
          </cell>
          <cell r="DV34" t="e">
            <v>#VALUE!</v>
          </cell>
          <cell r="DW34"/>
          <cell r="DX34" t="e">
            <v>#VALUE!</v>
          </cell>
          <cell r="DY34">
            <v>0</v>
          </cell>
          <cell r="DZ34">
            <v>0</v>
          </cell>
          <cell r="EA34">
            <v>0</v>
          </cell>
          <cell r="EB34">
            <v>6493678</v>
          </cell>
          <cell r="ED34">
            <v>0</v>
          </cell>
          <cell r="EE34">
            <v>0</v>
          </cell>
          <cell r="EF34" t="e">
            <v>#VALUE!</v>
          </cell>
          <cell r="EG34">
            <v>0</v>
          </cell>
          <cell r="EH34" t="e">
            <v>#VALUE!</v>
          </cell>
          <cell r="EI34">
            <v>0</v>
          </cell>
        </row>
        <row r="35">
          <cell r="A35">
            <v>46022</v>
          </cell>
          <cell r="B35" t="e">
            <v>#VALUE!</v>
          </cell>
          <cell r="C35"/>
          <cell r="D35">
            <v>505190</v>
          </cell>
          <cell r="E35" t="str">
            <v/>
          </cell>
          <cell r="F35" t="e">
            <v>#VALUE!</v>
          </cell>
          <cell r="G35"/>
          <cell r="H35">
            <v>2271510</v>
          </cell>
          <cell r="I35" t="e">
            <v>#N/A</v>
          </cell>
          <cell r="J35" t="e">
            <v>#VALUE!</v>
          </cell>
          <cell r="K35" t="e">
            <v>#VALUE!</v>
          </cell>
          <cell r="L35">
            <v>0</v>
          </cell>
          <cell r="M35"/>
          <cell r="N35">
            <v>0</v>
          </cell>
          <cell r="O35" t="e">
            <v>#VALUE!</v>
          </cell>
          <cell r="P35" t="e">
            <v>#VALUE!</v>
          </cell>
          <cell r="Q35"/>
          <cell r="R35">
            <v>1622820</v>
          </cell>
          <cell r="S35" t="e">
            <v>#VALUE!</v>
          </cell>
          <cell r="T35" t="e">
            <v>#VALUE!</v>
          </cell>
          <cell r="U35"/>
          <cell r="V35">
            <v>6493678</v>
          </cell>
          <cell r="W35" t="e">
            <v>#N/A</v>
          </cell>
          <cell r="X35" t="e">
            <v>#VALUE!</v>
          </cell>
          <cell r="Y35" t="e">
            <v>#VALUE!</v>
          </cell>
          <cell r="Z35"/>
          <cell r="AA35"/>
          <cell r="AB35"/>
          <cell r="AC35">
            <v>0</v>
          </cell>
          <cell r="AD35" t="e">
            <v>#VALUE!</v>
          </cell>
          <cell r="AE35"/>
          <cell r="AF35"/>
          <cell r="AG35">
            <v>2707210</v>
          </cell>
          <cell r="AH35">
            <v>11059</v>
          </cell>
          <cell r="AI35" t="e">
            <v>#VALUE!</v>
          </cell>
          <cell r="AJ35"/>
          <cell r="AK35">
            <v>6739859</v>
          </cell>
          <cell r="AL35" t="e">
            <v>#N/A</v>
          </cell>
          <cell r="AM35" t="e">
            <v>#VALUE!</v>
          </cell>
          <cell r="AN35" t="e">
            <v>#VALUE!</v>
          </cell>
          <cell r="AO35">
            <v>-26535</v>
          </cell>
          <cell r="AP35">
            <v>-20139265</v>
          </cell>
          <cell r="AQ35">
            <v>0</v>
          </cell>
          <cell r="AR35"/>
          <cell r="AS35">
            <v>0</v>
          </cell>
          <cell r="AT35"/>
          <cell r="AU35" t="e">
            <v>#VALUE!</v>
          </cell>
          <cell r="AV35" t="e">
            <v>#VALUE!</v>
          </cell>
          <cell r="AW35"/>
          <cell r="AX35">
            <v>14080</v>
          </cell>
          <cell r="AY35" t="e">
            <v>#VALUE!</v>
          </cell>
          <cell r="AZ35" t="e">
            <v>#VALUE!</v>
          </cell>
          <cell r="BA35">
            <v>0</v>
          </cell>
          <cell r="BB35">
            <v>15505047</v>
          </cell>
          <cell r="BC35" t="e">
            <v>#VALUE!</v>
          </cell>
          <cell r="BD35" t="e">
            <v>#VALUE!</v>
          </cell>
          <cell r="BE35"/>
          <cell r="BF35"/>
          <cell r="BG35"/>
          <cell r="BH35">
            <v>0</v>
          </cell>
          <cell r="BI35"/>
          <cell r="BJ35"/>
          <cell r="BK35"/>
          <cell r="BL35">
            <v>0</v>
          </cell>
          <cell r="BM35">
            <v>0</v>
          </cell>
          <cell r="BN35"/>
          <cell r="BO35"/>
          <cell r="BP35">
            <v>0</v>
          </cell>
          <cell r="BQ35">
            <v>0</v>
          </cell>
          <cell r="BR35" t="e">
            <v>#VALUE!</v>
          </cell>
          <cell r="BS35" t="e">
            <v>#VALUE!</v>
          </cell>
          <cell r="CC35" t="e">
            <v>#VALUE!</v>
          </cell>
          <cell r="CD35">
            <v>0</v>
          </cell>
          <cell r="CE35">
            <v>0</v>
          </cell>
          <cell r="CF35">
            <v>0</v>
          </cell>
          <cell r="CG35">
            <v>0</v>
          </cell>
          <cell r="CH35">
            <v>11059</v>
          </cell>
          <cell r="CI35">
            <v>0</v>
          </cell>
          <cell r="CJ35" t="e">
            <v>#VALUE!</v>
          </cell>
          <cell r="CK35">
            <v>0</v>
          </cell>
          <cell r="CL35">
            <v>0</v>
          </cell>
          <cell r="CM35">
            <v>0</v>
          </cell>
          <cell r="CN35">
            <v>6739859</v>
          </cell>
          <cell r="CO35">
            <v>0</v>
          </cell>
          <cell r="CP35" t="e">
            <v>#DIV/0!</v>
          </cell>
          <cell r="CQ35">
            <v>0</v>
          </cell>
          <cell r="CR35" t="e">
            <v>#VALUE!</v>
          </cell>
          <cell r="CS35">
            <v>0</v>
          </cell>
          <cell r="CT35" t="e">
            <v>#VALUE!</v>
          </cell>
          <cell r="CU35">
            <v>0</v>
          </cell>
          <cell r="CV35" t="e">
            <v>#VALUE!</v>
          </cell>
          <cell r="CW35">
            <v>0</v>
          </cell>
          <cell r="CX35" t="e">
            <v>#VALUE!</v>
          </cell>
          <cell r="CY35">
            <v>0</v>
          </cell>
          <cell r="CZ35">
            <v>0</v>
          </cell>
          <cell r="DA35">
            <v>0</v>
          </cell>
          <cell r="DB35">
            <v>505190</v>
          </cell>
          <cell r="DC35" t="e">
            <v>#VALUE!</v>
          </cell>
          <cell r="DD35">
            <v>0</v>
          </cell>
          <cell r="DE35" t="e">
            <v>#VALUE!</v>
          </cell>
          <cell r="DF35">
            <v>0</v>
          </cell>
          <cell r="DG35">
            <v>0</v>
          </cell>
          <cell r="DH35">
            <v>0</v>
          </cell>
          <cell r="DI35">
            <v>2271510</v>
          </cell>
          <cell r="DJ35">
            <v>0</v>
          </cell>
          <cell r="DK35" t="e">
            <v>#VALUE!</v>
          </cell>
          <cell r="DL35">
            <v>0</v>
          </cell>
          <cell r="DM35" t="e">
            <v>#VALUE!</v>
          </cell>
          <cell r="DN35">
            <v>0</v>
          </cell>
          <cell r="DO35" t="e">
            <v>#VALUE!</v>
          </cell>
          <cell r="DP35">
            <v>0</v>
          </cell>
          <cell r="DQ35" t="e">
            <v>#VALUE!</v>
          </cell>
          <cell r="DR35">
            <v>0</v>
          </cell>
          <cell r="DS35">
            <v>0</v>
          </cell>
          <cell r="DU35">
            <v>1622820</v>
          </cell>
          <cell r="DV35" t="e">
            <v>#VALUE!</v>
          </cell>
          <cell r="DW35"/>
          <cell r="DX35" t="e">
            <v>#VALUE!</v>
          </cell>
          <cell r="DY35">
            <v>0</v>
          </cell>
          <cell r="DZ35">
            <v>0</v>
          </cell>
          <cell r="EA35">
            <v>0</v>
          </cell>
          <cell r="EB35">
            <v>6493678</v>
          </cell>
          <cell r="ED35" t="e">
            <v>#VALUE!</v>
          </cell>
          <cell r="EE35">
            <v>0</v>
          </cell>
          <cell r="EF35" t="e">
            <v>#VALUE!</v>
          </cell>
          <cell r="EG35">
            <v>0</v>
          </cell>
          <cell r="EH35" t="e">
            <v>#VALUE!</v>
          </cell>
          <cell r="EI35">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arios CPKO"/>
      <sheetName val="Base de Datos"/>
      <sheetName val="Datos Inventario"/>
      <sheetName val="TABLA 16"/>
      <sheetName val="Tanque16"/>
      <sheetName val="Diferencias"/>
      <sheetName val="Analisis Diferencias"/>
    </sheetNames>
    <sheetDataSet>
      <sheetData sheetId="0"/>
      <sheetData sheetId="1">
        <row r="4">
          <cell r="A4">
            <v>45992</v>
          </cell>
          <cell r="B4">
            <v>68804</v>
          </cell>
          <cell r="C4">
            <v>0</v>
          </cell>
          <cell r="D4">
            <v>0</v>
          </cell>
          <cell r="E4">
            <v>40308</v>
          </cell>
          <cell r="F4">
            <v>40308</v>
          </cell>
          <cell r="G4">
            <v>97973</v>
          </cell>
          <cell r="H4">
            <v>97973</v>
          </cell>
          <cell r="I4">
            <v>0.41141947271186957</v>
          </cell>
          <cell r="J4">
            <v>0.41141947271186957</v>
          </cell>
          <cell r="K4">
            <v>0</v>
          </cell>
          <cell r="L4">
            <v>0</v>
          </cell>
          <cell r="M4">
            <v>0</v>
          </cell>
          <cell r="N4">
            <v>13012830</v>
          </cell>
          <cell r="O4">
            <v>13053138</v>
          </cell>
          <cell r="P4">
            <v>40308</v>
          </cell>
          <cell r="Q4">
            <v>4190001</v>
          </cell>
          <cell r="R4">
            <v>4190001</v>
          </cell>
          <cell r="S4">
            <v>106315</v>
          </cell>
          <cell r="T4"/>
          <cell r="U4">
            <v>-2797</v>
          </cell>
          <cell r="V4">
            <v>109112</v>
          </cell>
          <cell r="W4"/>
          <cell r="X4"/>
        </row>
        <row r="5">
          <cell r="A5">
            <v>45993</v>
          </cell>
          <cell r="B5">
            <v>109112</v>
          </cell>
          <cell r="C5">
            <v>0</v>
          </cell>
          <cell r="D5">
            <v>0</v>
          </cell>
          <cell r="E5">
            <v>39563</v>
          </cell>
          <cell r="F5">
            <v>79871</v>
          </cell>
          <cell r="G5">
            <v>96460</v>
          </cell>
          <cell r="H5">
            <v>194433</v>
          </cell>
          <cell r="I5">
            <v>0.41014928467758655</v>
          </cell>
          <cell r="J5">
            <v>0.41078932074287799</v>
          </cell>
          <cell r="K5"/>
          <cell r="L5">
            <v>25000</v>
          </cell>
          <cell r="M5">
            <v>25000</v>
          </cell>
          <cell r="N5">
            <v>13053138</v>
          </cell>
          <cell r="O5">
            <v>13092701</v>
          </cell>
          <cell r="P5">
            <v>39563</v>
          </cell>
          <cell r="Q5">
            <v>4190001</v>
          </cell>
          <cell r="R5">
            <v>4215001</v>
          </cell>
          <cell r="S5">
            <v>123775</v>
          </cell>
          <cell r="T5"/>
          <cell r="U5">
            <v>100</v>
          </cell>
          <cell r="V5">
            <v>123675</v>
          </cell>
          <cell r="W5"/>
          <cell r="X5"/>
        </row>
        <row r="6">
          <cell r="A6">
            <v>45994</v>
          </cell>
          <cell r="B6">
            <v>123675</v>
          </cell>
          <cell r="C6">
            <v>32670</v>
          </cell>
          <cell r="D6">
            <v>32670</v>
          </cell>
          <cell r="E6">
            <v>41957</v>
          </cell>
          <cell r="F6">
            <v>121828</v>
          </cell>
          <cell r="G6">
            <v>102188</v>
          </cell>
          <cell r="H6">
            <v>296621</v>
          </cell>
          <cell r="I6">
            <v>0.41058637021959526</v>
          </cell>
          <cell r="J6">
            <v>0.41071940287437503</v>
          </cell>
          <cell r="K6"/>
          <cell r="L6">
            <v>30003</v>
          </cell>
          <cell r="M6">
            <v>55003</v>
          </cell>
          <cell r="N6">
            <v>13092701</v>
          </cell>
          <cell r="O6">
            <v>13134658</v>
          </cell>
          <cell r="P6">
            <v>41957</v>
          </cell>
          <cell r="Q6">
            <v>4215001</v>
          </cell>
          <cell r="R6">
            <v>4245004</v>
          </cell>
          <cell r="S6">
            <v>96613</v>
          </cell>
          <cell r="T6"/>
          <cell r="U6">
            <v>-6346</v>
          </cell>
          <cell r="V6">
            <v>102959</v>
          </cell>
          <cell r="W6"/>
          <cell r="X6"/>
        </row>
        <row r="7">
          <cell r="A7">
            <v>45995</v>
          </cell>
          <cell r="B7">
            <v>102959</v>
          </cell>
          <cell r="C7">
            <v>0</v>
          </cell>
          <cell r="D7">
            <v>32670</v>
          </cell>
          <cell r="E7">
            <v>43115</v>
          </cell>
          <cell r="F7">
            <v>164943</v>
          </cell>
          <cell r="G7">
            <v>104888</v>
          </cell>
          <cell r="H7">
            <v>401509</v>
          </cell>
          <cell r="I7">
            <v>0.41105750896194038</v>
          </cell>
          <cell r="J7">
            <v>0.41080772784669833</v>
          </cell>
          <cell r="K7"/>
          <cell r="L7">
            <v>29996</v>
          </cell>
          <cell r="M7">
            <v>84999</v>
          </cell>
          <cell r="N7">
            <v>13134658</v>
          </cell>
          <cell r="O7">
            <v>13177773</v>
          </cell>
          <cell r="P7">
            <v>43115</v>
          </cell>
          <cell r="Q7">
            <v>4245004</v>
          </cell>
          <cell r="R7">
            <v>4275000</v>
          </cell>
          <cell r="S7">
            <v>107609</v>
          </cell>
          <cell r="T7"/>
          <cell r="U7">
            <v>-8469</v>
          </cell>
          <cell r="V7">
            <v>116078</v>
          </cell>
          <cell r="W7"/>
          <cell r="X7"/>
        </row>
        <row r="8">
          <cell r="A8">
            <v>45996</v>
          </cell>
          <cell r="B8">
            <v>116078</v>
          </cell>
          <cell r="C8">
            <v>0</v>
          </cell>
          <cell r="D8">
            <v>32670</v>
          </cell>
          <cell r="E8">
            <v>41106</v>
          </cell>
          <cell r="F8">
            <v>206049</v>
          </cell>
          <cell r="G8">
            <v>100107</v>
          </cell>
          <cell r="H8">
            <v>501616</v>
          </cell>
          <cell r="I8">
            <v>0.41062063591956605</v>
          </cell>
          <cell r="J8">
            <v>0.41077039009919941</v>
          </cell>
          <cell r="K8"/>
          <cell r="L8">
            <v>46000</v>
          </cell>
          <cell r="M8">
            <v>130999</v>
          </cell>
          <cell r="N8">
            <v>13177773</v>
          </cell>
          <cell r="O8">
            <v>13218879</v>
          </cell>
          <cell r="P8">
            <v>41106</v>
          </cell>
          <cell r="Q8">
            <v>4275000</v>
          </cell>
          <cell r="R8">
            <v>4321000</v>
          </cell>
          <cell r="S8">
            <v>104512</v>
          </cell>
          <cell r="T8"/>
          <cell r="U8">
            <v>-6672</v>
          </cell>
          <cell r="V8">
            <v>111184</v>
          </cell>
          <cell r="W8"/>
          <cell r="X8"/>
        </row>
        <row r="9">
          <cell r="A9">
            <v>45997</v>
          </cell>
          <cell r="B9">
            <v>111184</v>
          </cell>
          <cell r="C9">
            <v>0</v>
          </cell>
          <cell r="D9">
            <v>32670</v>
          </cell>
          <cell r="E9">
            <v>39421</v>
          </cell>
          <cell r="F9">
            <v>245470</v>
          </cell>
          <cell r="G9">
            <v>99132</v>
          </cell>
          <cell r="H9">
            <v>600748</v>
          </cell>
          <cell r="I9">
            <v>0.39766170358713632</v>
          </cell>
          <cell r="J9">
            <v>0.40860726960389382</v>
          </cell>
          <cell r="K9"/>
          <cell r="L9">
            <v>0</v>
          </cell>
          <cell r="M9">
            <v>130999</v>
          </cell>
          <cell r="N9">
            <v>13218879</v>
          </cell>
          <cell r="O9">
            <v>13258300</v>
          </cell>
          <cell r="P9">
            <v>39421</v>
          </cell>
          <cell r="Q9">
            <v>4321000</v>
          </cell>
          <cell r="R9">
            <v>4321000</v>
          </cell>
          <cell r="S9">
            <v>142724</v>
          </cell>
          <cell r="T9"/>
          <cell r="U9">
            <v>-7881</v>
          </cell>
          <cell r="V9">
            <v>150605</v>
          </cell>
          <cell r="W9"/>
          <cell r="X9"/>
        </row>
        <row r="10">
          <cell r="A10">
            <v>45998</v>
          </cell>
          <cell r="B10">
            <v>150605</v>
          </cell>
          <cell r="C10">
            <v>0</v>
          </cell>
          <cell r="D10">
            <v>32670</v>
          </cell>
          <cell r="E10">
            <v>43062</v>
          </cell>
          <cell r="F10">
            <v>288532</v>
          </cell>
          <cell r="G10">
            <v>102846</v>
          </cell>
          <cell r="H10">
            <v>703594</v>
          </cell>
          <cell r="I10">
            <v>0.41870369290006415</v>
          </cell>
          <cell r="J10">
            <v>0.41008308768977564</v>
          </cell>
          <cell r="K10"/>
          <cell r="L10">
            <v>0</v>
          </cell>
          <cell r="M10">
            <v>130999</v>
          </cell>
          <cell r="N10">
            <v>13258300</v>
          </cell>
          <cell r="O10">
            <v>13301362</v>
          </cell>
          <cell r="P10">
            <v>43062</v>
          </cell>
          <cell r="Q10">
            <v>4321000</v>
          </cell>
          <cell r="R10">
            <v>4321000</v>
          </cell>
          <cell r="S10">
            <v>186771</v>
          </cell>
          <cell r="T10"/>
          <cell r="U10">
            <v>-6896</v>
          </cell>
          <cell r="V10">
            <v>193667</v>
          </cell>
          <cell r="W10"/>
          <cell r="X10"/>
        </row>
        <row r="11">
          <cell r="A11">
            <v>45999</v>
          </cell>
          <cell r="B11">
            <v>193667</v>
          </cell>
          <cell r="C11">
            <v>0</v>
          </cell>
          <cell r="D11">
            <v>32670</v>
          </cell>
          <cell r="E11">
            <v>41012</v>
          </cell>
          <cell r="F11">
            <v>329544</v>
          </cell>
          <cell r="G11">
            <v>99420</v>
          </cell>
          <cell r="H11">
            <v>803014</v>
          </cell>
          <cell r="I11">
            <v>0.41251257292295312</v>
          </cell>
          <cell r="J11">
            <v>0.41038387873685889</v>
          </cell>
          <cell r="K11"/>
          <cell r="L11">
            <v>0</v>
          </cell>
          <cell r="M11">
            <v>130999</v>
          </cell>
          <cell r="N11">
            <v>13301362</v>
          </cell>
          <cell r="O11">
            <v>13342374</v>
          </cell>
          <cell r="P11">
            <v>41012</v>
          </cell>
          <cell r="Q11">
            <v>4321000</v>
          </cell>
          <cell r="R11">
            <v>4321000</v>
          </cell>
          <cell r="S11">
            <v>228873</v>
          </cell>
          <cell r="T11"/>
          <cell r="U11">
            <v>-5806</v>
          </cell>
          <cell r="V11">
            <v>234679</v>
          </cell>
          <cell r="W11"/>
          <cell r="X11"/>
        </row>
        <row r="12">
          <cell r="A12">
            <v>46000</v>
          </cell>
          <cell r="B12">
            <v>234679</v>
          </cell>
          <cell r="C12">
            <v>33670</v>
          </cell>
          <cell r="D12">
            <v>66340</v>
          </cell>
          <cell r="E12">
            <v>30167</v>
          </cell>
          <cell r="F12">
            <v>359711</v>
          </cell>
          <cell r="G12">
            <v>73307</v>
          </cell>
          <cell r="H12">
            <v>876321</v>
          </cell>
          <cell r="I12">
            <v>0.41151595345601377</v>
          </cell>
          <cell r="J12">
            <v>0.41047858033757034</v>
          </cell>
          <cell r="K12"/>
          <cell r="L12">
            <v>20003</v>
          </cell>
          <cell r="M12">
            <v>151002</v>
          </cell>
          <cell r="N12">
            <v>13342374</v>
          </cell>
          <cell r="O12">
            <v>13372541</v>
          </cell>
          <cell r="P12">
            <v>30167</v>
          </cell>
          <cell r="Q12">
            <v>4321000</v>
          </cell>
          <cell r="R12">
            <v>4341003</v>
          </cell>
          <cell r="S12">
            <v>203611</v>
          </cell>
          <cell r="T12"/>
          <cell r="U12">
            <v>-7562</v>
          </cell>
          <cell r="V12">
            <v>211173</v>
          </cell>
          <cell r="W12"/>
          <cell r="X12"/>
        </row>
        <row r="13">
          <cell r="A13">
            <v>46001</v>
          </cell>
          <cell r="B13">
            <v>211173</v>
          </cell>
          <cell r="C13">
            <v>0</v>
          </cell>
          <cell r="D13">
            <v>66340</v>
          </cell>
          <cell r="E13">
            <v>27710</v>
          </cell>
          <cell r="F13">
            <v>387421</v>
          </cell>
          <cell r="G13">
            <v>66722</v>
          </cell>
          <cell r="H13">
            <v>943043</v>
          </cell>
          <cell r="I13">
            <v>0.41530529660381882</v>
          </cell>
          <cell r="J13">
            <v>0.41082007925407432</v>
          </cell>
          <cell r="K13"/>
          <cell r="L13">
            <v>28997</v>
          </cell>
          <cell r="M13">
            <v>179999</v>
          </cell>
          <cell r="N13">
            <v>13372541</v>
          </cell>
          <cell r="O13">
            <v>13400251</v>
          </cell>
          <cell r="P13">
            <v>27710</v>
          </cell>
          <cell r="Q13">
            <v>4341003</v>
          </cell>
          <cell r="R13">
            <v>4370000</v>
          </cell>
          <cell r="S13">
            <v>204907</v>
          </cell>
          <cell r="T13"/>
          <cell r="U13">
            <v>-4979</v>
          </cell>
          <cell r="V13">
            <v>209886</v>
          </cell>
          <cell r="W13"/>
          <cell r="X13"/>
        </row>
        <row r="14">
          <cell r="A14">
            <v>46002</v>
          </cell>
          <cell r="B14">
            <v>209886</v>
          </cell>
          <cell r="C14">
            <v>0</v>
          </cell>
          <cell r="D14">
            <v>66340</v>
          </cell>
          <cell r="E14">
            <v>27730</v>
          </cell>
          <cell r="F14">
            <v>415151</v>
          </cell>
          <cell r="G14">
            <v>67362</v>
          </cell>
          <cell r="H14">
            <v>1010405</v>
          </cell>
          <cell r="I14">
            <v>0.41165642350286513</v>
          </cell>
          <cell r="J14">
            <v>0.41087583691687984</v>
          </cell>
          <cell r="K14"/>
          <cell r="L14">
            <v>30000</v>
          </cell>
          <cell r="M14">
            <v>209999</v>
          </cell>
          <cell r="N14">
            <v>13400251</v>
          </cell>
          <cell r="O14">
            <v>13427981</v>
          </cell>
          <cell r="P14">
            <v>27730</v>
          </cell>
          <cell r="Q14">
            <v>4370000</v>
          </cell>
          <cell r="R14">
            <v>4400000</v>
          </cell>
          <cell r="S14">
            <v>199605</v>
          </cell>
          <cell r="T14"/>
          <cell r="U14">
            <v>-8011</v>
          </cell>
          <cell r="V14">
            <v>207616</v>
          </cell>
          <cell r="W14"/>
          <cell r="X14"/>
        </row>
        <row r="15">
          <cell r="A15">
            <v>46003</v>
          </cell>
          <cell r="B15">
            <v>207616</v>
          </cell>
          <cell r="C15"/>
          <cell r="D15">
            <v>66340</v>
          </cell>
          <cell r="E15">
            <v>-13427981</v>
          </cell>
          <cell r="F15">
            <v>-13012830</v>
          </cell>
          <cell r="G15"/>
          <cell r="H15">
            <v>1010405</v>
          </cell>
          <cell r="I15" t="e">
            <v>#DIV/0!</v>
          </cell>
          <cell r="J15">
            <v>-12.878825817370263</v>
          </cell>
          <cell r="K15"/>
          <cell r="L15">
            <v>-4400000</v>
          </cell>
          <cell r="M15">
            <v>-4190001</v>
          </cell>
          <cell r="N15">
            <v>13427981</v>
          </cell>
          <cell r="O15"/>
          <cell r="P15">
            <v>-13427981</v>
          </cell>
          <cell r="Q15">
            <v>4400000</v>
          </cell>
          <cell r="R15"/>
          <cell r="S15" t="e">
            <v>#VALUE!</v>
          </cell>
          <cell r="T15"/>
          <cell r="U15" t="e">
            <v>#VALUE!</v>
          </cell>
          <cell r="V15">
            <v>-8820365</v>
          </cell>
          <cell r="W15"/>
          <cell r="X15"/>
        </row>
        <row r="16">
          <cell r="A16">
            <v>46004</v>
          </cell>
          <cell r="B16">
            <v>-8820365</v>
          </cell>
          <cell r="C16"/>
          <cell r="D16">
            <v>66340</v>
          </cell>
          <cell r="E16">
            <v>0</v>
          </cell>
          <cell r="F16">
            <v>-13012830</v>
          </cell>
          <cell r="G16"/>
          <cell r="H16">
            <v>1010405</v>
          </cell>
          <cell r="I16" t="e">
            <v>#DIV/0!</v>
          </cell>
          <cell r="J16">
            <v>-12.878825817370263</v>
          </cell>
          <cell r="K16"/>
          <cell r="L16">
            <v>0</v>
          </cell>
          <cell r="M16">
            <v>-4190001</v>
          </cell>
          <cell r="N16">
            <v>0</v>
          </cell>
          <cell r="O16"/>
          <cell r="P16">
            <v>0</v>
          </cell>
          <cell r="Q16">
            <v>0</v>
          </cell>
          <cell r="R16"/>
          <cell r="S16" t="e">
            <v>#VALUE!</v>
          </cell>
          <cell r="T16"/>
          <cell r="U16" t="e">
            <v>#VALUE!</v>
          </cell>
          <cell r="V16">
            <v>-8820365</v>
          </cell>
          <cell r="W16"/>
          <cell r="X16"/>
        </row>
        <row r="17">
          <cell r="A17">
            <v>46005</v>
          </cell>
          <cell r="B17">
            <v>-8820365</v>
          </cell>
          <cell r="C17"/>
          <cell r="D17">
            <v>66340</v>
          </cell>
          <cell r="E17">
            <v>0</v>
          </cell>
          <cell r="F17">
            <v>-13012830</v>
          </cell>
          <cell r="G17"/>
          <cell r="H17">
            <v>1010405</v>
          </cell>
          <cell r="I17" t="e">
            <v>#DIV/0!</v>
          </cell>
          <cell r="J17">
            <v>-12.878825817370263</v>
          </cell>
          <cell r="K17"/>
          <cell r="L17">
            <v>0</v>
          </cell>
          <cell r="M17">
            <v>-4190001</v>
          </cell>
          <cell r="N17">
            <v>0</v>
          </cell>
          <cell r="O17"/>
          <cell r="P17">
            <v>0</v>
          </cell>
          <cell r="Q17">
            <v>0</v>
          </cell>
          <cell r="R17"/>
          <cell r="S17" t="e">
            <v>#VALUE!</v>
          </cell>
          <cell r="T17"/>
          <cell r="U17" t="e">
            <v>#VALUE!</v>
          </cell>
          <cell r="V17">
            <v>-8820365</v>
          </cell>
          <cell r="W17"/>
          <cell r="X17"/>
        </row>
        <row r="18">
          <cell r="A18">
            <v>46006</v>
          </cell>
          <cell r="B18">
            <v>-8820365</v>
          </cell>
          <cell r="C18"/>
          <cell r="D18">
            <v>66340</v>
          </cell>
          <cell r="E18">
            <v>0</v>
          </cell>
          <cell r="F18">
            <v>-13012830</v>
          </cell>
          <cell r="G18"/>
          <cell r="H18">
            <v>1010405</v>
          </cell>
          <cell r="I18" t="e">
            <v>#DIV/0!</v>
          </cell>
          <cell r="J18">
            <v>-12.878825817370263</v>
          </cell>
          <cell r="K18"/>
          <cell r="L18">
            <v>0</v>
          </cell>
          <cell r="M18">
            <v>-4190001</v>
          </cell>
          <cell r="N18">
            <v>0</v>
          </cell>
          <cell r="O18"/>
          <cell r="P18">
            <v>0</v>
          </cell>
          <cell r="Q18">
            <v>0</v>
          </cell>
          <cell r="R18"/>
          <cell r="S18" t="e">
            <v>#VALUE!</v>
          </cell>
          <cell r="T18"/>
          <cell r="U18" t="e">
            <v>#VALUE!</v>
          </cell>
          <cell r="V18">
            <v>-8820365</v>
          </cell>
          <cell r="W18"/>
          <cell r="X18"/>
        </row>
        <row r="19">
          <cell r="A19">
            <v>46007</v>
          </cell>
          <cell r="B19">
            <v>-8820365</v>
          </cell>
          <cell r="C19"/>
          <cell r="D19">
            <v>66340</v>
          </cell>
          <cell r="E19">
            <v>0</v>
          </cell>
          <cell r="F19">
            <v>-13012830</v>
          </cell>
          <cell r="G19"/>
          <cell r="H19">
            <v>1010405</v>
          </cell>
          <cell r="I19" t="e">
            <v>#DIV/0!</v>
          </cell>
          <cell r="J19">
            <v>-12.878825817370263</v>
          </cell>
          <cell r="K19"/>
          <cell r="L19">
            <v>0</v>
          </cell>
          <cell r="M19">
            <v>-4190001</v>
          </cell>
          <cell r="N19">
            <v>0</v>
          </cell>
          <cell r="O19"/>
          <cell r="P19">
            <v>0</v>
          </cell>
          <cell r="Q19">
            <v>0</v>
          </cell>
          <cell r="R19"/>
          <cell r="S19" t="e">
            <v>#VALUE!</v>
          </cell>
          <cell r="T19"/>
          <cell r="U19" t="e">
            <v>#VALUE!</v>
          </cell>
          <cell r="V19">
            <v>-8820365</v>
          </cell>
          <cell r="W19"/>
          <cell r="X19"/>
        </row>
        <row r="20">
          <cell r="A20">
            <v>46008</v>
          </cell>
          <cell r="B20">
            <v>-8820365</v>
          </cell>
          <cell r="C20"/>
          <cell r="D20">
            <v>66340</v>
          </cell>
          <cell r="E20">
            <v>0</v>
          </cell>
          <cell r="F20">
            <v>-13012830</v>
          </cell>
          <cell r="G20"/>
          <cell r="H20">
            <v>1010405</v>
          </cell>
          <cell r="I20" t="e">
            <v>#DIV/0!</v>
          </cell>
          <cell r="J20">
            <v>-12.878825817370263</v>
          </cell>
          <cell r="K20"/>
          <cell r="L20">
            <v>0</v>
          </cell>
          <cell r="M20">
            <v>-4190001</v>
          </cell>
          <cell r="N20">
            <v>0</v>
          </cell>
          <cell r="O20"/>
          <cell r="P20">
            <v>0</v>
          </cell>
          <cell r="Q20">
            <v>0</v>
          </cell>
          <cell r="R20"/>
          <cell r="S20" t="e">
            <v>#VALUE!</v>
          </cell>
          <cell r="T20"/>
          <cell r="U20" t="e">
            <v>#VALUE!</v>
          </cell>
          <cell r="V20">
            <v>-8820365</v>
          </cell>
          <cell r="W20"/>
          <cell r="X20"/>
        </row>
        <row r="21">
          <cell r="A21">
            <v>46009</v>
          </cell>
          <cell r="B21">
            <v>-8820365</v>
          </cell>
          <cell r="C21"/>
          <cell r="D21">
            <v>66340</v>
          </cell>
          <cell r="E21">
            <v>0</v>
          </cell>
          <cell r="F21">
            <v>-13012830</v>
          </cell>
          <cell r="G21"/>
          <cell r="H21">
            <v>1010405</v>
          </cell>
          <cell r="I21" t="e">
            <v>#DIV/0!</v>
          </cell>
          <cell r="J21">
            <v>-12.878825817370263</v>
          </cell>
          <cell r="K21"/>
          <cell r="L21">
            <v>0</v>
          </cell>
          <cell r="M21">
            <v>-4190001</v>
          </cell>
          <cell r="N21">
            <v>0</v>
          </cell>
          <cell r="O21"/>
          <cell r="P21">
            <v>0</v>
          </cell>
          <cell r="Q21">
            <v>0</v>
          </cell>
          <cell r="R21"/>
          <cell r="S21" t="e">
            <v>#VALUE!</v>
          </cell>
          <cell r="T21"/>
          <cell r="U21" t="e">
            <v>#VALUE!</v>
          </cell>
          <cell r="V21">
            <v>-8820365</v>
          </cell>
          <cell r="W21"/>
          <cell r="X21"/>
        </row>
        <row r="22">
          <cell r="A22">
            <v>46010</v>
          </cell>
          <cell r="B22">
            <v>-8820365</v>
          </cell>
          <cell r="C22"/>
          <cell r="D22">
            <v>66340</v>
          </cell>
          <cell r="E22">
            <v>0</v>
          </cell>
          <cell r="F22">
            <v>-13012830</v>
          </cell>
          <cell r="G22"/>
          <cell r="H22">
            <v>1010405</v>
          </cell>
          <cell r="I22" t="e">
            <v>#DIV/0!</v>
          </cell>
          <cell r="J22">
            <v>-12.878825817370263</v>
          </cell>
          <cell r="K22"/>
          <cell r="L22">
            <v>0</v>
          </cell>
          <cell r="M22">
            <v>-4190001</v>
          </cell>
          <cell r="N22">
            <v>0</v>
          </cell>
          <cell r="O22"/>
          <cell r="P22">
            <v>0</v>
          </cell>
          <cell r="Q22">
            <v>0</v>
          </cell>
          <cell r="R22"/>
          <cell r="S22" t="e">
            <v>#VALUE!</v>
          </cell>
          <cell r="T22"/>
          <cell r="U22" t="e">
            <v>#VALUE!</v>
          </cell>
          <cell r="V22">
            <v>-8820365</v>
          </cell>
          <cell r="W22"/>
          <cell r="X22"/>
        </row>
        <row r="23">
          <cell r="A23">
            <v>46011</v>
          </cell>
          <cell r="B23">
            <v>-8820365</v>
          </cell>
          <cell r="C23"/>
          <cell r="D23">
            <v>66340</v>
          </cell>
          <cell r="E23">
            <v>0</v>
          </cell>
          <cell r="F23">
            <v>-13012830</v>
          </cell>
          <cell r="G23"/>
          <cell r="H23">
            <v>1010405</v>
          </cell>
          <cell r="I23" t="e">
            <v>#DIV/0!</v>
          </cell>
          <cell r="J23">
            <v>-12.878825817370263</v>
          </cell>
          <cell r="K23"/>
          <cell r="L23">
            <v>0</v>
          </cell>
          <cell r="M23">
            <v>-4190001</v>
          </cell>
          <cell r="N23">
            <v>0</v>
          </cell>
          <cell r="O23"/>
          <cell r="P23">
            <v>0</v>
          </cell>
          <cell r="Q23">
            <v>0</v>
          </cell>
          <cell r="R23"/>
          <cell r="S23" t="e">
            <v>#VALUE!</v>
          </cell>
          <cell r="T23"/>
          <cell r="U23" t="e">
            <v>#VALUE!</v>
          </cell>
          <cell r="V23">
            <v>-8820365</v>
          </cell>
          <cell r="W23"/>
          <cell r="X23"/>
        </row>
        <row r="24">
          <cell r="A24">
            <v>46012</v>
          </cell>
          <cell r="B24">
            <v>-8820365</v>
          </cell>
          <cell r="C24"/>
          <cell r="D24">
            <v>66340</v>
          </cell>
          <cell r="E24">
            <v>0</v>
          </cell>
          <cell r="F24">
            <v>-13012830</v>
          </cell>
          <cell r="G24"/>
          <cell r="H24">
            <v>1010405</v>
          </cell>
          <cell r="I24" t="e">
            <v>#DIV/0!</v>
          </cell>
          <cell r="J24">
            <v>-12.878825817370263</v>
          </cell>
          <cell r="K24"/>
          <cell r="L24">
            <v>0</v>
          </cell>
          <cell r="M24">
            <v>-4190001</v>
          </cell>
          <cell r="N24">
            <v>0</v>
          </cell>
          <cell r="O24"/>
          <cell r="P24">
            <v>0</v>
          </cell>
          <cell r="Q24">
            <v>0</v>
          </cell>
          <cell r="R24"/>
          <cell r="S24" t="e">
            <v>#VALUE!</v>
          </cell>
          <cell r="T24"/>
          <cell r="U24" t="e">
            <v>#VALUE!</v>
          </cell>
          <cell r="V24">
            <v>-8820365</v>
          </cell>
          <cell r="W24"/>
          <cell r="X24"/>
        </row>
        <row r="25">
          <cell r="A25">
            <v>46013</v>
          </cell>
          <cell r="B25">
            <v>-8820365</v>
          </cell>
          <cell r="C25"/>
          <cell r="D25">
            <v>66340</v>
          </cell>
          <cell r="E25">
            <v>0</v>
          </cell>
          <cell r="F25">
            <v>-13012830</v>
          </cell>
          <cell r="G25"/>
          <cell r="H25">
            <v>1010405</v>
          </cell>
          <cell r="I25" t="e">
            <v>#DIV/0!</v>
          </cell>
          <cell r="J25">
            <v>-12.878825817370263</v>
          </cell>
          <cell r="K25"/>
          <cell r="L25">
            <v>0</v>
          </cell>
          <cell r="M25">
            <v>-4190001</v>
          </cell>
          <cell r="N25">
            <v>0</v>
          </cell>
          <cell r="O25"/>
          <cell r="P25">
            <v>0</v>
          </cell>
          <cell r="Q25">
            <v>0</v>
          </cell>
          <cell r="R25"/>
          <cell r="S25" t="e">
            <v>#VALUE!</v>
          </cell>
          <cell r="T25"/>
          <cell r="U25" t="e">
            <v>#VALUE!</v>
          </cell>
          <cell r="V25">
            <v>-8820365</v>
          </cell>
          <cell r="W25"/>
          <cell r="X25"/>
        </row>
        <row r="26">
          <cell r="A26">
            <v>46014</v>
          </cell>
          <cell r="B26">
            <v>-8820365</v>
          </cell>
          <cell r="C26"/>
          <cell r="D26">
            <v>66340</v>
          </cell>
          <cell r="E26">
            <v>0</v>
          </cell>
          <cell r="F26">
            <v>-13012830</v>
          </cell>
          <cell r="G26"/>
          <cell r="H26">
            <v>1010405</v>
          </cell>
          <cell r="I26" t="e">
            <v>#DIV/0!</v>
          </cell>
          <cell r="J26">
            <v>-12.878825817370263</v>
          </cell>
          <cell r="K26"/>
          <cell r="L26">
            <v>0</v>
          </cell>
          <cell r="M26">
            <v>-4190001</v>
          </cell>
          <cell r="N26">
            <v>0</v>
          </cell>
          <cell r="O26"/>
          <cell r="P26">
            <v>0</v>
          </cell>
          <cell r="Q26">
            <v>0</v>
          </cell>
          <cell r="R26"/>
          <cell r="S26" t="e">
            <v>#VALUE!</v>
          </cell>
          <cell r="T26"/>
          <cell r="U26" t="e">
            <v>#VALUE!</v>
          </cell>
          <cell r="V26">
            <v>-8820365</v>
          </cell>
          <cell r="W26"/>
          <cell r="X26"/>
        </row>
        <row r="27">
          <cell r="A27">
            <v>46015</v>
          </cell>
          <cell r="B27">
            <v>-8820365</v>
          </cell>
          <cell r="C27"/>
          <cell r="D27">
            <v>66340</v>
          </cell>
          <cell r="E27">
            <v>0</v>
          </cell>
          <cell r="F27">
            <v>-13012830</v>
          </cell>
          <cell r="G27"/>
          <cell r="H27">
            <v>1010405</v>
          </cell>
          <cell r="I27" t="e">
            <v>#DIV/0!</v>
          </cell>
          <cell r="J27">
            <v>-12.878825817370263</v>
          </cell>
          <cell r="K27"/>
          <cell r="L27">
            <v>0</v>
          </cell>
          <cell r="M27">
            <v>-4190001</v>
          </cell>
          <cell r="N27">
            <v>0</v>
          </cell>
          <cell r="O27"/>
          <cell r="P27">
            <v>0</v>
          </cell>
          <cell r="Q27">
            <v>0</v>
          </cell>
          <cell r="R27"/>
          <cell r="S27" t="e">
            <v>#VALUE!</v>
          </cell>
          <cell r="T27"/>
          <cell r="U27" t="e">
            <v>#VALUE!</v>
          </cell>
          <cell r="V27">
            <v>-8820365</v>
          </cell>
          <cell r="W27"/>
          <cell r="X27"/>
        </row>
        <row r="28">
          <cell r="A28">
            <v>46016</v>
          </cell>
          <cell r="B28">
            <v>-8820365</v>
          </cell>
          <cell r="C28"/>
          <cell r="D28">
            <v>66340</v>
          </cell>
          <cell r="E28">
            <v>0</v>
          </cell>
          <cell r="F28">
            <v>-13012830</v>
          </cell>
          <cell r="G28"/>
          <cell r="H28">
            <v>1010405</v>
          </cell>
          <cell r="I28" t="e">
            <v>#DIV/0!</v>
          </cell>
          <cell r="J28">
            <v>-12.878825817370263</v>
          </cell>
          <cell r="K28"/>
          <cell r="L28">
            <v>0</v>
          </cell>
          <cell r="M28">
            <v>-4190001</v>
          </cell>
          <cell r="N28">
            <v>0</v>
          </cell>
          <cell r="O28"/>
          <cell r="P28">
            <v>0</v>
          </cell>
          <cell r="Q28">
            <v>0</v>
          </cell>
          <cell r="R28"/>
          <cell r="S28" t="e">
            <v>#VALUE!</v>
          </cell>
          <cell r="T28"/>
          <cell r="U28" t="e">
            <v>#VALUE!</v>
          </cell>
          <cell r="V28">
            <v>-8820365</v>
          </cell>
          <cell r="W28"/>
          <cell r="X28"/>
        </row>
        <row r="29">
          <cell r="A29">
            <v>46017</v>
          </cell>
          <cell r="B29">
            <v>-8820365</v>
          </cell>
          <cell r="C29"/>
          <cell r="D29">
            <v>66340</v>
          </cell>
          <cell r="E29">
            <v>0</v>
          </cell>
          <cell r="F29">
            <v>-13012830</v>
          </cell>
          <cell r="G29"/>
          <cell r="H29">
            <v>1010405</v>
          </cell>
          <cell r="I29" t="e">
            <v>#DIV/0!</v>
          </cell>
          <cell r="J29">
            <v>-12.878825817370263</v>
          </cell>
          <cell r="K29"/>
          <cell r="L29">
            <v>0</v>
          </cell>
          <cell r="M29">
            <v>-4190001</v>
          </cell>
          <cell r="N29">
            <v>0</v>
          </cell>
          <cell r="O29"/>
          <cell r="P29">
            <v>0</v>
          </cell>
          <cell r="Q29">
            <v>0</v>
          </cell>
          <cell r="R29"/>
          <cell r="S29" t="e">
            <v>#VALUE!</v>
          </cell>
          <cell r="T29"/>
          <cell r="U29" t="e">
            <v>#VALUE!</v>
          </cell>
          <cell r="V29">
            <v>-8820365</v>
          </cell>
          <cell r="W29"/>
          <cell r="X29"/>
        </row>
        <row r="30">
          <cell r="A30">
            <v>46018</v>
          </cell>
          <cell r="B30">
            <v>-8820365</v>
          </cell>
          <cell r="C30"/>
          <cell r="D30">
            <v>66340</v>
          </cell>
          <cell r="E30">
            <v>0</v>
          </cell>
          <cell r="F30">
            <v>-13012830</v>
          </cell>
          <cell r="G30"/>
          <cell r="H30">
            <v>1010405</v>
          </cell>
          <cell r="I30" t="e">
            <v>#DIV/0!</v>
          </cell>
          <cell r="J30">
            <v>-12.878825817370263</v>
          </cell>
          <cell r="K30"/>
          <cell r="L30">
            <v>0</v>
          </cell>
          <cell r="M30">
            <v>-4190001</v>
          </cell>
          <cell r="N30">
            <v>0</v>
          </cell>
          <cell r="O30"/>
          <cell r="P30">
            <v>0</v>
          </cell>
          <cell r="Q30">
            <v>0</v>
          </cell>
          <cell r="R30"/>
          <cell r="S30" t="e">
            <v>#VALUE!</v>
          </cell>
          <cell r="T30"/>
          <cell r="U30" t="e">
            <v>#VALUE!</v>
          </cell>
          <cell r="V30">
            <v>-8820365</v>
          </cell>
          <cell r="W30"/>
          <cell r="X30"/>
        </row>
        <row r="31">
          <cell r="A31">
            <v>46019</v>
          </cell>
          <cell r="B31">
            <v>-8820365</v>
          </cell>
          <cell r="C31"/>
          <cell r="D31">
            <v>66340</v>
          </cell>
          <cell r="E31">
            <v>0</v>
          </cell>
          <cell r="F31">
            <v>-13012830</v>
          </cell>
          <cell r="G31"/>
          <cell r="H31">
            <v>1010405</v>
          </cell>
          <cell r="I31" t="e">
            <v>#DIV/0!</v>
          </cell>
          <cell r="J31">
            <v>-12.878825817370263</v>
          </cell>
          <cell r="K31"/>
          <cell r="L31">
            <v>0</v>
          </cell>
          <cell r="M31">
            <v>-4190001</v>
          </cell>
          <cell r="N31">
            <v>0</v>
          </cell>
          <cell r="O31"/>
          <cell r="P31">
            <v>0</v>
          </cell>
          <cell r="Q31">
            <v>0</v>
          </cell>
          <cell r="R31"/>
          <cell r="S31" t="e">
            <v>#VALUE!</v>
          </cell>
          <cell r="T31"/>
          <cell r="U31" t="e">
            <v>#VALUE!</v>
          </cell>
          <cell r="V31">
            <v>-8820365</v>
          </cell>
          <cell r="W31"/>
          <cell r="X31"/>
        </row>
        <row r="32">
          <cell r="A32">
            <v>46020</v>
          </cell>
          <cell r="B32">
            <v>-8820365</v>
          </cell>
          <cell r="C32"/>
          <cell r="D32">
            <v>66340</v>
          </cell>
          <cell r="E32">
            <v>0</v>
          </cell>
          <cell r="F32">
            <v>-13012830</v>
          </cell>
          <cell r="G32"/>
          <cell r="H32">
            <v>1010405</v>
          </cell>
          <cell r="I32" t="e">
            <v>#DIV/0!</v>
          </cell>
          <cell r="J32">
            <v>-12.878825817370263</v>
          </cell>
          <cell r="K32"/>
          <cell r="L32">
            <v>0</v>
          </cell>
          <cell r="M32">
            <v>-4190001</v>
          </cell>
          <cell r="N32">
            <v>0</v>
          </cell>
          <cell r="O32"/>
          <cell r="P32">
            <v>0</v>
          </cell>
          <cell r="Q32">
            <v>0</v>
          </cell>
          <cell r="R32"/>
          <cell r="S32" t="e">
            <v>#VALUE!</v>
          </cell>
          <cell r="T32"/>
          <cell r="U32" t="e">
            <v>#VALUE!</v>
          </cell>
          <cell r="V32">
            <v>-8820365</v>
          </cell>
          <cell r="W32"/>
          <cell r="X32"/>
        </row>
        <row r="33">
          <cell r="A33">
            <v>46021</v>
          </cell>
          <cell r="B33">
            <v>-8820365</v>
          </cell>
          <cell r="C33"/>
          <cell r="D33">
            <v>66340</v>
          </cell>
          <cell r="E33">
            <v>0</v>
          </cell>
          <cell r="F33">
            <v>-13012830</v>
          </cell>
          <cell r="G33"/>
          <cell r="H33">
            <v>1010405</v>
          </cell>
          <cell r="I33" t="e">
            <v>#DIV/0!</v>
          </cell>
          <cell r="J33">
            <v>-12.878825817370263</v>
          </cell>
          <cell r="K33"/>
          <cell r="L33">
            <v>0</v>
          </cell>
          <cell r="M33">
            <v>-4190001</v>
          </cell>
          <cell r="N33">
            <v>0</v>
          </cell>
          <cell r="O33"/>
          <cell r="P33">
            <v>0</v>
          </cell>
          <cell r="Q33">
            <v>0</v>
          </cell>
          <cell r="R33"/>
          <cell r="S33" t="e">
            <v>#VALUE!</v>
          </cell>
          <cell r="T33"/>
          <cell r="U33" t="e">
            <v>#VALUE!</v>
          </cell>
          <cell r="V33">
            <v>-8820365</v>
          </cell>
          <cell r="W33"/>
          <cell r="X33"/>
        </row>
        <row r="34">
          <cell r="A34">
            <v>46022</v>
          </cell>
          <cell r="B34">
            <v>-8820365</v>
          </cell>
          <cell r="C34"/>
          <cell r="D34">
            <v>66340</v>
          </cell>
          <cell r="E34">
            <v>0</v>
          </cell>
          <cell r="F34">
            <v>-13012830</v>
          </cell>
          <cell r="G34"/>
          <cell r="H34">
            <v>1010405</v>
          </cell>
          <cell r="I34" t="e">
            <v>#DIV/0!</v>
          </cell>
          <cell r="J34">
            <v>-12.878825817370263</v>
          </cell>
          <cell r="K34"/>
          <cell r="L34">
            <v>0</v>
          </cell>
          <cell r="M34">
            <v>-4190001</v>
          </cell>
          <cell r="N34">
            <v>0</v>
          </cell>
          <cell r="O34"/>
          <cell r="P34">
            <v>0</v>
          </cell>
          <cell r="Q34">
            <v>0</v>
          </cell>
          <cell r="R34"/>
          <cell r="S34" t="e">
            <v>#VALUE!</v>
          </cell>
          <cell r="T34"/>
          <cell r="U34" t="e">
            <v>#VALUE!</v>
          </cell>
          <cell r="V34">
            <v>-8820365</v>
          </cell>
          <cell r="W34"/>
          <cell r="X34"/>
        </row>
      </sheetData>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do"/>
      <sheetName val="Proyección Diaria"/>
      <sheetName val="Entrega y recibo"/>
    </sheetNames>
    <sheetDataSet>
      <sheetData sheetId="0"/>
      <sheetData sheetId="1">
        <row r="7">
          <cell r="C7">
            <v>45992</v>
          </cell>
          <cell r="D7">
            <v>45993</v>
          </cell>
          <cell r="E7">
            <v>45994</v>
          </cell>
          <cell r="F7">
            <v>45995</v>
          </cell>
          <cell r="G7">
            <v>45996</v>
          </cell>
          <cell r="H7">
            <v>45997</v>
          </cell>
          <cell r="I7">
            <v>45998</v>
          </cell>
          <cell r="J7">
            <v>45999</v>
          </cell>
          <cell r="K7">
            <v>46000</v>
          </cell>
          <cell r="L7">
            <v>46001</v>
          </cell>
          <cell r="M7">
            <v>46002</v>
          </cell>
          <cell r="N7">
            <v>46003</v>
          </cell>
          <cell r="O7">
            <v>46004</v>
          </cell>
          <cell r="P7">
            <v>46005</v>
          </cell>
          <cell r="Q7">
            <v>46006</v>
          </cell>
          <cell r="R7">
            <v>46007</v>
          </cell>
          <cell r="S7">
            <v>46008</v>
          </cell>
          <cell r="T7">
            <v>46009</v>
          </cell>
          <cell r="U7">
            <v>46010</v>
          </cell>
          <cell r="V7">
            <v>46011</v>
          </cell>
          <cell r="W7">
            <v>46012</v>
          </cell>
          <cell r="X7">
            <v>46013</v>
          </cell>
          <cell r="Y7">
            <v>46014</v>
          </cell>
          <cell r="Z7">
            <v>46015</v>
          </cell>
          <cell r="AA7">
            <v>46016</v>
          </cell>
          <cell r="AB7">
            <v>46017</v>
          </cell>
          <cell r="AC7">
            <v>46018</v>
          </cell>
          <cell r="AD7">
            <v>46019</v>
          </cell>
          <cell r="AE7">
            <v>46020</v>
          </cell>
          <cell r="AF7">
            <v>46021</v>
          </cell>
          <cell r="AG7">
            <v>46022</v>
          </cell>
          <cell r="AH7" t="str">
            <v>TOTAL</v>
          </cell>
        </row>
        <row r="8">
          <cell r="C8"/>
          <cell r="D8"/>
          <cell r="E8"/>
          <cell r="F8"/>
          <cell r="G8"/>
          <cell r="H8"/>
          <cell r="I8"/>
          <cell r="J8" t="str">
            <v>Manten/to</v>
          </cell>
          <cell r="K8"/>
          <cell r="L8"/>
          <cell r="M8"/>
          <cell r="N8"/>
          <cell r="O8"/>
          <cell r="P8"/>
          <cell r="Q8"/>
          <cell r="R8"/>
          <cell r="S8"/>
          <cell r="T8"/>
          <cell r="U8"/>
          <cell r="V8"/>
          <cell r="W8"/>
          <cell r="X8" t="str">
            <v>Manten/to</v>
          </cell>
          <cell r="Y8"/>
          <cell r="Z8"/>
          <cell r="AA8"/>
          <cell r="AB8"/>
          <cell r="AC8"/>
          <cell r="AD8"/>
          <cell r="AE8"/>
          <cell r="AF8"/>
          <cell r="AG8"/>
          <cell r="AH8"/>
        </row>
        <row r="9">
          <cell r="C9"/>
          <cell r="D9"/>
          <cell r="E9"/>
          <cell r="F9"/>
          <cell r="G9"/>
          <cell r="H9"/>
          <cell r="I9"/>
          <cell r="J9"/>
          <cell r="K9"/>
          <cell r="L9"/>
          <cell r="M9"/>
          <cell r="N9"/>
          <cell r="O9"/>
          <cell r="P9"/>
          <cell r="Q9"/>
          <cell r="R9"/>
          <cell r="S9"/>
          <cell r="T9"/>
          <cell r="U9"/>
          <cell r="V9"/>
          <cell r="W9"/>
          <cell r="X9"/>
          <cell r="Y9"/>
          <cell r="Z9"/>
          <cell r="AA9"/>
          <cell r="AB9"/>
          <cell r="AC9"/>
          <cell r="AD9"/>
          <cell r="AE9"/>
          <cell r="AF9"/>
          <cell r="AG9"/>
          <cell r="AH9"/>
        </row>
        <row r="10">
          <cell r="C10">
            <v>600000</v>
          </cell>
          <cell r="D10">
            <v>600000</v>
          </cell>
          <cell r="E10">
            <v>650000</v>
          </cell>
          <cell r="F10">
            <v>700000</v>
          </cell>
          <cell r="G10">
            <v>700000</v>
          </cell>
          <cell r="H10">
            <v>800000</v>
          </cell>
          <cell r="I10">
            <v>300000</v>
          </cell>
          <cell r="J10">
            <v>0</v>
          </cell>
          <cell r="K10">
            <v>400000</v>
          </cell>
          <cell r="L10">
            <v>750000</v>
          </cell>
          <cell r="M10">
            <v>750000</v>
          </cell>
          <cell r="N10">
            <v>750000</v>
          </cell>
          <cell r="O10">
            <v>750000</v>
          </cell>
          <cell r="P10">
            <v>400000</v>
          </cell>
          <cell r="Q10">
            <v>400000</v>
          </cell>
          <cell r="R10">
            <v>750000</v>
          </cell>
          <cell r="S10">
            <v>750000</v>
          </cell>
          <cell r="T10">
            <v>750000</v>
          </cell>
          <cell r="U10">
            <v>750000</v>
          </cell>
          <cell r="V10">
            <v>750000</v>
          </cell>
          <cell r="W10">
            <v>400000</v>
          </cell>
          <cell r="X10">
            <v>400000</v>
          </cell>
          <cell r="Y10">
            <v>750000</v>
          </cell>
          <cell r="Z10">
            <v>400000</v>
          </cell>
          <cell r="AA10">
            <v>0</v>
          </cell>
          <cell r="AB10">
            <v>750000</v>
          </cell>
          <cell r="AC10">
            <v>750000</v>
          </cell>
          <cell r="AD10">
            <v>400000</v>
          </cell>
          <cell r="AE10">
            <v>750000</v>
          </cell>
          <cell r="AF10">
            <v>750000</v>
          </cell>
          <cell r="AG10">
            <v>600000</v>
          </cell>
          <cell r="AH10">
            <v>18250000</v>
          </cell>
        </row>
        <row r="11">
          <cell r="C11">
            <v>0.216</v>
          </cell>
          <cell r="D11">
            <v>0.216</v>
          </cell>
          <cell r="E11">
            <v>0.216</v>
          </cell>
          <cell r="F11">
            <v>0.216</v>
          </cell>
          <cell r="G11">
            <v>0.216</v>
          </cell>
          <cell r="H11">
            <v>0.216</v>
          </cell>
          <cell r="I11">
            <v>0.216</v>
          </cell>
          <cell r="J11">
            <v>0.216</v>
          </cell>
          <cell r="K11">
            <v>0.216</v>
          </cell>
          <cell r="L11">
            <v>0.216</v>
          </cell>
          <cell r="M11">
            <v>0.216</v>
          </cell>
          <cell r="N11">
            <v>0.216</v>
          </cell>
          <cell r="O11">
            <v>0.216</v>
          </cell>
          <cell r="P11">
            <v>0.216</v>
          </cell>
          <cell r="Q11">
            <v>0.216</v>
          </cell>
          <cell r="R11">
            <v>0.216</v>
          </cell>
          <cell r="S11">
            <v>0.216</v>
          </cell>
          <cell r="T11">
            <v>0.216</v>
          </cell>
          <cell r="U11">
            <v>0.216</v>
          </cell>
          <cell r="V11">
            <v>0.216</v>
          </cell>
          <cell r="W11">
            <v>0.216</v>
          </cell>
          <cell r="X11">
            <v>0.216</v>
          </cell>
          <cell r="Y11">
            <v>0.216</v>
          </cell>
          <cell r="Z11">
            <v>0.216</v>
          </cell>
          <cell r="AA11">
            <v>0.216</v>
          </cell>
          <cell r="AB11">
            <v>0.216</v>
          </cell>
          <cell r="AC11">
            <v>0.216</v>
          </cell>
          <cell r="AD11">
            <v>0.216</v>
          </cell>
          <cell r="AE11">
            <v>0.216</v>
          </cell>
          <cell r="AF11">
            <v>0.216</v>
          </cell>
          <cell r="AG11">
            <v>0.216</v>
          </cell>
          <cell r="AH11">
            <v>0.216</v>
          </cell>
        </row>
        <row r="12">
          <cell r="C12">
            <v>129600</v>
          </cell>
          <cell r="D12">
            <v>129600</v>
          </cell>
          <cell r="E12">
            <v>140400</v>
          </cell>
          <cell r="F12">
            <v>151200</v>
          </cell>
          <cell r="G12">
            <v>151200</v>
          </cell>
          <cell r="H12">
            <v>172800</v>
          </cell>
          <cell r="I12">
            <v>64800</v>
          </cell>
          <cell r="J12">
            <v>0</v>
          </cell>
          <cell r="K12">
            <v>86400</v>
          </cell>
          <cell r="L12">
            <v>162000</v>
          </cell>
          <cell r="M12">
            <v>162000</v>
          </cell>
          <cell r="N12">
            <v>162000</v>
          </cell>
          <cell r="O12">
            <v>162000</v>
          </cell>
          <cell r="P12">
            <v>86400</v>
          </cell>
          <cell r="Q12">
            <v>86400</v>
          </cell>
          <cell r="R12">
            <v>162000</v>
          </cell>
          <cell r="S12">
            <v>162000</v>
          </cell>
          <cell r="T12">
            <v>162000</v>
          </cell>
          <cell r="U12">
            <v>162000</v>
          </cell>
          <cell r="V12">
            <v>162000</v>
          </cell>
          <cell r="W12">
            <v>86400</v>
          </cell>
          <cell r="X12">
            <v>86400</v>
          </cell>
          <cell r="Y12">
            <v>162000</v>
          </cell>
          <cell r="Z12">
            <v>86400</v>
          </cell>
          <cell r="AA12">
            <v>0</v>
          </cell>
          <cell r="AB12">
            <v>162000</v>
          </cell>
          <cell r="AC12">
            <v>162000</v>
          </cell>
          <cell r="AD12">
            <v>86400</v>
          </cell>
          <cell r="AE12">
            <v>162000</v>
          </cell>
          <cell r="AF12">
            <v>162000</v>
          </cell>
          <cell r="AG12">
            <v>129600</v>
          </cell>
          <cell r="AH12">
            <v>3942000</v>
          </cell>
        </row>
        <row r="13">
          <cell r="C13"/>
          <cell r="D13"/>
          <cell r="E13"/>
          <cell r="F13"/>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row>
        <row r="14">
          <cell r="C14"/>
          <cell r="D14" t="str">
            <v/>
          </cell>
          <cell r="E14" t="str">
            <v/>
          </cell>
          <cell r="F14" t="str">
            <v/>
          </cell>
          <cell r="G14" t="str">
            <v/>
          </cell>
          <cell r="H14" t="str">
            <v/>
          </cell>
          <cell r="I14" t="str">
            <v/>
          </cell>
          <cell r="J14" t="str">
            <v/>
          </cell>
          <cell r="K14" t="str">
            <v/>
          </cell>
          <cell r="L14" t="str">
            <v/>
          </cell>
          <cell r="M14" t="str">
            <v/>
          </cell>
          <cell r="N14" t="str">
            <v/>
          </cell>
          <cell r="O14" t="str">
            <v/>
          </cell>
          <cell r="P14" t="str">
            <v/>
          </cell>
          <cell r="Q14" t="str">
            <v/>
          </cell>
          <cell r="R14" t="str">
            <v/>
          </cell>
          <cell r="S14" t="str">
            <v/>
          </cell>
          <cell r="T14" t="str">
            <v/>
          </cell>
          <cell r="U14" t="str">
            <v/>
          </cell>
          <cell r="V14" t="str">
            <v/>
          </cell>
          <cell r="W14" t="str">
            <v/>
          </cell>
          <cell r="X14" t="str">
            <v/>
          </cell>
          <cell r="Y14" t="str">
            <v/>
          </cell>
          <cell r="Z14" t="str">
            <v/>
          </cell>
          <cell r="AA14" t="str">
            <v/>
          </cell>
          <cell r="AB14" t="str">
            <v/>
          </cell>
          <cell r="AC14" t="str">
            <v/>
          </cell>
          <cell r="AD14" t="str">
            <v/>
          </cell>
          <cell r="AE14" t="str">
            <v/>
          </cell>
          <cell r="AF14" t="str">
            <v/>
          </cell>
          <cell r="AG14" t="str">
            <v/>
          </cell>
          <cell r="AH14"/>
        </row>
        <row r="15">
          <cell r="C15">
            <v>935663</v>
          </cell>
          <cell r="D15">
            <v>1108163.8958566629</v>
          </cell>
          <cell r="E15">
            <v>1209079.6853303472</v>
          </cell>
          <cell r="F15">
            <v>1217295.4748040314</v>
          </cell>
          <cell r="G15">
            <v>1236311.2642777157</v>
          </cell>
          <cell r="H15">
            <v>1220827.0537514</v>
          </cell>
          <cell r="I15">
            <v>1261442.8432250842</v>
          </cell>
          <cell r="J15">
            <v>1273006.0011198211</v>
          </cell>
          <cell r="K15">
            <v>1103587.7480403138</v>
          </cell>
          <cell r="L15">
            <v>1007346.0907054874</v>
          </cell>
          <cell r="M15">
            <v>795661.88017917168</v>
          </cell>
          <cell r="N15">
            <v>721977.66965285596</v>
          </cell>
          <cell r="O15">
            <v>786293.45912654023</v>
          </cell>
          <cell r="P15">
            <v>850609.2486002245</v>
          </cell>
          <cell r="Q15">
            <v>849272.40649496135</v>
          </cell>
          <cell r="R15">
            <v>768988.19596864562</v>
          </cell>
          <cell r="S15">
            <v>833303.9854423299</v>
          </cell>
          <cell r="T15">
            <v>897619.77491601417</v>
          </cell>
          <cell r="U15">
            <v>892935.56438969844</v>
          </cell>
          <cell r="V15">
            <v>922751.35386338271</v>
          </cell>
          <cell r="W15">
            <v>976428.84546472644</v>
          </cell>
          <cell r="X15">
            <v>1012177.109742442</v>
          </cell>
          <cell r="Y15">
            <v>899978.00559910503</v>
          </cell>
          <cell r="Z15">
            <v>828878.90145576792</v>
          </cell>
          <cell r="AA15">
            <v>785679.7973124308</v>
          </cell>
          <cell r="AB15">
            <v>587080.69316909369</v>
          </cell>
          <cell r="AC15">
            <v>550481.58902575658</v>
          </cell>
          <cell r="AD15">
            <v>375882.48488241952</v>
          </cell>
          <cell r="AE15">
            <v>377130.74916013505</v>
          </cell>
          <cell r="AF15">
            <v>340531.64501679799</v>
          </cell>
          <cell r="AG15">
            <v>372932.540873461</v>
          </cell>
          <cell r="AH15"/>
        </row>
        <row r="16">
          <cell r="C16">
            <v>405599.10414333706</v>
          </cell>
          <cell r="D16">
            <v>373684.21052631579</v>
          </cell>
          <cell r="E16">
            <v>373684.21052631579</v>
          </cell>
          <cell r="F16">
            <v>373684.21052631579</v>
          </cell>
          <cell r="G16">
            <v>373684.21052631579</v>
          </cell>
          <cell r="H16">
            <v>373684.21052631579</v>
          </cell>
          <cell r="I16">
            <v>294736.84210526315</v>
          </cell>
          <cell r="J16">
            <v>410918.25307950727</v>
          </cell>
          <cell r="K16">
            <v>389641.65733482642</v>
          </cell>
          <cell r="L16">
            <v>373684.21052631579</v>
          </cell>
          <cell r="M16">
            <v>373684.21052631579</v>
          </cell>
          <cell r="N16">
            <v>373684.21052631579</v>
          </cell>
          <cell r="O16">
            <v>373684.21052631579</v>
          </cell>
          <cell r="P16">
            <v>294736.84210526315</v>
          </cell>
          <cell r="Q16">
            <v>373684.21052631579</v>
          </cell>
          <cell r="R16">
            <v>373684.21052631579</v>
          </cell>
          <cell r="S16">
            <v>373684.21052631579</v>
          </cell>
          <cell r="T16">
            <v>373684.21052631579</v>
          </cell>
          <cell r="U16">
            <v>373684.21052631579</v>
          </cell>
          <cell r="V16">
            <v>384322.50839865621</v>
          </cell>
          <cell r="W16">
            <v>326651.73572228441</v>
          </cell>
          <cell r="X16">
            <v>405599.10414333706</v>
          </cell>
          <cell r="Y16">
            <v>405599.10414333706</v>
          </cell>
          <cell r="Z16">
            <v>405599.10414333706</v>
          </cell>
          <cell r="AA16">
            <v>405599.10414333706</v>
          </cell>
          <cell r="AB16">
            <v>405599.10414333706</v>
          </cell>
          <cell r="AC16">
            <v>405599.10414333706</v>
          </cell>
          <cell r="AD16">
            <v>326651.73572228441</v>
          </cell>
          <cell r="AE16">
            <v>405599.10414333706</v>
          </cell>
          <cell r="AF16">
            <v>405599.10414333706</v>
          </cell>
          <cell r="AG16">
            <v>115901.45576707726</v>
          </cell>
          <cell r="AH16">
            <v>11425531.91489361</v>
          </cell>
        </row>
        <row r="17">
          <cell r="C17">
            <v>373684.21052631579</v>
          </cell>
          <cell r="D17">
            <v>373684.21052631579</v>
          </cell>
          <cell r="E17">
            <v>373684.21052631579</v>
          </cell>
          <cell r="F17">
            <v>373684.21052631579</v>
          </cell>
          <cell r="G17">
            <v>373684.21052631579</v>
          </cell>
          <cell r="H17">
            <v>373684.21052631579</v>
          </cell>
          <cell r="I17">
            <v>294736.84210526315</v>
          </cell>
          <cell r="J17">
            <v>373684.21052631579</v>
          </cell>
          <cell r="K17">
            <v>373684.21052631579</v>
          </cell>
          <cell r="L17">
            <v>373684.21052631579</v>
          </cell>
          <cell r="M17">
            <v>373684.21052631579</v>
          </cell>
          <cell r="N17">
            <v>373684.21052631579</v>
          </cell>
          <cell r="O17">
            <v>373684.21052631579</v>
          </cell>
          <cell r="P17">
            <v>294736.84210526315</v>
          </cell>
          <cell r="Q17">
            <v>373684.21052631579</v>
          </cell>
          <cell r="R17">
            <v>373684.21052631579</v>
          </cell>
          <cell r="S17">
            <v>373684.21052631579</v>
          </cell>
          <cell r="T17">
            <v>373684.21052631579</v>
          </cell>
          <cell r="U17">
            <v>373684.21052631579</v>
          </cell>
          <cell r="V17">
            <v>373684.21052631579</v>
          </cell>
          <cell r="W17">
            <v>294736.84210526315</v>
          </cell>
          <cell r="X17">
            <v>373684.21052631579</v>
          </cell>
          <cell r="Y17">
            <v>373684.21052631579</v>
          </cell>
          <cell r="Z17">
            <v>373684.21052631579</v>
          </cell>
          <cell r="AA17">
            <v>373684.21052631579</v>
          </cell>
          <cell r="AB17">
            <v>373684.21052631579</v>
          </cell>
          <cell r="AC17">
            <v>373684.21052631579</v>
          </cell>
          <cell r="AD17">
            <v>294736.84210526315</v>
          </cell>
          <cell r="AE17">
            <v>373684.21052631579</v>
          </cell>
          <cell r="AF17">
            <v>373684.21052631579</v>
          </cell>
          <cell r="AG17">
            <v>105263.15789473684</v>
          </cell>
          <cell r="AH17">
            <v>10999999.999999996</v>
          </cell>
        </row>
        <row r="18">
          <cell r="C18">
            <v>31914.89361702128</v>
          </cell>
          <cell r="D18">
            <v>0</v>
          </cell>
          <cell r="E18">
            <v>0</v>
          </cell>
          <cell r="F18">
            <v>0</v>
          </cell>
          <cell r="G18">
            <v>0</v>
          </cell>
          <cell r="H18">
            <v>0</v>
          </cell>
          <cell r="I18">
            <v>0</v>
          </cell>
          <cell r="J18">
            <v>37234.042553191488</v>
          </cell>
          <cell r="K18">
            <v>15957.44680851064</v>
          </cell>
          <cell r="L18">
            <v>0</v>
          </cell>
          <cell r="M18">
            <v>0</v>
          </cell>
          <cell r="N18">
            <v>0</v>
          </cell>
          <cell r="O18">
            <v>0</v>
          </cell>
          <cell r="P18">
            <v>0</v>
          </cell>
          <cell r="Q18">
            <v>0</v>
          </cell>
          <cell r="R18">
            <v>0</v>
          </cell>
          <cell r="S18">
            <v>0</v>
          </cell>
          <cell r="T18">
            <v>0</v>
          </cell>
          <cell r="U18">
            <v>0</v>
          </cell>
          <cell r="V18">
            <v>10638.297872340427</v>
          </cell>
          <cell r="W18">
            <v>31914.89361702128</v>
          </cell>
          <cell r="X18">
            <v>31914.89361702128</v>
          </cell>
          <cell r="Y18">
            <v>31914.89361702128</v>
          </cell>
          <cell r="Z18">
            <v>31914.89361702128</v>
          </cell>
          <cell r="AA18">
            <v>31914.89361702128</v>
          </cell>
          <cell r="AB18">
            <v>31914.89361702128</v>
          </cell>
          <cell r="AC18">
            <v>31914.89361702128</v>
          </cell>
          <cell r="AD18">
            <v>31914.89361702128</v>
          </cell>
          <cell r="AE18">
            <v>31914.89361702128</v>
          </cell>
          <cell r="AF18">
            <v>31914.89361702128</v>
          </cell>
          <cell r="AG18">
            <v>10638.297872340427</v>
          </cell>
          <cell r="AH18">
            <v>425531.91489361698</v>
          </cell>
        </row>
        <row r="19">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row>
        <row r="22">
          <cell r="C22">
            <v>448500</v>
          </cell>
          <cell r="D22">
            <v>345000</v>
          </cell>
          <cell r="E22">
            <v>241500</v>
          </cell>
          <cell r="F22">
            <v>241500</v>
          </cell>
          <cell r="G22">
            <v>207000</v>
          </cell>
          <cell r="H22">
            <v>241500</v>
          </cell>
          <cell r="I22">
            <v>241500</v>
          </cell>
          <cell r="J22">
            <v>241500</v>
          </cell>
          <cell r="K22">
            <v>207000</v>
          </cell>
          <cell r="L22">
            <v>0</v>
          </cell>
          <cell r="M22">
            <v>138000</v>
          </cell>
          <cell r="N22">
            <v>276000</v>
          </cell>
          <cell r="O22">
            <v>276000</v>
          </cell>
          <cell r="P22">
            <v>207000</v>
          </cell>
          <cell r="Q22">
            <v>207000</v>
          </cell>
          <cell r="R22">
            <v>276000</v>
          </cell>
          <cell r="S22">
            <v>276000</v>
          </cell>
          <cell r="T22">
            <v>207000</v>
          </cell>
          <cell r="U22">
            <v>241500</v>
          </cell>
          <cell r="V22">
            <v>276000</v>
          </cell>
          <cell r="W22">
            <v>276000</v>
          </cell>
          <cell r="X22">
            <v>207000</v>
          </cell>
          <cell r="Y22">
            <v>172500</v>
          </cell>
          <cell r="Z22">
            <v>276000</v>
          </cell>
          <cell r="AA22">
            <v>207000</v>
          </cell>
          <cell r="AB22">
            <v>207000</v>
          </cell>
          <cell r="AC22">
            <v>69000</v>
          </cell>
          <cell r="AD22">
            <v>241500</v>
          </cell>
          <cell r="AE22">
            <v>207000</v>
          </cell>
          <cell r="AF22">
            <v>276000</v>
          </cell>
          <cell r="AG22">
            <v>172500</v>
          </cell>
          <cell r="AH22">
            <v>7107000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row>
        <row r="25">
          <cell r="C25">
            <v>69000</v>
          </cell>
          <cell r="D25">
            <v>241500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310500</v>
          </cell>
        </row>
        <row r="26">
          <cell r="C26">
            <v>0</v>
          </cell>
          <cell r="D26">
            <v>69000</v>
          </cell>
          <cell r="E26">
            <v>69000</v>
          </cell>
          <cell r="F26">
            <v>69000</v>
          </cell>
          <cell r="G26">
            <v>34500</v>
          </cell>
          <cell r="H26">
            <v>34500</v>
          </cell>
          <cell r="I26">
            <v>34500</v>
          </cell>
          <cell r="J26">
            <v>34500</v>
          </cell>
          <cell r="K26">
            <v>0</v>
          </cell>
          <cell r="L26">
            <v>0</v>
          </cell>
          <cell r="M26">
            <v>34500</v>
          </cell>
          <cell r="N26">
            <v>69000</v>
          </cell>
          <cell r="O26">
            <v>69000</v>
          </cell>
          <cell r="P26">
            <v>34500</v>
          </cell>
          <cell r="Q26">
            <v>0</v>
          </cell>
          <cell r="R26">
            <v>69000</v>
          </cell>
          <cell r="S26">
            <v>69000</v>
          </cell>
          <cell r="T26">
            <v>34500</v>
          </cell>
          <cell r="U26">
            <v>34500</v>
          </cell>
          <cell r="V26">
            <v>69000</v>
          </cell>
          <cell r="W26">
            <v>69000</v>
          </cell>
          <cell r="X26">
            <v>0</v>
          </cell>
          <cell r="Y26">
            <v>34500</v>
          </cell>
          <cell r="Z26">
            <v>69000</v>
          </cell>
          <cell r="AA26">
            <v>69000</v>
          </cell>
          <cell r="AB26">
            <v>0</v>
          </cell>
          <cell r="AC26">
            <v>69000</v>
          </cell>
          <cell r="AD26">
            <v>69000</v>
          </cell>
          <cell r="AE26">
            <v>0</v>
          </cell>
          <cell r="AF26">
            <v>69000</v>
          </cell>
          <cell r="AG26">
            <v>34500</v>
          </cell>
          <cell r="AH26">
            <v>1311000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row>
        <row r="28">
          <cell r="C28">
            <v>379500</v>
          </cell>
          <cell r="D28">
            <v>34500</v>
          </cell>
          <cell r="E28">
            <v>172500</v>
          </cell>
          <cell r="F28">
            <v>172500</v>
          </cell>
          <cell r="G28">
            <v>172500</v>
          </cell>
          <cell r="H28">
            <v>207000</v>
          </cell>
          <cell r="I28">
            <v>207000</v>
          </cell>
          <cell r="J28">
            <v>207000</v>
          </cell>
          <cell r="K28">
            <v>207000</v>
          </cell>
          <cell r="L28">
            <v>0</v>
          </cell>
          <cell r="M28">
            <v>103500</v>
          </cell>
          <cell r="N28">
            <v>207000</v>
          </cell>
          <cell r="O28">
            <v>207000</v>
          </cell>
          <cell r="P28">
            <v>172500</v>
          </cell>
          <cell r="Q28">
            <v>207000</v>
          </cell>
          <cell r="R28">
            <v>207000</v>
          </cell>
          <cell r="S28">
            <v>207000</v>
          </cell>
          <cell r="T28">
            <v>172500</v>
          </cell>
          <cell r="U28">
            <v>207000</v>
          </cell>
          <cell r="V28">
            <v>207000</v>
          </cell>
          <cell r="W28">
            <v>207000</v>
          </cell>
          <cell r="X28">
            <v>207000</v>
          </cell>
          <cell r="Y28">
            <v>138000</v>
          </cell>
          <cell r="Z28">
            <v>207000</v>
          </cell>
          <cell r="AA28">
            <v>138000</v>
          </cell>
          <cell r="AB28">
            <v>207000</v>
          </cell>
          <cell r="AC28">
            <v>0</v>
          </cell>
          <cell r="AD28">
            <v>172500</v>
          </cell>
          <cell r="AE28">
            <v>207000</v>
          </cell>
          <cell r="AF28">
            <v>207000</v>
          </cell>
          <cell r="AG28">
            <v>138000</v>
          </cell>
          <cell r="AH28">
            <v>5485500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row>
        <row r="33">
          <cell r="C33"/>
          <cell r="D33"/>
          <cell r="E33"/>
          <cell r="F33"/>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row>
        <row r="34">
          <cell r="C34" t="str">
            <v/>
          </cell>
          <cell r="D34" t="str">
            <v/>
          </cell>
          <cell r="E34" t="str">
            <v/>
          </cell>
          <cell r="F34" t="str">
            <v/>
          </cell>
          <cell r="G34" t="str">
            <v/>
          </cell>
          <cell r="H34" t="str">
            <v/>
          </cell>
          <cell r="I34" t="str">
            <v/>
          </cell>
          <cell r="J34" t="str">
            <v/>
          </cell>
          <cell r="K34" t="str">
            <v/>
          </cell>
          <cell r="L34" t="str">
            <v/>
          </cell>
          <cell r="M34" t="str">
            <v/>
          </cell>
          <cell r="N34" t="str">
            <v/>
          </cell>
          <cell r="O34" t="str">
            <v/>
          </cell>
          <cell r="P34" t="str">
            <v/>
          </cell>
          <cell r="Q34" t="str">
            <v/>
          </cell>
          <cell r="R34" t="str">
            <v/>
          </cell>
          <cell r="S34" t="str">
            <v/>
          </cell>
          <cell r="T34" t="str">
            <v/>
          </cell>
          <cell r="U34" t="str">
            <v/>
          </cell>
          <cell r="V34" t="str">
            <v/>
          </cell>
          <cell r="W34" t="str">
            <v/>
          </cell>
          <cell r="X34" t="str">
            <v/>
          </cell>
          <cell r="Y34" t="str">
            <v/>
          </cell>
          <cell r="Z34" t="str">
            <v/>
          </cell>
          <cell r="AA34" t="str">
            <v/>
          </cell>
          <cell r="AB34" t="str">
            <v/>
          </cell>
          <cell r="AC34" t="str">
            <v/>
          </cell>
          <cell r="AD34" t="str">
            <v/>
          </cell>
          <cell r="AE34" t="str">
            <v/>
          </cell>
          <cell r="AF34" t="str">
            <v/>
          </cell>
          <cell r="AG34" t="str">
            <v/>
          </cell>
          <cell r="AH34"/>
        </row>
        <row r="35">
          <cell r="C35">
            <v>1108163.8958566629</v>
          </cell>
          <cell r="D35">
            <v>1209079.6853303472</v>
          </cell>
          <cell r="E35">
            <v>1217295.4748040314</v>
          </cell>
          <cell r="F35">
            <v>1236311.2642777157</v>
          </cell>
          <cell r="G35">
            <v>1220827.0537514</v>
          </cell>
          <cell r="H35">
            <v>1261442.8432250842</v>
          </cell>
          <cell r="I35">
            <v>1273006.0011198211</v>
          </cell>
          <cell r="J35">
            <v>1103587.7480403138</v>
          </cell>
          <cell r="K35">
            <v>1007346.0907054874</v>
          </cell>
          <cell r="L35">
            <v>795661.88017917168</v>
          </cell>
          <cell r="M35">
            <v>721977.66965285596</v>
          </cell>
          <cell r="N35">
            <v>786293.45912654023</v>
          </cell>
          <cell r="O35">
            <v>850609.2486002245</v>
          </cell>
          <cell r="P35">
            <v>849272.40649496135</v>
          </cell>
          <cell r="Q35">
            <v>768988.19596864562</v>
          </cell>
          <cell r="R35">
            <v>833303.9854423299</v>
          </cell>
          <cell r="S35">
            <v>897619.77491601417</v>
          </cell>
          <cell r="T35">
            <v>892935.56438969844</v>
          </cell>
          <cell r="U35">
            <v>922751.35386338271</v>
          </cell>
          <cell r="V35">
            <v>976428.84546472644</v>
          </cell>
          <cell r="W35">
            <v>1012177.109742442</v>
          </cell>
          <cell r="X35">
            <v>899978.00559910503</v>
          </cell>
          <cell r="Y35">
            <v>828878.90145576792</v>
          </cell>
          <cell r="Z35">
            <v>785679.7973124308</v>
          </cell>
          <cell r="AA35">
            <v>587080.69316909369</v>
          </cell>
          <cell r="AB35">
            <v>550481.58902575658</v>
          </cell>
          <cell r="AC35">
            <v>375882.48488241952</v>
          </cell>
          <cell r="AD35">
            <v>377130.74916013505</v>
          </cell>
          <cell r="AE35">
            <v>340531.64501679799</v>
          </cell>
          <cell r="AF35">
            <v>372932.540873461</v>
          </cell>
          <cell r="AG35">
            <v>559131.08510638366</v>
          </cell>
          <cell r="AH35"/>
        </row>
        <row r="36">
          <cell r="C36"/>
          <cell r="D36"/>
          <cell r="E36"/>
          <cell r="F36"/>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row>
        <row r="37">
          <cell r="C37">
            <v>1008163.8958566629</v>
          </cell>
          <cell r="D37">
            <v>1109079.6853303472</v>
          </cell>
          <cell r="E37">
            <v>1117295.4748040314</v>
          </cell>
          <cell r="F37">
            <v>1136311.2642777157</v>
          </cell>
          <cell r="G37">
            <v>1120827.0537514</v>
          </cell>
          <cell r="H37">
            <v>1161442.8432250842</v>
          </cell>
          <cell r="I37">
            <v>1173006.0011198211</v>
          </cell>
          <cell r="J37">
            <v>1003587.7480403138</v>
          </cell>
          <cell r="K37">
            <v>907346.09070548741</v>
          </cell>
          <cell r="L37">
            <v>695661.88017917168</v>
          </cell>
          <cell r="M37">
            <v>621977.66965285596</v>
          </cell>
          <cell r="N37">
            <v>686293.45912654023</v>
          </cell>
          <cell r="O37">
            <v>750609.2486002245</v>
          </cell>
          <cell r="P37">
            <v>749272.40649496135</v>
          </cell>
          <cell r="Q37">
            <v>668988.19596864562</v>
          </cell>
          <cell r="R37">
            <v>733303.9854423299</v>
          </cell>
          <cell r="S37">
            <v>797619.77491601417</v>
          </cell>
          <cell r="T37">
            <v>792935.56438969844</v>
          </cell>
          <cell r="U37">
            <v>822751.35386338271</v>
          </cell>
          <cell r="V37">
            <v>876428.84546472644</v>
          </cell>
          <cell r="W37">
            <v>912177.10974244203</v>
          </cell>
          <cell r="X37">
            <v>799978.00559910503</v>
          </cell>
          <cell r="Y37">
            <v>728878.90145576792</v>
          </cell>
          <cell r="Z37">
            <v>685679.7973124308</v>
          </cell>
          <cell r="AA37">
            <v>487080.69316909369</v>
          </cell>
          <cell r="AB37">
            <v>450481.58902575658</v>
          </cell>
          <cell r="AC37">
            <v>275882.48488241952</v>
          </cell>
          <cell r="AD37">
            <v>277130.74916013505</v>
          </cell>
          <cell r="AE37">
            <v>240531.64501679799</v>
          </cell>
          <cell r="AF37">
            <v>272932.540873461</v>
          </cell>
          <cell r="AG37">
            <v>459131.08510638366</v>
          </cell>
          <cell r="AH37"/>
        </row>
        <row r="38">
          <cell r="C38">
            <v>2.5204097396416572</v>
          </cell>
          <cell r="D38">
            <v>2.7726992133258679</v>
          </cell>
          <cell r="E38">
            <v>2.7932386870100787</v>
          </cell>
          <cell r="F38">
            <v>2.8407781606942892</v>
          </cell>
          <cell r="G38">
            <v>2.8020676343785</v>
          </cell>
          <cell r="H38">
            <v>2.9036071080627108</v>
          </cell>
          <cell r="I38">
            <v>2.9325150027995526</v>
          </cell>
          <cell r="J38">
            <v>2.5089693701007847</v>
          </cell>
          <cell r="K38">
            <v>2.2683652267637187</v>
          </cell>
          <cell r="L38">
            <v>1.7391547004479293</v>
          </cell>
          <cell r="M38">
            <v>1.5549441741321399</v>
          </cell>
          <cell r="N38">
            <v>1.7157336478163505</v>
          </cell>
          <cell r="O38">
            <v>1.8765231215005613</v>
          </cell>
          <cell r="P38">
            <v>1.8731810162374034</v>
          </cell>
          <cell r="Q38">
            <v>1.6724704899216141</v>
          </cell>
          <cell r="R38">
            <v>1.8332599636058247</v>
          </cell>
          <cell r="S38">
            <v>1.9940494372900355</v>
          </cell>
          <cell r="T38">
            <v>1.9823389109742462</v>
          </cell>
          <cell r="U38">
            <v>2.0568783846584568</v>
          </cell>
          <cell r="V38">
            <v>2.1910721136618161</v>
          </cell>
          <cell r="W38">
            <v>2.2804427743561049</v>
          </cell>
          <cell r="X38">
            <v>1.9999450139977626</v>
          </cell>
          <cell r="Y38">
            <v>1.8221972536394198</v>
          </cell>
          <cell r="Z38">
            <v>1.7141994932810769</v>
          </cell>
          <cell r="AA38">
            <v>1.2177017329227342</v>
          </cell>
          <cell r="AB38">
            <v>1.1262039725643915</v>
          </cell>
          <cell r="AC38">
            <v>0.68970621220604877</v>
          </cell>
          <cell r="AD38">
            <v>0.69282687290033762</v>
          </cell>
          <cell r="AE38">
            <v>0.60132911254199495</v>
          </cell>
          <cell r="AF38">
            <v>0.68233135218365248</v>
          </cell>
          <cell r="AG38">
            <v>1.5304369503546122</v>
          </cell>
          <cell r="AH38"/>
        </row>
        <row r="39">
          <cell r="C39"/>
          <cell r="D39"/>
          <cell r="E39"/>
          <cell r="F39"/>
          <cell r="G39"/>
          <cell r="H39"/>
          <cell r="I39"/>
          <cell r="J39"/>
          <cell r="K39"/>
          <cell r="L39"/>
          <cell r="M39"/>
          <cell r="N39"/>
          <cell r="O39"/>
          <cell r="P39"/>
          <cell r="Q39"/>
          <cell r="R39"/>
          <cell r="S39"/>
          <cell r="T39"/>
          <cell r="U39"/>
          <cell r="V39"/>
          <cell r="W39"/>
          <cell r="X39"/>
          <cell r="Y39"/>
          <cell r="Z39"/>
          <cell r="AA39"/>
          <cell r="AB39"/>
          <cell r="AC39"/>
          <cell r="AD39"/>
          <cell r="AE39"/>
          <cell r="AF39"/>
          <cell r="AG39"/>
        </row>
        <row r="40">
          <cell r="C40"/>
          <cell r="D40"/>
          <cell r="E40"/>
          <cell r="F40"/>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row>
        <row r="41">
          <cell r="C41">
            <v>773701</v>
          </cell>
          <cell r="D41">
            <v>705309.32694318576</v>
          </cell>
          <cell r="E41">
            <v>672917.65388637141</v>
          </cell>
          <cell r="F41">
            <v>607525.98082955717</v>
          </cell>
          <cell r="G41">
            <v>626724.30777274293</v>
          </cell>
          <cell r="H41">
            <v>578922.6347159287</v>
          </cell>
          <cell r="I41">
            <v>565120.96165911446</v>
          </cell>
          <cell r="J41">
            <v>492729.28860230022</v>
          </cell>
          <cell r="K41">
            <v>450337.61554548598</v>
          </cell>
          <cell r="L41">
            <v>442535.94248867175</v>
          </cell>
          <cell r="M41">
            <v>418349.26943185751</v>
          </cell>
          <cell r="N41">
            <v>405547.59637504327</v>
          </cell>
          <cell r="O41">
            <v>391745.92331822903</v>
          </cell>
          <cell r="P41">
            <v>394354.2502614148</v>
          </cell>
          <cell r="Q41">
            <v>320962.57720460056</v>
          </cell>
          <cell r="R41">
            <v>323570.90414778632</v>
          </cell>
          <cell r="S41">
            <v>325179.23109097208</v>
          </cell>
          <cell r="T41">
            <v>327787.55803415785</v>
          </cell>
          <cell r="U41">
            <v>313985.88497734361</v>
          </cell>
          <cell r="V41">
            <v>334184.21192052937</v>
          </cell>
          <cell r="W41">
            <v>330382.53886371513</v>
          </cell>
          <cell r="X41">
            <v>339580.8658069009</v>
          </cell>
          <cell r="Y41">
            <v>355779.19275008666</v>
          </cell>
          <cell r="Z41">
            <v>372977.51969327242</v>
          </cell>
          <cell r="AA41">
            <v>389675.84663645818</v>
          </cell>
          <cell r="AB41">
            <v>473874.17357964395</v>
          </cell>
          <cell r="AC41">
            <v>457572.50052282971</v>
          </cell>
          <cell r="AD41">
            <v>474270.82746601547</v>
          </cell>
          <cell r="AE41">
            <v>415969.15440920123</v>
          </cell>
          <cell r="AF41">
            <v>432667.481352387</v>
          </cell>
          <cell r="AG41">
            <v>449365.80829557276</v>
          </cell>
          <cell r="AH41"/>
        </row>
        <row r="42">
          <cell r="C42">
            <v>355000</v>
          </cell>
          <cell r="D42">
            <v>355000</v>
          </cell>
          <cell r="E42">
            <v>355000</v>
          </cell>
          <cell r="F42">
            <v>355000</v>
          </cell>
          <cell r="G42">
            <v>355000</v>
          </cell>
          <cell r="H42">
            <v>355000</v>
          </cell>
          <cell r="I42">
            <v>280000</v>
          </cell>
          <cell r="J42">
            <v>355000</v>
          </cell>
          <cell r="K42">
            <v>355000</v>
          </cell>
          <cell r="L42">
            <v>355000</v>
          </cell>
          <cell r="M42">
            <v>355000</v>
          </cell>
          <cell r="N42">
            <v>355000</v>
          </cell>
          <cell r="O42">
            <v>355000</v>
          </cell>
          <cell r="P42">
            <v>280000</v>
          </cell>
          <cell r="Q42">
            <v>355000</v>
          </cell>
          <cell r="R42">
            <v>355000</v>
          </cell>
          <cell r="S42">
            <v>355000</v>
          </cell>
          <cell r="T42">
            <v>355000</v>
          </cell>
          <cell r="U42">
            <v>355000</v>
          </cell>
          <cell r="V42">
            <v>355000</v>
          </cell>
          <cell r="W42">
            <v>280000</v>
          </cell>
          <cell r="X42">
            <v>355000</v>
          </cell>
          <cell r="Y42">
            <v>355000</v>
          </cell>
          <cell r="Z42">
            <v>355000</v>
          </cell>
          <cell r="AA42">
            <v>355000</v>
          </cell>
          <cell r="AB42">
            <v>355000</v>
          </cell>
          <cell r="AC42">
            <v>355000</v>
          </cell>
          <cell r="AD42">
            <v>280000</v>
          </cell>
          <cell r="AE42">
            <v>355000</v>
          </cell>
          <cell r="AF42">
            <v>355000</v>
          </cell>
          <cell r="AG42">
            <v>100000</v>
          </cell>
          <cell r="AH42">
            <v>10450000</v>
          </cell>
        </row>
        <row r="43">
          <cell r="C43">
            <v>30000</v>
          </cell>
          <cell r="D43">
            <v>0</v>
          </cell>
          <cell r="E43">
            <v>0</v>
          </cell>
          <cell r="F43">
            <v>0</v>
          </cell>
          <cell r="G43">
            <v>0</v>
          </cell>
          <cell r="H43">
            <v>0</v>
          </cell>
          <cell r="I43">
            <v>0</v>
          </cell>
          <cell r="J43">
            <v>35000</v>
          </cell>
          <cell r="K43">
            <v>15000</v>
          </cell>
          <cell r="L43">
            <v>0</v>
          </cell>
          <cell r="M43">
            <v>0</v>
          </cell>
          <cell r="N43">
            <v>0</v>
          </cell>
          <cell r="O43">
            <v>0</v>
          </cell>
          <cell r="P43">
            <v>0</v>
          </cell>
          <cell r="Q43">
            <v>0</v>
          </cell>
          <cell r="R43">
            <v>0</v>
          </cell>
          <cell r="S43">
            <v>0</v>
          </cell>
          <cell r="T43">
            <v>0</v>
          </cell>
          <cell r="U43">
            <v>0</v>
          </cell>
          <cell r="V43">
            <v>10000</v>
          </cell>
          <cell r="W43">
            <v>30000</v>
          </cell>
          <cell r="X43">
            <v>30000</v>
          </cell>
          <cell r="Y43">
            <v>30000</v>
          </cell>
          <cell r="Z43">
            <v>30000</v>
          </cell>
          <cell r="AA43">
            <v>30000</v>
          </cell>
          <cell r="AB43">
            <v>30000</v>
          </cell>
          <cell r="AC43">
            <v>30000</v>
          </cell>
          <cell r="AD43">
            <v>30000</v>
          </cell>
          <cell r="AE43">
            <v>30000</v>
          </cell>
          <cell r="AF43">
            <v>30000</v>
          </cell>
          <cell r="AG43">
            <v>10000</v>
          </cell>
          <cell r="AH43">
            <v>400000</v>
          </cell>
        </row>
        <row r="44">
          <cell r="C44">
            <v>385000</v>
          </cell>
          <cell r="D44">
            <v>355000</v>
          </cell>
          <cell r="E44">
            <v>355000</v>
          </cell>
          <cell r="F44">
            <v>355000</v>
          </cell>
          <cell r="G44">
            <v>355000</v>
          </cell>
          <cell r="H44">
            <v>355000</v>
          </cell>
          <cell r="I44">
            <v>280000</v>
          </cell>
          <cell r="J44">
            <v>390000</v>
          </cell>
          <cell r="K44">
            <v>370000</v>
          </cell>
          <cell r="L44">
            <v>355000</v>
          </cell>
          <cell r="M44">
            <v>355000</v>
          </cell>
          <cell r="N44">
            <v>355000</v>
          </cell>
          <cell r="O44">
            <v>355000</v>
          </cell>
          <cell r="P44">
            <v>280000</v>
          </cell>
          <cell r="Q44">
            <v>355000</v>
          </cell>
          <cell r="R44">
            <v>355000</v>
          </cell>
          <cell r="S44">
            <v>355000</v>
          </cell>
          <cell r="T44">
            <v>355000</v>
          </cell>
          <cell r="U44">
            <v>355000</v>
          </cell>
          <cell r="V44">
            <v>365000</v>
          </cell>
          <cell r="W44">
            <v>310000</v>
          </cell>
          <cell r="X44">
            <v>385000</v>
          </cell>
          <cell r="Y44">
            <v>385000</v>
          </cell>
          <cell r="Z44">
            <v>385000</v>
          </cell>
          <cell r="AA44">
            <v>385000</v>
          </cell>
          <cell r="AB44">
            <v>385000</v>
          </cell>
          <cell r="AC44">
            <v>385000</v>
          </cell>
          <cell r="AD44">
            <v>310000</v>
          </cell>
          <cell r="AE44">
            <v>385000</v>
          </cell>
          <cell r="AF44">
            <v>385000</v>
          </cell>
          <cell r="AG44">
            <v>110000</v>
          </cell>
          <cell r="AH44">
            <v>10850000</v>
          </cell>
        </row>
        <row r="45">
          <cell r="C45">
            <v>275801.67305681424</v>
          </cell>
          <cell r="D45">
            <v>275801.67305681424</v>
          </cell>
          <cell r="E45">
            <v>275801.67305681424</v>
          </cell>
          <cell r="F45">
            <v>275801.67305681424</v>
          </cell>
          <cell r="G45">
            <v>275801.67305681424</v>
          </cell>
          <cell r="H45">
            <v>275801.67305681424</v>
          </cell>
          <cell r="I45">
            <v>275801.67305681424</v>
          </cell>
          <cell r="J45">
            <v>275801.67305681424</v>
          </cell>
          <cell r="K45">
            <v>275801.67305681424</v>
          </cell>
          <cell r="L45">
            <v>275801.67305681424</v>
          </cell>
          <cell r="M45">
            <v>275801.67305681424</v>
          </cell>
          <cell r="N45">
            <v>275801.67305681424</v>
          </cell>
          <cell r="O45">
            <v>275801.67305681424</v>
          </cell>
          <cell r="P45">
            <v>275801.67305681424</v>
          </cell>
          <cell r="Q45">
            <v>275801.67305681424</v>
          </cell>
          <cell r="R45">
            <v>275801.67305681424</v>
          </cell>
          <cell r="S45">
            <v>275801.67305681424</v>
          </cell>
          <cell r="T45">
            <v>275801.67305681424</v>
          </cell>
          <cell r="U45">
            <v>275801.67305681424</v>
          </cell>
          <cell r="V45">
            <v>275801.67305681424</v>
          </cell>
          <cell r="W45">
            <v>275801.67305681424</v>
          </cell>
          <cell r="X45">
            <v>275801.67305681424</v>
          </cell>
          <cell r="Y45">
            <v>275801.67305681424</v>
          </cell>
          <cell r="Z45">
            <v>275801.67305681424</v>
          </cell>
          <cell r="AA45">
            <v>275801.67305681424</v>
          </cell>
          <cell r="AB45">
            <v>275801.67305681424</v>
          </cell>
          <cell r="AC45">
            <v>275801.67305681424</v>
          </cell>
          <cell r="AD45">
            <v>275801.67305681424</v>
          </cell>
          <cell r="AE45">
            <v>275801.67305681424</v>
          </cell>
          <cell r="AF45">
            <v>275801.67305681424</v>
          </cell>
          <cell r="AG45">
            <v>132014.63924712443</v>
          </cell>
          <cell r="AH45">
            <v>8406064.8309515473</v>
          </cell>
        </row>
        <row r="46">
          <cell r="C46">
            <v>121854.30463576158</v>
          </cell>
          <cell r="D46">
            <v>121854.30463576158</v>
          </cell>
          <cell r="E46">
            <v>121854.30463576158</v>
          </cell>
          <cell r="F46">
            <v>121854.30463576158</v>
          </cell>
          <cell r="G46">
            <v>121854.30463576158</v>
          </cell>
          <cell r="H46">
            <v>121854.30463576158</v>
          </cell>
          <cell r="I46">
            <v>121854.30463576158</v>
          </cell>
          <cell r="J46">
            <v>121854.30463576158</v>
          </cell>
          <cell r="K46">
            <v>121854.30463576158</v>
          </cell>
          <cell r="L46">
            <v>121854.30463576158</v>
          </cell>
          <cell r="M46">
            <v>121854.30463576158</v>
          </cell>
          <cell r="N46">
            <v>121854.30463576158</v>
          </cell>
          <cell r="O46">
            <v>121854.30463576158</v>
          </cell>
          <cell r="P46">
            <v>121854.30463576158</v>
          </cell>
          <cell r="Q46">
            <v>121854.30463576158</v>
          </cell>
          <cell r="R46">
            <v>121854.30463576158</v>
          </cell>
          <cell r="S46">
            <v>121854.30463576158</v>
          </cell>
          <cell r="T46">
            <v>121854.30463576158</v>
          </cell>
          <cell r="U46">
            <v>121854.30463576158</v>
          </cell>
          <cell r="V46">
            <v>121854.30463576158</v>
          </cell>
          <cell r="W46">
            <v>121854.30463576158</v>
          </cell>
          <cell r="X46">
            <v>121854.30463576158</v>
          </cell>
          <cell r="Y46">
            <v>121854.30463576158</v>
          </cell>
          <cell r="Z46">
            <v>121854.30463576158</v>
          </cell>
          <cell r="AA46">
            <v>121854.30463576158</v>
          </cell>
          <cell r="AB46">
            <v>121854.30463576158</v>
          </cell>
          <cell r="AC46">
            <v>121854.30463576158</v>
          </cell>
          <cell r="AD46">
            <v>121854.30463576158</v>
          </cell>
          <cell r="AE46">
            <v>121854.30463576158</v>
          </cell>
          <cell r="AF46">
            <v>121854.30463576158</v>
          </cell>
          <cell r="AG46">
            <v>66225.165562913913</v>
          </cell>
          <cell r="AH46">
            <v>3721854.3046357632</v>
          </cell>
        </row>
        <row r="47">
          <cell r="C47">
            <v>153947.36842105264</v>
          </cell>
          <cell r="D47">
            <v>153947.36842105264</v>
          </cell>
          <cell r="E47">
            <v>153947.36842105264</v>
          </cell>
          <cell r="F47">
            <v>153947.36842105264</v>
          </cell>
          <cell r="G47">
            <v>153947.36842105264</v>
          </cell>
          <cell r="H47">
            <v>153947.36842105264</v>
          </cell>
          <cell r="I47">
            <v>153947.36842105264</v>
          </cell>
          <cell r="J47">
            <v>153947.36842105264</v>
          </cell>
          <cell r="K47">
            <v>153947.36842105264</v>
          </cell>
          <cell r="L47">
            <v>153947.36842105264</v>
          </cell>
          <cell r="M47">
            <v>153947.36842105264</v>
          </cell>
          <cell r="N47">
            <v>153947.36842105264</v>
          </cell>
          <cell r="O47">
            <v>153947.36842105264</v>
          </cell>
          <cell r="P47">
            <v>153947.36842105264</v>
          </cell>
          <cell r="Q47">
            <v>153947.36842105264</v>
          </cell>
          <cell r="R47">
            <v>153947.36842105264</v>
          </cell>
          <cell r="S47">
            <v>153947.36842105264</v>
          </cell>
          <cell r="T47">
            <v>153947.36842105264</v>
          </cell>
          <cell r="U47">
            <v>153947.36842105264</v>
          </cell>
          <cell r="V47">
            <v>153947.36842105264</v>
          </cell>
          <cell r="W47">
            <v>153947.36842105264</v>
          </cell>
          <cell r="X47">
            <v>153947.36842105264</v>
          </cell>
          <cell r="Y47">
            <v>153947.36842105264</v>
          </cell>
          <cell r="Z47">
            <v>153947.36842105264</v>
          </cell>
          <cell r="AA47">
            <v>153947.36842105264</v>
          </cell>
          <cell r="AB47">
            <v>153947.36842105264</v>
          </cell>
          <cell r="AC47">
            <v>153947.36842105264</v>
          </cell>
          <cell r="AD47">
            <v>153947.36842105264</v>
          </cell>
          <cell r="AE47">
            <v>153947.36842105264</v>
          </cell>
          <cell r="AF47">
            <v>153947.36842105264</v>
          </cell>
          <cell r="AG47">
            <v>65789.473684210519</v>
          </cell>
          <cell r="AH47">
            <v>4684210.5263157887</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row>
        <row r="50">
          <cell r="C50">
            <v>0</v>
          </cell>
          <cell r="D50">
            <v>32000</v>
          </cell>
          <cell r="E50">
            <v>32000</v>
          </cell>
          <cell r="F50">
            <v>32000</v>
          </cell>
          <cell r="G50">
            <v>32000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128000</v>
          </cell>
        </row>
        <row r="51">
          <cell r="C51">
            <v>34000</v>
          </cell>
          <cell r="D51">
            <v>2000</v>
          </cell>
          <cell r="E51">
            <v>36000</v>
          </cell>
          <cell r="F51">
            <v>2000</v>
          </cell>
          <cell r="G51">
            <v>70000</v>
          </cell>
          <cell r="H51">
            <v>67000</v>
          </cell>
          <cell r="I51">
            <v>0</v>
          </cell>
          <cell r="J51">
            <v>0</v>
          </cell>
          <cell r="K51">
            <v>0</v>
          </cell>
          <cell r="L51">
            <v>0</v>
          </cell>
          <cell r="M51">
            <v>67000</v>
          </cell>
          <cell r="N51">
            <v>67000</v>
          </cell>
          <cell r="O51">
            <v>0</v>
          </cell>
          <cell r="P51">
            <v>0</v>
          </cell>
          <cell r="Q51">
            <v>0</v>
          </cell>
          <cell r="R51">
            <v>0</v>
          </cell>
          <cell r="S51">
            <v>0</v>
          </cell>
          <cell r="T51">
            <v>67000</v>
          </cell>
          <cell r="U51">
            <v>34000</v>
          </cell>
          <cell r="V51">
            <v>67000</v>
          </cell>
          <cell r="W51">
            <v>0</v>
          </cell>
          <cell r="X51">
            <v>67000</v>
          </cell>
          <cell r="Y51">
            <v>67000</v>
          </cell>
          <cell r="Z51">
            <v>67500</v>
          </cell>
          <cell r="AA51">
            <v>0</v>
          </cell>
          <cell r="AB51">
            <v>100500</v>
          </cell>
          <cell r="AC51">
            <v>67500</v>
          </cell>
          <cell r="AD51">
            <v>67500</v>
          </cell>
          <cell r="AE51">
            <v>67500</v>
          </cell>
          <cell r="AF51">
            <v>67500</v>
          </cell>
          <cell r="AG51">
            <v>100500</v>
          </cell>
          <cell r="AH51">
            <v>1185500</v>
          </cell>
        </row>
        <row r="52">
          <cell r="C52">
            <v>64000</v>
          </cell>
          <cell r="D52">
            <v>64000</v>
          </cell>
          <cell r="E52">
            <v>64000</v>
          </cell>
          <cell r="F52">
            <v>0</v>
          </cell>
          <cell r="G52">
            <v>0</v>
          </cell>
          <cell r="H52">
            <v>0</v>
          </cell>
          <cell r="I52">
            <v>64000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256000</v>
          </cell>
        </row>
        <row r="53">
          <cell r="C53">
            <v>3000</v>
          </cell>
          <cell r="D53">
            <v>3000</v>
          </cell>
          <cell r="E53">
            <v>3000</v>
          </cell>
          <cell r="F53">
            <v>0</v>
          </cell>
          <cell r="G53">
            <v>0</v>
          </cell>
          <cell r="H53">
            <v>0</v>
          </cell>
          <cell r="I53">
            <v>3000</v>
          </cell>
          <cell r="J53">
            <v>67000</v>
          </cell>
          <cell r="K53">
            <v>100000</v>
          </cell>
          <cell r="L53">
            <v>100500</v>
          </cell>
          <cell r="M53">
            <v>0</v>
          </cell>
          <cell r="N53">
            <v>0</v>
          </cell>
          <cell r="O53">
            <v>67000</v>
          </cell>
          <cell r="P53">
            <v>67000</v>
          </cell>
          <cell r="Q53">
            <v>67000</v>
          </cell>
          <cell r="R53">
            <v>67000</v>
          </cell>
          <cell r="S53">
            <v>67000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614500</v>
          </cell>
        </row>
        <row r="54">
          <cell r="C54">
            <v>67000</v>
          </cell>
          <cell r="D54">
            <v>0</v>
          </cell>
          <cell r="E54">
            <v>0</v>
          </cell>
          <cell r="F54">
            <v>0</v>
          </cell>
          <cell r="G54">
            <v>0</v>
          </cell>
          <cell r="H54">
            <v>0</v>
          </cell>
          <cell r="I54">
            <v>0</v>
          </cell>
          <cell r="J54">
            <v>79000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146000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row>
        <row r="56">
          <cell r="C56">
            <v>25000</v>
          </cell>
          <cell r="D56">
            <v>26000</v>
          </cell>
          <cell r="E56">
            <v>25000</v>
          </cell>
          <cell r="F56">
            <v>26000</v>
          </cell>
          <cell r="G56">
            <v>25000</v>
          </cell>
          <cell r="H56">
            <v>26000</v>
          </cell>
          <cell r="I56">
            <v>25000</v>
          </cell>
          <cell r="J56">
            <v>26000</v>
          </cell>
          <cell r="K56">
            <v>25000</v>
          </cell>
          <cell r="L56">
            <v>26000</v>
          </cell>
          <cell r="M56">
            <v>25000</v>
          </cell>
          <cell r="N56">
            <v>26000</v>
          </cell>
          <cell r="O56">
            <v>25000</v>
          </cell>
          <cell r="P56">
            <v>26000</v>
          </cell>
          <cell r="Q56">
            <v>25000</v>
          </cell>
          <cell r="R56">
            <v>26000</v>
          </cell>
          <cell r="S56">
            <v>25000</v>
          </cell>
          <cell r="T56">
            <v>26000</v>
          </cell>
          <cell r="U56">
            <v>25000</v>
          </cell>
          <cell r="V56">
            <v>26000</v>
          </cell>
          <cell r="W56">
            <v>25000</v>
          </cell>
          <cell r="X56">
            <v>26000</v>
          </cell>
          <cell r="Y56">
            <v>25000</v>
          </cell>
          <cell r="Z56">
            <v>25000</v>
          </cell>
          <cell r="AA56">
            <v>25000</v>
          </cell>
          <cell r="AB56">
            <v>25000</v>
          </cell>
          <cell r="AC56">
            <v>25000</v>
          </cell>
          <cell r="AD56">
            <v>25000</v>
          </cell>
          <cell r="AE56">
            <v>25000</v>
          </cell>
          <cell r="AF56">
            <v>25000</v>
          </cell>
          <cell r="AG56">
            <v>0</v>
          </cell>
          <cell r="AH56">
            <v>761000</v>
          </cell>
        </row>
        <row r="57">
          <cell r="C57">
            <v>453391.67305681424</v>
          </cell>
          <cell r="D57">
            <v>387391.67305681424</v>
          </cell>
          <cell r="E57">
            <v>420391.67305681424</v>
          </cell>
          <cell r="F57">
            <v>335801.67305681424</v>
          </cell>
          <cell r="G57">
            <v>402801.67305681424</v>
          </cell>
          <cell r="H57">
            <v>368801.67305681424</v>
          </cell>
          <cell r="I57">
            <v>352391.67305681424</v>
          </cell>
          <cell r="J57">
            <v>432391.67305681424</v>
          </cell>
          <cell r="K57">
            <v>377801.67305681424</v>
          </cell>
          <cell r="L57">
            <v>379186.67305681424</v>
          </cell>
          <cell r="M57">
            <v>367801.67305681424</v>
          </cell>
          <cell r="N57">
            <v>368801.67305681424</v>
          </cell>
          <cell r="O57">
            <v>352391.67305681424</v>
          </cell>
          <cell r="P57">
            <v>353391.67305681424</v>
          </cell>
          <cell r="Q57">
            <v>352391.67305681424</v>
          </cell>
          <cell r="R57">
            <v>353391.67305681424</v>
          </cell>
          <cell r="S57">
            <v>352391.67305681424</v>
          </cell>
          <cell r="T57">
            <v>368801.67305681424</v>
          </cell>
          <cell r="U57">
            <v>334801.67305681424</v>
          </cell>
          <cell r="V57">
            <v>368801.67305681424</v>
          </cell>
          <cell r="W57">
            <v>300801.67305681424</v>
          </cell>
          <cell r="X57">
            <v>368801.67305681424</v>
          </cell>
          <cell r="Y57">
            <v>367801.67305681424</v>
          </cell>
          <cell r="Z57">
            <v>368301.67305681424</v>
          </cell>
          <cell r="AA57">
            <v>300801.67305681424</v>
          </cell>
          <cell r="AB57">
            <v>401301.67305681424</v>
          </cell>
          <cell r="AC57">
            <v>368301.67305681424</v>
          </cell>
          <cell r="AD57">
            <v>368301.67305681424</v>
          </cell>
          <cell r="AE57">
            <v>368301.67305681424</v>
          </cell>
          <cell r="AF57">
            <v>368301.67305681424</v>
          </cell>
          <cell r="AG57">
            <v>232514.63924712443</v>
          </cell>
          <cell r="AH57">
            <v>11296849.830951553</v>
          </cell>
        </row>
        <row r="58">
          <cell r="C58">
            <v>705309.32694318576</v>
          </cell>
          <cell r="D58">
            <v>672917.65388637141</v>
          </cell>
          <cell r="E58">
            <v>607525.98082955717</v>
          </cell>
          <cell r="F58">
            <v>626724.30777274293</v>
          </cell>
          <cell r="G58">
            <v>578922.6347159287</v>
          </cell>
          <cell r="H58">
            <v>565120.96165911446</v>
          </cell>
          <cell r="I58">
            <v>492729.28860230022</v>
          </cell>
          <cell r="J58">
            <v>450337.61554548598</v>
          </cell>
          <cell r="K58">
            <v>442535.94248867175</v>
          </cell>
          <cell r="L58">
            <v>418349.26943185751</v>
          </cell>
          <cell r="M58">
            <v>405547.59637504327</v>
          </cell>
          <cell r="N58">
            <v>391745.92331822903</v>
          </cell>
          <cell r="O58">
            <v>394354.2502614148</v>
          </cell>
          <cell r="P58">
            <v>320962.57720460056</v>
          </cell>
          <cell r="Q58">
            <v>323570.90414778632</v>
          </cell>
          <cell r="R58">
            <v>325179.23109097208</v>
          </cell>
          <cell r="S58">
            <v>327787.55803415785</v>
          </cell>
          <cell r="T58">
            <v>313985.88497734361</v>
          </cell>
          <cell r="U58">
            <v>334184.21192052937</v>
          </cell>
          <cell r="V58">
            <v>330382.53886371513</v>
          </cell>
          <cell r="W58">
            <v>339580.8658069009</v>
          </cell>
          <cell r="X58">
            <v>355779.19275008666</v>
          </cell>
          <cell r="Y58">
            <v>372977.51969327242</v>
          </cell>
          <cell r="Z58">
            <v>389675.84663645818</v>
          </cell>
          <cell r="AA58">
            <v>473874.17357964395</v>
          </cell>
          <cell r="AB58">
            <v>457572.50052282971</v>
          </cell>
          <cell r="AC58">
            <v>474270.82746601547</v>
          </cell>
          <cell r="AD58">
            <v>415969.15440920123</v>
          </cell>
          <cell r="AE58">
            <v>432667.481352387</v>
          </cell>
          <cell r="AF58">
            <v>449365.80829557276</v>
          </cell>
          <cell r="AG58">
            <v>326851.16904844833</v>
          </cell>
          <cell r="AH58"/>
        </row>
        <row r="59">
          <cell r="C59"/>
          <cell r="D59"/>
          <cell r="E59"/>
          <cell r="F59"/>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row>
        <row r="60">
          <cell r="C60"/>
          <cell r="D60"/>
          <cell r="E60"/>
          <cell r="F60"/>
          <cell r="G60"/>
          <cell r="H60"/>
          <cell r="I60"/>
          <cell r="J60"/>
          <cell r="K60"/>
          <cell r="L60"/>
          <cell r="M60"/>
          <cell r="N60"/>
          <cell r="O60"/>
          <cell r="P60"/>
          <cell r="Q60"/>
          <cell r="R60"/>
          <cell r="S60"/>
          <cell r="T60"/>
          <cell r="U60"/>
          <cell r="V60"/>
          <cell r="W60"/>
          <cell r="X60"/>
          <cell r="Y60"/>
          <cell r="Z60"/>
          <cell r="AA60"/>
          <cell r="AB60"/>
          <cell r="AC60"/>
          <cell r="AD60"/>
          <cell r="AE60"/>
          <cell r="AF60"/>
          <cell r="AG60"/>
          <cell r="AH60"/>
        </row>
        <row r="61">
          <cell r="C61">
            <v>68804</v>
          </cell>
          <cell r="D61">
            <v>105704</v>
          </cell>
          <cell r="E61">
            <v>142604</v>
          </cell>
          <cell r="F61">
            <v>142070.84491978609</v>
          </cell>
          <cell r="G61">
            <v>109037.68983957218</v>
          </cell>
          <cell r="H61">
            <v>76004.53475935827</v>
          </cell>
          <cell r="I61">
            <v>75471.37967914436</v>
          </cell>
          <cell r="J61">
            <v>112371.37967914436</v>
          </cell>
          <cell r="K61">
            <v>149271.37967914436</v>
          </cell>
          <cell r="L61">
            <v>186171.37967914436</v>
          </cell>
          <cell r="M61">
            <v>155099.18716577539</v>
          </cell>
          <cell r="N61">
            <v>122026.99465240641</v>
          </cell>
          <cell r="O61">
            <v>88954.802139037449</v>
          </cell>
          <cell r="P61">
            <v>55882.609625668469</v>
          </cell>
          <cell r="Q61">
            <v>57310.417112299489</v>
          </cell>
          <cell r="R61">
            <v>58738.224598930508</v>
          </cell>
          <cell r="S61">
            <v>56066.032085561528</v>
          </cell>
          <cell r="T61">
            <v>57493.839572192548</v>
          </cell>
          <cell r="U61">
            <v>58921.647058823568</v>
          </cell>
          <cell r="V61">
            <v>38683.679144385067</v>
          </cell>
          <cell r="W61">
            <v>45183.679144385067</v>
          </cell>
          <cell r="X61">
            <v>86183.679144385067</v>
          </cell>
          <cell r="Y61">
            <v>58183.679144385067</v>
          </cell>
          <cell r="Z61">
            <v>64683.679144385067</v>
          </cell>
          <cell r="AA61">
            <v>71183.679144385067</v>
          </cell>
          <cell r="AB61">
            <v>112183.67914438507</v>
          </cell>
          <cell r="AC61">
            <v>84183.679144385067</v>
          </cell>
          <cell r="AD61">
            <v>56183.679144385067</v>
          </cell>
          <cell r="AE61">
            <v>62683.679144385067</v>
          </cell>
          <cell r="AF61">
            <v>69183.679144385067</v>
          </cell>
          <cell r="AG61">
            <v>41183.679144385067</v>
          </cell>
          <cell r="AH61"/>
        </row>
        <row r="62">
          <cell r="C62">
            <v>36900</v>
          </cell>
          <cell r="D62">
            <v>36900</v>
          </cell>
          <cell r="E62">
            <v>36900</v>
          </cell>
          <cell r="F62">
            <v>36900</v>
          </cell>
          <cell r="G62">
            <v>36900</v>
          </cell>
          <cell r="H62">
            <v>36900</v>
          </cell>
          <cell r="I62">
            <v>36900</v>
          </cell>
          <cell r="J62">
            <v>36900</v>
          </cell>
          <cell r="K62">
            <v>36900</v>
          </cell>
          <cell r="L62">
            <v>41000</v>
          </cell>
          <cell r="M62">
            <v>41000</v>
          </cell>
          <cell r="N62">
            <v>41000</v>
          </cell>
          <cell r="O62">
            <v>41000</v>
          </cell>
          <cell r="P62">
            <v>41000</v>
          </cell>
          <cell r="Q62">
            <v>41000</v>
          </cell>
          <cell r="R62">
            <v>36900</v>
          </cell>
          <cell r="S62">
            <v>41000</v>
          </cell>
          <cell r="T62">
            <v>41000</v>
          </cell>
          <cell r="U62">
            <v>41000</v>
          </cell>
          <cell r="V62">
            <v>41000</v>
          </cell>
          <cell r="W62">
            <v>41000</v>
          </cell>
          <cell r="X62">
            <v>41000</v>
          </cell>
          <cell r="Y62">
            <v>41000</v>
          </cell>
          <cell r="Z62">
            <v>41000</v>
          </cell>
          <cell r="AA62">
            <v>41000</v>
          </cell>
          <cell r="AB62">
            <v>41000</v>
          </cell>
          <cell r="AC62">
            <v>41000</v>
          </cell>
          <cell r="AD62">
            <v>41000</v>
          </cell>
          <cell r="AE62">
            <v>41000</v>
          </cell>
          <cell r="AF62">
            <v>41000</v>
          </cell>
          <cell r="AG62">
            <v>41000</v>
          </cell>
          <cell r="AH62">
            <v>1230000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row>
        <row r="64">
          <cell r="C64">
            <v>0</v>
          </cell>
          <cell r="D64">
            <v>0</v>
          </cell>
          <cell r="E64">
            <v>37433.155080213903</v>
          </cell>
          <cell r="F64">
            <v>37433.155080213903</v>
          </cell>
          <cell r="G64">
            <v>37433.155080213903</v>
          </cell>
          <cell r="H64">
            <v>37433.155080213903</v>
          </cell>
          <cell r="I64">
            <v>0</v>
          </cell>
          <cell r="J64">
            <v>0</v>
          </cell>
          <cell r="K64">
            <v>0</v>
          </cell>
          <cell r="L64">
            <v>39572.19251336898</v>
          </cell>
          <cell r="M64">
            <v>39572.19251336898</v>
          </cell>
          <cell r="N64">
            <v>39572.19251336898</v>
          </cell>
          <cell r="O64">
            <v>39572.19251336898</v>
          </cell>
          <cell r="P64">
            <v>39572.19251336898</v>
          </cell>
          <cell r="Q64">
            <v>39572.19251336898</v>
          </cell>
          <cell r="R64">
            <v>39572.19251336898</v>
          </cell>
          <cell r="S64">
            <v>39572.19251336898</v>
          </cell>
          <cell r="T64">
            <v>39572.19251336898</v>
          </cell>
          <cell r="U64">
            <v>26737.967914438501</v>
          </cell>
          <cell r="V64">
            <v>0</v>
          </cell>
          <cell r="W64">
            <v>0</v>
          </cell>
          <cell r="X64">
            <v>0</v>
          </cell>
          <cell r="Y64">
            <v>0</v>
          </cell>
          <cell r="Z64">
            <v>0</v>
          </cell>
          <cell r="AA64">
            <v>0</v>
          </cell>
          <cell r="AB64">
            <v>0</v>
          </cell>
          <cell r="AC64">
            <v>0</v>
          </cell>
          <cell r="AD64">
            <v>0</v>
          </cell>
          <cell r="AE64">
            <v>0</v>
          </cell>
          <cell r="AF64">
            <v>0</v>
          </cell>
          <cell r="AG64">
            <v>0</v>
          </cell>
          <cell r="AH64">
            <v>532620.32085561485</v>
          </cell>
        </row>
        <row r="65">
          <cell r="C65">
            <v>0</v>
          </cell>
          <cell r="D65">
            <v>0</v>
          </cell>
          <cell r="E65">
            <v>0</v>
          </cell>
          <cell r="F65">
            <v>2500</v>
          </cell>
          <cell r="G65">
            <v>2500</v>
          </cell>
          <cell r="H65">
            <v>0</v>
          </cell>
          <cell r="I65">
            <v>0</v>
          </cell>
          <cell r="J65">
            <v>0</v>
          </cell>
          <cell r="K65">
            <v>0</v>
          </cell>
          <cell r="L65">
            <v>2500</v>
          </cell>
          <cell r="M65">
            <v>34500</v>
          </cell>
          <cell r="N65">
            <v>34500</v>
          </cell>
          <cell r="O65">
            <v>34500</v>
          </cell>
          <cell r="P65">
            <v>0</v>
          </cell>
          <cell r="Q65">
            <v>0</v>
          </cell>
          <cell r="R65">
            <v>0</v>
          </cell>
          <cell r="S65">
            <v>0</v>
          </cell>
          <cell r="T65">
            <v>0</v>
          </cell>
          <cell r="U65">
            <v>34500</v>
          </cell>
          <cell r="V65">
            <v>34500</v>
          </cell>
          <cell r="W65">
            <v>0</v>
          </cell>
          <cell r="X65">
            <v>69000</v>
          </cell>
          <cell r="Y65">
            <v>34500</v>
          </cell>
          <cell r="Z65">
            <v>34500</v>
          </cell>
          <cell r="AA65">
            <v>0</v>
          </cell>
          <cell r="AB65">
            <v>69000</v>
          </cell>
          <cell r="AC65">
            <v>69000</v>
          </cell>
          <cell r="AD65">
            <v>34500</v>
          </cell>
          <cell r="AE65">
            <v>34500</v>
          </cell>
          <cell r="AF65">
            <v>69000</v>
          </cell>
          <cell r="AG65">
            <v>34500</v>
          </cell>
          <cell r="AH65">
            <v>628500</v>
          </cell>
        </row>
        <row r="66">
          <cell r="C66">
            <v>0</v>
          </cell>
          <cell r="D66">
            <v>0</v>
          </cell>
          <cell r="E66">
            <v>0</v>
          </cell>
          <cell r="F66">
            <v>30000</v>
          </cell>
          <cell r="G66">
            <v>30000</v>
          </cell>
          <cell r="H66">
            <v>0</v>
          </cell>
          <cell r="I66">
            <v>0</v>
          </cell>
          <cell r="J66">
            <v>0</v>
          </cell>
          <cell r="K66">
            <v>0</v>
          </cell>
          <cell r="L66">
            <v>30000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90000</v>
          </cell>
        </row>
        <row r="67">
          <cell r="C67">
            <v>0</v>
          </cell>
          <cell r="D67">
            <v>0</v>
          </cell>
          <cell r="E67">
            <v>37433.155080213903</v>
          </cell>
          <cell r="F67">
            <v>69933.15508021391</v>
          </cell>
          <cell r="G67">
            <v>69933.15508021391</v>
          </cell>
          <cell r="H67">
            <v>37433.155080213903</v>
          </cell>
          <cell r="I67">
            <v>0</v>
          </cell>
          <cell r="J67">
            <v>0</v>
          </cell>
          <cell r="K67">
            <v>0</v>
          </cell>
          <cell r="L67">
            <v>72072.19251336898</v>
          </cell>
          <cell r="M67">
            <v>74072.19251336898</v>
          </cell>
          <cell r="N67">
            <v>74072.19251336898</v>
          </cell>
          <cell r="O67">
            <v>74072.19251336898</v>
          </cell>
          <cell r="P67">
            <v>39572.19251336898</v>
          </cell>
          <cell r="Q67">
            <v>39572.19251336898</v>
          </cell>
          <cell r="R67">
            <v>39572.19251336898</v>
          </cell>
          <cell r="S67">
            <v>39572.19251336898</v>
          </cell>
          <cell r="T67">
            <v>39572.19251336898</v>
          </cell>
          <cell r="U67">
            <v>61237.967914438501</v>
          </cell>
          <cell r="V67">
            <v>34500</v>
          </cell>
          <cell r="W67">
            <v>0</v>
          </cell>
          <cell r="X67">
            <v>69000</v>
          </cell>
          <cell r="Y67">
            <v>34500</v>
          </cell>
          <cell r="Z67">
            <v>34500</v>
          </cell>
          <cell r="AA67">
            <v>0</v>
          </cell>
          <cell r="AB67">
            <v>69000</v>
          </cell>
          <cell r="AC67">
            <v>69000</v>
          </cell>
          <cell r="AD67">
            <v>34500</v>
          </cell>
          <cell r="AE67">
            <v>34500</v>
          </cell>
          <cell r="AF67">
            <v>69000</v>
          </cell>
          <cell r="AG67">
            <v>34500</v>
          </cell>
          <cell r="AH67">
            <v>1251120.3208556152</v>
          </cell>
        </row>
        <row r="68">
          <cell r="C68">
            <v>105704</v>
          </cell>
          <cell r="D68">
            <v>142604</v>
          </cell>
          <cell r="E68">
            <v>142070.84491978609</v>
          </cell>
          <cell r="F68">
            <v>109037.68983957218</v>
          </cell>
          <cell r="G68">
            <v>76004.53475935827</v>
          </cell>
          <cell r="H68">
            <v>75471.37967914436</v>
          </cell>
          <cell r="I68">
            <v>112371.37967914436</v>
          </cell>
          <cell r="J68">
            <v>149271.37967914436</v>
          </cell>
          <cell r="K68">
            <v>186171.37967914436</v>
          </cell>
          <cell r="L68">
            <v>155099.18716577539</v>
          </cell>
          <cell r="M68">
            <v>122026.99465240641</v>
          </cell>
          <cell r="N68">
            <v>88954.802139037449</v>
          </cell>
          <cell r="O68">
            <v>55882.609625668469</v>
          </cell>
          <cell r="P68">
            <v>57310.417112299489</v>
          </cell>
          <cell r="Q68">
            <v>58738.224598930508</v>
          </cell>
          <cell r="R68">
            <v>56066.032085561528</v>
          </cell>
          <cell r="S68">
            <v>57493.839572192548</v>
          </cell>
          <cell r="T68">
            <v>58921.647058823568</v>
          </cell>
          <cell r="U68">
            <v>38683.679144385067</v>
          </cell>
          <cell r="V68">
            <v>45183.679144385067</v>
          </cell>
          <cell r="W68">
            <v>86183.679144385067</v>
          </cell>
          <cell r="X68">
            <v>58183.679144385067</v>
          </cell>
          <cell r="Y68">
            <v>64683.679144385067</v>
          </cell>
          <cell r="Z68">
            <v>71183.679144385067</v>
          </cell>
          <cell r="AA68">
            <v>112183.67914438507</v>
          </cell>
          <cell r="AB68">
            <v>84183.679144385067</v>
          </cell>
          <cell r="AC68">
            <v>56183.679144385067</v>
          </cell>
          <cell r="AD68">
            <v>62683.679144385067</v>
          </cell>
          <cell r="AE68">
            <v>69183.679144385067</v>
          </cell>
          <cell r="AF68">
            <v>41183.679144385067</v>
          </cell>
          <cell r="AG68">
            <v>47683.679144385067</v>
          </cell>
          <cell r="AH68"/>
        </row>
        <row r="69">
          <cell r="C69">
            <v>153715</v>
          </cell>
          <cell r="D69">
            <v>165715</v>
          </cell>
          <cell r="E69">
            <v>143215</v>
          </cell>
          <cell r="F69">
            <v>192465</v>
          </cell>
          <cell r="G69">
            <v>175465</v>
          </cell>
          <cell r="H69">
            <v>158465</v>
          </cell>
          <cell r="I69">
            <v>250465</v>
          </cell>
          <cell r="J69">
            <v>211465</v>
          </cell>
          <cell r="K69">
            <v>155965</v>
          </cell>
          <cell r="L69">
            <v>156965</v>
          </cell>
          <cell r="M69">
            <v>98215</v>
          </cell>
          <cell r="N69">
            <v>108465</v>
          </cell>
          <cell r="O69">
            <v>118715</v>
          </cell>
          <cell r="P69">
            <v>128965</v>
          </cell>
          <cell r="Q69">
            <v>119965</v>
          </cell>
          <cell r="R69">
            <v>145465</v>
          </cell>
          <cell r="S69">
            <v>131215</v>
          </cell>
          <cell r="T69">
            <v>141465</v>
          </cell>
          <cell r="U69">
            <v>151715</v>
          </cell>
          <cell r="V69">
            <v>161965</v>
          </cell>
          <cell r="W69">
            <v>172215</v>
          </cell>
          <cell r="X69">
            <v>128715</v>
          </cell>
          <cell r="Y69">
            <v>154215</v>
          </cell>
          <cell r="Z69">
            <v>95465</v>
          </cell>
          <cell r="AA69">
            <v>120965</v>
          </cell>
          <cell r="AB69">
            <v>89965</v>
          </cell>
          <cell r="AC69">
            <v>65715</v>
          </cell>
          <cell r="AD69">
            <v>41465</v>
          </cell>
          <cell r="AE69">
            <v>32465</v>
          </cell>
          <cell r="AF69">
            <v>77215</v>
          </cell>
          <cell r="AG69">
            <v>52965</v>
          </cell>
          <cell r="AH69"/>
        </row>
        <row r="70">
          <cell r="C70">
            <v>90000</v>
          </cell>
          <cell r="D70">
            <v>90000</v>
          </cell>
          <cell r="E70">
            <v>90000</v>
          </cell>
          <cell r="F70">
            <v>90000</v>
          </cell>
          <cell r="G70">
            <v>90000</v>
          </cell>
          <cell r="H70">
            <v>90000</v>
          </cell>
          <cell r="I70">
            <v>90000</v>
          </cell>
          <cell r="J70">
            <v>90000</v>
          </cell>
          <cell r="K70">
            <v>90000</v>
          </cell>
          <cell r="L70">
            <v>100000</v>
          </cell>
          <cell r="M70">
            <v>100000</v>
          </cell>
          <cell r="N70">
            <v>100000</v>
          </cell>
          <cell r="O70">
            <v>100000</v>
          </cell>
          <cell r="P70">
            <v>100000</v>
          </cell>
          <cell r="Q70">
            <v>100000</v>
          </cell>
          <cell r="R70">
            <v>90000</v>
          </cell>
          <cell r="S70">
            <v>100000</v>
          </cell>
          <cell r="T70">
            <v>100000</v>
          </cell>
          <cell r="U70">
            <v>100000</v>
          </cell>
          <cell r="V70">
            <v>100000</v>
          </cell>
          <cell r="W70">
            <v>100000</v>
          </cell>
          <cell r="X70">
            <v>100000</v>
          </cell>
          <cell r="Y70">
            <v>100000</v>
          </cell>
          <cell r="Z70">
            <v>100000</v>
          </cell>
          <cell r="AA70">
            <v>100000</v>
          </cell>
          <cell r="AB70">
            <v>100000</v>
          </cell>
          <cell r="AC70">
            <v>100000</v>
          </cell>
          <cell r="AD70">
            <v>100000</v>
          </cell>
          <cell r="AE70">
            <v>100000</v>
          </cell>
          <cell r="AF70">
            <v>100000</v>
          </cell>
          <cell r="AG70">
            <v>100000</v>
          </cell>
          <cell r="AH70">
            <v>3000000</v>
          </cell>
        </row>
        <row r="71">
          <cell r="C71">
            <v>33000</v>
          </cell>
          <cell r="D71">
            <v>33000</v>
          </cell>
          <cell r="E71">
            <v>35750</v>
          </cell>
          <cell r="F71">
            <v>38500</v>
          </cell>
          <cell r="G71">
            <v>38500</v>
          </cell>
          <cell r="H71">
            <v>44000</v>
          </cell>
          <cell r="I71">
            <v>16500</v>
          </cell>
          <cell r="J71">
            <v>0</v>
          </cell>
          <cell r="K71">
            <v>22000</v>
          </cell>
          <cell r="L71">
            <v>41250</v>
          </cell>
          <cell r="M71">
            <v>41250</v>
          </cell>
          <cell r="N71">
            <v>41250</v>
          </cell>
          <cell r="O71">
            <v>41250</v>
          </cell>
          <cell r="P71">
            <v>22000</v>
          </cell>
          <cell r="Q71">
            <v>22000</v>
          </cell>
          <cell r="R71">
            <v>41250</v>
          </cell>
          <cell r="S71">
            <v>41250</v>
          </cell>
          <cell r="T71">
            <v>41250</v>
          </cell>
          <cell r="U71">
            <v>41250</v>
          </cell>
          <cell r="V71">
            <v>41250</v>
          </cell>
          <cell r="W71">
            <v>22000</v>
          </cell>
          <cell r="X71">
            <v>22000</v>
          </cell>
          <cell r="Y71">
            <v>41250</v>
          </cell>
          <cell r="Z71">
            <v>22000</v>
          </cell>
          <cell r="AA71">
            <v>0</v>
          </cell>
          <cell r="AB71">
            <v>41250</v>
          </cell>
          <cell r="AC71">
            <v>41250</v>
          </cell>
          <cell r="AD71">
            <v>22000</v>
          </cell>
          <cell r="AE71">
            <v>41250</v>
          </cell>
          <cell r="AF71">
            <v>41250</v>
          </cell>
          <cell r="AG71">
            <v>33000</v>
          </cell>
          <cell r="AH71">
            <v>1003750</v>
          </cell>
        </row>
        <row r="72">
          <cell r="C72">
            <v>0</v>
          </cell>
          <cell r="D72">
            <v>0</v>
          </cell>
          <cell r="E72">
            <v>34500</v>
          </cell>
          <cell r="F72">
            <v>0</v>
          </cell>
          <cell r="G72">
            <v>0</v>
          </cell>
          <cell r="H72">
            <v>34500</v>
          </cell>
          <cell r="I72">
            <v>0</v>
          </cell>
          <cell r="J72">
            <v>0</v>
          </cell>
          <cell r="K72">
            <v>0</v>
          </cell>
          <cell r="L72">
            <v>0</v>
          </cell>
          <cell r="M72">
            <v>0</v>
          </cell>
          <cell r="N72">
            <v>34500</v>
          </cell>
          <cell r="O72">
            <v>0</v>
          </cell>
          <cell r="P72">
            <v>34500</v>
          </cell>
          <cell r="Q72">
            <v>0</v>
          </cell>
          <cell r="R72">
            <v>34500</v>
          </cell>
          <cell r="S72">
            <v>0</v>
          </cell>
          <cell r="T72">
            <v>0</v>
          </cell>
          <cell r="U72">
            <v>34500</v>
          </cell>
          <cell r="V72">
            <v>0</v>
          </cell>
          <cell r="W72">
            <v>0</v>
          </cell>
          <cell r="X72">
            <v>34500</v>
          </cell>
          <cell r="Y72">
            <v>0</v>
          </cell>
          <cell r="Z72">
            <v>0</v>
          </cell>
          <cell r="AA72">
            <v>34500</v>
          </cell>
          <cell r="AB72">
            <v>0</v>
          </cell>
          <cell r="AC72">
            <v>0</v>
          </cell>
          <cell r="AD72">
            <v>34500</v>
          </cell>
          <cell r="AE72">
            <v>0</v>
          </cell>
          <cell r="AF72">
            <v>0</v>
          </cell>
          <cell r="AG72">
            <v>34500</v>
          </cell>
          <cell r="AH72">
            <v>345000</v>
          </cell>
        </row>
        <row r="73">
          <cell r="C73">
            <v>69000</v>
          </cell>
          <cell r="D73">
            <v>34500</v>
          </cell>
          <cell r="E73">
            <v>34500</v>
          </cell>
          <cell r="F73">
            <v>34500</v>
          </cell>
          <cell r="G73">
            <v>34500</v>
          </cell>
          <cell r="H73">
            <v>69000</v>
          </cell>
          <cell r="I73">
            <v>34500</v>
          </cell>
          <cell r="J73">
            <v>34500</v>
          </cell>
          <cell r="K73">
            <v>34500</v>
          </cell>
          <cell r="L73">
            <v>0</v>
          </cell>
          <cell r="M73">
            <v>34500</v>
          </cell>
          <cell r="N73">
            <v>34500</v>
          </cell>
          <cell r="O73">
            <v>34500</v>
          </cell>
          <cell r="P73">
            <v>34500</v>
          </cell>
          <cell r="Q73">
            <v>69000</v>
          </cell>
          <cell r="R73">
            <v>0</v>
          </cell>
          <cell r="S73">
            <v>69000</v>
          </cell>
          <cell r="T73">
            <v>34500</v>
          </cell>
          <cell r="U73">
            <v>34500</v>
          </cell>
          <cell r="V73">
            <v>69000</v>
          </cell>
          <cell r="W73">
            <v>34500</v>
          </cell>
          <cell r="X73">
            <v>34500</v>
          </cell>
          <cell r="Y73">
            <v>0</v>
          </cell>
          <cell r="Z73">
            <v>69000</v>
          </cell>
          <cell r="AA73">
            <v>34500</v>
          </cell>
          <cell r="AB73">
            <v>34500</v>
          </cell>
          <cell r="AC73">
            <v>0</v>
          </cell>
          <cell r="AD73">
            <v>34500</v>
          </cell>
          <cell r="AE73">
            <v>69000</v>
          </cell>
          <cell r="AF73">
            <v>34500</v>
          </cell>
          <cell r="AG73">
            <v>34500</v>
          </cell>
          <cell r="AH73">
            <v>1173000</v>
          </cell>
        </row>
        <row r="74">
          <cell r="C74">
            <v>0</v>
          </cell>
          <cell r="D74">
            <v>0</v>
          </cell>
          <cell r="E74">
            <v>34500</v>
          </cell>
          <cell r="F74">
            <v>0</v>
          </cell>
          <cell r="G74">
            <v>0</v>
          </cell>
          <cell r="H74">
            <v>34500</v>
          </cell>
          <cell r="I74">
            <v>0</v>
          </cell>
          <cell r="J74">
            <v>0</v>
          </cell>
          <cell r="K74">
            <v>34500</v>
          </cell>
          <cell r="L74">
            <v>0</v>
          </cell>
          <cell r="M74">
            <v>34500</v>
          </cell>
          <cell r="N74">
            <v>0</v>
          </cell>
          <cell r="O74">
            <v>34500</v>
          </cell>
          <cell r="P74">
            <v>0</v>
          </cell>
          <cell r="Q74">
            <v>34500</v>
          </cell>
          <cell r="R74">
            <v>0</v>
          </cell>
          <cell r="S74">
            <v>0</v>
          </cell>
          <cell r="T74">
            <v>34500</v>
          </cell>
          <cell r="U74">
            <v>0</v>
          </cell>
          <cell r="V74">
            <v>0</v>
          </cell>
          <cell r="W74">
            <v>0</v>
          </cell>
          <cell r="X74">
            <v>34500</v>
          </cell>
          <cell r="Y74">
            <v>0</v>
          </cell>
          <cell r="Z74">
            <v>34500</v>
          </cell>
          <cell r="AA74">
            <v>0</v>
          </cell>
          <cell r="AB74">
            <v>0</v>
          </cell>
          <cell r="AC74">
            <v>34500</v>
          </cell>
          <cell r="AD74">
            <v>0</v>
          </cell>
          <cell r="AE74">
            <v>34500</v>
          </cell>
          <cell r="AF74">
            <v>0</v>
          </cell>
          <cell r="AG74">
            <v>0</v>
          </cell>
          <cell r="AH74">
            <v>379500</v>
          </cell>
        </row>
        <row r="75">
          <cell r="C75">
            <v>165715</v>
          </cell>
          <cell r="D75">
            <v>143215</v>
          </cell>
          <cell r="E75">
            <v>192465</v>
          </cell>
          <cell r="F75">
            <v>175465</v>
          </cell>
          <cell r="G75">
            <v>158465</v>
          </cell>
          <cell r="H75">
            <v>250465</v>
          </cell>
          <cell r="I75">
            <v>211465</v>
          </cell>
          <cell r="J75">
            <v>155965</v>
          </cell>
          <cell r="K75">
            <v>156965</v>
          </cell>
          <cell r="L75">
            <v>98215</v>
          </cell>
          <cell r="M75">
            <v>108465</v>
          </cell>
          <cell r="N75">
            <v>118715</v>
          </cell>
          <cell r="O75">
            <v>128965</v>
          </cell>
          <cell r="P75">
            <v>119965</v>
          </cell>
          <cell r="Q75">
            <v>145465</v>
          </cell>
          <cell r="R75">
            <v>131215</v>
          </cell>
          <cell r="S75">
            <v>141465</v>
          </cell>
          <cell r="T75">
            <v>151715</v>
          </cell>
          <cell r="U75">
            <v>161965</v>
          </cell>
          <cell r="V75">
            <v>172215</v>
          </cell>
          <cell r="W75">
            <v>128715</v>
          </cell>
          <cell r="X75">
            <v>154215</v>
          </cell>
          <cell r="Y75">
            <v>95465</v>
          </cell>
          <cell r="Z75">
            <v>120965</v>
          </cell>
          <cell r="AA75">
            <v>89965</v>
          </cell>
          <cell r="AB75">
            <v>65715</v>
          </cell>
          <cell r="AC75">
            <v>41465</v>
          </cell>
          <cell r="AD75">
            <v>32465</v>
          </cell>
          <cell r="AE75">
            <v>77215</v>
          </cell>
          <cell r="AF75">
            <v>52965</v>
          </cell>
          <cell r="AG75">
            <v>54965</v>
          </cell>
          <cell r="AH75"/>
        </row>
        <row r="76">
          <cell r="C76"/>
          <cell r="D76"/>
          <cell r="E76"/>
          <cell r="F76"/>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row>
        <row r="77">
          <cell r="C77"/>
          <cell r="D77"/>
          <cell r="E77"/>
          <cell r="F77"/>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row>
        <row r="78">
          <cell r="C78">
            <v>13990</v>
          </cell>
          <cell r="D78">
            <v>9080</v>
          </cell>
          <cell r="E78">
            <v>4170</v>
          </cell>
          <cell r="F78">
            <v>34260</v>
          </cell>
          <cell r="G78">
            <v>66360</v>
          </cell>
          <cell r="H78">
            <v>64460</v>
          </cell>
          <cell r="I78">
            <v>96560</v>
          </cell>
          <cell r="J78">
            <v>91650</v>
          </cell>
          <cell r="K78">
            <v>86740</v>
          </cell>
          <cell r="L78">
            <v>58840</v>
          </cell>
          <cell r="M78">
            <v>55925</v>
          </cell>
          <cell r="N78">
            <v>56025</v>
          </cell>
          <cell r="O78">
            <v>58125</v>
          </cell>
          <cell r="P78">
            <v>56215</v>
          </cell>
          <cell r="Q78">
            <v>54305</v>
          </cell>
          <cell r="R78">
            <v>30395</v>
          </cell>
          <cell r="S78">
            <v>28485</v>
          </cell>
          <cell r="T78">
            <v>26575</v>
          </cell>
          <cell r="U78">
            <v>26675</v>
          </cell>
          <cell r="V78">
            <v>48775</v>
          </cell>
          <cell r="W78">
            <v>45875</v>
          </cell>
          <cell r="X78">
            <v>42975</v>
          </cell>
          <cell r="Y78">
            <v>40075</v>
          </cell>
          <cell r="Z78">
            <v>37175</v>
          </cell>
          <cell r="AA78">
            <v>34275</v>
          </cell>
          <cell r="AB78">
            <v>31375</v>
          </cell>
          <cell r="AC78">
            <v>28475</v>
          </cell>
          <cell r="AD78">
            <v>25575</v>
          </cell>
          <cell r="AE78">
            <v>22675</v>
          </cell>
          <cell r="AF78">
            <v>19775</v>
          </cell>
          <cell r="AG78">
            <v>16875</v>
          </cell>
          <cell r="AH78"/>
        </row>
        <row r="79">
          <cell r="C79">
            <v>0</v>
          </cell>
          <cell r="D79">
            <v>0</v>
          </cell>
          <cell r="E79">
            <v>35000</v>
          </cell>
          <cell r="F79">
            <v>35000</v>
          </cell>
          <cell r="G79">
            <v>35000</v>
          </cell>
          <cell r="H79">
            <v>35000</v>
          </cell>
          <cell r="I79">
            <v>0</v>
          </cell>
          <cell r="J79">
            <v>0</v>
          </cell>
          <cell r="K79">
            <v>0</v>
          </cell>
          <cell r="L79">
            <v>37000</v>
          </cell>
          <cell r="M79">
            <v>37000</v>
          </cell>
          <cell r="N79">
            <v>37000</v>
          </cell>
          <cell r="O79">
            <v>37000</v>
          </cell>
          <cell r="P79">
            <v>37000</v>
          </cell>
          <cell r="Q79">
            <v>37000</v>
          </cell>
          <cell r="R79">
            <v>37000</v>
          </cell>
          <cell r="S79">
            <v>37000</v>
          </cell>
          <cell r="T79">
            <v>37000</v>
          </cell>
          <cell r="U79">
            <v>25000</v>
          </cell>
          <cell r="V79">
            <v>0</v>
          </cell>
          <cell r="W79">
            <v>0</v>
          </cell>
          <cell r="X79">
            <v>0</v>
          </cell>
          <cell r="Y79">
            <v>0</v>
          </cell>
          <cell r="Z79">
            <v>0</v>
          </cell>
          <cell r="AA79">
            <v>0</v>
          </cell>
          <cell r="AB79">
            <v>0</v>
          </cell>
          <cell r="AC79">
            <v>0</v>
          </cell>
          <cell r="AD79">
            <v>0</v>
          </cell>
          <cell r="AE79">
            <v>0</v>
          </cell>
          <cell r="AF79">
            <v>0</v>
          </cell>
          <cell r="AG79">
            <v>0</v>
          </cell>
          <cell r="AH79">
            <v>498000</v>
          </cell>
        </row>
        <row r="80">
          <cell r="C80">
            <v>0</v>
          </cell>
          <cell r="D80">
            <v>0</v>
          </cell>
          <cell r="E80">
            <v>0</v>
          </cell>
          <cell r="F80">
            <v>0</v>
          </cell>
          <cell r="G80">
            <v>34000</v>
          </cell>
          <cell r="H80">
            <v>0</v>
          </cell>
          <cell r="I80">
            <v>0</v>
          </cell>
          <cell r="J80">
            <v>0</v>
          </cell>
          <cell r="K80">
            <v>22000</v>
          </cell>
          <cell r="L80">
            <v>34000</v>
          </cell>
          <cell r="M80">
            <v>34000</v>
          </cell>
          <cell r="N80">
            <v>32000</v>
          </cell>
          <cell r="O80">
            <v>34000</v>
          </cell>
          <cell r="P80">
            <v>34000</v>
          </cell>
          <cell r="Q80">
            <v>56000</v>
          </cell>
          <cell r="R80">
            <v>34000</v>
          </cell>
          <cell r="S80">
            <v>34000</v>
          </cell>
          <cell r="T80">
            <v>34000</v>
          </cell>
          <cell r="U80">
            <v>0</v>
          </cell>
          <cell r="V80">
            <v>0</v>
          </cell>
          <cell r="W80">
            <v>0</v>
          </cell>
          <cell r="X80">
            <v>0</v>
          </cell>
          <cell r="Y80">
            <v>0</v>
          </cell>
          <cell r="Z80">
            <v>0</v>
          </cell>
          <cell r="AA80">
            <v>0</v>
          </cell>
          <cell r="AB80">
            <v>0</v>
          </cell>
          <cell r="AC80">
            <v>0</v>
          </cell>
          <cell r="AD80">
            <v>0</v>
          </cell>
          <cell r="AE80">
            <v>0</v>
          </cell>
          <cell r="AF80">
            <v>0</v>
          </cell>
          <cell r="AG80">
            <v>0</v>
          </cell>
          <cell r="AH80">
            <v>382000</v>
          </cell>
        </row>
        <row r="81">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row>
        <row r="82">
          <cell r="C82">
            <v>2010</v>
          </cell>
          <cell r="D82">
            <v>2010</v>
          </cell>
          <cell r="E82">
            <v>2010</v>
          </cell>
          <cell r="F82">
            <v>0</v>
          </cell>
          <cell r="G82">
            <v>0</v>
          </cell>
          <cell r="H82">
            <v>0</v>
          </cell>
          <cell r="I82">
            <v>2010</v>
          </cell>
          <cell r="J82">
            <v>2010</v>
          </cell>
          <cell r="K82">
            <v>3000</v>
          </cell>
          <cell r="L82">
            <v>3015</v>
          </cell>
          <cell r="M82">
            <v>0</v>
          </cell>
          <cell r="N82">
            <v>0</v>
          </cell>
          <cell r="O82">
            <v>2010</v>
          </cell>
          <cell r="P82">
            <v>2010</v>
          </cell>
          <cell r="Q82">
            <v>2010</v>
          </cell>
          <cell r="R82">
            <v>2010</v>
          </cell>
          <cell r="S82">
            <v>2010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26115</v>
          </cell>
        </row>
        <row r="83">
          <cell r="C83">
            <v>2900</v>
          </cell>
          <cell r="D83">
            <v>2900</v>
          </cell>
          <cell r="E83">
            <v>2900</v>
          </cell>
          <cell r="F83">
            <v>2900</v>
          </cell>
          <cell r="G83">
            <v>2900</v>
          </cell>
          <cell r="H83">
            <v>2900</v>
          </cell>
          <cell r="I83">
            <v>2900</v>
          </cell>
          <cell r="J83">
            <v>2900</v>
          </cell>
          <cell r="K83">
            <v>2900</v>
          </cell>
          <cell r="L83">
            <v>2900</v>
          </cell>
          <cell r="M83">
            <v>2900</v>
          </cell>
          <cell r="N83">
            <v>2900</v>
          </cell>
          <cell r="O83">
            <v>2900</v>
          </cell>
          <cell r="P83">
            <v>2900</v>
          </cell>
          <cell r="Q83">
            <v>2900</v>
          </cell>
          <cell r="R83">
            <v>2900</v>
          </cell>
          <cell r="S83">
            <v>2900</v>
          </cell>
          <cell r="T83">
            <v>2900</v>
          </cell>
          <cell r="U83">
            <v>2900</v>
          </cell>
          <cell r="V83">
            <v>2900</v>
          </cell>
          <cell r="W83">
            <v>2900</v>
          </cell>
          <cell r="X83">
            <v>2900</v>
          </cell>
          <cell r="Y83">
            <v>2900</v>
          </cell>
          <cell r="Z83">
            <v>2900</v>
          </cell>
          <cell r="AA83">
            <v>2900</v>
          </cell>
          <cell r="AB83">
            <v>2900</v>
          </cell>
          <cell r="AC83">
            <v>2900</v>
          </cell>
          <cell r="AD83">
            <v>2900</v>
          </cell>
          <cell r="AE83">
            <v>2900</v>
          </cell>
          <cell r="AF83">
            <v>2900</v>
          </cell>
          <cell r="AG83">
            <v>0</v>
          </cell>
          <cell r="AH83">
            <v>87000</v>
          </cell>
        </row>
        <row r="84">
          <cell r="C84">
            <v>9080</v>
          </cell>
          <cell r="D84">
            <v>4170</v>
          </cell>
          <cell r="E84">
            <v>34260</v>
          </cell>
          <cell r="F84">
            <v>66360</v>
          </cell>
          <cell r="G84">
            <v>64460</v>
          </cell>
          <cell r="H84">
            <v>96560</v>
          </cell>
          <cell r="I84">
            <v>91650</v>
          </cell>
          <cell r="J84">
            <v>86740</v>
          </cell>
          <cell r="K84">
            <v>58840</v>
          </cell>
          <cell r="L84">
            <v>55925</v>
          </cell>
          <cell r="M84">
            <v>56025</v>
          </cell>
          <cell r="N84">
            <v>58125</v>
          </cell>
          <cell r="O84">
            <v>56215</v>
          </cell>
          <cell r="P84">
            <v>54305</v>
          </cell>
          <cell r="Q84">
            <v>30395</v>
          </cell>
          <cell r="R84">
            <v>28485</v>
          </cell>
          <cell r="S84">
            <v>26575</v>
          </cell>
          <cell r="T84">
            <v>26675</v>
          </cell>
          <cell r="U84">
            <v>48775</v>
          </cell>
          <cell r="V84">
            <v>45875</v>
          </cell>
          <cell r="W84">
            <v>42975</v>
          </cell>
          <cell r="X84">
            <v>40075</v>
          </cell>
          <cell r="Y84">
            <v>37175</v>
          </cell>
          <cell r="Z84">
            <v>34275</v>
          </cell>
          <cell r="AA84">
            <v>31375</v>
          </cell>
          <cell r="AB84">
            <v>28475</v>
          </cell>
          <cell r="AC84">
            <v>25575</v>
          </cell>
          <cell r="AD84">
            <v>22675</v>
          </cell>
          <cell r="AE84">
            <v>19775</v>
          </cell>
          <cell r="AF84">
            <v>16875</v>
          </cell>
          <cell r="AG84">
            <v>16875</v>
          </cell>
          <cell r="AH84"/>
        </row>
        <row r="85">
          <cell r="C85"/>
          <cell r="D85"/>
          <cell r="E85"/>
          <cell r="F85"/>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row>
        <row r="86">
          <cell r="C86"/>
          <cell r="D86"/>
          <cell r="E86"/>
          <cell r="F86"/>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row>
        <row r="87">
          <cell r="C87">
            <v>347022</v>
          </cell>
          <cell r="D87">
            <v>349022</v>
          </cell>
          <cell r="E87">
            <v>316522</v>
          </cell>
          <cell r="F87">
            <v>319522</v>
          </cell>
          <cell r="G87">
            <v>288522</v>
          </cell>
          <cell r="H87">
            <v>290522</v>
          </cell>
          <cell r="I87">
            <v>259522</v>
          </cell>
          <cell r="J87">
            <v>230522</v>
          </cell>
          <cell r="K87">
            <v>439522</v>
          </cell>
          <cell r="L87">
            <v>410522</v>
          </cell>
          <cell r="M87">
            <v>381522</v>
          </cell>
          <cell r="N87">
            <v>320522</v>
          </cell>
          <cell r="O87">
            <v>289522</v>
          </cell>
          <cell r="P87">
            <v>292522</v>
          </cell>
          <cell r="Q87">
            <v>331522</v>
          </cell>
          <cell r="R87">
            <v>334522</v>
          </cell>
          <cell r="S87">
            <v>303522</v>
          </cell>
          <cell r="T87">
            <v>306522</v>
          </cell>
          <cell r="U87">
            <v>275522</v>
          </cell>
          <cell r="V87">
            <v>278522</v>
          </cell>
          <cell r="W87">
            <v>281522</v>
          </cell>
          <cell r="X87">
            <v>320522</v>
          </cell>
          <cell r="Y87">
            <v>289522</v>
          </cell>
          <cell r="Z87">
            <v>258522</v>
          </cell>
          <cell r="AA87">
            <v>229522</v>
          </cell>
          <cell r="AB87">
            <v>438522</v>
          </cell>
          <cell r="AC87">
            <v>343522</v>
          </cell>
          <cell r="AD87">
            <v>248522</v>
          </cell>
          <cell r="AE87">
            <v>219522</v>
          </cell>
          <cell r="AF87">
            <v>223522</v>
          </cell>
          <cell r="AG87">
            <v>194522</v>
          </cell>
          <cell r="AH87"/>
        </row>
        <row r="88">
          <cell r="C88">
            <v>92000</v>
          </cell>
          <cell r="D88">
            <v>92000</v>
          </cell>
          <cell r="E88">
            <v>92000</v>
          </cell>
          <cell r="F88">
            <v>92000</v>
          </cell>
          <cell r="G88">
            <v>92000</v>
          </cell>
          <cell r="H88">
            <v>92000</v>
          </cell>
          <cell r="I88">
            <v>92000</v>
          </cell>
          <cell r="J88">
            <v>92000</v>
          </cell>
          <cell r="K88">
            <v>92000</v>
          </cell>
          <cell r="L88">
            <v>92000</v>
          </cell>
          <cell r="M88">
            <v>92000</v>
          </cell>
          <cell r="N88">
            <v>92000</v>
          </cell>
          <cell r="O88">
            <v>92000</v>
          </cell>
          <cell r="P88">
            <v>92000</v>
          </cell>
          <cell r="Q88">
            <v>92000</v>
          </cell>
          <cell r="R88">
            <v>92000</v>
          </cell>
          <cell r="S88">
            <v>92000</v>
          </cell>
          <cell r="T88">
            <v>92000</v>
          </cell>
          <cell r="U88">
            <v>92000</v>
          </cell>
          <cell r="V88">
            <v>92000</v>
          </cell>
          <cell r="W88">
            <v>92000</v>
          </cell>
          <cell r="X88">
            <v>92000</v>
          </cell>
          <cell r="Y88">
            <v>92000</v>
          </cell>
          <cell r="Z88">
            <v>92000</v>
          </cell>
          <cell r="AA88">
            <v>92000</v>
          </cell>
          <cell r="AB88">
            <v>92000</v>
          </cell>
          <cell r="AC88">
            <v>92000</v>
          </cell>
          <cell r="AD88">
            <v>92000</v>
          </cell>
          <cell r="AE88">
            <v>92000</v>
          </cell>
          <cell r="AF88">
            <v>92000</v>
          </cell>
          <cell r="AG88">
            <v>50000</v>
          </cell>
          <cell r="AH88">
            <v>2810000</v>
          </cell>
        </row>
        <row r="89">
          <cell r="C89">
            <v>117000</v>
          </cell>
          <cell r="D89">
            <v>117000</v>
          </cell>
          <cell r="E89">
            <v>117000</v>
          </cell>
          <cell r="F89">
            <v>117000</v>
          </cell>
          <cell r="G89">
            <v>117000</v>
          </cell>
          <cell r="H89">
            <v>117000</v>
          </cell>
          <cell r="I89">
            <v>117000</v>
          </cell>
          <cell r="J89">
            <v>117000</v>
          </cell>
          <cell r="K89">
            <v>117000</v>
          </cell>
          <cell r="L89">
            <v>117000</v>
          </cell>
          <cell r="M89">
            <v>117000</v>
          </cell>
          <cell r="N89">
            <v>117000</v>
          </cell>
          <cell r="O89">
            <v>117000</v>
          </cell>
          <cell r="P89">
            <v>117000</v>
          </cell>
          <cell r="Q89">
            <v>117000</v>
          </cell>
          <cell r="R89">
            <v>117000</v>
          </cell>
          <cell r="S89">
            <v>117000</v>
          </cell>
          <cell r="T89">
            <v>117000</v>
          </cell>
          <cell r="U89">
            <v>117000</v>
          </cell>
          <cell r="V89">
            <v>117000</v>
          </cell>
          <cell r="W89">
            <v>117000</v>
          </cell>
          <cell r="X89">
            <v>117000</v>
          </cell>
          <cell r="Y89">
            <v>117000</v>
          </cell>
          <cell r="Z89">
            <v>117000</v>
          </cell>
          <cell r="AA89">
            <v>117000</v>
          </cell>
          <cell r="AB89">
            <v>117000</v>
          </cell>
          <cell r="AC89">
            <v>117000</v>
          </cell>
          <cell r="AD89">
            <v>117000</v>
          </cell>
          <cell r="AE89">
            <v>117000</v>
          </cell>
          <cell r="AF89">
            <v>117000</v>
          </cell>
          <cell r="AG89">
            <v>50000</v>
          </cell>
          <cell r="AH89">
            <v>3560000</v>
          </cell>
        </row>
        <row r="90">
          <cell r="C90">
            <v>209000</v>
          </cell>
          <cell r="D90">
            <v>209000</v>
          </cell>
          <cell r="E90">
            <v>209000</v>
          </cell>
          <cell r="F90">
            <v>209000</v>
          </cell>
          <cell r="G90">
            <v>209000</v>
          </cell>
          <cell r="H90">
            <v>209000</v>
          </cell>
          <cell r="I90">
            <v>209000</v>
          </cell>
          <cell r="J90">
            <v>209000</v>
          </cell>
          <cell r="K90">
            <v>209000</v>
          </cell>
          <cell r="L90">
            <v>209000</v>
          </cell>
          <cell r="M90">
            <v>209000</v>
          </cell>
          <cell r="N90">
            <v>209000</v>
          </cell>
          <cell r="O90">
            <v>209000</v>
          </cell>
          <cell r="P90">
            <v>209000</v>
          </cell>
          <cell r="Q90">
            <v>209000</v>
          </cell>
          <cell r="R90">
            <v>209000</v>
          </cell>
          <cell r="S90">
            <v>209000</v>
          </cell>
          <cell r="T90">
            <v>209000</v>
          </cell>
          <cell r="U90">
            <v>209000</v>
          </cell>
          <cell r="V90">
            <v>209000</v>
          </cell>
          <cell r="W90">
            <v>209000</v>
          </cell>
          <cell r="X90">
            <v>209000</v>
          </cell>
          <cell r="Y90">
            <v>209000</v>
          </cell>
          <cell r="Z90">
            <v>209000</v>
          </cell>
          <cell r="AA90">
            <v>209000</v>
          </cell>
          <cell r="AB90">
            <v>209000</v>
          </cell>
          <cell r="AC90">
            <v>209000</v>
          </cell>
          <cell r="AD90">
            <v>209000</v>
          </cell>
          <cell r="AE90">
            <v>209000</v>
          </cell>
          <cell r="AF90">
            <v>209000</v>
          </cell>
          <cell r="AG90">
            <v>100000</v>
          </cell>
          <cell r="AH90">
            <v>6370000</v>
          </cell>
        </row>
        <row r="91">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row>
        <row r="92">
          <cell r="C92">
            <v>111000</v>
          </cell>
          <cell r="D92">
            <v>177500</v>
          </cell>
          <cell r="E92">
            <v>206000</v>
          </cell>
          <cell r="F92">
            <v>240000</v>
          </cell>
          <cell r="G92">
            <v>207000</v>
          </cell>
          <cell r="H92">
            <v>240000</v>
          </cell>
          <cell r="I92">
            <v>238000</v>
          </cell>
          <cell r="J92">
            <v>0</v>
          </cell>
          <cell r="K92">
            <v>238000</v>
          </cell>
          <cell r="L92">
            <v>238000</v>
          </cell>
          <cell r="M92">
            <v>270000</v>
          </cell>
          <cell r="N92">
            <v>240000</v>
          </cell>
          <cell r="O92">
            <v>206000</v>
          </cell>
          <cell r="P92">
            <v>170000</v>
          </cell>
          <cell r="Q92">
            <v>206000</v>
          </cell>
          <cell r="R92">
            <v>240000</v>
          </cell>
          <cell r="S92">
            <v>206000</v>
          </cell>
          <cell r="T92">
            <v>240000</v>
          </cell>
          <cell r="U92">
            <v>206000</v>
          </cell>
          <cell r="V92">
            <v>206000</v>
          </cell>
          <cell r="W92">
            <v>170000</v>
          </cell>
          <cell r="X92">
            <v>240000</v>
          </cell>
          <cell r="Y92">
            <v>240000</v>
          </cell>
          <cell r="Z92">
            <v>238000</v>
          </cell>
          <cell r="AA92">
            <v>0</v>
          </cell>
          <cell r="AB92">
            <v>304000</v>
          </cell>
          <cell r="AC92">
            <v>304000</v>
          </cell>
          <cell r="AD92">
            <v>238000</v>
          </cell>
          <cell r="AE92">
            <v>205000</v>
          </cell>
          <cell r="AF92">
            <v>238000</v>
          </cell>
          <cell r="AG92">
            <v>237500</v>
          </cell>
          <cell r="AH92">
            <v>6500000</v>
          </cell>
        </row>
        <row r="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row>
        <row r="94">
          <cell r="C94">
            <v>96000</v>
          </cell>
          <cell r="D94">
            <v>64000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160000</v>
          </cell>
        </row>
        <row r="95">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row>
        <row r="96">
          <cell r="C96">
            <v>207000</v>
          </cell>
          <cell r="D96">
            <v>241500</v>
          </cell>
          <cell r="E96">
            <v>206000</v>
          </cell>
          <cell r="F96">
            <v>240000</v>
          </cell>
          <cell r="G96">
            <v>207000</v>
          </cell>
          <cell r="H96">
            <v>240000</v>
          </cell>
          <cell r="I96">
            <v>238000</v>
          </cell>
          <cell r="J96">
            <v>0</v>
          </cell>
          <cell r="K96">
            <v>238000</v>
          </cell>
          <cell r="L96">
            <v>238000</v>
          </cell>
          <cell r="M96">
            <v>270000</v>
          </cell>
          <cell r="N96">
            <v>240000</v>
          </cell>
          <cell r="O96">
            <v>206000</v>
          </cell>
          <cell r="P96">
            <v>170000</v>
          </cell>
          <cell r="Q96">
            <v>206000</v>
          </cell>
          <cell r="R96">
            <v>240000</v>
          </cell>
          <cell r="S96">
            <v>206000</v>
          </cell>
          <cell r="T96">
            <v>240000</v>
          </cell>
          <cell r="U96">
            <v>206000</v>
          </cell>
          <cell r="V96">
            <v>206000</v>
          </cell>
          <cell r="W96">
            <v>170000</v>
          </cell>
          <cell r="X96">
            <v>240000</v>
          </cell>
          <cell r="Y96">
            <v>240000</v>
          </cell>
          <cell r="Z96">
            <v>238000</v>
          </cell>
          <cell r="AA96">
            <v>0</v>
          </cell>
          <cell r="AB96">
            <v>304000</v>
          </cell>
          <cell r="AC96">
            <v>304000</v>
          </cell>
          <cell r="AD96">
            <v>238000</v>
          </cell>
          <cell r="AE96">
            <v>205000</v>
          </cell>
          <cell r="AF96">
            <v>238000</v>
          </cell>
          <cell r="AG96">
            <v>237500</v>
          </cell>
          <cell r="AH96">
            <v>6660000</v>
          </cell>
        </row>
        <row r="97">
          <cell r="C97">
            <v>349022</v>
          </cell>
          <cell r="D97">
            <v>316522</v>
          </cell>
          <cell r="E97">
            <v>319522</v>
          </cell>
          <cell r="F97">
            <v>288522</v>
          </cell>
          <cell r="G97">
            <v>290522</v>
          </cell>
          <cell r="H97">
            <v>259522</v>
          </cell>
          <cell r="I97">
            <v>230522</v>
          </cell>
          <cell r="J97">
            <v>439522</v>
          </cell>
          <cell r="K97">
            <v>410522</v>
          </cell>
          <cell r="L97">
            <v>381522</v>
          </cell>
          <cell r="M97">
            <v>320522</v>
          </cell>
          <cell r="N97">
            <v>289522</v>
          </cell>
          <cell r="O97">
            <v>292522</v>
          </cell>
          <cell r="P97">
            <v>331522</v>
          </cell>
          <cell r="Q97">
            <v>334522</v>
          </cell>
          <cell r="R97">
            <v>303522</v>
          </cell>
          <cell r="S97">
            <v>306522</v>
          </cell>
          <cell r="T97">
            <v>275522</v>
          </cell>
          <cell r="U97">
            <v>278522</v>
          </cell>
          <cell r="V97">
            <v>281522</v>
          </cell>
          <cell r="W97">
            <v>320522</v>
          </cell>
          <cell r="X97">
            <v>289522</v>
          </cell>
          <cell r="Y97">
            <v>258522</v>
          </cell>
          <cell r="Z97">
            <v>229522</v>
          </cell>
          <cell r="AA97">
            <v>438522</v>
          </cell>
          <cell r="AB97">
            <v>343522</v>
          </cell>
          <cell r="AC97">
            <v>248522</v>
          </cell>
          <cell r="AD97">
            <v>219522</v>
          </cell>
          <cell r="AE97">
            <v>223522</v>
          </cell>
          <cell r="AF97">
            <v>194522</v>
          </cell>
          <cell r="AG97">
            <v>57022</v>
          </cell>
          <cell r="AH97"/>
        </row>
        <row r="98">
          <cell r="C98"/>
          <cell r="D98"/>
          <cell r="E98"/>
          <cell r="F98"/>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row>
        <row r="99">
          <cell r="C99"/>
          <cell r="D99"/>
          <cell r="E99"/>
          <cell r="F99"/>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row>
        <row r="100">
          <cell r="C100">
            <v>402923</v>
          </cell>
          <cell r="D100">
            <v>355824.67305681424</v>
          </cell>
          <cell r="E100">
            <v>297726.34611362847</v>
          </cell>
          <cell r="F100">
            <v>239628.01917044271</v>
          </cell>
          <cell r="G100">
            <v>194929.69222725695</v>
          </cell>
          <cell r="H100">
            <v>183731.36528407119</v>
          </cell>
          <cell r="I100">
            <v>172533.03834088542</v>
          </cell>
          <cell r="J100">
            <v>214934.71139769966</v>
          </cell>
          <cell r="K100">
            <v>257336.3844545139</v>
          </cell>
          <cell r="L100">
            <v>192638.05751132814</v>
          </cell>
          <cell r="M100">
            <v>161339.73056814237</v>
          </cell>
          <cell r="N100">
            <v>150141.40362495661</v>
          </cell>
          <cell r="O100">
            <v>138943.07668177085</v>
          </cell>
          <cell r="P100">
            <v>114344.74973858509</v>
          </cell>
          <cell r="Q100">
            <v>123246.42279539932</v>
          </cell>
          <cell r="R100">
            <v>132148.09585221356</v>
          </cell>
          <cell r="S100">
            <v>141049.7689090278</v>
          </cell>
          <cell r="T100">
            <v>116451.44196584204</v>
          </cell>
          <cell r="U100">
            <v>138753.11502265627</v>
          </cell>
          <cell r="V100">
            <v>127554.78807947051</v>
          </cell>
          <cell r="W100">
            <v>116356.46113628475</v>
          </cell>
          <cell r="X100">
            <v>138658.13419309899</v>
          </cell>
          <cell r="Y100">
            <v>160959.80724991322</v>
          </cell>
          <cell r="Z100">
            <v>116261.48030672746</v>
          </cell>
          <cell r="AA100">
            <v>105063.1533635417</v>
          </cell>
          <cell r="AB100">
            <v>160864.82642035594</v>
          </cell>
          <cell r="AC100">
            <v>149666.49947717017</v>
          </cell>
          <cell r="AD100">
            <v>138468.17253398441</v>
          </cell>
          <cell r="AE100">
            <v>127269.84559079865</v>
          </cell>
          <cell r="AF100">
            <v>116071.51864761289</v>
          </cell>
          <cell r="AG100">
            <v>104373.19170442712</v>
          </cell>
          <cell r="AH100"/>
        </row>
        <row r="101">
          <cell r="C101">
            <v>29854.304635761582</v>
          </cell>
          <cell r="D101">
            <v>29854.304635761582</v>
          </cell>
          <cell r="E101">
            <v>29854.304635761582</v>
          </cell>
          <cell r="F101">
            <v>29854.304635761582</v>
          </cell>
          <cell r="G101">
            <v>29854.304635761582</v>
          </cell>
          <cell r="H101">
            <v>29854.304635761582</v>
          </cell>
          <cell r="I101">
            <v>29854.304635761582</v>
          </cell>
          <cell r="J101">
            <v>29854.304635761582</v>
          </cell>
          <cell r="K101">
            <v>29854.304635761582</v>
          </cell>
          <cell r="L101">
            <v>29854.304635761582</v>
          </cell>
          <cell r="M101">
            <v>29854.304635761582</v>
          </cell>
          <cell r="N101">
            <v>29854.304635761582</v>
          </cell>
          <cell r="O101">
            <v>29854.304635761582</v>
          </cell>
          <cell r="P101">
            <v>29854.304635761582</v>
          </cell>
          <cell r="Q101">
            <v>29854.304635761582</v>
          </cell>
          <cell r="R101">
            <v>29854.304635761582</v>
          </cell>
          <cell r="S101">
            <v>29854.304635761582</v>
          </cell>
          <cell r="T101">
            <v>29854.304635761582</v>
          </cell>
          <cell r="U101">
            <v>29854.304635761582</v>
          </cell>
          <cell r="V101">
            <v>29854.304635761582</v>
          </cell>
          <cell r="W101">
            <v>29854.304635761582</v>
          </cell>
          <cell r="X101">
            <v>29854.304635761582</v>
          </cell>
          <cell r="Y101">
            <v>29854.304635761582</v>
          </cell>
          <cell r="Z101">
            <v>29854.304635761582</v>
          </cell>
          <cell r="AA101">
            <v>29854.304635761582</v>
          </cell>
          <cell r="AB101">
            <v>29854.304635761582</v>
          </cell>
          <cell r="AC101">
            <v>29854.304635761582</v>
          </cell>
          <cell r="AD101">
            <v>29854.304635761582</v>
          </cell>
          <cell r="AE101">
            <v>29854.304635761582</v>
          </cell>
          <cell r="AF101">
            <v>29854.304635761582</v>
          </cell>
          <cell r="AG101">
            <v>16225.165562913913</v>
          </cell>
          <cell r="AH101">
            <v>911854.30463576096</v>
          </cell>
        </row>
        <row r="102">
          <cell r="C102">
            <v>36947.368421052641</v>
          </cell>
          <cell r="D102">
            <v>36947.368421052641</v>
          </cell>
          <cell r="E102">
            <v>36947.368421052641</v>
          </cell>
          <cell r="F102">
            <v>36947.368421052641</v>
          </cell>
          <cell r="G102">
            <v>36947.368421052641</v>
          </cell>
          <cell r="H102">
            <v>36947.368421052641</v>
          </cell>
          <cell r="I102">
            <v>36947.368421052641</v>
          </cell>
          <cell r="J102">
            <v>36947.368421052641</v>
          </cell>
          <cell r="K102">
            <v>36947.368421052641</v>
          </cell>
          <cell r="L102">
            <v>36947.368421052641</v>
          </cell>
          <cell r="M102">
            <v>36947.368421052641</v>
          </cell>
          <cell r="N102">
            <v>36947.368421052641</v>
          </cell>
          <cell r="O102">
            <v>36947.368421052641</v>
          </cell>
          <cell r="P102">
            <v>36947.368421052641</v>
          </cell>
          <cell r="Q102">
            <v>36947.368421052641</v>
          </cell>
          <cell r="R102">
            <v>36947.368421052641</v>
          </cell>
          <cell r="S102">
            <v>36947.368421052641</v>
          </cell>
          <cell r="T102">
            <v>36947.368421052641</v>
          </cell>
          <cell r="U102">
            <v>36947.368421052641</v>
          </cell>
          <cell r="V102">
            <v>36947.368421052641</v>
          </cell>
          <cell r="W102">
            <v>36947.368421052641</v>
          </cell>
          <cell r="X102">
            <v>36947.368421052641</v>
          </cell>
          <cell r="Y102">
            <v>36947.368421052641</v>
          </cell>
          <cell r="Z102">
            <v>36947.368421052641</v>
          </cell>
          <cell r="AA102">
            <v>36947.368421052641</v>
          </cell>
          <cell r="AB102">
            <v>36947.368421052641</v>
          </cell>
          <cell r="AC102">
            <v>36947.368421052641</v>
          </cell>
          <cell r="AD102">
            <v>36947.368421052641</v>
          </cell>
          <cell r="AE102">
            <v>36947.368421052641</v>
          </cell>
          <cell r="AF102">
            <v>36947.368421052641</v>
          </cell>
          <cell r="AG102">
            <v>15789.473684210519</v>
          </cell>
          <cell r="AH102">
            <v>1124210.526315789</v>
          </cell>
        </row>
        <row r="103">
          <cell r="C103">
            <v>0</v>
          </cell>
          <cell r="D103">
            <v>11000</v>
          </cell>
          <cell r="E103">
            <v>11000</v>
          </cell>
          <cell r="F103">
            <v>11000</v>
          </cell>
          <cell r="G103">
            <v>11000</v>
          </cell>
          <cell r="H103">
            <v>11000</v>
          </cell>
          <cell r="I103">
            <v>11000</v>
          </cell>
          <cell r="J103">
            <v>11000</v>
          </cell>
          <cell r="K103">
            <v>11000</v>
          </cell>
          <cell r="L103">
            <v>11000</v>
          </cell>
          <cell r="M103">
            <v>11000</v>
          </cell>
          <cell r="N103">
            <v>11000</v>
          </cell>
          <cell r="O103">
            <v>11000</v>
          </cell>
          <cell r="P103">
            <v>11000</v>
          </cell>
          <cell r="Q103">
            <v>11000</v>
          </cell>
          <cell r="R103">
            <v>11000</v>
          </cell>
          <cell r="S103">
            <v>11000</v>
          </cell>
          <cell r="T103">
            <v>11000</v>
          </cell>
          <cell r="U103">
            <v>11000</v>
          </cell>
          <cell r="V103">
            <v>11000</v>
          </cell>
          <cell r="W103">
            <v>11000</v>
          </cell>
          <cell r="X103">
            <v>11000</v>
          </cell>
          <cell r="Y103">
            <v>11000</v>
          </cell>
          <cell r="Z103">
            <v>11000</v>
          </cell>
          <cell r="AA103">
            <v>11000</v>
          </cell>
          <cell r="AB103">
            <v>11000</v>
          </cell>
          <cell r="AC103">
            <v>11000</v>
          </cell>
          <cell r="AD103">
            <v>11000</v>
          </cell>
          <cell r="AE103">
            <v>11000</v>
          </cell>
          <cell r="AF103">
            <v>11000</v>
          </cell>
          <cell r="AG103">
            <v>0</v>
          </cell>
          <cell r="AH103">
            <v>319000</v>
          </cell>
        </row>
        <row r="104">
          <cell r="C104">
            <v>32000</v>
          </cell>
          <cell r="D104">
            <v>0</v>
          </cell>
          <cell r="E104">
            <v>32000</v>
          </cell>
          <cell r="F104">
            <v>0</v>
          </cell>
          <cell r="G104">
            <v>32000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96000</v>
          </cell>
        </row>
        <row r="105">
          <cell r="C105">
            <v>68500</v>
          </cell>
          <cell r="D105">
            <v>100500</v>
          </cell>
          <cell r="E105">
            <v>68500</v>
          </cell>
          <cell r="F105">
            <v>100500</v>
          </cell>
          <cell r="G105">
            <v>35000</v>
          </cell>
          <cell r="H105">
            <v>67000</v>
          </cell>
          <cell r="I105">
            <v>0</v>
          </cell>
          <cell r="J105">
            <v>0</v>
          </cell>
          <cell r="K105">
            <v>100500</v>
          </cell>
          <cell r="L105">
            <v>67000</v>
          </cell>
          <cell r="M105">
            <v>67000</v>
          </cell>
          <cell r="N105">
            <v>67000</v>
          </cell>
          <cell r="O105">
            <v>67000</v>
          </cell>
          <cell r="P105">
            <v>33500</v>
          </cell>
          <cell r="Q105">
            <v>33500</v>
          </cell>
          <cell r="R105">
            <v>33500</v>
          </cell>
          <cell r="S105">
            <v>67000</v>
          </cell>
          <cell r="T105">
            <v>33500</v>
          </cell>
          <cell r="U105">
            <v>67000</v>
          </cell>
          <cell r="V105">
            <v>67000</v>
          </cell>
          <cell r="W105">
            <v>33500</v>
          </cell>
          <cell r="X105">
            <v>33500</v>
          </cell>
          <cell r="Y105">
            <v>100500</v>
          </cell>
          <cell r="Z105">
            <v>67000</v>
          </cell>
          <cell r="AA105">
            <v>0</v>
          </cell>
          <cell r="AB105">
            <v>67000</v>
          </cell>
          <cell r="AC105">
            <v>67000</v>
          </cell>
          <cell r="AD105">
            <v>67000</v>
          </cell>
          <cell r="AE105">
            <v>67000</v>
          </cell>
          <cell r="AF105">
            <v>67500</v>
          </cell>
          <cell r="AG105">
            <v>67000</v>
          </cell>
          <cell r="AH105">
            <v>1780500</v>
          </cell>
        </row>
        <row r="106">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row>
        <row r="107">
          <cell r="C107">
            <v>13400</v>
          </cell>
          <cell r="D107">
            <v>13400</v>
          </cell>
          <cell r="E107">
            <v>13400</v>
          </cell>
          <cell r="F107">
            <v>0</v>
          </cell>
          <cell r="G107">
            <v>0</v>
          </cell>
          <cell r="H107">
            <v>0</v>
          </cell>
          <cell r="I107">
            <v>13400</v>
          </cell>
          <cell r="J107">
            <v>13400</v>
          </cell>
          <cell r="K107">
            <v>20000</v>
          </cell>
          <cell r="L107">
            <v>20100</v>
          </cell>
          <cell r="M107">
            <v>0</v>
          </cell>
          <cell r="N107">
            <v>0</v>
          </cell>
          <cell r="O107">
            <v>13400</v>
          </cell>
          <cell r="P107">
            <v>13400</v>
          </cell>
          <cell r="Q107">
            <v>13400</v>
          </cell>
          <cell r="R107">
            <v>13400</v>
          </cell>
          <cell r="S107">
            <v>13400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174100</v>
          </cell>
        </row>
        <row r="108">
          <cell r="C108">
            <v>113900</v>
          </cell>
          <cell r="D108">
            <v>124900</v>
          </cell>
          <cell r="E108">
            <v>124900</v>
          </cell>
          <cell r="F108">
            <v>111500</v>
          </cell>
          <cell r="G108">
            <v>78000</v>
          </cell>
          <cell r="H108">
            <v>78000</v>
          </cell>
          <cell r="I108">
            <v>24400</v>
          </cell>
          <cell r="J108">
            <v>24400</v>
          </cell>
          <cell r="K108">
            <v>131500</v>
          </cell>
          <cell r="L108">
            <v>98100</v>
          </cell>
          <cell r="M108">
            <v>78000</v>
          </cell>
          <cell r="N108">
            <v>78000</v>
          </cell>
          <cell r="O108">
            <v>91400</v>
          </cell>
          <cell r="P108">
            <v>57900</v>
          </cell>
          <cell r="Q108">
            <v>57900</v>
          </cell>
          <cell r="R108">
            <v>57900</v>
          </cell>
          <cell r="S108">
            <v>91400</v>
          </cell>
          <cell r="T108">
            <v>44500</v>
          </cell>
          <cell r="U108">
            <v>78000</v>
          </cell>
          <cell r="V108">
            <v>78000</v>
          </cell>
          <cell r="W108">
            <v>44500</v>
          </cell>
          <cell r="X108">
            <v>44500</v>
          </cell>
          <cell r="Y108">
            <v>111500</v>
          </cell>
          <cell r="Z108">
            <v>78000</v>
          </cell>
          <cell r="AA108">
            <v>11000</v>
          </cell>
          <cell r="AB108">
            <v>78000</v>
          </cell>
          <cell r="AC108">
            <v>78000</v>
          </cell>
          <cell r="AD108">
            <v>78000</v>
          </cell>
          <cell r="AE108">
            <v>78000</v>
          </cell>
          <cell r="AF108">
            <v>78500</v>
          </cell>
          <cell r="AG108">
            <v>67000</v>
          </cell>
          <cell r="AH108">
            <v>2369600</v>
          </cell>
        </row>
        <row r="109">
          <cell r="C109">
            <v>355824.67305681424</v>
          </cell>
          <cell r="D109">
            <v>297726.34611362847</v>
          </cell>
          <cell r="E109">
            <v>239628.01917044271</v>
          </cell>
          <cell r="F109">
            <v>194929.69222725695</v>
          </cell>
          <cell r="G109">
            <v>183731.36528407119</v>
          </cell>
          <cell r="H109">
            <v>172533.03834088542</v>
          </cell>
          <cell r="I109">
            <v>214934.71139769966</v>
          </cell>
          <cell r="J109">
            <v>257336.3844545139</v>
          </cell>
          <cell r="K109">
            <v>192638.05751132814</v>
          </cell>
          <cell r="L109">
            <v>161339.73056814237</v>
          </cell>
          <cell r="M109">
            <v>150141.40362495661</v>
          </cell>
          <cell r="N109">
            <v>138943.07668177085</v>
          </cell>
          <cell r="O109">
            <v>114344.74973858509</v>
          </cell>
          <cell r="P109">
            <v>123246.42279539932</v>
          </cell>
          <cell r="Q109">
            <v>132148.09585221356</v>
          </cell>
          <cell r="R109">
            <v>141049.7689090278</v>
          </cell>
          <cell r="S109">
            <v>116451.44196584204</v>
          </cell>
          <cell r="T109">
            <v>138753.11502265627</v>
          </cell>
          <cell r="U109">
            <v>127554.78807947051</v>
          </cell>
          <cell r="V109">
            <v>116356.46113628475</v>
          </cell>
          <cell r="W109">
            <v>138658.13419309899</v>
          </cell>
          <cell r="X109">
            <v>160959.80724991322</v>
          </cell>
          <cell r="Y109">
            <v>116261.48030672746</v>
          </cell>
          <cell r="Z109">
            <v>105063.1533635417</v>
          </cell>
          <cell r="AA109">
            <v>160864.82642035594</v>
          </cell>
          <cell r="AB109">
            <v>149666.49947717017</v>
          </cell>
          <cell r="AC109">
            <v>138468.17253398441</v>
          </cell>
          <cell r="AD109">
            <v>127269.84559079865</v>
          </cell>
          <cell r="AE109">
            <v>116071.51864761289</v>
          </cell>
          <cell r="AF109">
            <v>104373.19170442712</v>
          </cell>
          <cell r="AG109">
            <v>69387.830951551558</v>
          </cell>
          <cell r="AH109"/>
        </row>
        <row r="110">
          <cell r="C110"/>
          <cell r="D110"/>
          <cell r="E110"/>
          <cell r="F110"/>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row>
        <row r="111">
          <cell r="C111"/>
          <cell r="D111"/>
          <cell r="E111"/>
          <cell r="F111"/>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row>
        <row r="112">
          <cell r="C112">
            <v>20740</v>
          </cell>
          <cell r="D112">
            <v>20740</v>
          </cell>
          <cell r="E112">
            <v>20740</v>
          </cell>
          <cell r="F112">
            <v>20740</v>
          </cell>
          <cell r="G112">
            <v>20740</v>
          </cell>
          <cell r="H112"/>
          <cell r="I112"/>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row>
        <row r="113">
          <cell r="C113">
            <v>0</v>
          </cell>
          <cell r="D113">
            <v>0</v>
          </cell>
          <cell r="E113">
            <v>0</v>
          </cell>
          <cell r="F113">
            <v>0</v>
          </cell>
          <cell r="G113">
            <v>0</v>
          </cell>
          <cell r="H113"/>
          <cell r="I113"/>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row>
        <row r="114">
          <cell r="C114">
            <v>0</v>
          </cell>
          <cell r="D114">
            <v>0</v>
          </cell>
          <cell r="E114">
            <v>0</v>
          </cell>
          <cell r="F114">
            <v>0</v>
          </cell>
          <cell r="G114">
            <v>0</v>
          </cell>
          <cell r="H114"/>
          <cell r="I114"/>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row>
        <row r="115">
          <cell r="C115">
            <v>20740</v>
          </cell>
          <cell r="D115">
            <v>20740</v>
          </cell>
          <cell r="E115">
            <v>20740</v>
          </cell>
          <cell r="F115">
            <v>20740</v>
          </cell>
          <cell r="G115">
            <v>20740</v>
          </cell>
          <cell r="H115"/>
          <cell r="I115"/>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row>
        <row r="116">
          <cell r="C116"/>
          <cell r="D116"/>
          <cell r="E116"/>
          <cell r="F116"/>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row>
        <row r="117">
          <cell r="C117"/>
          <cell r="D117"/>
          <cell r="E117"/>
          <cell r="F117"/>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row>
        <row r="118">
          <cell r="C118">
            <v>20369</v>
          </cell>
          <cell r="D118">
            <v>20369</v>
          </cell>
          <cell r="E118">
            <v>20369</v>
          </cell>
          <cell r="F118">
            <v>20369</v>
          </cell>
          <cell r="G118">
            <v>20369</v>
          </cell>
          <cell r="H118"/>
          <cell r="I118"/>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row>
        <row r="119">
          <cell r="C119">
            <v>0</v>
          </cell>
          <cell r="D119">
            <v>0</v>
          </cell>
          <cell r="E119">
            <v>0</v>
          </cell>
          <cell r="F119">
            <v>0</v>
          </cell>
          <cell r="G119">
            <v>0</v>
          </cell>
          <cell r="H119"/>
          <cell r="I119"/>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row>
        <row r="120">
          <cell r="C120">
            <v>0</v>
          </cell>
          <cell r="D120">
            <v>0</v>
          </cell>
          <cell r="E120">
            <v>0</v>
          </cell>
          <cell r="F120">
            <v>0</v>
          </cell>
          <cell r="G120">
            <v>0</v>
          </cell>
          <cell r="H120"/>
          <cell r="I120"/>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row>
        <row r="121">
          <cell r="C121">
            <v>20369</v>
          </cell>
          <cell r="D121">
            <v>20369</v>
          </cell>
          <cell r="E121">
            <v>20369</v>
          </cell>
          <cell r="F121">
            <v>20369</v>
          </cell>
          <cell r="G121">
            <v>20369</v>
          </cell>
          <cell r="H121"/>
          <cell r="I121"/>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row>
        <row r="122">
          <cell r="C122"/>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row>
        <row r="123">
          <cell r="C123"/>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row>
        <row r="124">
          <cell r="C124">
            <v>158910</v>
          </cell>
          <cell r="D124">
            <v>207510</v>
          </cell>
          <cell r="E124">
            <v>221610</v>
          </cell>
          <cell r="F124">
            <v>235710</v>
          </cell>
          <cell r="G124">
            <v>249810</v>
          </cell>
          <cell r="H124">
            <v>229410</v>
          </cell>
          <cell r="I124">
            <v>209010</v>
          </cell>
          <cell r="J124">
            <v>223110</v>
          </cell>
          <cell r="K124">
            <v>271710</v>
          </cell>
          <cell r="L124">
            <v>251310</v>
          </cell>
          <cell r="M124">
            <v>236310</v>
          </cell>
          <cell r="N124">
            <v>221310</v>
          </cell>
          <cell r="O124">
            <v>206310</v>
          </cell>
          <cell r="P124">
            <v>225810</v>
          </cell>
          <cell r="Q124">
            <v>279810</v>
          </cell>
          <cell r="R124">
            <v>264810</v>
          </cell>
          <cell r="S124">
            <v>244410</v>
          </cell>
          <cell r="T124">
            <v>229410</v>
          </cell>
          <cell r="U124">
            <v>214410</v>
          </cell>
          <cell r="V124">
            <v>233910</v>
          </cell>
          <cell r="W124">
            <v>218910</v>
          </cell>
          <cell r="X124">
            <v>238410</v>
          </cell>
          <cell r="Y124">
            <v>223410</v>
          </cell>
          <cell r="Z124">
            <v>208410</v>
          </cell>
          <cell r="AA124">
            <v>227910</v>
          </cell>
          <cell r="AB124">
            <v>281910</v>
          </cell>
          <cell r="AC124">
            <v>266910</v>
          </cell>
          <cell r="AD124">
            <v>251910</v>
          </cell>
          <cell r="AE124">
            <v>236910</v>
          </cell>
          <cell r="AF124">
            <v>221910</v>
          </cell>
          <cell r="AG124">
            <v>206910</v>
          </cell>
          <cell r="AH124"/>
        </row>
        <row r="125">
          <cell r="C125">
            <v>48600</v>
          </cell>
          <cell r="D125">
            <v>48600</v>
          </cell>
          <cell r="E125">
            <v>48600</v>
          </cell>
          <cell r="F125">
            <v>48600</v>
          </cell>
          <cell r="G125">
            <v>48600</v>
          </cell>
          <cell r="H125">
            <v>48600</v>
          </cell>
          <cell r="I125">
            <v>48600</v>
          </cell>
          <cell r="J125">
            <v>48600</v>
          </cell>
          <cell r="K125">
            <v>48600</v>
          </cell>
          <cell r="L125">
            <v>54000</v>
          </cell>
          <cell r="M125">
            <v>54000</v>
          </cell>
          <cell r="N125">
            <v>54000</v>
          </cell>
          <cell r="O125">
            <v>54000</v>
          </cell>
          <cell r="P125">
            <v>54000</v>
          </cell>
          <cell r="Q125">
            <v>54000</v>
          </cell>
          <cell r="R125">
            <v>48600</v>
          </cell>
          <cell r="S125">
            <v>54000</v>
          </cell>
          <cell r="T125">
            <v>54000</v>
          </cell>
          <cell r="U125">
            <v>54000</v>
          </cell>
          <cell r="V125">
            <v>54000</v>
          </cell>
          <cell r="W125">
            <v>54000</v>
          </cell>
          <cell r="X125">
            <v>54000</v>
          </cell>
          <cell r="Y125">
            <v>54000</v>
          </cell>
          <cell r="Z125">
            <v>54000</v>
          </cell>
          <cell r="AA125">
            <v>54000</v>
          </cell>
          <cell r="AB125">
            <v>54000</v>
          </cell>
          <cell r="AC125">
            <v>54000</v>
          </cell>
          <cell r="AD125">
            <v>54000</v>
          </cell>
          <cell r="AE125">
            <v>54000</v>
          </cell>
          <cell r="AF125">
            <v>54000</v>
          </cell>
          <cell r="AG125">
            <v>54000</v>
          </cell>
          <cell r="AH125">
            <v>1620000</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row>
        <row r="127">
          <cell r="C127">
            <v>0</v>
          </cell>
          <cell r="D127">
            <v>34500</v>
          </cell>
          <cell r="E127">
            <v>34500</v>
          </cell>
          <cell r="F127">
            <v>34500</v>
          </cell>
          <cell r="G127">
            <v>69000</v>
          </cell>
          <cell r="H127">
            <v>69000</v>
          </cell>
          <cell r="I127">
            <v>34500</v>
          </cell>
          <cell r="J127">
            <v>0</v>
          </cell>
          <cell r="K127">
            <v>69000</v>
          </cell>
          <cell r="L127">
            <v>69000</v>
          </cell>
          <cell r="M127">
            <v>69000</v>
          </cell>
          <cell r="N127">
            <v>69000</v>
          </cell>
          <cell r="O127">
            <v>34500</v>
          </cell>
          <cell r="P127">
            <v>0</v>
          </cell>
          <cell r="Q127">
            <v>69000</v>
          </cell>
          <cell r="R127">
            <v>69000</v>
          </cell>
          <cell r="S127">
            <v>69000</v>
          </cell>
          <cell r="T127">
            <v>69000</v>
          </cell>
          <cell r="U127">
            <v>34500</v>
          </cell>
          <cell r="V127">
            <v>69000</v>
          </cell>
          <cell r="W127">
            <v>34500</v>
          </cell>
          <cell r="X127">
            <v>69000</v>
          </cell>
          <cell r="Y127">
            <v>69000</v>
          </cell>
          <cell r="Z127">
            <v>34500</v>
          </cell>
          <cell r="AA127">
            <v>0</v>
          </cell>
          <cell r="AB127">
            <v>69000</v>
          </cell>
          <cell r="AC127">
            <v>69000</v>
          </cell>
          <cell r="AD127">
            <v>69000</v>
          </cell>
          <cell r="AE127">
            <v>69000</v>
          </cell>
          <cell r="AF127">
            <v>69000</v>
          </cell>
          <cell r="AG127">
            <v>69000</v>
          </cell>
          <cell r="AH127">
            <v>1587000</v>
          </cell>
        </row>
        <row r="128">
          <cell r="C128">
            <v>207510</v>
          </cell>
          <cell r="D128">
            <v>221610</v>
          </cell>
          <cell r="E128">
            <v>235710</v>
          </cell>
          <cell r="F128">
            <v>249810</v>
          </cell>
          <cell r="G128">
            <v>229410</v>
          </cell>
          <cell r="H128">
            <v>209010</v>
          </cell>
          <cell r="I128">
            <v>223110</v>
          </cell>
          <cell r="J128">
            <v>271710</v>
          </cell>
          <cell r="K128">
            <v>251310</v>
          </cell>
          <cell r="L128">
            <v>236310</v>
          </cell>
          <cell r="M128">
            <v>221310</v>
          </cell>
          <cell r="N128">
            <v>206310</v>
          </cell>
          <cell r="O128">
            <v>225810</v>
          </cell>
          <cell r="P128">
            <v>279810</v>
          </cell>
          <cell r="Q128">
            <v>264810</v>
          </cell>
          <cell r="R128">
            <v>244410</v>
          </cell>
          <cell r="S128">
            <v>229410</v>
          </cell>
          <cell r="T128">
            <v>214410</v>
          </cell>
          <cell r="U128">
            <v>233910</v>
          </cell>
          <cell r="V128">
            <v>218910</v>
          </cell>
          <cell r="W128">
            <v>238410</v>
          </cell>
          <cell r="X128">
            <v>223410</v>
          </cell>
          <cell r="Y128">
            <v>208410</v>
          </cell>
          <cell r="Z128">
            <v>227910</v>
          </cell>
          <cell r="AA128">
            <v>281910</v>
          </cell>
          <cell r="AB128">
            <v>266910</v>
          </cell>
          <cell r="AC128">
            <v>251910</v>
          </cell>
          <cell r="AD128">
            <v>236910</v>
          </cell>
          <cell r="AE128">
            <v>221910</v>
          </cell>
          <cell r="AF128">
            <v>206910</v>
          </cell>
          <cell r="AG128">
            <v>191910</v>
          </cell>
          <cell r="AH128"/>
        </row>
        <row r="129">
          <cell r="C129"/>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row>
        <row r="130">
          <cell r="C130"/>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row>
        <row r="131">
          <cell r="C131">
            <v>49683</v>
          </cell>
          <cell r="D131">
            <v>32001.365061590142</v>
          </cell>
          <cell r="E131">
            <v>46575.049272116456</v>
          </cell>
          <cell r="F131">
            <v>28734.294979968974</v>
          </cell>
          <cell r="G131">
            <v>44393.540687821493</v>
          </cell>
          <cell r="H131">
            <v>26552.786395674011</v>
          </cell>
          <cell r="I131">
            <v>42212.03210352653</v>
          </cell>
          <cell r="J131">
            <v>20206.768945631789</v>
          </cell>
          <cell r="K131">
            <v>36232.580815732574</v>
          </cell>
          <cell r="L131">
            <v>51428.605451790805</v>
          </cell>
          <cell r="M131">
            <v>33649.883245204823</v>
          </cell>
          <cell r="N131">
            <v>49371.16103861884</v>
          </cell>
          <cell r="O131">
            <v>31592.438832032858</v>
          </cell>
          <cell r="P131">
            <v>47313.716625446876</v>
          </cell>
          <cell r="Q131">
            <v>26456.04705043984</v>
          </cell>
          <cell r="R131">
            <v>42177.324843853858</v>
          </cell>
          <cell r="S131">
            <v>24398.602637267875</v>
          </cell>
          <cell r="T131">
            <v>40119.880430681893</v>
          </cell>
          <cell r="U131">
            <v>55841.158224095911</v>
          </cell>
          <cell r="V131">
            <v>37690.243504140948</v>
          </cell>
          <cell r="W131">
            <v>52678.821331688538</v>
          </cell>
          <cell r="X131">
            <v>31918.239024857627</v>
          </cell>
          <cell r="Y131">
            <v>47736.604086447769</v>
          </cell>
          <cell r="Z131">
            <v>30054.969148037912</v>
          </cell>
          <cell r="AA131">
            <v>45873.334209628054</v>
          </cell>
          <cell r="AB131">
            <v>61691.699271218196</v>
          </cell>
          <cell r="AC131">
            <v>44010.064332808339</v>
          </cell>
          <cell r="AD131">
            <v>26328.429394398481</v>
          </cell>
          <cell r="AE131">
            <v>39067.84708756757</v>
          </cell>
          <cell r="AF131">
            <v>54886.212149157713</v>
          </cell>
          <cell r="AG131">
            <v>37204.577210747855</v>
          </cell>
          <cell r="AH131"/>
        </row>
        <row r="132">
          <cell r="C132">
            <v>15818.365061590144</v>
          </cell>
          <cell r="D132">
            <v>14573.684210526315</v>
          </cell>
          <cell r="E132">
            <v>15659.245707852519</v>
          </cell>
          <cell r="F132">
            <v>15659.245707852519</v>
          </cell>
          <cell r="G132">
            <v>15659.245707852519</v>
          </cell>
          <cell r="H132">
            <v>15659.245707852519</v>
          </cell>
          <cell r="I132">
            <v>11494.736842105263</v>
          </cell>
          <cell r="J132">
            <v>16025.811870100784</v>
          </cell>
          <cell r="K132">
            <v>15196.02463605823</v>
          </cell>
          <cell r="L132">
            <v>15721.277793414016</v>
          </cell>
          <cell r="M132">
            <v>15721.277793414016</v>
          </cell>
          <cell r="N132">
            <v>15721.277793414016</v>
          </cell>
          <cell r="O132">
            <v>15721.277793414016</v>
          </cell>
          <cell r="P132">
            <v>12642.330424992964</v>
          </cell>
          <cell r="Q132">
            <v>15721.277793414016</v>
          </cell>
          <cell r="R132">
            <v>15721.277793414016</v>
          </cell>
          <cell r="S132">
            <v>15721.277793414016</v>
          </cell>
          <cell r="T132">
            <v>15721.277793414016</v>
          </cell>
          <cell r="U132">
            <v>15349.085280045032</v>
          </cell>
          <cell r="V132">
            <v>14988.577827547591</v>
          </cell>
          <cell r="W132">
            <v>12739.417693169093</v>
          </cell>
          <cell r="X132">
            <v>15818.365061590144</v>
          </cell>
          <cell r="Y132">
            <v>15818.365061590144</v>
          </cell>
          <cell r="Z132">
            <v>15818.365061590144</v>
          </cell>
          <cell r="AA132">
            <v>15818.365061590144</v>
          </cell>
          <cell r="AB132">
            <v>15818.365061590144</v>
          </cell>
          <cell r="AC132">
            <v>15818.365061590144</v>
          </cell>
          <cell r="AD132">
            <v>12739.417693169093</v>
          </cell>
          <cell r="AE132">
            <v>15818.365061590144</v>
          </cell>
          <cell r="AF132">
            <v>15818.365061590144</v>
          </cell>
          <cell r="AG132">
            <v>4520.1567749160131</v>
          </cell>
          <cell r="AH132">
            <v>461041.73398566403</v>
          </cell>
        </row>
        <row r="133">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row>
        <row r="134">
          <cell r="C134">
            <v>33500</v>
          </cell>
          <cell r="D134">
            <v>0</v>
          </cell>
          <cell r="E134">
            <v>33500</v>
          </cell>
          <cell r="F134">
            <v>0</v>
          </cell>
          <cell r="G134">
            <v>33500</v>
          </cell>
          <cell r="H134">
            <v>0</v>
          </cell>
          <cell r="I134">
            <v>33500</v>
          </cell>
          <cell r="J134">
            <v>0</v>
          </cell>
          <cell r="K134">
            <v>0</v>
          </cell>
          <cell r="L134">
            <v>33500</v>
          </cell>
          <cell r="M134">
            <v>0</v>
          </cell>
          <cell r="N134">
            <v>33500</v>
          </cell>
          <cell r="O134">
            <v>0</v>
          </cell>
          <cell r="P134">
            <v>33500</v>
          </cell>
          <cell r="Q134">
            <v>0</v>
          </cell>
          <cell r="R134">
            <v>33500</v>
          </cell>
          <cell r="S134">
            <v>0</v>
          </cell>
          <cell r="T134">
            <v>0</v>
          </cell>
          <cell r="U134">
            <v>33500</v>
          </cell>
          <cell r="V134">
            <v>0</v>
          </cell>
          <cell r="W134">
            <v>33500</v>
          </cell>
          <cell r="X134">
            <v>0</v>
          </cell>
          <cell r="Y134">
            <v>33500</v>
          </cell>
          <cell r="Z134">
            <v>0</v>
          </cell>
          <cell r="AA134">
            <v>0</v>
          </cell>
          <cell r="AB134">
            <v>33500</v>
          </cell>
          <cell r="AC134">
            <v>33500</v>
          </cell>
          <cell r="AD134">
            <v>0</v>
          </cell>
          <cell r="AE134">
            <v>0</v>
          </cell>
          <cell r="AF134">
            <v>33500</v>
          </cell>
          <cell r="AG134">
            <v>0</v>
          </cell>
          <cell r="AH134">
            <v>469000</v>
          </cell>
        </row>
        <row r="135">
          <cell r="C135">
            <v>32001.365061590142</v>
          </cell>
          <cell r="D135">
            <v>46575.049272116456</v>
          </cell>
          <cell r="E135">
            <v>28734.294979968974</v>
          </cell>
          <cell r="F135">
            <v>44393.540687821493</v>
          </cell>
          <cell r="G135">
            <v>26552.786395674011</v>
          </cell>
          <cell r="H135">
            <v>42212.03210352653</v>
          </cell>
          <cell r="I135">
            <v>20206.768945631789</v>
          </cell>
          <cell r="J135">
            <v>36232.580815732574</v>
          </cell>
          <cell r="K135">
            <v>51428.605451790805</v>
          </cell>
          <cell r="L135">
            <v>33649.883245204823</v>
          </cell>
          <cell r="M135">
            <v>49371.16103861884</v>
          </cell>
          <cell r="N135">
            <v>31592.438832032858</v>
          </cell>
          <cell r="O135">
            <v>47313.716625446876</v>
          </cell>
          <cell r="P135">
            <v>26456.04705043984</v>
          </cell>
          <cell r="Q135">
            <v>42177.324843853858</v>
          </cell>
          <cell r="R135">
            <v>24398.602637267875</v>
          </cell>
          <cell r="S135">
            <v>40119.880430681893</v>
          </cell>
          <cell r="T135">
            <v>55841.158224095911</v>
          </cell>
          <cell r="U135">
            <v>37690.243504140948</v>
          </cell>
          <cell r="V135">
            <v>52678.821331688538</v>
          </cell>
          <cell r="W135">
            <v>31918.239024857627</v>
          </cell>
          <cell r="X135">
            <v>47736.604086447769</v>
          </cell>
          <cell r="Y135">
            <v>30054.969148037912</v>
          </cell>
          <cell r="Z135">
            <v>45873.334209628054</v>
          </cell>
          <cell r="AA135">
            <v>61691.699271218196</v>
          </cell>
          <cell r="AB135">
            <v>44010.064332808339</v>
          </cell>
          <cell r="AC135">
            <v>26328.429394398481</v>
          </cell>
          <cell r="AD135">
            <v>39067.84708756757</v>
          </cell>
          <cell r="AE135">
            <v>54886.212149157713</v>
          </cell>
          <cell r="AF135">
            <v>37204.577210747855</v>
          </cell>
          <cell r="AG135">
            <v>41724.733985663872</v>
          </cell>
          <cell r="AH135"/>
        </row>
      </sheetData>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RP SOLIDOS"/>
      <sheetName val="Plan Comercial"/>
      <sheetName val="Programa PMP"/>
      <sheetName val="Programa Diario CODAZZI"/>
    </sheetNames>
    <sheetDataSet>
      <sheetData sheetId="0"/>
      <sheetData sheetId="1"/>
      <sheetData sheetId="2"/>
      <sheetData sheetId="3">
        <row r="8">
          <cell r="F8">
            <v>45992</v>
          </cell>
          <cell r="G8">
            <v>45993</v>
          </cell>
          <cell r="H8">
            <v>45994</v>
          </cell>
          <cell r="I8">
            <v>45995</v>
          </cell>
          <cell r="J8">
            <v>45996</v>
          </cell>
          <cell r="K8">
            <v>45997</v>
          </cell>
          <cell r="L8">
            <v>45998</v>
          </cell>
          <cell r="M8">
            <v>45999</v>
          </cell>
          <cell r="N8">
            <v>46000</v>
          </cell>
          <cell r="O8">
            <v>46001</v>
          </cell>
          <cell r="P8">
            <v>46002</v>
          </cell>
          <cell r="Q8">
            <v>46003</v>
          </cell>
          <cell r="R8">
            <v>46004</v>
          </cell>
          <cell r="S8">
            <v>46005</v>
          </cell>
          <cell r="T8">
            <v>46006</v>
          </cell>
          <cell r="U8">
            <v>46007</v>
          </cell>
          <cell r="V8">
            <v>46008</v>
          </cell>
          <cell r="W8">
            <v>46009</v>
          </cell>
          <cell r="X8">
            <v>46010</v>
          </cell>
          <cell r="Y8">
            <v>46011</v>
          </cell>
          <cell r="Z8">
            <v>46012</v>
          </cell>
          <cell r="AA8">
            <v>46013</v>
          </cell>
          <cell r="AB8">
            <v>46014</v>
          </cell>
          <cell r="AC8">
            <v>46015</v>
          </cell>
          <cell r="AD8">
            <v>46016</v>
          </cell>
          <cell r="AE8">
            <v>46017</v>
          </cell>
          <cell r="AF8">
            <v>46018</v>
          </cell>
          <cell r="AG8">
            <v>46019</v>
          </cell>
          <cell r="AH8">
            <v>46020</v>
          </cell>
          <cell r="AI8">
            <v>46021</v>
          </cell>
          <cell r="AJ8">
            <v>46022</v>
          </cell>
          <cell r="AK8" t="str">
            <v>TOTAL</v>
          </cell>
          <cell r="AL8" t="str">
            <v>Cump. Programa</v>
          </cell>
        </row>
        <row r="9">
          <cell r="F9">
            <v>0</v>
          </cell>
          <cell r="G9">
            <v>0</v>
          </cell>
          <cell r="H9">
            <v>0</v>
          </cell>
          <cell r="I9">
            <v>1260</v>
          </cell>
          <cell r="J9">
            <v>4200</v>
          </cell>
          <cell r="K9">
            <v>2100</v>
          </cell>
          <cell r="L9">
            <v>0</v>
          </cell>
          <cell r="M9">
            <v>0</v>
          </cell>
          <cell r="N9">
            <v>0</v>
          </cell>
          <cell r="O9">
            <v>3780</v>
          </cell>
          <cell r="P9">
            <v>4200</v>
          </cell>
          <cell r="Q9">
            <v>3570</v>
          </cell>
          <cell r="R9">
            <v>0</v>
          </cell>
          <cell r="S9">
            <v>0</v>
          </cell>
          <cell r="T9">
            <v>0</v>
          </cell>
          <cell r="U9">
            <v>2310</v>
          </cell>
          <cell r="V9">
            <v>4200</v>
          </cell>
          <cell r="W9">
            <v>4200</v>
          </cell>
          <cell r="X9">
            <v>2100</v>
          </cell>
          <cell r="Y9">
            <v>0</v>
          </cell>
          <cell r="Z9">
            <v>2100</v>
          </cell>
          <cell r="AA9">
            <v>3570</v>
          </cell>
          <cell r="AB9">
            <v>0</v>
          </cell>
          <cell r="AC9">
            <v>0</v>
          </cell>
          <cell r="AD9">
            <v>0</v>
          </cell>
          <cell r="AE9">
            <v>0</v>
          </cell>
          <cell r="AF9">
            <v>0</v>
          </cell>
          <cell r="AG9">
            <v>0</v>
          </cell>
          <cell r="AH9">
            <v>0</v>
          </cell>
          <cell r="AI9">
            <v>0</v>
          </cell>
          <cell r="AJ9">
            <v>0</v>
          </cell>
          <cell r="AK9">
            <v>37590</v>
          </cell>
          <cell r="AL9">
            <v>1</v>
          </cell>
        </row>
        <row r="10">
          <cell r="F10">
            <v>210</v>
          </cell>
          <cell r="G10">
            <v>0</v>
          </cell>
          <cell r="H10">
            <v>0</v>
          </cell>
          <cell r="I10">
            <v>0</v>
          </cell>
          <cell r="J10">
            <v>0</v>
          </cell>
          <cell r="K10">
            <v>0</v>
          </cell>
          <cell r="L10">
            <v>1470</v>
          </cell>
          <cell r="M10">
            <v>0</v>
          </cell>
          <cell r="N10">
            <v>0</v>
          </cell>
          <cell r="O10">
            <v>0</v>
          </cell>
          <cell r="P10">
            <v>0</v>
          </cell>
          <cell r="Q10">
            <v>0</v>
          </cell>
          <cell r="R10">
            <v>2100</v>
          </cell>
          <cell r="S10">
            <v>0</v>
          </cell>
          <cell r="T10">
            <v>0</v>
          </cell>
          <cell r="U10">
            <v>0</v>
          </cell>
          <cell r="V10">
            <v>0</v>
          </cell>
          <cell r="W10">
            <v>0</v>
          </cell>
          <cell r="X10">
            <v>2100</v>
          </cell>
          <cell r="Y10">
            <v>0</v>
          </cell>
          <cell r="Z10">
            <v>0</v>
          </cell>
          <cell r="AA10">
            <v>630</v>
          </cell>
          <cell r="AB10">
            <v>2310</v>
          </cell>
          <cell r="AC10">
            <v>0</v>
          </cell>
          <cell r="AD10">
            <v>0</v>
          </cell>
          <cell r="AE10">
            <v>1680</v>
          </cell>
          <cell r="AF10">
            <v>0</v>
          </cell>
          <cell r="AG10">
            <v>0</v>
          </cell>
          <cell r="AH10">
            <v>0</v>
          </cell>
          <cell r="AI10">
            <v>0</v>
          </cell>
          <cell r="AJ10">
            <v>0</v>
          </cell>
          <cell r="AK10">
            <v>10500</v>
          </cell>
          <cell r="AL10">
            <v>1</v>
          </cell>
        </row>
        <row r="11">
          <cell r="F11">
            <v>2100</v>
          </cell>
          <cell r="G11">
            <v>0</v>
          </cell>
          <cell r="H11">
            <v>0</v>
          </cell>
          <cell r="I11">
            <v>0</v>
          </cell>
          <cell r="J11">
            <v>0</v>
          </cell>
          <cell r="K11">
            <v>0</v>
          </cell>
          <cell r="L11">
            <v>2100</v>
          </cell>
          <cell r="M11">
            <v>0</v>
          </cell>
          <cell r="N11">
            <v>0</v>
          </cell>
          <cell r="O11">
            <v>0</v>
          </cell>
          <cell r="P11">
            <v>0</v>
          </cell>
          <cell r="Q11">
            <v>630</v>
          </cell>
          <cell r="R11">
            <v>1470</v>
          </cell>
          <cell r="S11">
            <v>0</v>
          </cell>
          <cell r="T11">
            <v>0</v>
          </cell>
          <cell r="U11">
            <v>0</v>
          </cell>
          <cell r="V11">
            <v>0</v>
          </cell>
          <cell r="W11">
            <v>0</v>
          </cell>
          <cell r="X11">
            <v>0</v>
          </cell>
          <cell r="Y11">
            <v>2100</v>
          </cell>
          <cell r="Z11">
            <v>0</v>
          </cell>
          <cell r="AA11">
            <v>0</v>
          </cell>
          <cell r="AB11">
            <v>1890</v>
          </cell>
          <cell r="AC11">
            <v>1050</v>
          </cell>
          <cell r="AD11">
            <v>0</v>
          </cell>
          <cell r="AE11">
            <v>1680</v>
          </cell>
          <cell r="AF11">
            <v>0</v>
          </cell>
          <cell r="AG11">
            <v>0</v>
          </cell>
          <cell r="AH11">
            <v>0</v>
          </cell>
          <cell r="AI11">
            <v>0</v>
          </cell>
          <cell r="AJ11">
            <v>0</v>
          </cell>
          <cell r="AK11">
            <v>13020</v>
          </cell>
          <cell r="AL11">
            <v>1</v>
          </cell>
        </row>
        <row r="12">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t="str">
            <v/>
          </cell>
        </row>
        <row r="13">
          <cell r="F13">
            <v>0</v>
          </cell>
          <cell r="G13">
            <v>0</v>
          </cell>
          <cell r="H13">
            <v>0</v>
          </cell>
          <cell r="I13">
            <v>0</v>
          </cell>
          <cell r="J13">
            <v>0</v>
          </cell>
          <cell r="K13">
            <v>630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630</v>
          </cell>
          <cell r="AL13">
            <v>1</v>
          </cell>
        </row>
        <row r="14">
          <cell r="F14">
            <v>0</v>
          </cell>
          <cell r="G14">
            <v>0</v>
          </cell>
          <cell r="H14">
            <v>0</v>
          </cell>
          <cell r="I14">
            <v>0</v>
          </cell>
          <cell r="J14">
            <v>0</v>
          </cell>
          <cell r="K14">
            <v>0</v>
          </cell>
          <cell r="L14">
            <v>0</v>
          </cell>
          <cell r="M14">
            <v>0</v>
          </cell>
          <cell r="N14">
            <v>0</v>
          </cell>
          <cell r="O14">
            <v>0</v>
          </cell>
          <cell r="P14">
            <v>0</v>
          </cell>
          <cell r="Q14">
            <v>0</v>
          </cell>
          <cell r="R14">
            <v>0</v>
          </cell>
          <cell r="S14">
            <v>1050</v>
          </cell>
          <cell r="T14">
            <v>0</v>
          </cell>
          <cell r="U14">
            <v>0</v>
          </cell>
          <cell r="V14">
            <v>0</v>
          </cell>
          <cell r="W14">
            <v>0</v>
          </cell>
          <cell r="X14">
            <v>0</v>
          </cell>
          <cell r="Y14">
            <v>0</v>
          </cell>
          <cell r="Z14">
            <v>1050</v>
          </cell>
          <cell r="AA14">
            <v>0</v>
          </cell>
          <cell r="AB14">
            <v>0</v>
          </cell>
          <cell r="AC14">
            <v>0</v>
          </cell>
          <cell r="AD14">
            <v>0</v>
          </cell>
          <cell r="AE14">
            <v>0</v>
          </cell>
          <cell r="AF14">
            <v>0</v>
          </cell>
          <cell r="AG14">
            <v>0</v>
          </cell>
          <cell r="AH14">
            <v>0</v>
          </cell>
          <cell r="AI14">
            <v>0</v>
          </cell>
          <cell r="AJ14">
            <v>0</v>
          </cell>
          <cell r="AK14">
            <v>2100</v>
          </cell>
          <cell r="AL14">
            <v>1</v>
          </cell>
        </row>
        <row r="15">
          <cell r="F15">
            <v>1890</v>
          </cell>
          <cell r="G15">
            <v>210</v>
          </cell>
          <cell r="H15">
            <v>0</v>
          </cell>
          <cell r="I15">
            <v>0</v>
          </cell>
          <cell r="J15">
            <v>0</v>
          </cell>
          <cell r="K15">
            <v>0</v>
          </cell>
          <cell r="L15">
            <v>0</v>
          </cell>
          <cell r="M15">
            <v>0</v>
          </cell>
          <cell r="N15">
            <v>0</v>
          </cell>
          <cell r="O15">
            <v>0</v>
          </cell>
          <cell r="P15">
            <v>0</v>
          </cell>
          <cell r="Q15">
            <v>0</v>
          </cell>
          <cell r="R15">
            <v>0</v>
          </cell>
          <cell r="S15">
            <v>1680</v>
          </cell>
          <cell r="T15">
            <v>0</v>
          </cell>
          <cell r="U15">
            <v>0</v>
          </cell>
          <cell r="V15">
            <v>0</v>
          </cell>
          <cell r="W15">
            <v>0</v>
          </cell>
          <cell r="X15">
            <v>0</v>
          </cell>
          <cell r="Y15">
            <v>2100</v>
          </cell>
          <cell r="Z15">
            <v>0</v>
          </cell>
          <cell r="AA15">
            <v>0</v>
          </cell>
          <cell r="AB15">
            <v>0</v>
          </cell>
          <cell r="AC15">
            <v>3150</v>
          </cell>
          <cell r="AD15">
            <v>0</v>
          </cell>
          <cell r="AE15">
            <v>0</v>
          </cell>
          <cell r="AF15">
            <v>0</v>
          </cell>
          <cell r="AG15">
            <v>0</v>
          </cell>
          <cell r="AH15">
            <v>0</v>
          </cell>
          <cell r="AI15">
            <v>0</v>
          </cell>
          <cell r="AJ15">
            <v>0</v>
          </cell>
          <cell r="AK15">
            <v>9030</v>
          </cell>
          <cell r="AL15">
            <v>1</v>
          </cell>
        </row>
        <row r="16">
          <cell r="F16">
            <v>0</v>
          </cell>
          <cell r="G16">
            <v>0</v>
          </cell>
          <cell r="H16">
            <v>0</v>
          </cell>
          <cell r="I16">
            <v>0</v>
          </cell>
          <cell r="J16">
            <v>0</v>
          </cell>
          <cell r="K16">
            <v>0</v>
          </cell>
          <cell r="L16">
            <v>0</v>
          </cell>
          <cell r="M16">
            <v>0</v>
          </cell>
          <cell r="N16">
            <v>0</v>
          </cell>
          <cell r="O16">
            <v>210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210</v>
          </cell>
          <cell r="AL16">
            <v>1</v>
          </cell>
        </row>
        <row r="17">
          <cell r="F17">
            <v>0</v>
          </cell>
          <cell r="G17">
            <v>0</v>
          </cell>
          <cell r="H17">
            <v>0</v>
          </cell>
          <cell r="I17">
            <v>1260</v>
          </cell>
          <cell r="J17">
            <v>0</v>
          </cell>
          <cell r="K17">
            <v>0</v>
          </cell>
          <cell r="L17">
            <v>0</v>
          </cell>
          <cell r="M17">
            <v>0</v>
          </cell>
          <cell r="N17">
            <v>0</v>
          </cell>
          <cell r="O17">
            <v>0</v>
          </cell>
          <cell r="P17">
            <v>0</v>
          </cell>
          <cell r="Q17">
            <v>0</v>
          </cell>
          <cell r="R17">
            <v>0</v>
          </cell>
          <cell r="S17">
            <v>1260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2520</v>
          </cell>
          <cell r="AL17">
            <v>1</v>
          </cell>
        </row>
        <row r="18">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t="str">
            <v/>
          </cell>
        </row>
        <row r="19">
          <cell r="F19">
            <v>0</v>
          </cell>
          <cell r="G19">
            <v>1470</v>
          </cell>
          <cell r="H19">
            <v>630</v>
          </cell>
          <cell r="I19">
            <v>0</v>
          </cell>
          <cell r="J19">
            <v>0</v>
          </cell>
          <cell r="K19">
            <v>0</v>
          </cell>
          <cell r="L19">
            <v>0</v>
          </cell>
          <cell r="M19">
            <v>0</v>
          </cell>
          <cell r="N19">
            <v>1890</v>
          </cell>
          <cell r="O19">
            <v>210</v>
          </cell>
          <cell r="P19">
            <v>0</v>
          </cell>
          <cell r="Q19">
            <v>0</v>
          </cell>
          <cell r="R19">
            <v>0</v>
          </cell>
          <cell r="S19">
            <v>0</v>
          </cell>
          <cell r="T19">
            <v>1260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5460</v>
          </cell>
          <cell r="AL19">
            <v>1</v>
          </cell>
        </row>
        <row r="20">
          <cell r="F20">
            <v>0</v>
          </cell>
          <cell r="G20">
            <v>0</v>
          </cell>
          <cell r="H20">
            <v>0</v>
          </cell>
          <cell r="I20">
            <v>0</v>
          </cell>
          <cell r="J20">
            <v>0</v>
          </cell>
          <cell r="K20">
            <v>0</v>
          </cell>
          <cell r="L20">
            <v>630</v>
          </cell>
          <cell r="M20">
            <v>0</v>
          </cell>
          <cell r="N20">
            <v>0</v>
          </cell>
          <cell r="O20">
            <v>0</v>
          </cell>
          <cell r="P20">
            <v>0</v>
          </cell>
          <cell r="Q20">
            <v>0</v>
          </cell>
          <cell r="R20">
            <v>0</v>
          </cell>
          <cell r="S20">
            <v>0</v>
          </cell>
          <cell r="T20">
            <v>0</v>
          </cell>
          <cell r="U20">
            <v>630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1260</v>
          </cell>
          <cell r="AL20">
            <v>1</v>
          </cell>
        </row>
        <row r="21">
          <cell r="F21">
            <v>0</v>
          </cell>
          <cell r="G21">
            <v>0</v>
          </cell>
          <cell r="H21">
            <v>0</v>
          </cell>
          <cell r="I21">
            <v>0</v>
          </cell>
          <cell r="J21">
            <v>0</v>
          </cell>
          <cell r="K21">
            <v>210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210</v>
          </cell>
          <cell r="AL21">
            <v>1</v>
          </cell>
        </row>
        <row r="22">
          <cell r="F22">
            <v>0</v>
          </cell>
          <cell r="G22">
            <v>0</v>
          </cell>
          <cell r="H22">
            <v>0</v>
          </cell>
          <cell r="I22">
            <v>0</v>
          </cell>
          <cell r="J22">
            <v>0</v>
          </cell>
          <cell r="K22">
            <v>0</v>
          </cell>
          <cell r="L22">
            <v>0</v>
          </cell>
          <cell r="M22">
            <v>0</v>
          </cell>
          <cell r="N22">
            <v>630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630</v>
          </cell>
          <cell r="AL22">
            <v>1</v>
          </cell>
        </row>
        <row r="23">
          <cell r="F23">
            <v>0</v>
          </cell>
          <cell r="G23">
            <v>0</v>
          </cell>
          <cell r="H23">
            <v>0</v>
          </cell>
          <cell r="I23">
            <v>0</v>
          </cell>
          <cell r="J23">
            <v>0</v>
          </cell>
          <cell r="K23">
            <v>0</v>
          </cell>
          <cell r="L23">
            <v>0</v>
          </cell>
          <cell r="M23">
            <v>840</v>
          </cell>
          <cell r="N23">
            <v>0</v>
          </cell>
          <cell r="O23">
            <v>0</v>
          </cell>
          <cell r="P23">
            <v>0</v>
          </cell>
          <cell r="Q23">
            <v>0</v>
          </cell>
          <cell r="R23">
            <v>0</v>
          </cell>
          <cell r="S23">
            <v>0</v>
          </cell>
          <cell r="T23">
            <v>840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1680</v>
          </cell>
          <cell r="AL23">
            <v>1</v>
          </cell>
        </row>
        <row r="24">
          <cell r="F24">
            <v>0</v>
          </cell>
          <cell r="G24">
            <v>0</v>
          </cell>
          <cell r="H24">
            <v>0</v>
          </cell>
          <cell r="I24">
            <v>0</v>
          </cell>
          <cell r="J24">
            <v>0</v>
          </cell>
          <cell r="K24">
            <v>0</v>
          </cell>
          <cell r="L24">
            <v>0</v>
          </cell>
          <cell r="M24">
            <v>840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840</v>
          </cell>
          <cell r="AL24">
            <v>1</v>
          </cell>
        </row>
        <row r="25">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t="str">
            <v/>
          </cell>
        </row>
        <row r="26">
          <cell r="F26">
            <v>0</v>
          </cell>
          <cell r="G26">
            <v>0</v>
          </cell>
          <cell r="H26">
            <v>0</v>
          </cell>
          <cell r="I26">
            <v>0</v>
          </cell>
          <cell r="J26">
            <v>0</v>
          </cell>
          <cell r="K26">
            <v>840</v>
          </cell>
          <cell r="L26">
            <v>0</v>
          </cell>
          <cell r="M26">
            <v>0</v>
          </cell>
          <cell r="N26">
            <v>0</v>
          </cell>
          <cell r="O26">
            <v>0</v>
          </cell>
          <cell r="P26">
            <v>0</v>
          </cell>
          <cell r="Q26">
            <v>0</v>
          </cell>
          <cell r="R26">
            <v>630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1470</v>
          </cell>
          <cell r="AL26">
            <v>1</v>
          </cell>
        </row>
        <row r="27">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630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630</v>
          </cell>
          <cell r="AL27">
            <v>1</v>
          </cell>
        </row>
        <row r="28">
          <cell r="F28">
            <v>0</v>
          </cell>
          <cell r="G28">
            <v>1260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1260</v>
          </cell>
          <cell r="AL28">
            <v>1</v>
          </cell>
        </row>
        <row r="29">
          <cell r="F29">
            <v>0</v>
          </cell>
          <cell r="G29">
            <v>1260</v>
          </cell>
          <cell r="H29">
            <v>0</v>
          </cell>
          <cell r="I29">
            <v>0</v>
          </cell>
          <cell r="J29">
            <v>0</v>
          </cell>
          <cell r="K29">
            <v>0</v>
          </cell>
          <cell r="L29">
            <v>0</v>
          </cell>
          <cell r="M29">
            <v>1680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2940</v>
          </cell>
          <cell r="AL29">
            <v>1</v>
          </cell>
        </row>
        <row r="30">
          <cell r="F30">
            <v>0</v>
          </cell>
          <cell r="G30">
            <v>0</v>
          </cell>
          <cell r="H30">
            <v>3570</v>
          </cell>
          <cell r="I30">
            <v>630</v>
          </cell>
          <cell r="J30">
            <v>0</v>
          </cell>
          <cell r="K30">
            <v>0</v>
          </cell>
          <cell r="L30">
            <v>0</v>
          </cell>
          <cell r="M30">
            <v>630</v>
          </cell>
          <cell r="N30">
            <v>1680</v>
          </cell>
          <cell r="O30">
            <v>0</v>
          </cell>
          <cell r="P30">
            <v>0</v>
          </cell>
          <cell r="Q30">
            <v>0</v>
          </cell>
          <cell r="R30">
            <v>0</v>
          </cell>
          <cell r="S30">
            <v>0</v>
          </cell>
          <cell r="T30">
            <v>2100</v>
          </cell>
          <cell r="U30">
            <v>0</v>
          </cell>
          <cell r="V30">
            <v>0</v>
          </cell>
          <cell r="W30">
            <v>0</v>
          </cell>
          <cell r="X30">
            <v>0</v>
          </cell>
          <cell r="Y30">
            <v>0</v>
          </cell>
          <cell r="Z30">
            <v>1050</v>
          </cell>
          <cell r="AA30">
            <v>0</v>
          </cell>
          <cell r="AB30">
            <v>0</v>
          </cell>
          <cell r="AC30">
            <v>0</v>
          </cell>
          <cell r="AD30">
            <v>0</v>
          </cell>
          <cell r="AE30">
            <v>0</v>
          </cell>
          <cell r="AF30">
            <v>0</v>
          </cell>
          <cell r="AG30">
            <v>0</v>
          </cell>
          <cell r="AH30">
            <v>0</v>
          </cell>
          <cell r="AI30">
            <v>0</v>
          </cell>
          <cell r="AJ30">
            <v>0</v>
          </cell>
          <cell r="AK30">
            <v>9660</v>
          </cell>
          <cell r="AL30">
            <v>1</v>
          </cell>
        </row>
        <row r="31">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t="str">
            <v/>
          </cell>
        </row>
        <row r="32">
          <cell r="F32">
            <v>0</v>
          </cell>
          <cell r="G32">
            <v>0</v>
          </cell>
          <cell r="H32">
            <v>0</v>
          </cell>
          <cell r="I32">
            <v>1050</v>
          </cell>
          <cell r="J32">
            <v>0</v>
          </cell>
          <cell r="K32">
            <v>0</v>
          </cell>
          <cell r="L32">
            <v>0</v>
          </cell>
          <cell r="M32">
            <v>0</v>
          </cell>
          <cell r="N32">
            <v>0</v>
          </cell>
          <cell r="O32">
            <v>0</v>
          </cell>
          <cell r="P32">
            <v>0</v>
          </cell>
          <cell r="Q32">
            <v>0</v>
          </cell>
          <cell r="R32">
            <v>0</v>
          </cell>
          <cell r="S32">
            <v>0</v>
          </cell>
          <cell r="T32">
            <v>0</v>
          </cell>
          <cell r="U32">
            <v>630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1680</v>
          </cell>
          <cell r="AL32">
            <v>1</v>
          </cell>
        </row>
        <row r="33">
          <cell r="F33">
            <v>0</v>
          </cell>
          <cell r="G33">
            <v>0</v>
          </cell>
          <cell r="H33">
            <v>0</v>
          </cell>
          <cell r="I33">
            <v>0</v>
          </cell>
          <cell r="J33">
            <v>0</v>
          </cell>
          <cell r="K33">
            <v>420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420</v>
          </cell>
          <cell r="AL33">
            <v>1</v>
          </cell>
        </row>
        <row r="34">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t="str">
            <v/>
          </cell>
        </row>
        <row r="35">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t="str">
            <v/>
          </cell>
        </row>
        <row r="36">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t="str">
            <v/>
          </cell>
        </row>
        <row r="37">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t="str">
            <v/>
          </cell>
        </row>
        <row r="38">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t="str">
            <v/>
          </cell>
        </row>
        <row r="39">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t="str">
            <v/>
          </cell>
        </row>
        <row r="40">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t="str">
            <v/>
          </cell>
        </row>
        <row r="41">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t="str">
            <v/>
          </cell>
        </row>
        <row r="42">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t="str">
            <v/>
          </cell>
        </row>
        <row r="43">
          <cell r="F43">
            <v>4200</v>
          </cell>
          <cell r="G43">
            <v>4200</v>
          </cell>
          <cell r="H43">
            <v>4200</v>
          </cell>
          <cell r="I43">
            <v>4200</v>
          </cell>
          <cell r="J43">
            <v>4200</v>
          </cell>
          <cell r="K43">
            <v>4200</v>
          </cell>
          <cell r="L43">
            <v>4200</v>
          </cell>
          <cell r="M43">
            <v>3990</v>
          </cell>
          <cell r="N43">
            <v>4200</v>
          </cell>
          <cell r="O43">
            <v>4200</v>
          </cell>
          <cell r="P43">
            <v>4200</v>
          </cell>
          <cell r="Q43">
            <v>4200</v>
          </cell>
          <cell r="R43">
            <v>4200</v>
          </cell>
          <cell r="S43">
            <v>3990</v>
          </cell>
          <cell r="T43">
            <v>4200</v>
          </cell>
          <cell r="U43">
            <v>4200</v>
          </cell>
          <cell r="V43">
            <v>4200</v>
          </cell>
          <cell r="W43">
            <v>4200</v>
          </cell>
          <cell r="X43">
            <v>4200</v>
          </cell>
          <cell r="Y43">
            <v>4200</v>
          </cell>
          <cell r="Z43">
            <v>4200</v>
          </cell>
          <cell r="AA43">
            <v>4200</v>
          </cell>
          <cell r="AB43">
            <v>4200</v>
          </cell>
          <cell r="AC43">
            <v>4200</v>
          </cell>
          <cell r="AD43">
            <v>0</v>
          </cell>
          <cell r="AE43">
            <v>3360</v>
          </cell>
          <cell r="AF43">
            <v>0</v>
          </cell>
          <cell r="AG43">
            <v>0</v>
          </cell>
          <cell r="AH43">
            <v>0</v>
          </cell>
          <cell r="AI43">
            <v>0</v>
          </cell>
          <cell r="AJ43">
            <v>0</v>
          </cell>
          <cell r="AK43">
            <v>103740</v>
          </cell>
          <cell r="AL43"/>
        </row>
        <row r="44">
          <cell r="F44">
            <v>63000</v>
          </cell>
          <cell r="G44">
            <v>63000</v>
          </cell>
          <cell r="H44">
            <v>63000</v>
          </cell>
          <cell r="I44">
            <v>63000</v>
          </cell>
          <cell r="J44">
            <v>63000</v>
          </cell>
          <cell r="K44">
            <v>63000</v>
          </cell>
          <cell r="L44">
            <v>63000</v>
          </cell>
          <cell r="M44">
            <v>59850</v>
          </cell>
          <cell r="N44">
            <v>63000</v>
          </cell>
          <cell r="O44">
            <v>63000</v>
          </cell>
          <cell r="P44">
            <v>63000</v>
          </cell>
          <cell r="Q44">
            <v>63000</v>
          </cell>
          <cell r="R44">
            <v>63000</v>
          </cell>
          <cell r="S44">
            <v>59850</v>
          </cell>
          <cell r="T44">
            <v>63000</v>
          </cell>
          <cell r="U44">
            <v>63000</v>
          </cell>
          <cell r="V44">
            <v>63000</v>
          </cell>
          <cell r="W44">
            <v>63000</v>
          </cell>
          <cell r="X44">
            <v>63000</v>
          </cell>
          <cell r="Y44">
            <v>63000</v>
          </cell>
          <cell r="Z44">
            <v>63000</v>
          </cell>
          <cell r="AA44">
            <v>63000</v>
          </cell>
          <cell r="AB44">
            <v>63000</v>
          </cell>
          <cell r="AC44">
            <v>63000</v>
          </cell>
          <cell r="AD44">
            <v>0</v>
          </cell>
          <cell r="AE44">
            <v>50400</v>
          </cell>
          <cell r="AF44">
            <v>0</v>
          </cell>
          <cell r="AG44">
            <v>0</v>
          </cell>
          <cell r="AH44">
            <v>0</v>
          </cell>
          <cell r="AI44">
            <v>0</v>
          </cell>
          <cell r="AJ44">
            <v>0</v>
          </cell>
          <cell r="AK44">
            <v>1556100</v>
          </cell>
          <cell r="AL44"/>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 1"/>
    </sheetNames>
    <sheetDataSet>
      <sheetData sheetId="0">
        <row r="2">
          <cell r="A2">
            <v>45993</v>
          </cell>
          <cell r="B2">
            <v>53550</v>
          </cell>
        </row>
        <row r="3">
          <cell r="A3">
            <v>46002</v>
          </cell>
          <cell r="B3">
            <v>40950</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_Diario_Oleina"/>
      <sheetName val="Inf_Diario_RBD"/>
      <sheetName val="BD Oleinas"/>
      <sheetName val="Base Datos RBD"/>
      <sheetName val="MedidasOleina"/>
      <sheetName val="MedidasRBD"/>
      <sheetName val="Tanques"/>
      <sheetName val="T. Densidad"/>
      <sheetName val="ANEXO TABLA 5 "/>
      <sheetName val=" TABLA 5"/>
      <sheetName val="CZZ_tanque5"/>
      <sheetName val="ANEXO TABLA 13"/>
      <sheetName val="CZZ_tanque13"/>
      <sheetName val="tanque1"/>
      <sheetName val="tanque6"/>
      <sheetName val="tanque3"/>
      <sheetName val="tanque4"/>
      <sheetName val="tanque16"/>
      <sheetName val="tanque17"/>
      <sheetName val="tanque22"/>
      <sheetName val="tanque15"/>
      <sheetName val="TABLA 3"/>
      <sheetName val="TABLA 4"/>
      <sheetName val="TABLA 16"/>
      <sheetName val="TABLA 17"/>
      <sheetName val="TABLA 15"/>
      <sheetName val="TABLA 22 "/>
      <sheetName val="Hoja1"/>
    </sheetNames>
    <sheetDataSet>
      <sheetData sheetId="0">
        <row r="12">
          <cell r="D12">
            <v>159446.96177714286</v>
          </cell>
        </row>
      </sheetData>
      <sheetData sheetId="1">
        <row r="12">
          <cell r="D12">
            <v>345829.30405999999</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persons/person.xml><?xml version="1.0" encoding="utf-8"?>
<personList xmlns="http://schemas.microsoft.com/office/spreadsheetml/2018/threadedcomments" xmlns:x="http://schemas.openxmlformats.org/spreadsheetml/2006/main">
  <person displayName="Enrique Pabón" id="{DAAF4ECD-7921-864F-87B5-4E0656E9399F}" userId="S::negocios@medcann.com.co::e7ce7e8f-25fb-4743-924b-92a615e17577"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H10" dT="2025-02-03T14:31:42.25" personId="{DAAF4ECD-7921-864F-87B5-4E0656E9399F}" id="{96FA9E45-32C7-B648-B2B1-97BEC5AD3691}">
    <text xml:space="preserve">836 RBD PALMISTE
140 RBD PALMA
</text>
  </threadedComment>
</ThreadedComment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1000"/>
  <sheetViews>
    <sheetView showGridLines="0" zoomScale="210" zoomScaleNormal="210" workbookViewId="0">
      <pane xSplit="1" ySplit="1" topLeftCell="K2" activePane="bottomRight" state="frozen"/>
      <selection pane="topRight" activeCell="B1" sqref="B1"/>
      <selection pane="bottomLeft" activeCell="A2" sqref="A2"/>
      <selection pane="bottomRight" activeCell="R15" sqref="R15"/>
    </sheetView>
  </sheetViews>
  <sheetFormatPr baseColWidth="10" defaultColWidth="14.5" defaultRowHeight="15" customHeight="1" x14ac:dyDescent="0.2"/>
  <cols>
    <col min="1" max="1" width="13.83203125" customWidth="1"/>
    <col min="2" max="3" width="8.5" customWidth="1"/>
    <col min="4" max="4" width="11.5" customWidth="1"/>
    <col min="5" max="9" width="8.5" customWidth="1"/>
    <col min="10" max="10" width="10.33203125" customWidth="1"/>
    <col min="11" max="11" width="8.5" customWidth="1"/>
    <col min="12" max="12" width="11.5" customWidth="1"/>
    <col min="13" max="16" width="8.5" customWidth="1"/>
    <col min="17" max="17" width="11.5" bestFit="1" customWidth="1"/>
    <col min="18" max="20" width="8.5" customWidth="1"/>
    <col min="21" max="21" width="11.5" customWidth="1"/>
    <col min="22" max="24" width="8.5" customWidth="1"/>
    <col min="25" max="25" width="11.5" bestFit="1" customWidth="1"/>
    <col min="26" max="30" width="8.5" customWidth="1"/>
    <col min="31" max="31" width="7.1640625" bestFit="1" customWidth="1"/>
    <col min="32" max="32" width="8.5" customWidth="1"/>
    <col min="33" max="33" width="10.5" customWidth="1"/>
    <col min="34" max="36" width="8.5" customWidth="1"/>
    <col min="37" max="37" width="14.1640625" bestFit="1" customWidth="1"/>
    <col min="38" max="39" width="8.5" customWidth="1"/>
    <col min="40" max="40" width="11.5" customWidth="1"/>
    <col min="41" max="41" width="8.1640625" customWidth="1"/>
    <col min="42" max="42" width="14.6640625" customWidth="1"/>
    <col min="43" max="43" width="15.5" customWidth="1"/>
    <col min="44" max="44" width="10.5" customWidth="1"/>
    <col min="45" max="45" width="11.5" style="185" bestFit="1" customWidth="1"/>
    <col min="46" max="47" width="10.5" style="185" customWidth="1"/>
    <col min="48" max="48" width="18.83203125" style="185" customWidth="1"/>
    <col min="49" max="49" width="14.5" style="185" bestFit="1" customWidth="1"/>
    <col min="50" max="50" width="11.6640625" style="185" customWidth="1"/>
    <col min="51" max="52" width="11.6640625" customWidth="1"/>
    <col min="53" max="53" width="15" bestFit="1" customWidth="1"/>
    <col min="54" max="54" width="11" customWidth="1"/>
    <col min="55" max="55" width="11.33203125" customWidth="1"/>
    <col min="56" max="56" width="12.33203125" customWidth="1"/>
    <col min="57" max="58" width="14.33203125" customWidth="1"/>
    <col min="59" max="59" width="11.33203125" customWidth="1"/>
    <col min="60" max="60" width="16.83203125" customWidth="1"/>
    <col min="61" max="61" width="13" customWidth="1"/>
    <col min="62" max="62" width="11.5" customWidth="1"/>
    <col min="63" max="63" width="7.1640625" customWidth="1"/>
    <col min="64" max="64" width="17.5" customWidth="1"/>
    <col min="65" max="65" width="10.5" customWidth="1"/>
    <col min="66" max="66" width="11.33203125" customWidth="1"/>
    <col min="67" max="67" width="38.1640625" customWidth="1"/>
    <col min="68" max="68" width="11.5" customWidth="1"/>
    <col min="69" max="69" width="8.1640625" customWidth="1"/>
    <col min="70" max="70" width="8.5" customWidth="1"/>
    <col min="71" max="71" width="9" customWidth="1"/>
    <col min="72" max="72" width="12.5" customWidth="1"/>
    <col min="73" max="73" width="6.5" customWidth="1"/>
    <col min="74" max="74" width="6" customWidth="1"/>
    <col min="75" max="75" width="11.5" customWidth="1"/>
  </cols>
  <sheetData>
    <row r="1" spans="1:71" ht="16" thickBot="1" x14ac:dyDescent="0.25">
      <c r="A1" s="1" t="s">
        <v>0</v>
      </c>
      <c r="B1" s="2">
        <v>45992</v>
      </c>
      <c r="C1" s="2">
        <f t="shared" ref="C1:H1" si="0">+B1+1</f>
        <v>45993</v>
      </c>
      <c r="D1" s="2">
        <f t="shared" si="0"/>
        <v>45994</v>
      </c>
      <c r="E1" s="2">
        <f>+D1+1</f>
        <v>45995</v>
      </c>
      <c r="F1" s="2">
        <f t="shared" si="0"/>
        <v>45996</v>
      </c>
      <c r="G1" s="2">
        <f>+F1+1</f>
        <v>45997</v>
      </c>
      <c r="H1" s="2">
        <f t="shared" si="0"/>
        <v>45998</v>
      </c>
      <c r="I1" s="2">
        <f>+H1+1</f>
        <v>45999</v>
      </c>
      <c r="J1" s="2" t="s">
        <v>99</v>
      </c>
      <c r="K1" s="2">
        <f>+I1+1</f>
        <v>46000</v>
      </c>
      <c r="L1" s="2">
        <f>+K1+1</f>
        <v>46001</v>
      </c>
      <c r="M1" s="2">
        <f>+L1+1</f>
        <v>46002</v>
      </c>
      <c r="N1" s="2">
        <f>+M1+1</f>
        <v>46003</v>
      </c>
      <c r="O1" s="2">
        <f>+N1+1</f>
        <v>46004</v>
      </c>
      <c r="P1" s="2">
        <f>+O1+1</f>
        <v>46005</v>
      </c>
      <c r="Q1" s="2" t="s">
        <v>100</v>
      </c>
      <c r="R1" s="2">
        <f>+P1+1</f>
        <v>46006</v>
      </c>
      <c r="S1" s="2">
        <f t="shared" ref="S1:X1" si="1">+R1+1</f>
        <v>46007</v>
      </c>
      <c r="T1" s="2">
        <f t="shared" si="1"/>
        <v>46008</v>
      </c>
      <c r="U1" s="2">
        <f t="shared" si="1"/>
        <v>46009</v>
      </c>
      <c r="V1" s="2">
        <f t="shared" si="1"/>
        <v>46010</v>
      </c>
      <c r="W1" s="2">
        <f t="shared" si="1"/>
        <v>46011</v>
      </c>
      <c r="X1" s="2">
        <f t="shared" si="1"/>
        <v>46012</v>
      </c>
      <c r="Y1" s="2" t="s">
        <v>101</v>
      </c>
      <c r="Z1" s="2">
        <f>+X1+1</f>
        <v>46013</v>
      </c>
      <c r="AA1" s="2">
        <f>+Z1+1</f>
        <v>46014</v>
      </c>
      <c r="AB1" s="2">
        <f>+AA1+1</f>
        <v>46015</v>
      </c>
      <c r="AC1" s="2">
        <f t="shared" ref="AC1:AJ1" si="2">+AB1+1</f>
        <v>46016</v>
      </c>
      <c r="AD1" s="2">
        <f t="shared" si="2"/>
        <v>46017</v>
      </c>
      <c r="AE1" s="2">
        <f t="shared" si="2"/>
        <v>46018</v>
      </c>
      <c r="AF1" s="2">
        <f t="shared" si="2"/>
        <v>46019</v>
      </c>
      <c r="AG1" s="198" t="s">
        <v>102</v>
      </c>
      <c r="AH1" s="2">
        <f>+AF1+1</f>
        <v>46020</v>
      </c>
      <c r="AI1" s="2">
        <f t="shared" si="2"/>
        <v>46021</v>
      </c>
      <c r="AJ1" s="2">
        <f t="shared" si="2"/>
        <v>46022</v>
      </c>
      <c r="AK1" s="198" t="s">
        <v>220</v>
      </c>
      <c r="AQ1" s="185"/>
      <c r="AR1" s="185"/>
      <c r="AY1" s="185"/>
      <c r="AZ1" s="185"/>
      <c r="BA1" s="8"/>
      <c r="BB1" s="8"/>
      <c r="BC1" s="8"/>
      <c r="BE1" s="8"/>
      <c r="BF1" s="8"/>
      <c r="BG1" s="4"/>
      <c r="BH1" s="4"/>
      <c r="BI1" s="4"/>
      <c r="BJ1" s="4"/>
      <c r="BK1" s="4"/>
      <c r="BL1" s="4"/>
      <c r="BM1" s="4"/>
      <c r="BN1" s="4"/>
      <c r="BO1" s="4"/>
      <c r="BP1" s="4"/>
      <c r="BQ1" s="4"/>
      <c r="BR1" s="4"/>
      <c r="BS1" s="4"/>
    </row>
    <row r="2" spans="1:71" x14ac:dyDescent="0.2">
      <c r="A2" s="5" t="s">
        <v>1</v>
      </c>
      <c r="B2" s="6">
        <f>+HLOOKUP(B$1,'[1]RFF Resumen'!$C$16:$AG$153,3,0)+HLOOKUP(B$1,'[1]RFF Resumen'!$C$16:$AG$153,6,0)</f>
        <v>525</v>
      </c>
      <c r="C2" s="6">
        <f>+HLOOKUP(C$1,'[1]RFF Resumen'!$C$16:$AG$153,3,0)+HLOOKUP(C$1,'[1]RFF Resumen'!$C$16:$AG$153,6,0)</f>
        <v>597</v>
      </c>
      <c r="D2" s="6">
        <f>+HLOOKUP(D$1,'[1]RFF Resumen'!$C$16:$AG$153,3,0)+HLOOKUP(D$1,'[1]RFF Resumen'!$C$16:$AG$153,6,0)</f>
        <v>659</v>
      </c>
      <c r="E2" s="6">
        <f>+HLOOKUP(E$1,'[1]RFF Resumen'!$C$16:$AG$153,3,0)+HLOOKUP(E$1,'[1]RFF Resumen'!$C$16:$AG$153,6,0)</f>
        <v>675</v>
      </c>
      <c r="F2" s="6">
        <f>+HLOOKUP(F$1,'[1]RFF Resumen'!$C$16:$AG$153,3,0)+HLOOKUP(F$1,'[1]RFF Resumen'!$C$16:$AG$153,6,0)</f>
        <v>743</v>
      </c>
      <c r="G2" s="6">
        <f>+HLOOKUP(G$1,'[1]RFF Resumen'!$C$16:$AG$153,3,0)+HLOOKUP(G$1,'[1]RFF Resumen'!$C$16:$AG$153,6,0)</f>
        <v>789</v>
      </c>
      <c r="H2" s="6">
        <f>+HLOOKUP(H$1,'[1]RFF Resumen'!$C$16:$AG$153,3,0)+HLOOKUP(H$1,'[1]RFF Resumen'!$C$16:$AG$153,6,0)</f>
        <v>300</v>
      </c>
      <c r="I2" s="6">
        <f>+HLOOKUP(I$1,'[1]RFF Resumen'!$C$16:$AG$153,3,0)+HLOOKUP(I$1,'[1]RFF Resumen'!$C$16:$AG$153,6,0)</f>
        <v>50</v>
      </c>
      <c r="J2" s="7">
        <f>+SUM(B2:I2)</f>
        <v>4338</v>
      </c>
      <c r="K2" s="6">
        <f>+HLOOKUP(K$1,'[1]RFF Resumen'!$C$16:$AG$153,3,0)+HLOOKUP(K$1,'[1]RFF Resumen'!$C$16:$AG$153,6,0)</f>
        <v>560</v>
      </c>
      <c r="L2" s="6">
        <f>+HLOOKUP(L$1,'[1]RFF Resumen'!$C$16:$AG$153,3,0)+HLOOKUP(L$1,'[1]RFF Resumen'!$C$16:$AG$153,6,0)</f>
        <v>669</v>
      </c>
      <c r="M2" s="6">
        <f>+HLOOKUP(M$1,'[1]RFF Resumen'!$C$16:$AG$153,3,0)+HLOOKUP(M$1,'[1]RFF Resumen'!$C$16:$AG$153,6,0)</f>
        <v>655</v>
      </c>
      <c r="N2" s="6">
        <f>+HLOOKUP(N$1,'[1]RFF Resumen'!$C$16:$AG$153,3,0)+HLOOKUP(N$1,'[1]RFF Resumen'!$C$16:$AG$153,6,0)</f>
        <v>729</v>
      </c>
      <c r="O2" s="6">
        <f>+HLOOKUP(O$1,'[1]RFF Resumen'!$C$16:$AG$153,3,0)+HLOOKUP(O$1,'[1]RFF Resumen'!$C$16:$AG$153,6,0)</f>
        <v>740</v>
      </c>
      <c r="P2" s="6">
        <f>+HLOOKUP(P$1,'[1]RFF Resumen'!$C$16:$AG$153,3,0)+HLOOKUP(P$1,'[1]RFF Resumen'!$C$16:$AG$153,6,0)</f>
        <v>510</v>
      </c>
      <c r="Q2" s="7">
        <f>+J2+SUM(K2:P2)</f>
        <v>8201</v>
      </c>
      <c r="R2" s="6">
        <f>+HLOOKUP(R$1,'[1]RFF Resumen'!$C$16:$AG$153,3,0)+HLOOKUP(R$1,'[1]RFF Resumen'!$C$16:$AG$153,6,0)</f>
        <v>715</v>
      </c>
      <c r="S2" s="6">
        <f>+HLOOKUP(S$1,'[1]RFF Resumen'!$C$16:$AG$153,3,0)+HLOOKUP(S$1,'[1]RFF Resumen'!$C$16:$AG$153,6,0)</f>
        <v>629</v>
      </c>
      <c r="T2" s="6">
        <f>+HLOOKUP(T$1,'[1]RFF Resumen'!$C$16:$AG$153,3,0)+HLOOKUP(T$1,'[1]RFF Resumen'!$C$16:$AG$153,6,0)</f>
        <v>638</v>
      </c>
      <c r="U2" s="6">
        <f>+HLOOKUP(U$1,'[1]RFF Resumen'!$C$16:$AG$153,3,0)+HLOOKUP(U$1,'[1]RFF Resumen'!$C$16:$AG$153,6,0)</f>
        <v>654</v>
      </c>
      <c r="V2" s="6">
        <f>+HLOOKUP(V$1,'[1]RFF Resumen'!$C$16:$AG$153,3,0)+HLOOKUP(V$1,'[1]RFF Resumen'!$C$16:$AG$153,6,0)</f>
        <v>729</v>
      </c>
      <c r="W2" s="6">
        <f>+HLOOKUP(W$1,'[1]RFF Resumen'!$C$16:$AG$153,3,0)+HLOOKUP(W$1,'[1]RFF Resumen'!$C$16:$AG$153,6,0)</f>
        <v>710</v>
      </c>
      <c r="X2" s="6">
        <f>+HLOOKUP(X$1,'[1]RFF Resumen'!$C$16:$AG$153,3,0)+HLOOKUP(X$1,'[1]RFF Resumen'!$C$16:$AG$153,6,0)</f>
        <v>384</v>
      </c>
      <c r="Y2" s="7">
        <f>+Q2+SUM(R2:X2)</f>
        <v>12660</v>
      </c>
      <c r="Z2" s="6">
        <f>+HLOOKUP(Z$1,'[1]RFF Resumen'!$C$16:$AG$153,3,0)+HLOOKUP(Z$1,'[1]RFF Resumen'!$C$16:$AG$153,6,0)</f>
        <v>700</v>
      </c>
      <c r="AA2" s="6">
        <f>+HLOOKUP(AA$1,'[1]RFF Resumen'!$C$16:$AG$153,3,0)+HLOOKUP(AA$1,'[1]RFF Resumen'!$C$16:$AG$153,6,0)</f>
        <v>840</v>
      </c>
      <c r="AB2" s="6">
        <f>+HLOOKUP(AB$1,'[1]RFF Resumen'!$C$16:$AG$153,3,0)+HLOOKUP(AB$1,'[1]RFF Resumen'!$C$16:$AG$153,6,0)</f>
        <v>219</v>
      </c>
      <c r="AC2" s="6">
        <f>+HLOOKUP(AC$1,'[1]RFF Resumen'!$C$16:$AG$153,3,0)+HLOOKUP(AC$1,'[1]RFF Resumen'!$C$16:$AG$153,6,0)</f>
        <v>0</v>
      </c>
      <c r="AD2" s="6">
        <f>+HLOOKUP(AD$1,'[1]RFF Resumen'!$C$16:$AG$153,3,0)+HLOOKUP(AD$1,'[1]RFF Resumen'!$C$16:$AG$153,6,0)</f>
        <v>590</v>
      </c>
      <c r="AE2" s="6">
        <f>+HLOOKUP(AE$1,'[1]RFF Resumen'!$C$16:$AG$153,3,0)+HLOOKUP(AE$1,'[1]RFF Resumen'!$C$16:$AG$153,6,0)</f>
        <v>690</v>
      </c>
      <c r="AF2" s="6">
        <f>+HLOOKUP(AF$1,'[1]RFF Resumen'!$C$16:$AG$153,3,0)+HLOOKUP(AF$1,'[1]RFF Resumen'!$C$16:$AG$153,6,0)</f>
        <v>569</v>
      </c>
      <c r="AG2" s="7">
        <f>+Y2+SUM(Z2:AF2)</f>
        <v>16268</v>
      </c>
      <c r="AH2" s="6">
        <f>+HLOOKUP(AH$1,'[1]RFF Resumen'!$C$16:$AG$153,3,0)+HLOOKUP(AH$1,'[1]RFF Resumen'!$C$16:$AG$153,6,0)</f>
        <v>740</v>
      </c>
      <c r="AI2" s="6">
        <f>+HLOOKUP(AI$1,'[1]RFF Resumen'!$C$16:$AG$153,3,0)+HLOOKUP(AI$1,'[1]RFF Resumen'!$C$16:$AG$153,6,0)</f>
        <v>922</v>
      </c>
      <c r="AJ2" s="6">
        <f>+HLOOKUP(AJ$1,'[1]RFF Resumen'!$C$16:$AG$153,3,0)+HLOOKUP(AJ$1,'[1]RFF Resumen'!$C$16:$AG$153,6,0)</f>
        <v>70</v>
      </c>
      <c r="AK2" s="7">
        <f>+AG2+SUM(AH2:AJ2)</f>
        <v>18000</v>
      </c>
      <c r="AQ2" s="185"/>
      <c r="AR2" s="185"/>
      <c r="AY2" s="185"/>
      <c r="AZ2" s="185"/>
      <c r="BA2" s="8"/>
      <c r="BB2" s="8"/>
      <c r="BC2" s="8"/>
      <c r="BD2" s="8"/>
      <c r="BE2" s="8"/>
      <c r="BF2" s="8"/>
      <c r="BG2" s="8"/>
      <c r="BH2" s="8"/>
      <c r="BI2" s="8"/>
      <c r="BJ2" s="8"/>
      <c r="BK2" s="8"/>
      <c r="BL2" s="8"/>
      <c r="BM2" s="8"/>
      <c r="BN2" s="8"/>
      <c r="BO2" s="8"/>
      <c r="BP2" s="8"/>
      <c r="BQ2" s="8"/>
      <c r="BR2" s="8"/>
      <c r="BS2" s="8"/>
    </row>
    <row r="3" spans="1:71" x14ac:dyDescent="0.2">
      <c r="A3" s="9" t="s">
        <v>2</v>
      </c>
      <c r="B3" s="10">
        <f>(IFERROR(VLOOKUP(B$1,[2]Hoja1!$A$2:$E$32,2,0)/1000,0))</f>
        <v>359.35</v>
      </c>
      <c r="C3" s="10">
        <f>(IFERROR(VLOOKUP(C$1,[2]Hoja1!$A$2:$E$32,2,0)/1000,0))</f>
        <v>412.66</v>
      </c>
      <c r="D3" s="10">
        <f>(IFERROR(VLOOKUP(D$1,[2]Hoja1!$A$2:$E$32,2,0)/1000,0))</f>
        <v>832.23</v>
      </c>
      <c r="E3" s="10">
        <f>(IFERROR(VLOOKUP(E$1,[2]Hoja1!$A$2:$E$32,2,0)/1000,0))</f>
        <v>757.85</v>
      </c>
      <c r="F3" s="10">
        <f>(IFERROR(VLOOKUP(F$1,[2]Hoja1!$A$2:$E$32,2,0)/1000,0))</f>
        <v>824.73</v>
      </c>
      <c r="G3" s="10">
        <f>(IFERROR(VLOOKUP(G$1,[2]Hoja1!$A$2:$E$32,2,0)/1000,0))</f>
        <v>511.17</v>
      </c>
      <c r="H3" s="10">
        <f>(IFERROR(VLOOKUP(H$1,[2]Hoja1!$A$2:$E$32,2,0)/1000,0))</f>
        <v>694.46</v>
      </c>
      <c r="I3" s="10">
        <f>(IFERROR(VLOOKUP(I$1,[2]Hoja1!$A$2:$E$32,2,0)/1000,0))</f>
        <v>192.89</v>
      </c>
      <c r="J3" s="7">
        <f>+SUM(B3:I3)</f>
        <v>4585.3400000000011</v>
      </c>
      <c r="K3" s="10">
        <f>(IFERROR(VLOOKUP(K$1,[2]Hoja1!$A$2:$E$32,2,0)/1000,0))</f>
        <v>367.07</v>
      </c>
      <c r="L3" s="10">
        <f>(IFERROR(VLOOKUP(L$1,[2]Hoja1!$A$2:$E$32,2,0)/1000,0))</f>
        <v>588.51</v>
      </c>
      <c r="M3" s="10">
        <f>(IFERROR(VLOOKUP(M$1,[2]Hoja1!$A$2:$E$32,2,0)/1000,0))</f>
        <v>750.68</v>
      </c>
      <c r="N3" s="10">
        <f>(IFERROR(VLOOKUP(N$1,[2]Hoja1!$A$2:$E$32,2,0)/1000,0))</f>
        <v>0</v>
      </c>
      <c r="O3" s="10">
        <f>(IFERROR(VLOOKUP(O$1,[2]Hoja1!$A$2:$E$32,2,0)/1000,0))</f>
        <v>0</v>
      </c>
      <c r="P3" s="10">
        <f>(IFERROR(VLOOKUP(P$1,[2]Hoja1!$A$2:$E$32,2,0)/1000,0))</f>
        <v>0</v>
      </c>
      <c r="Q3" s="7">
        <f>+J3+SUM(K3:P3)</f>
        <v>6291.6</v>
      </c>
      <c r="R3" s="10">
        <f>(IFERROR(VLOOKUP(R$1,[2]Hoja1!$A$2:$E$32,2,0)/1000,0))</f>
        <v>0</v>
      </c>
      <c r="S3" s="10">
        <f>(IFERROR(VLOOKUP(S$1,[2]Hoja1!$A$2:$E$32,2,0)/1000,0))</f>
        <v>0</v>
      </c>
      <c r="T3" s="10">
        <f>(IFERROR(VLOOKUP(T$1,[2]Hoja1!$A$2:$E$32,2,0)/1000,0))</f>
        <v>0</v>
      </c>
      <c r="U3" s="10">
        <f>IFERROR(VLOOKUP(U$1,[2]Hoja1!$A$2:$E$32,2,0)/1000,0)</f>
        <v>0</v>
      </c>
      <c r="V3" s="10">
        <f>IFERROR(VLOOKUP(V$1,[2]Hoja1!$A$2:$E$32,2,0)/1000,0)</f>
        <v>0</v>
      </c>
      <c r="W3" s="10">
        <f>IFERROR(VLOOKUP(W$1,[2]Hoja1!$A$2:$E$32,2,0)/1000,0)</f>
        <v>0</v>
      </c>
      <c r="X3" s="10">
        <f>IFERROR(VLOOKUP(X$1,[2]Hoja1!$A$2:$E$32,2,0)/1000,0)</f>
        <v>0</v>
      </c>
      <c r="Y3" s="7">
        <f>+Q3+SUM(R3:X3)</f>
        <v>6291.6</v>
      </c>
      <c r="Z3" s="10">
        <f>IFERROR(VLOOKUP(Z$1,[2]Hoja1!$A$2:$E$32,2,0)/1000,0)</f>
        <v>0</v>
      </c>
      <c r="AA3" s="10">
        <f>IFERROR(VLOOKUP(AA$1,[2]Hoja1!$A$2:$E$32,2,0)/1000,0)</f>
        <v>0</v>
      </c>
      <c r="AB3" s="10">
        <f>(IFERROR(VLOOKUP(AB$1,[2]Hoja1!$A$2:$E$32,2,0)/1000,0))</f>
        <v>0</v>
      </c>
      <c r="AC3" s="10">
        <f>(IFERROR(VLOOKUP(AC$1,[2]Hoja1!$A$2:$E$32,2,0)/1000,0))</f>
        <v>0</v>
      </c>
      <c r="AD3" s="10">
        <f>(IFERROR(VLOOKUP(AD$1,[2]Hoja1!$A$2:$E$32,2,0)/1000,0))</f>
        <v>0</v>
      </c>
      <c r="AE3" s="10">
        <f>(IFERROR(VLOOKUP(AE$1,[2]Hoja1!$A$2:$E$32,2,0)/1000,0))</f>
        <v>0</v>
      </c>
      <c r="AF3" s="10">
        <f>(IFERROR(VLOOKUP(AF$1,[2]Hoja1!$A$2:$E$32,2,0)/1000,0))</f>
        <v>0</v>
      </c>
      <c r="AG3" s="7">
        <f>+Y3+SUM(Z3:AF3)</f>
        <v>6291.6</v>
      </c>
      <c r="AH3" s="10">
        <f>(IFERROR(VLOOKUP(AH$1,[2]Hoja1!$A$2:$E$32,2,0)/1000,0))</f>
        <v>0</v>
      </c>
      <c r="AI3" s="10">
        <f>(IFERROR(VLOOKUP(AI$1,[2]Hoja1!$A$2:$E$32,2,0)/1000,0))</f>
        <v>0</v>
      </c>
      <c r="AJ3" s="10">
        <f>(IFERROR(VLOOKUP(AJ$1,[2]Hoja1!$A$2:$E$32,2,0)/1000,0))</f>
        <v>0</v>
      </c>
      <c r="AK3" s="7">
        <f>+AG3+SUM(AH3:AJ3)</f>
        <v>6291.6</v>
      </c>
      <c r="AQ3" s="185"/>
      <c r="AR3" s="185"/>
      <c r="AY3" s="185"/>
      <c r="AZ3" s="185"/>
      <c r="BA3" s="8"/>
      <c r="BB3" s="8"/>
      <c r="BC3" s="8"/>
      <c r="BD3" s="8"/>
      <c r="BE3" s="8"/>
      <c r="BF3" s="8"/>
      <c r="BG3" s="8"/>
      <c r="BH3" s="8"/>
      <c r="BI3" s="8"/>
      <c r="BJ3" s="8"/>
      <c r="BK3" s="8"/>
      <c r="BL3" s="8"/>
      <c r="BM3" s="8"/>
      <c r="BN3" s="8"/>
      <c r="BO3" s="8"/>
      <c r="BP3" s="8"/>
      <c r="BQ3" s="8"/>
      <c r="BR3" s="8"/>
      <c r="BS3" s="8"/>
    </row>
    <row r="4" spans="1:71" x14ac:dyDescent="0.2">
      <c r="A4" s="11" t="s">
        <v>3</v>
      </c>
      <c r="B4" s="12">
        <f t="shared" ref="B4:G4" si="3">IFERROR(+B3/B2,0)</f>
        <v>0.68447619047619057</v>
      </c>
      <c r="C4" s="12">
        <f t="shared" si="3"/>
        <v>0.69122278056951425</v>
      </c>
      <c r="D4" s="12">
        <f t="shared" si="3"/>
        <v>1.2628679817905919</v>
      </c>
      <c r="E4" s="12">
        <f t="shared" si="3"/>
        <v>1.1227407407407408</v>
      </c>
      <c r="F4" s="12">
        <f t="shared" si="3"/>
        <v>1.1100000000000001</v>
      </c>
      <c r="G4" s="12">
        <f t="shared" si="3"/>
        <v>0.64787072243346011</v>
      </c>
      <c r="H4" s="12">
        <f t="shared" ref="H4:AI4" si="4">IFERROR(+H3/H2,0)</f>
        <v>2.3148666666666666</v>
      </c>
      <c r="I4" s="12">
        <f t="shared" si="4"/>
        <v>3.8577999999999997</v>
      </c>
      <c r="J4" s="13">
        <f>IFERROR(+J3/J2,0)</f>
        <v>1.0570170585523284</v>
      </c>
      <c r="K4" s="12">
        <f t="shared" si="4"/>
        <v>0.65548214285714279</v>
      </c>
      <c r="L4" s="12">
        <f t="shared" si="4"/>
        <v>0.87968609865470848</v>
      </c>
      <c r="M4" s="12">
        <f t="shared" si="4"/>
        <v>1.1460763358778625</v>
      </c>
      <c r="N4" s="12">
        <f t="shared" si="4"/>
        <v>0</v>
      </c>
      <c r="O4" s="12">
        <f t="shared" si="4"/>
        <v>0</v>
      </c>
      <c r="P4" s="12">
        <f t="shared" si="4"/>
        <v>0</v>
      </c>
      <c r="Q4" s="13">
        <f>IFERROR(+Q3/Q2,0)</f>
        <v>0.76717473478844045</v>
      </c>
      <c r="R4" s="12">
        <f>IFERROR(+R3/R2,0)</f>
        <v>0</v>
      </c>
      <c r="S4" s="12">
        <f>IFERROR(+S3/S2,0)</f>
        <v>0</v>
      </c>
      <c r="T4" s="12">
        <f>IFERROR(+T3/T2,0)</f>
        <v>0</v>
      </c>
      <c r="U4" s="12">
        <f>IFERROR(+U3/U2,0)</f>
        <v>0</v>
      </c>
      <c r="V4" s="12">
        <f t="shared" si="4"/>
        <v>0</v>
      </c>
      <c r="W4" s="12">
        <f t="shared" si="4"/>
        <v>0</v>
      </c>
      <c r="X4" s="12">
        <f t="shared" si="4"/>
        <v>0</v>
      </c>
      <c r="Y4" s="13">
        <f>IFERROR(+Y3/Y2,0)</f>
        <v>0.49696682464454978</v>
      </c>
      <c r="Z4" s="12">
        <f t="shared" si="4"/>
        <v>0</v>
      </c>
      <c r="AA4" s="12">
        <f t="shared" si="4"/>
        <v>0</v>
      </c>
      <c r="AB4" s="12">
        <f t="shared" si="4"/>
        <v>0</v>
      </c>
      <c r="AC4" s="12">
        <f t="shared" si="4"/>
        <v>0</v>
      </c>
      <c r="AD4" s="12">
        <f t="shared" si="4"/>
        <v>0</v>
      </c>
      <c r="AE4" s="12">
        <f t="shared" si="4"/>
        <v>0</v>
      </c>
      <c r="AF4" s="12">
        <f t="shared" si="4"/>
        <v>0</v>
      </c>
      <c r="AG4" s="13">
        <f>IFERROR(+AG3/AG2,0)</f>
        <v>0.38674698795180723</v>
      </c>
      <c r="AH4" s="12">
        <f t="shared" si="4"/>
        <v>0</v>
      </c>
      <c r="AI4" s="12">
        <f t="shared" si="4"/>
        <v>0</v>
      </c>
      <c r="AJ4" s="12">
        <f>IFERROR(+AJ3/AJ2,0)</f>
        <v>0</v>
      </c>
      <c r="AK4" s="13">
        <f>IFERROR(+AK3/AK2,0)</f>
        <v>0.34953333333333336</v>
      </c>
      <c r="AQ4" s="185"/>
      <c r="AR4" s="185"/>
      <c r="AY4" s="185"/>
      <c r="AZ4" s="185"/>
      <c r="BA4" s="8"/>
      <c r="BB4" s="8"/>
      <c r="BC4" s="8"/>
      <c r="BD4" s="8"/>
      <c r="BE4" s="8"/>
      <c r="BF4" s="8"/>
      <c r="BG4" s="8"/>
      <c r="BH4" s="8"/>
      <c r="BI4" s="8"/>
      <c r="BJ4" s="8"/>
      <c r="BK4" s="8"/>
      <c r="BL4" s="8"/>
      <c r="BM4" s="8"/>
      <c r="BN4" s="8"/>
      <c r="BO4" s="8"/>
      <c r="BP4" s="8"/>
      <c r="BQ4" s="8"/>
      <c r="BR4" s="8"/>
      <c r="BS4" s="8"/>
    </row>
    <row r="5" spans="1:71" x14ac:dyDescent="0.2">
      <c r="A5" s="9" t="s">
        <v>4</v>
      </c>
      <c r="B5" s="6">
        <f>+HLOOKUP(B$1,[3]Resumen!$B$1:$AH$27,2,0)</f>
        <v>600</v>
      </c>
      <c r="C5" s="6">
        <f>+HLOOKUP(C$1,[3]Resumen!$B$1:$AH$27,2,0)</f>
        <v>600</v>
      </c>
      <c r="D5" s="6">
        <f>+HLOOKUP(D$1,[3]Resumen!$B$1:$AH$27,2,0)</f>
        <v>650</v>
      </c>
      <c r="E5" s="6">
        <f>+HLOOKUP(E$1,[3]Resumen!$B$1:$AH$27,2,0)</f>
        <v>700</v>
      </c>
      <c r="F5" s="6">
        <f>+HLOOKUP(F$1,[3]Resumen!$B$1:$AH$27,2,0)</f>
        <v>700</v>
      </c>
      <c r="G5" s="6">
        <f>+HLOOKUP(G$1,[3]Resumen!$B$1:$AH$27,2,0)</f>
        <v>800</v>
      </c>
      <c r="H5" s="6">
        <f>+HLOOKUP(H$1,[3]Resumen!$B$1:$AH$27,2,0)</f>
        <v>300</v>
      </c>
      <c r="I5" s="6">
        <f>+HLOOKUP(I$1,[3]Resumen!$B$1:$AH$27,2,0)</f>
        <v>0</v>
      </c>
      <c r="J5" s="7">
        <f>+SUM(B5:I5)</f>
        <v>4350</v>
      </c>
      <c r="K5" s="6">
        <f>+HLOOKUP(K$1,[3]Resumen!$B$1:$AH$27,2,0)</f>
        <v>400</v>
      </c>
      <c r="L5" s="6">
        <f>+HLOOKUP(L$1,[3]Resumen!$B$1:$AH$27,2,0)</f>
        <v>750</v>
      </c>
      <c r="M5" s="6">
        <f>+HLOOKUP(M$1,[3]Resumen!$B$1:$AH$27,2,0)</f>
        <v>750</v>
      </c>
      <c r="N5" s="6">
        <f>+HLOOKUP(N$1,[3]Resumen!$B$1:$AH$27,2,0)</f>
        <v>750</v>
      </c>
      <c r="O5" s="6">
        <f>+HLOOKUP(O$1,[3]Resumen!$B$1:$AH$27,2,0)</f>
        <v>750</v>
      </c>
      <c r="P5" s="6">
        <f>+HLOOKUP(P$1,[3]Resumen!$B$1:$AH$27,2,0)</f>
        <v>400</v>
      </c>
      <c r="Q5" s="7">
        <f>+J5+SUM(K5:P5)</f>
        <v>8150</v>
      </c>
      <c r="R5" s="6">
        <f>+HLOOKUP(R$1,[3]Resumen!$B$1:$AH$27,2,0)</f>
        <v>400</v>
      </c>
      <c r="S5" s="6">
        <f>+HLOOKUP(S$1,[3]Resumen!$B$1:$AH$27,2,0)</f>
        <v>750</v>
      </c>
      <c r="T5" s="6">
        <f>+HLOOKUP(T$1,[3]Resumen!$B$1:$AH$27,2,0)</f>
        <v>750</v>
      </c>
      <c r="U5" s="6">
        <f>+HLOOKUP(U$1,[3]Resumen!$B$1:$AH$27,2,0)</f>
        <v>750</v>
      </c>
      <c r="V5" s="6">
        <f>+HLOOKUP(V$1,[3]Resumen!$B$1:$AH$27,2,0)</f>
        <v>750</v>
      </c>
      <c r="W5" s="6">
        <f>+HLOOKUP(W$1,[3]Resumen!$B$1:$AH$27,2,0)</f>
        <v>750</v>
      </c>
      <c r="X5" s="6">
        <f>+HLOOKUP(X$1,[3]Resumen!$B$1:$AH$27,2,0)</f>
        <v>400</v>
      </c>
      <c r="Y5" s="7">
        <f>+Q5+SUM(R5:X5)</f>
        <v>12700</v>
      </c>
      <c r="Z5" s="6">
        <f>+HLOOKUP(Z$1,[3]Resumen!$B$1:$AH$27,2,0)</f>
        <v>400</v>
      </c>
      <c r="AA5" s="6">
        <f>+HLOOKUP(AA$1,[3]Resumen!$B$1:$AH$27,2,0)</f>
        <v>750</v>
      </c>
      <c r="AB5" s="6">
        <f>+HLOOKUP(AB$1,[3]Resumen!$B$1:$AH$27,2,0)</f>
        <v>400</v>
      </c>
      <c r="AC5" s="6">
        <f>+HLOOKUP(AC$1,[3]Resumen!$B$1:$AH$27,2,0)</f>
        <v>0</v>
      </c>
      <c r="AD5" s="6">
        <f>+HLOOKUP(AD$1,[3]Resumen!$B$1:$AH$27,2,0)</f>
        <v>750</v>
      </c>
      <c r="AE5" s="6">
        <f>+HLOOKUP(AE$1,[3]Resumen!$B$1:$AH$27,2,0)</f>
        <v>750</v>
      </c>
      <c r="AF5" s="6">
        <f>+HLOOKUP(AF$1,[3]Resumen!$B$1:$AH$27,2,0)</f>
        <v>400</v>
      </c>
      <c r="AG5" s="7">
        <f>+Y5+SUM(Z5:AF5)</f>
        <v>16150</v>
      </c>
      <c r="AH5" s="6">
        <f>+HLOOKUP(AH$1,[3]Resumen!$B$1:$AH$27,2,0)</f>
        <v>750</v>
      </c>
      <c r="AI5" s="6">
        <f>+HLOOKUP(AI$1,[3]Resumen!$B$1:$AH$27,2,0)</f>
        <v>750</v>
      </c>
      <c r="AJ5" s="6">
        <f>+HLOOKUP(AJ$1,[3]Resumen!$B$1:$AH$27,2,0)</f>
        <v>600</v>
      </c>
      <c r="AK5" s="7">
        <f>+AG5+SUM(AH5:AJ5)</f>
        <v>18250</v>
      </c>
      <c r="AQ5" s="185"/>
      <c r="AR5" s="185"/>
      <c r="AY5" s="185"/>
      <c r="AZ5" s="185"/>
      <c r="BA5" s="8"/>
      <c r="BB5" s="8"/>
      <c r="BC5" s="8"/>
      <c r="BD5" s="8"/>
      <c r="BE5" s="8"/>
      <c r="BF5" s="8"/>
      <c r="BG5" s="8"/>
      <c r="BH5" s="8"/>
      <c r="BI5" s="8"/>
      <c r="BJ5" s="6"/>
      <c r="BK5" s="8"/>
      <c r="BL5" s="8"/>
      <c r="BM5" s="8"/>
      <c r="BN5" s="8"/>
      <c r="BO5" s="8"/>
      <c r="BP5" s="8"/>
      <c r="BQ5" s="8"/>
      <c r="BR5" s="8"/>
      <c r="BS5" s="8"/>
    </row>
    <row r="6" spans="1:71" x14ac:dyDescent="0.2">
      <c r="A6" s="9" t="s">
        <v>5</v>
      </c>
      <c r="B6" s="6">
        <f>+IFERROR(VLOOKUP(B$1,'[4]Base de Datos'!$A$5:$EI$35,36,0)/1000,0)</f>
        <v>701.25</v>
      </c>
      <c r="C6" s="6">
        <f>+IFERROR(VLOOKUP(C$1,'[4]Base de Datos'!$A$5:$EI$35,36,0)/1000,0)</f>
        <v>319</v>
      </c>
      <c r="D6" s="6">
        <f>+IFERROR(VLOOKUP(D$1,'[4]Base de Datos'!$A$5:$EI$35,36,0)/1000,0)</f>
        <v>726</v>
      </c>
      <c r="E6" s="6">
        <f>+IFERROR(VLOOKUP(E$1,'[4]Base de Datos'!$A$5:$EI$35,36,0)/1000,0)</f>
        <v>792</v>
      </c>
      <c r="F6" s="6">
        <f>+IFERROR(VLOOKUP(F$1,'[4]Base de Datos'!$A$5:$EI$35,36,0)/1000,0)</f>
        <v>759</v>
      </c>
      <c r="G6" s="6">
        <f>+IFERROR(VLOOKUP(G$1,'[4]Base de Datos'!$A$5:$EI$35,36,0)/1000,0)</f>
        <v>555.5</v>
      </c>
      <c r="H6" s="6">
        <f>+IFERROR(VLOOKUP(H$1,'[4]Base de Datos'!$A$5:$EI$35,36,0)/1000,0)</f>
        <v>830.5</v>
      </c>
      <c r="I6" s="6">
        <f>+IFERROR(VLOOKUP(I$1,'[4]Base de Datos'!$A$5:$EI$35,36,0)/1000,0)</f>
        <v>527.60900000000004</v>
      </c>
      <c r="J6" s="7">
        <f>+SUM(B6:I6)</f>
        <v>5210.8590000000004</v>
      </c>
      <c r="K6" s="6">
        <f>+IFERROR(VLOOKUP(K$1,'[4]Base de Datos'!$A$5:$EI$35,36,0)/1000,0)</f>
        <v>187</v>
      </c>
      <c r="L6" s="6">
        <f>+IFERROR(VLOOKUP(L$1,'[4]Base de Datos'!$A$5:$EI$35,36,0)/1000,0)</f>
        <v>613.25</v>
      </c>
      <c r="M6" s="6">
        <f>+IFERROR(VLOOKUP(M$1,'[4]Base de Datos'!$A$5:$EI$35,36,0)/1000,0)</f>
        <v>728.75</v>
      </c>
      <c r="N6" s="6">
        <f>+IFERROR(VLOOKUP(N$1,'[4]Base de Datos'!$A$5:$EI$35,36,0)/1000,0)</f>
        <v>0</v>
      </c>
      <c r="O6" s="6">
        <f>+IFERROR(VLOOKUP(O$1,'[4]Base de Datos'!$A$5:$EI$35,36,0)/1000,0)</f>
        <v>0</v>
      </c>
      <c r="P6" s="6">
        <f>+IFERROR(VLOOKUP(P$1,'[4]Base de Datos'!$A$5:$EI$35,36,0)/1000,0)</f>
        <v>0</v>
      </c>
      <c r="Q6" s="7">
        <f>+J6+SUM(K6:P6)</f>
        <v>6739.8590000000004</v>
      </c>
      <c r="R6" s="6">
        <f>+IFERROR(VLOOKUP(R$1,'[4]Base de Datos'!$A$5:$EI$35,36,0)/1000,0)</f>
        <v>0</v>
      </c>
      <c r="S6" s="6">
        <f>+IFERROR(VLOOKUP(S$1,'[4]Base de Datos'!$A$5:$EI$35,36,0)/1000,0)</f>
        <v>0</v>
      </c>
      <c r="T6" s="6">
        <f>+IFERROR(VLOOKUP(T$1,'[4]Base de Datos'!$A$5:$EI$35,36,0)/1000,0)</f>
        <v>0</v>
      </c>
      <c r="U6" s="6">
        <f>+IFERROR(VLOOKUP(U$1,'[4]Base de Datos'!$A$5:$EI$35,36,0)/1000,0)</f>
        <v>0</v>
      </c>
      <c r="V6" s="6">
        <f>+IFERROR(VLOOKUP(V$1,'[4]Base de Datos'!$A$5:$EI$35,36,0)/1000,0)</f>
        <v>0</v>
      </c>
      <c r="W6" s="6">
        <f>+IFERROR(VLOOKUP(W$1,'[4]Base de Datos'!$A$5:$EI$35,36,0)/1000,0)</f>
        <v>0</v>
      </c>
      <c r="X6" s="6">
        <f>+IFERROR(VLOOKUP(X$1,'[4]Base de Datos'!$A$5:$EI$35,36,0)/1000,0)</f>
        <v>0</v>
      </c>
      <c r="Y6" s="7">
        <f>+Q6+SUM(R6:X6)</f>
        <v>6739.8590000000004</v>
      </c>
      <c r="Z6" s="6">
        <f>+IFERROR(VLOOKUP(Z$1,'[4]Base de Datos'!$A$5:$EI$35,36,0)/1000,0)</f>
        <v>0</v>
      </c>
      <c r="AA6" s="6">
        <f>+IFERROR(VLOOKUP(AA$1,'[4]Base de Datos'!$A$5:$EI$35,36,0)/1000,0)</f>
        <v>0</v>
      </c>
      <c r="AB6" s="6">
        <f>+IFERROR(VLOOKUP(AB$1,'[4]Base de Datos'!$A$5:$EI$35,36,0)/1000,0)</f>
        <v>0</v>
      </c>
      <c r="AC6" s="6">
        <f>+IFERROR(VLOOKUP(AC$1,'[4]Base de Datos'!$A$5:$EI$35,36,0)/1000,0)</f>
        <v>0</v>
      </c>
      <c r="AD6" s="6">
        <f>+IFERROR(VLOOKUP(AD$1,'[4]Base de Datos'!$A$5:$EI$35,36,0)/1000,0)</f>
        <v>0</v>
      </c>
      <c r="AE6" s="6">
        <f>+IFERROR(VLOOKUP(AE$1,'[4]Base de Datos'!$A$5:$EI$35,36,0)/1000,0)</f>
        <v>0</v>
      </c>
      <c r="AF6" s="6">
        <f>+IFERROR(VLOOKUP(AF$1,'[4]Base de Datos'!$A$5:$EI$35,36,0)/1000,0)</f>
        <v>0</v>
      </c>
      <c r="AG6" s="7">
        <f>+Y6+SUM(Z6:AF6)</f>
        <v>6739.8590000000004</v>
      </c>
      <c r="AH6" s="6">
        <f>+IFERROR(VLOOKUP(AH$1,'[4]Base de Datos'!$A$5:$EI$35,36,0)/1000,0)</f>
        <v>0</v>
      </c>
      <c r="AI6" s="6">
        <f>+IFERROR(VLOOKUP(AI$1,'[4]Base de Datos'!$A$5:$EI$35,36,0)/1000,0)</f>
        <v>0</v>
      </c>
      <c r="AJ6" s="6">
        <f>+IFERROR(VLOOKUP(AJ$1,'[4]Base de Datos'!$A$5:$EI$35,36,0)/1000,0)</f>
        <v>0</v>
      </c>
      <c r="AK6" s="7">
        <f>+AG6+SUM(AH6:AJ6)</f>
        <v>6739.8590000000004</v>
      </c>
      <c r="AL6" s="412">
        <f>+AG6/AG5</f>
        <v>0.4173287306501548</v>
      </c>
      <c r="AM6" s="447">
        <f>1-15%</f>
        <v>0.85</v>
      </c>
      <c r="AO6" s="368"/>
      <c r="AQ6" s="185"/>
      <c r="AR6" s="185"/>
      <c r="AY6" s="185"/>
      <c r="AZ6" s="185"/>
      <c r="BA6" s="8"/>
      <c r="BB6" s="8"/>
      <c r="BC6" s="8"/>
      <c r="BD6" s="8"/>
      <c r="BE6" s="8"/>
      <c r="BF6" s="8"/>
      <c r="BG6" s="8"/>
      <c r="BH6" s="8"/>
      <c r="BI6" s="8"/>
      <c r="BJ6" s="8"/>
      <c r="BK6" s="8"/>
      <c r="BL6" s="8"/>
      <c r="BM6" s="8"/>
      <c r="BN6" s="8"/>
      <c r="BO6" s="8"/>
      <c r="BP6" s="8"/>
      <c r="BQ6" s="8"/>
      <c r="BR6" s="8"/>
      <c r="BS6" s="8"/>
    </row>
    <row r="7" spans="1:71" x14ac:dyDescent="0.2">
      <c r="A7" s="9" t="s">
        <v>6</v>
      </c>
      <c r="B7" s="10">
        <f>IFERROR(VLOOKUP(B$1,'[4]Base de Datos'!$A$5:$EI$35,34,0)/1000,0)</f>
        <v>162.94800000000001</v>
      </c>
      <c r="C7" s="10">
        <f>IFERROR(VLOOKUP(C$1,'[4]Base de Datos'!$A$5:$EI$35,34,0)/1000,0)</f>
        <v>64.56</v>
      </c>
      <c r="D7" s="10">
        <f>IFERROR(VLOOKUP(D$1,'[4]Base de Datos'!$A$5:$EI$35,34,0)/1000,0)</f>
        <v>155.83600000000001</v>
      </c>
      <c r="E7" s="10">
        <f>IFERROR(VLOOKUP(E$1,'[4]Base de Datos'!$A$5:$EI$35,34,0)/1000,0)</f>
        <v>158.53200000000001</v>
      </c>
      <c r="F7" s="10">
        <f>IFERROR(VLOOKUP(F$1,'[4]Base de Datos'!$A$5:$EI$35,34,0)/1000,0)</f>
        <v>159.892</v>
      </c>
      <c r="G7" s="10">
        <f>IFERROR(VLOOKUP(G$1,'[4]Base de Datos'!$A$5:$EI$35,34,0)/1000,0)</f>
        <v>115.172</v>
      </c>
      <c r="H7" s="10">
        <f>IFERROR(VLOOKUP(H$1,'[4]Base de Datos'!$A$5:$EI$35,34,0)/1000,0)</f>
        <v>170.816</v>
      </c>
      <c r="I7" s="10">
        <f>IFERROR(VLOOKUP(I$1,'[4]Base de Datos'!$A$5:$EI$35,34,0)/1000,0)</f>
        <v>122.624</v>
      </c>
      <c r="J7" s="7">
        <f>+SUM(B7:I7)</f>
        <v>1110.3800000000001</v>
      </c>
      <c r="K7" s="10">
        <f>IFERROR(VLOOKUP(K$1,'[4]Base de Datos'!$A$5:$EI$35,34,0)/1000,0)</f>
        <v>36.28</v>
      </c>
      <c r="L7" s="10">
        <f>IFERROR(VLOOKUP(L$1,'[4]Base de Datos'!$A$5:$EI$35,34,0)/1000,0)</f>
        <v>134.40799999999999</v>
      </c>
      <c r="M7" s="10">
        <f>IFERROR(VLOOKUP(M$1,'[4]Base de Datos'!$A$5:$EI$35,34,0)/1000,0)</f>
        <v>162.65199999999999</v>
      </c>
      <c r="N7" s="10">
        <f>IFERROR(VLOOKUP(N$1,'[4]Base de Datos'!$A$5:$EI$35,34,0)/1000,0)</f>
        <v>0</v>
      </c>
      <c r="O7" s="10">
        <f>IFERROR(VLOOKUP(O$1,'[4]Base de Datos'!$A$5:$EI$35,34,0)/1000,0)</f>
        <v>0</v>
      </c>
      <c r="P7" s="10">
        <f>IFERROR(VLOOKUP(P$1,'[4]Base de Datos'!$A$5:$EI$35,34,0)/1000,0)</f>
        <v>0</v>
      </c>
      <c r="Q7" s="7">
        <f>+J7+SUM(K7:P7)</f>
        <v>1443.72</v>
      </c>
      <c r="R7" s="10">
        <f>IFERROR(VLOOKUP(R$1,'[4]Base de Datos'!$A$5:$EI$35,34,0)/1000,0)</f>
        <v>0</v>
      </c>
      <c r="S7" s="10">
        <f>IFERROR(VLOOKUP(S$1,'[4]Base de Datos'!$A$5:$EI$35,34,0)/1000,0)</f>
        <v>0</v>
      </c>
      <c r="T7" s="10">
        <f>IFERROR(VLOOKUP(T$1,'[4]Base de Datos'!$A$5:$EI$35,34,0)/1000,0)</f>
        <v>0</v>
      </c>
      <c r="U7" s="10">
        <f>IFERROR(VLOOKUP(U$1,'[4]Base de Datos'!$A$5:$EI$35,34,0)/1000,0)</f>
        <v>0</v>
      </c>
      <c r="V7" s="10">
        <f>IFERROR(VLOOKUP(V$1,'[4]Base de Datos'!$A$5:$EI$35,34,0)/1000,0)</f>
        <v>0</v>
      </c>
      <c r="W7" s="10">
        <f>IFERROR(VLOOKUP(W$1,'[4]Base de Datos'!$A$5:$EI$35,34,0)/1000,0)</f>
        <v>0</v>
      </c>
      <c r="X7" s="10">
        <f>IFERROR(VLOOKUP(X$1,'[4]Base de Datos'!$A$5:$EI$35,34,0)/1000,0)</f>
        <v>0</v>
      </c>
      <c r="Y7" s="7">
        <f>+Q7+SUM(R7:X7)</f>
        <v>1443.72</v>
      </c>
      <c r="Z7" s="10">
        <f>IFERROR(VLOOKUP(Z$1,'[4]Base de Datos'!$A$5:$EI$35,34,0)/1000,0)</f>
        <v>0</v>
      </c>
      <c r="AA7" s="10">
        <f>IFERROR(VLOOKUP(AA$1,'[4]Base de Datos'!$A$5:$EI$35,34,0)/1000,0)</f>
        <v>0</v>
      </c>
      <c r="AB7" s="10">
        <f>IFERROR(VLOOKUP(AB$1,'[4]Base de Datos'!$A$5:$EI$35,34,0)/1000,0)</f>
        <v>0</v>
      </c>
      <c r="AC7" s="10">
        <f>IFERROR(VLOOKUP(AC$1,'[4]Base de Datos'!$A$5:$EI$35,34,0)/1000,0)</f>
        <v>0</v>
      </c>
      <c r="AD7" s="10">
        <f>IFERROR(VLOOKUP(AD$1,'[4]Base de Datos'!$A$5:$EI$35,34,0)/1000,0)</f>
        <v>0</v>
      </c>
      <c r="AE7" s="10">
        <f>IFERROR(VLOOKUP(AE$1,'[4]Base de Datos'!$A$5:$EI$35,34,0)/1000,0)</f>
        <v>0</v>
      </c>
      <c r="AF7" s="10">
        <f>IFERROR(VLOOKUP(AF$1,'[4]Base de Datos'!$A$5:$EI$35,34,0)/1000,0)</f>
        <v>0</v>
      </c>
      <c r="AG7" s="7">
        <f>+Y7+SUM(Z7:AF7)</f>
        <v>1443.72</v>
      </c>
      <c r="AH7" s="10">
        <f>IFERROR(VLOOKUP(AH$1,'[4]Base de Datos'!$A$5:$EI$35,34,0)/1000,0)</f>
        <v>0</v>
      </c>
      <c r="AI7" s="10">
        <f>IFERROR(VLOOKUP(AI$1,'[4]Base de Datos'!$A$5:$EI$35,34,0)/1000,0)</f>
        <v>12.417</v>
      </c>
      <c r="AJ7" s="10">
        <f>IFERROR(VLOOKUP(AJ$1,'[4]Base de Datos'!$A$5:$EI$35,34,0)/1000,0)</f>
        <v>11.058999999999999</v>
      </c>
      <c r="AK7" s="7">
        <f>+AG7+SUM(AH7:AJ7)</f>
        <v>1467.1959999999999</v>
      </c>
      <c r="AQ7" s="185"/>
      <c r="AR7" s="185"/>
      <c r="AY7" s="185"/>
      <c r="AZ7" s="185"/>
      <c r="BA7" s="8"/>
      <c r="BB7" s="8"/>
      <c r="BC7" s="8"/>
      <c r="BD7" s="8"/>
      <c r="BE7" s="8"/>
      <c r="BF7" s="8"/>
      <c r="BG7" s="8"/>
      <c r="BH7" s="8"/>
      <c r="BI7" s="8"/>
      <c r="BJ7" s="6"/>
      <c r="BK7" s="8"/>
      <c r="BL7" s="8"/>
      <c r="BM7" s="8"/>
      <c r="BN7" s="8"/>
      <c r="BO7" s="8"/>
      <c r="BP7" s="8"/>
      <c r="BQ7" s="8"/>
      <c r="BR7" s="8"/>
      <c r="BS7" s="8"/>
    </row>
    <row r="8" spans="1:71" x14ac:dyDescent="0.2">
      <c r="A8" s="186" t="str">
        <f>+_xlfn.CONCAT("TEA% ", B44,"%")</f>
        <v>TEA% 21.6%</v>
      </c>
      <c r="B8" s="14">
        <f t="shared" ref="B8:G8" si="5">IFERROR(+B7/B6,0)</f>
        <v>0.23236791443850269</v>
      </c>
      <c r="C8" s="14">
        <f t="shared" si="5"/>
        <v>0.20238244514106585</v>
      </c>
      <c r="D8" s="14">
        <f t="shared" si="5"/>
        <v>0.21465013774104685</v>
      </c>
      <c r="E8" s="14">
        <f t="shared" si="5"/>
        <v>0.20016666666666669</v>
      </c>
      <c r="F8" s="14">
        <f t="shared" si="5"/>
        <v>0.21066139657444005</v>
      </c>
      <c r="G8" s="14">
        <f t="shared" si="5"/>
        <v>0.20733033303330334</v>
      </c>
      <c r="H8" s="14">
        <f t="shared" ref="H8:AI8" si="6">IFERROR(+H7/H6,0)</f>
        <v>0.20567850692354003</v>
      </c>
      <c r="I8" s="14">
        <f t="shared" si="6"/>
        <v>0.23241453424789946</v>
      </c>
      <c r="J8" s="15">
        <f>IFERROR(+J7/J6,0)</f>
        <v>0.21308962687341954</v>
      </c>
      <c r="K8" s="14">
        <f t="shared" si="6"/>
        <v>0.19401069518716579</v>
      </c>
      <c r="L8" s="14">
        <f t="shared" si="6"/>
        <v>0.21917325723603748</v>
      </c>
      <c r="M8" s="14">
        <f t="shared" si="6"/>
        <v>0.22319313893653514</v>
      </c>
      <c r="N8" s="14">
        <f t="shared" si="6"/>
        <v>0</v>
      </c>
      <c r="O8" s="14">
        <f t="shared" si="6"/>
        <v>0</v>
      </c>
      <c r="P8" s="14">
        <f t="shared" si="6"/>
        <v>0</v>
      </c>
      <c r="Q8" s="15">
        <f>IFERROR(+Q7/Q6,0)</f>
        <v>0.21420626158499753</v>
      </c>
      <c r="R8" s="14">
        <f>IFERROR(+R7/R6,0)</f>
        <v>0</v>
      </c>
      <c r="S8" s="14">
        <f>IFERROR(+S7/S6,0)</f>
        <v>0</v>
      </c>
      <c r="T8" s="14">
        <f>IFERROR(+T7/T6,0)</f>
        <v>0</v>
      </c>
      <c r="U8" s="14">
        <f>IFERROR(+U7/U6,0)</f>
        <v>0</v>
      </c>
      <c r="V8" s="14">
        <f t="shared" si="6"/>
        <v>0</v>
      </c>
      <c r="W8" s="14">
        <f t="shared" si="6"/>
        <v>0</v>
      </c>
      <c r="X8" s="14">
        <f t="shared" si="6"/>
        <v>0</v>
      </c>
      <c r="Y8" s="15">
        <f>IFERROR(+Y7/Y6,0)</f>
        <v>0.21420626158499753</v>
      </c>
      <c r="Z8" s="14">
        <v>0.216</v>
      </c>
      <c r="AA8" s="14">
        <v>0.216</v>
      </c>
      <c r="AB8" s="14">
        <f t="shared" si="6"/>
        <v>0</v>
      </c>
      <c r="AC8" s="14">
        <f t="shared" si="6"/>
        <v>0</v>
      </c>
      <c r="AD8" s="14">
        <f t="shared" si="6"/>
        <v>0</v>
      </c>
      <c r="AE8" s="14">
        <f t="shared" si="6"/>
        <v>0</v>
      </c>
      <c r="AF8" s="14">
        <f t="shared" si="6"/>
        <v>0</v>
      </c>
      <c r="AG8" s="15">
        <f>IFERROR(+AG7/AG6,0)</f>
        <v>0.21420626158499753</v>
      </c>
      <c r="AH8" s="14">
        <f t="shared" si="6"/>
        <v>0</v>
      </c>
      <c r="AI8" s="14">
        <f t="shared" si="6"/>
        <v>0</v>
      </c>
      <c r="AJ8" s="14">
        <f>IFERROR(+AJ7/AJ6,0)</f>
        <v>0</v>
      </c>
      <c r="AK8" s="15">
        <f>IFERROR(+AK7/AK6,0)</f>
        <v>0.21768942050568119</v>
      </c>
      <c r="AQ8" s="185"/>
      <c r="AR8" s="185"/>
      <c r="AY8" s="185"/>
      <c r="AZ8" s="185"/>
      <c r="BA8" s="8"/>
      <c r="BB8" s="8"/>
      <c r="BC8" s="8"/>
      <c r="BD8" s="8"/>
      <c r="BE8" s="8"/>
      <c r="BF8" s="8"/>
      <c r="BG8" s="8"/>
      <c r="BH8" s="8"/>
      <c r="BI8" s="8"/>
      <c r="BJ8" s="8"/>
      <c r="BK8" s="8"/>
      <c r="BL8" s="8"/>
      <c r="BM8" s="8"/>
      <c r="BN8" s="8"/>
      <c r="BO8" s="8"/>
      <c r="BP8" s="8"/>
      <c r="BQ8" s="8"/>
      <c r="BR8" s="8"/>
      <c r="BS8" s="8"/>
    </row>
    <row r="9" spans="1:71" x14ac:dyDescent="0.2">
      <c r="A9" s="16" t="s">
        <v>7</v>
      </c>
      <c r="B9" s="6">
        <f>+HLOOKUP(B$1,'[1]RFF Resumen'!$C$16:$AG$153,42,0)</f>
        <v>74.194437886653276</v>
      </c>
      <c r="C9" s="6">
        <f>+HLOOKUP(C$1,'[1]RFF Resumen'!$C$16:$AG$153,42,0)</f>
        <v>131.1888791509466</v>
      </c>
      <c r="D9" s="6">
        <f>+HLOOKUP(D$1,'[1]RFF Resumen'!$C$16:$AG$153,42,0)</f>
        <v>188.14440041983951</v>
      </c>
      <c r="E9" s="6">
        <f>+HLOOKUP(E$1,'[1]RFF Resumen'!$C$16:$AG$153,42,0)</f>
        <v>185.84812069121807</v>
      </c>
      <c r="F9" s="6">
        <f>+HLOOKUP(F$1,'[1]RFF Resumen'!$C$16:$AG$153,42,0)</f>
        <v>176.54624179053101</v>
      </c>
      <c r="G9" s="6">
        <f>+HLOOKUP(G$1,'[1]RFF Resumen'!$C$16:$AG$153,42,0)</f>
        <v>187.05464054862932</v>
      </c>
      <c r="H9" s="6">
        <f>+HLOOKUP(H$1,'[1]RFF Resumen'!$C$16:$AG$153,42,0)</f>
        <v>38.676050084280938</v>
      </c>
      <c r="I9" s="6">
        <f>+HLOOKUP(I$1,'[1]RFF Resumen'!$C$16:$AG$153,42,0)</f>
        <v>14.911500892818566</v>
      </c>
      <c r="J9" s="7">
        <f>+SUM(B9:I9)</f>
        <v>996.5642714649174</v>
      </c>
      <c r="K9" s="6">
        <f>+HLOOKUP(K$1,'[1]RFF Resumen'!$C$16:$AG$153,42,0)</f>
        <v>109.66612169454518</v>
      </c>
      <c r="L9" s="6">
        <f>+HLOOKUP(L$1,'[1]RFF Resumen'!$C$16:$AG$153,42,0)</f>
        <v>213.94057337120094</v>
      </c>
      <c r="M9" s="6">
        <f>+HLOOKUP(M$1,'[1]RFF Resumen'!$C$16:$AG$153,42,0)</f>
        <v>261.61756773664706</v>
      </c>
      <c r="N9" s="6">
        <f>+HLOOKUP(N$1,'[1]RFF Resumen'!$C$16:$AG$153,42,0)</f>
        <v>334.97397506725338</v>
      </c>
      <c r="O9" s="6">
        <f>+HLOOKUP(O$1,'[1]RFF Resumen'!$C$16:$AG$153,42,0)</f>
        <v>299.25320328879923</v>
      </c>
      <c r="P9" s="6">
        <f>+HLOOKUP(P$1,'[1]RFF Resumen'!$C$16:$AG$153,42,0)</f>
        <v>100.55884277086</v>
      </c>
      <c r="Q9" s="7">
        <f>+J9+SUM(K9:P9)</f>
        <v>2316.5745553942234</v>
      </c>
      <c r="R9" s="6">
        <f>+HLOOKUP(R$1,'[1]RFF Resumen'!$C$16:$AG$153,42,0)</f>
        <v>134.9641187047819</v>
      </c>
      <c r="S9" s="6">
        <f>+HLOOKUP(S$1,'[1]RFF Resumen'!$C$16:$AG$153,42,0)</f>
        <v>242.35995401254681</v>
      </c>
      <c r="T9" s="6">
        <f>+HLOOKUP(T$1,'[1]RFF Resumen'!$C$16:$AG$153,42,0)</f>
        <v>281.29551741107122</v>
      </c>
      <c r="U9" s="6">
        <f>+HLOOKUP(U$1,'[1]RFF Resumen'!$C$16:$AG$153,42,0)</f>
        <v>281.98829332919763</v>
      </c>
      <c r="V9" s="6">
        <f>+HLOOKUP(V$1,'[1]RFF Resumen'!$C$16:$AG$153,42,0)</f>
        <v>239.20743438511735</v>
      </c>
      <c r="W9" s="6">
        <f>+HLOOKUP(W$1,'[1]RFF Resumen'!$C$16:$AG$153,42,0)</f>
        <v>296.26414764205123</v>
      </c>
      <c r="X9" s="6">
        <f>+HLOOKUP(X$1,'[1]RFF Resumen'!$C$16:$AG$153,42,0)</f>
        <v>98.729602987042853</v>
      </c>
      <c r="Y9" s="7">
        <f>+Q9+SUM(R9:X9)</f>
        <v>3891.3836238660324</v>
      </c>
      <c r="Z9" s="6">
        <f>+HLOOKUP(Z$1,'[1]RFF Resumen'!$C$16:$AG$153,42,0)</f>
        <v>208.34387803262854</v>
      </c>
      <c r="AA9" s="6">
        <f>+HLOOKUP(AA$1,'[1]RFF Resumen'!$C$16:$AG$153,42,0)</f>
        <v>312.68060170192484</v>
      </c>
      <c r="AB9" s="6">
        <f>+HLOOKUP(AB$1,'[1]RFF Resumen'!$C$16:$AG$153,42,0)</f>
        <v>245.19332967769338</v>
      </c>
      <c r="AC9" s="6">
        <f>+HLOOKUP(AC$1,'[1]RFF Resumen'!$C$16:$AG$153,42,0)</f>
        <v>45.915169228748674</v>
      </c>
      <c r="AD9" s="6">
        <f>+HLOOKUP(AD$1,'[1]RFF Resumen'!$C$16:$AG$153,42,0)</f>
        <v>238.59249845779158</v>
      </c>
      <c r="AE9" s="6">
        <f>+HLOOKUP(AE$1,'[1]RFF Resumen'!$C$16:$AG$153,42,0)</f>
        <v>313.96496155013688</v>
      </c>
      <c r="AF9" s="6">
        <f>+HLOOKUP(AF$1,'[1]RFF Resumen'!$C$16:$AG$153,42,0)</f>
        <v>92.033268086120202</v>
      </c>
      <c r="AG9" s="7">
        <f>+Y9+SUM(Z9:AF9)</f>
        <v>5348.1073306010767</v>
      </c>
      <c r="AH9" s="6">
        <f>+HLOOKUP(AH$1,'[1]RFF Resumen'!$C$16:$AG$153,42,0)</f>
        <v>188.96172032324716</v>
      </c>
      <c r="AI9" s="6">
        <f>+HLOOKUP(AI$1,'[1]RFF Resumen'!$C$16:$AG$153,42,0)</f>
        <v>254.4874245793003</v>
      </c>
      <c r="AJ9" s="6">
        <f>+HLOOKUP(AJ$1,'[1]RFF Resumen'!$C$16:$AG$153,42,0)</f>
        <v>368.44352449637671</v>
      </c>
      <c r="AK9" s="7">
        <f>+AG9+SUM(AH9:AJ9)</f>
        <v>6160.0000000000009</v>
      </c>
      <c r="AQ9" s="185"/>
      <c r="AR9" s="185"/>
      <c r="AY9" s="185"/>
      <c r="AZ9" s="185"/>
      <c r="BA9" s="8"/>
      <c r="BB9" s="8"/>
      <c r="BC9" s="8"/>
      <c r="BD9" s="8"/>
      <c r="BE9" s="8"/>
      <c r="BF9" s="8"/>
      <c r="BG9" s="8"/>
      <c r="BH9" s="8"/>
      <c r="BI9" s="8"/>
      <c r="BJ9" s="6"/>
      <c r="BK9" s="8"/>
      <c r="BL9" s="8"/>
      <c r="BM9" s="8"/>
      <c r="BN9" s="8"/>
      <c r="BO9" s="8"/>
      <c r="BP9" s="8"/>
      <c r="BQ9" s="8"/>
      <c r="BR9" s="8"/>
      <c r="BS9" s="8"/>
    </row>
    <row r="10" spans="1:71" x14ac:dyDescent="0.2">
      <c r="A10" s="9" t="s">
        <v>8</v>
      </c>
      <c r="B10" s="10">
        <f>IFERROR(VLOOKUP(B$1,[2]Hoja1!$A$2:$E$32,4,0)/1000,0)</f>
        <v>113.14400000000001</v>
      </c>
      <c r="C10" s="10">
        <f>IFERROR(VLOOKUP(C$1,[2]Hoja1!$A$2:$E$32,4,0)/1000,0)</f>
        <v>191.93600000000001</v>
      </c>
      <c r="D10" s="10">
        <f>IFERROR(VLOOKUP(D$1,[2]Hoja1!$A$2:$E$32,4,0)/1000,0)</f>
        <v>214.31700000000001</v>
      </c>
      <c r="E10" s="10">
        <f>IFERROR(VLOOKUP(E$1,[2]Hoja1!$A$2:$E$32,4,0)/1000,0)</f>
        <v>187.637</v>
      </c>
      <c r="F10" s="10">
        <f>IFERROR(VLOOKUP(F$1,[2]Hoja1!$A$2:$E$32,4,0)/1000,0)</f>
        <v>227.72800000000001</v>
      </c>
      <c r="G10" s="10">
        <f>IFERROR(VLOOKUP(G$1,[2]Hoja1!$A$2:$E$32,4,0)/1000,0)</f>
        <v>275.93</v>
      </c>
      <c r="H10" s="10">
        <f>IFERROR(VLOOKUP(H$1,[2]Hoja1!$A$2:$E$32,4,0)/1000,0)</f>
        <v>96.93</v>
      </c>
      <c r="I10" s="10">
        <f>IFERROR(VLOOKUP(I$1,[2]Hoja1!$A$2:$E$32,4,0)/1000,0)</f>
        <v>29.045000000000002</v>
      </c>
      <c r="J10" s="7">
        <f>+SUM(B10:I10)</f>
        <v>1336.6670000000004</v>
      </c>
      <c r="K10" s="10">
        <f>IFERROR(VLOOKUP(K$1,[2]Hoja1!$A$2:$E$32,4,0)/1000,0)</f>
        <v>117.54</v>
      </c>
      <c r="L10" s="10">
        <f>IFERROR(VLOOKUP(L$1,[2]Hoja1!$A$2:$E$32,4,0)/1000,0)</f>
        <v>226.51599999999999</v>
      </c>
      <c r="M10" s="10">
        <f>IFERROR(VLOOKUP(M$1,[2]Hoja1!$A$2:$E$32,4,0)/1000,0)</f>
        <v>289.02999999999997</v>
      </c>
      <c r="N10" s="10">
        <f>IFERROR(VLOOKUP(N$1,[2]Hoja1!$A$2:$E$32,4,0)/1000,0)</f>
        <v>0</v>
      </c>
      <c r="O10" s="10">
        <f>IFERROR(VLOOKUP(O$1,[2]Hoja1!$A$2:$E$32,4,0)/1000,0)</f>
        <v>0</v>
      </c>
      <c r="P10" s="10">
        <f>IFERROR(VLOOKUP(P$1,[2]Hoja1!$A$2:$E$32,4,0)/1000,0)</f>
        <v>0</v>
      </c>
      <c r="Q10" s="7">
        <f>+J10+SUM(K10:P10)</f>
        <v>1969.7530000000004</v>
      </c>
      <c r="R10" s="10">
        <f>IFERROR(VLOOKUP(R$1,[2]Hoja1!$A$2:$E$32,4,0)/1000,0)</f>
        <v>0</v>
      </c>
      <c r="S10" s="10">
        <f>IFERROR(VLOOKUP(S$1,[2]Hoja1!$A$2:$E$32,4,0)/1000,0)</f>
        <v>0</v>
      </c>
      <c r="T10" s="10">
        <f>IFERROR(VLOOKUP(T$1,[2]Hoja1!$A$2:$E$32,4,0)/1000,0)</f>
        <v>0</v>
      </c>
      <c r="U10" s="10">
        <f>IFERROR(VLOOKUP(U$1,[2]Hoja1!$A$2:$E$32,4,0)/1000,0)</f>
        <v>0</v>
      </c>
      <c r="V10" s="10">
        <f>IFERROR(VLOOKUP(V$1,[2]Hoja1!$A$2:$E$32,4,0)/1000,0)</f>
        <v>0</v>
      </c>
      <c r="W10" s="10">
        <f>IFERROR(VLOOKUP(W$1,[2]Hoja1!$A$2:$E$32,4,0)/1000,0)</f>
        <v>0</v>
      </c>
      <c r="X10" s="10">
        <f>IFERROR(VLOOKUP(X$1,[2]Hoja1!$A$2:$E$32,4,0)/1000,0)</f>
        <v>0</v>
      </c>
      <c r="Y10" s="7">
        <f>+Q10+SUM(R10:X10)</f>
        <v>1969.7530000000004</v>
      </c>
      <c r="Z10" s="10">
        <f>IFERROR(VLOOKUP(Z$1,[2]Hoja1!$A$2:$E$32,4,0)/1000,0)</f>
        <v>0</v>
      </c>
      <c r="AA10" s="10">
        <f>IFERROR(VLOOKUP(AA$1,[2]Hoja1!$A$2:$E$32,4,0)/1000,0)</f>
        <v>0</v>
      </c>
      <c r="AB10" s="10">
        <f>IFERROR(VLOOKUP(AB$1,[2]Hoja1!$A$2:$E$32,4,0)/1000,0)</f>
        <v>0</v>
      </c>
      <c r="AC10" s="10">
        <f>IFERROR(VLOOKUP(AC$1,[2]Hoja1!$A$2:$E$32,4,0)/1000,0)</f>
        <v>0</v>
      </c>
      <c r="AD10" s="10">
        <f>IFERROR(VLOOKUP(AD$1,[2]Hoja1!$A$2:$E$32,4,0)/1000,0)</f>
        <v>0</v>
      </c>
      <c r="AE10" s="10">
        <f>IFERROR(VLOOKUP(AE$1,[2]Hoja1!$A$2:$E$32,4,0)/1000,0)</f>
        <v>0</v>
      </c>
      <c r="AF10" s="10">
        <f>IFERROR(VLOOKUP(AF$1,[2]Hoja1!$A$2:$E$32,4,0)/1000,0)</f>
        <v>0</v>
      </c>
      <c r="AG10" s="7">
        <f>+Y10+SUM(Z10:AF10)</f>
        <v>1969.7530000000004</v>
      </c>
      <c r="AH10" s="10">
        <f>IFERROR(VLOOKUP(AH$1,[2]Hoja1!$A$2:$E$32,4,0)/1000,0)</f>
        <v>0</v>
      </c>
      <c r="AI10" s="10">
        <f>IFERROR(VLOOKUP(AI$1,[2]Hoja1!$A$2:$E$32,4,0)/1000,0)</f>
        <v>0</v>
      </c>
      <c r="AJ10" s="10">
        <f>IFERROR(VLOOKUP(AJ$1,[2]Hoja1!$A$2:$E$32,4,0)/1000,0)</f>
        <v>0</v>
      </c>
      <c r="AK10" s="7">
        <f>+AG10+SUM(AH10:AJ10)</f>
        <v>1969.7530000000004</v>
      </c>
      <c r="AQ10" s="185"/>
      <c r="AR10" s="185"/>
      <c r="AY10" s="185"/>
      <c r="AZ10" s="185"/>
      <c r="BA10" s="8"/>
      <c r="BB10" s="8"/>
      <c r="BC10" s="8"/>
      <c r="BD10" s="8"/>
      <c r="BF10" s="8"/>
      <c r="BG10" s="8"/>
      <c r="BH10" s="8"/>
      <c r="BI10" s="8"/>
      <c r="BJ10" s="8"/>
      <c r="BK10" s="8"/>
      <c r="BL10" s="8"/>
      <c r="BM10" s="8"/>
      <c r="BN10" s="8"/>
      <c r="BO10" s="8"/>
      <c r="BP10" s="8"/>
      <c r="BQ10" s="8"/>
      <c r="BR10" s="8"/>
      <c r="BS10" s="8"/>
    </row>
    <row r="11" spans="1:71" x14ac:dyDescent="0.2">
      <c r="A11" s="11" t="s">
        <v>3</v>
      </c>
      <c r="B11" s="12">
        <f t="shared" ref="B11:G11" si="7">IFERROR(+B10/B9,0)</f>
        <v>1.5249660651496533</v>
      </c>
      <c r="C11" s="12">
        <f t="shared" si="7"/>
        <v>1.4630508412161785</v>
      </c>
      <c r="D11" s="12">
        <f t="shared" si="7"/>
        <v>1.1391091072695068</v>
      </c>
      <c r="E11" s="12">
        <f t="shared" si="7"/>
        <v>1.0096254904387982</v>
      </c>
      <c r="F11" s="12">
        <f t="shared" si="7"/>
        <v>1.289905679613363</v>
      </c>
      <c r="G11" s="12">
        <f t="shared" si="7"/>
        <v>1.4751304709185518</v>
      </c>
      <c r="H11" s="12">
        <f t="shared" ref="H11:AI11" si="8">IFERROR(+H10/H9,0)</f>
        <v>2.5062021532388892</v>
      </c>
      <c r="I11" s="12">
        <f t="shared" si="8"/>
        <v>1.9478253871807218</v>
      </c>
      <c r="J11" s="13">
        <f>IFERROR(+J10/J9,0)</f>
        <v>1.3412752576761988</v>
      </c>
      <c r="K11" s="12">
        <f t="shared" si="8"/>
        <v>1.0717986392131753</v>
      </c>
      <c r="L11" s="12">
        <f t="shared" si="8"/>
        <v>1.0587799987194568</v>
      </c>
      <c r="M11" s="12">
        <f t="shared" si="8"/>
        <v>1.104780548571368</v>
      </c>
      <c r="N11" s="12">
        <f t="shared" si="8"/>
        <v>0</v>
      </c>
      <c r="O11" s="12">
        <f t="shared" si="8"/>
        <v>0</v>
      </c>
      <c r="P11" s="12">
        <f t="shared" si="8"/>
        <v>0</v>
      </c>
      <c r="Q11" s="13">
        <f>IFERROR(+Q10/Q9,0)</f>
        <v>0.85028690115470829</v>
      </c>
      <c r="R11" s="12">
        <f>IFERROR(+R10/R9,0)</f>
        <v>0</v>
      </c>
      <c r="S11" s="12">
        <f>IFERROR(+S10/S9,0)</f>
        <v>0</v>
      </c>
      <c r="T11" s="12">
        <f>IFERROR(+T10/T9,0)</f>
        <v>0</v>
      </c>
      <c r="U11" s="12">
        <f>IFERROR(+U10/U9,0)</f>
        <v>0</v>
      </c>
      <c r="V11" s="12">
        <f t="shared" si="8"/>
        <v>0</v>
      </c>
      <c r="W11" s="12">
        <f t="shared" si="8"/>
        <v>0</v>
      </c>
      <c r="X11" s="12">
        <f t="shared" si="8"/>
        <v>0</v>
      </c>
      <c r="Y11" s="13">
        <f>IFERROR(+Y10/Y9,0)</f>
        <v>0.50618319610521456</v>
      </c>
      <c r="Z11" s="12">
        <f t="shared" si="8"/>
        <v>0</v>
      </c>
      <c r="AA11" s="12">
        <f t="shared" si="8"/>
        <v>0</v>
      </c>
      <c r="AB11" s="12">
        <f t="shared" si="8"/>
        <v>0</v>
      </c>
      <c r="AC11" s="12">
        <f t="shared" si="8"/>
        <v>0</v>
      </c>
      <c r="AD11" s="12">
        <f t="shared" si="8"/>
        <v>0</v>
      </c>
      <c r="AE11" s="12">
        <f t="shared" si="8"/>
        <v>0</v>
      </c>
      <c r="AF11" s="12">
        <f t="shared" si="8"/>
        <v>0</v>
      </c>
      <c r="AG11" s="13">
        <f>IFERROR(+AG10/AG9,0)</f>
        <v>0.36830842730649138</v>
      </c>
      <c r="AH11" s="12">
        <f t="shared" si="8"/>
        <v>0</v>
      </c>
      <c r="AI11" s="12">
        <f t="shared" si="8"/>
        <v>0</v>
      </c>
      <c r="AJ11" s="12">
        <f>IFERROR(+AJ10/AJ9,0)</f>
        <v>0</v>
      </c>
      <c r="AK11" s="13">
        <f>IFERROR(+AK10/AK9,0)</f>
        <v>0.3197650974025974</v>
      </c>
      <c r="AQ11" s="185"/>
      <c r="AR11" s="185"/>
      <c r="AY11" s="185"/>
      <c r="AZ11" s="185"/>
      <c r="BA11" s="8"/>
      <c r="BB11" s="8"/>
      <c r="BC11" s="8"/>
      <c r="BD11" s="8"/>
      <c r="BE11" s="8"/>
      <c r="BF11" s="8"/>
      <c r="BG11" s="8"/>
      <c r="BH11" s="8"/>
      <c r="BI11" s="8"/>
      <c r="BJ11" s="6"/>
      <c r="BK11" s="8"/>
      <c r="BL11" s="8"/>
      <c r="BM11" s="8"/>
      <c r="BN11" s="8"/>
      <c r="BO11" s="8"/>
      <c r="BP11" s="8"/>
      <c r="BQ11" s="8"/>
      <c r="BR11" s="8"/>
      <c r="BS11" s="8"/>
    </row>
    <row r="12" spans="1:71" x14ac:dyDescent="0.2">
      <c r="A12" s="9" t="s">
        <v>9</v>
      </c>
      <c r="B12" s="6">
        <f>+HLOOKUP(B$1,[3]Resumen!$B$1:$AH$27,4,0)</f>
        <v>150</v>
      </c>
      <c r="C12" s="6">
        <f>+HLOOKUP(C$1,[3]Resumen!$B$1:$AH$27,4,0)</f>
        <v>150</v>
      </c>
      <c r="D12" s="6">
        <f>+HLOOKUP(D$1,[3]Resumen!$B$1:$AH$27,4,0)</f>
        <v>200</v>
      </c>
      <c r="E12" s="6">
        <f>+HLOOKUP(E$1,[3]Resumen!$B$1:$AH$27,4,0)</f>
        <v>200</v>
      </c>
      <c r="F12" s="6">
        <f>+HLOOKUP(F$1,[3]Resumen!$B$1:$AH$27,4,0)</f>
        <v>200</v>
      </c>
      <c r="G12" s="6">
        <f>+HLOOKUP(G$1,[3]Resumen!$B$1:$AH$27,4,0)</f>
        <v>200</v>
      </c>
      <c r="H12" s="6">
        <f>+HLOOKUP(H$1,[3]Resumen!$B$1:$AH$27,4,0)</f>
        <v>0</v>
      </c>
      <c r="I12" s="6">
        <f>+HLOOKUP(I$1,[3]Resumen!$B$1:$AH$27,4,0)</f>
        <v>0</v>
      </c>
      <c r="J12" s="7">
        <f>+SUM(B12:I12)</f>
        <v>1100</v>
      </c>
      <c r="K12" s="6">
        <f>+HLOOKUP(K$1,[3]Resumen!$B$1:$AH$27,4,0)</f>
        <v>100</v>
      </c>
      <c r="L12" s="6">
        <f>+HLOOKUP(L$1,[3]Resumen!$B$1:$AH$27,4,0)</f>
        <v>350</v>
      </c>
      <c r="M12" s="6">
        <f>+HLOOKUP(M$1,[3]Resumen!$B$1:$AH$27,4,0)</f>
        <v>350</v>
      </c>
      <c r="N12" s="6">
        <f>+HLOOKUP(N$1,[3]Resumen!$B$1:$AH$27,4,0)</f>
        <v>350</v>
      </c>
      <c r="O12" s="6">
        <f>+HLOOKUP(O$1,[3]Resumen!$B$1:$AH$27,4,0)</f>
        <v>350</v>
      </c>
      <c r="P12" s="6">
        <f>+HLOOKUP(P$1,[3]Resumen!$B$1:$AH$27,4,0)</f>
        <v>300</v>
      </c>
      <c r="Q12" s="7">
        <f>+J12+SUM(K12:P12)</f>
        <v>2900</v>
      </c>
      <c r="R12" s="6">
        <f>+HLOOKUP(R$1,[3]Resumen!$B$1:$AH$27,4,0)</f>
        <v>100</v>
      </c>
      <c r="S12" s="6">
        <f>+HLOOKUP(S$1,[3]Resumen!$B$1:$AH$27,4,0)</f>
        <v>250</v>
      </c>
      <c r="T12" s="6">
        <f>+HLOOKUP(T$1,[3]Resumen!$B$1:$AH$27,4,0)</f>
        <v>250</v>
      </c>
      <c r="U12" s="6">
        <f>+HLOOKUP(U$1,[3]Resumen!$B$1:$AH$27,4,0)</f>
        <v>300</v>
      </c>
      <c r="V12" s="6">
        <f>+HLOOKUP(V$1,[3]Resumen!$B$1:$AH$27,4,0)</f>
        <v>300</v>
      </c>
      <c r="W12" s="6">
        <f>+HLOOKUP(W$1,[3]Resumen!$B$1:$AH$27,4,0)</f>
        <v>300</v>
      </c>
      <c r="X12" s="6">
        <f>+HLOOKUP(X$1,[3]Resumen!$B$1:$AH$27,4,0)</f>
        <v>0</v>
      </c>
      <c r="Y12" s="7">
        <f>+Q12+SUM(R12:X12)</f>
        <v>4400</v>
      </c>
      <c r="Z12" s="6">
        <f>+HLOOKUP(Z$1,[3]Resumen!$B$1:$AH$27,4,0)</f>
        <v>350</v>
      </c>
      <c r="AA12" s="6">
        <f>+HLOOKUP(AA$1,[3]Resumen!$B$1:$AH$27,4,0)</f>
        <v>350</v>
      </c>
      <c r="AB12" s="6">
        <f>+HLOOKUP(AB$1,[3]Resumen!$B$1:$AH$27,4,0)</f>
        <v>280</v>
      </c>
      <c r="AC12" s="6">
        <f>+HLOOKUP(AC$1,[3]Resumen!$B$1:$AH$27,4,0)</f>
        <v>0</v>
      </c>
      <c r="AD12" s="6">
        <f>+HLOOKUP(AD$1,[3]Resumen!$B$1:$AH$27,4,0)</f>
        <v>300</v>
      </c>
      <c r="AE12" s="6">
        <f>+HLOOKUP(AE$1,[3]Resumen!$B$1:$AH$27,4,0)</f>
        <v>300</v>
      </c>
      <c r="AF12" s="6">
        <f>+HLOOKUP(AF$1,[3]Resumen!$B$1:$AH$27,4,0)</f>
        <v>150</v>
      </c>
      <c r="AG12" s="7">
        <f>+Y12+SUM(Z12:AF12)</f>
        <v>6130</v>
      </c>
      <c r="AH12" s="6">
        <f>+HLOOKUP(AH$1,[3]Resumen!$B$1:$AH$27,4,0)</f>
        <v>100</v>
      </c>
      <c r="AI12" s="6">
        <f>+HLOOKUP(AI$1,[3]Resumen!$B$1:$AH$27,4,0)</f>
        <v>370</v>
      </c>
      <c r="AJ12" s="6">
        <f>+HLOOKUP(AJ$1,[3]Resumen!$B$1:$AH$27,4,0)</f>
        <v>400</v>
      </c>
      <c r="AK12" s="7">
        <f>+AG12+SUM(AH12:AJ12)</f>
        <v>7000</v>
      </c>
      <c r="AQ12" s="185"/>
      <c r="AR12" s="185"/>
      <c r="AY12" s="185"/>
      <c r="AZ12" s="185"/>
      <c r="BA12" s="8"/>
      <c r="BB12" s="8"/>
      <c r="BC12" s="8"/>
      <c r="BD12" s="8"/>
      <c r="BE12" s="8"/>
      <c r="BF12" s="8"/>
      <c r="BG12" s="8"/>
      <c r="BH12" s="8"/>
      <c r="BI12" s="8"/>
      <c r="BJ12" s="8"/>
      <c r="BK12" s="8"/>
      <c r="BL12" s="8"/>
      <c r="BM12" s="8"/>
      <c r="BN12" s="8"/>
      <c r="BO12" s="8"/>
      <c r="BP12" s="8"/>
      <c r="BQ12" s="8"/>
      <c r="BR12" s="8"/>
      <c r="BS12" s="8"/>
    </row>
    <row r="13" spans="1:71" x14ac:dyDescent="0.2">
      <c r="A13" s="9" t="s">
        <v>10</v>
      </c>
      <c r="B13" s="6">
        <f>+IFERROR(VLOOKUP(B$1,'[4]Base de Datos'!$A$5:$EI$35,7,0)/1000,0)</f>
        <v>0</v>
      </c>
      <c r="C13" s="6">
        <f>+IFERROR(VLOOKUP(C$1,'[4]Base de Datos'!$A$5:$EI$35,7,0)/1000,0)</f>
        <v>331.5</v>
      </c>
      <c r="D13" s="6">
        <f>+IFERROR(VLOOKUP(D$1,'[4]Base de Datos'!$A$5:$EI$35,7,0)/1000,0)</f>
        <v>316.2</v>
      </c>
      <c r="E13" s="6">
        <f>+IFERROR(VLOOKUP(E$1,'[4]Base de Datos'!$A$5:$EI$35,7,0)/1000,0)</f>
        <v>323.31</v>
      </c>
      <c r="F13" s="6">
        <f>+IFERROR(VLOOKUP(F$1,'[4]Base de Datos'!$A$5:$EI$35,7,0)/1000,0)</f>
        <v>163.19999999999999</v>
      </c>
      <c r="G13" s="6">
        <f>+IFERROR(VLOOKUP(G$1,'[4]Base de Datos'!$A$5:$EI$35,7,0)/1000,0)</f>
        <v>285.60000000000002</v>
      </c>
      <c r="H13" s="6">
        <f>+IFERROR(VLOOKUP(H$1,'[4]Base de Datos'!$A$5:$EI$35,7,0)/1000,0)</f>
        <v>0</v>
      </c>
      <c r="I13" s="6">
        <f>+IFERROR(VLOOKUP(I$1,'[4]Base de Datos'!$A$5:$EI$35,7,0)/1000,0)</f>
        <v>0</v>
      </c>
      <c r="J13" s="7">
        <f>+SUM(B13:I13)</f>
        <v>1419.81</v>
      </c>
      <c r="K13" s="6">
        <f>+IFERROR(VLOOKUP(K$1,'[4]Base de Datos'!$A$5:$EI$35,7,0)/1000,0)</f>
        <v>142.80000000000001</v>
      </c>
      <c r="L13" s="6">
        <f>+IFERROR(VLOOKUP(L$1,'[4]Base de Datos'!$A$5:$EI$35,7,0)/1000,0)</f>
        <v>357</v>
      </c>
      <c r="M13" s="6">
        <f>+IFERROR(VLOOKUP(M$1,'[4]Base de Datos'!$A$5:$EI$35,7,0)/1000,0)</f>
        <v>351.9</v>
      </c>
      <c r="N13" s="6">
        <f>+IFERROR(VLOOKUP(N$1,'[4]Base de Datos'!$A$5:$EI$35,7,0)/1000,0)</f>
        <v>0</v>
      </c>
      <c r="O13" s="6">
        <f>+IFERROR(VLOOKUP(O$1,'[4]Base de Datos'!$A$5:$EI$35,7,0)/1000,0)</f>
        <v>0</v>
      </c>
      <c r="P13" s="6">
        <f>+IFERROR(VLOOKUP(P$1,'[4]Base de Datos'!$A$5:$EI$35,7,0)/1000,0)</f>
        <v>0</v>
      </c>
      <c r="Q13" s="7">
        <f>+J13+SUM(K13:P13)</f>
        <v>2271.5100000000002</v>
      </c>
      <c r="R13" s="6">
        <f>+IFERROR(VLOOKUP(R$1,'[4]Base de Datos'!$A$5:$EI$35,7,0)/1000,0)</f>
        <v>0</v>
      </c>
      <c r="S13" s="6">
        <f>+IFERROR(VLOOKUP(S$1,'[4]Base de Datos'!$A$5:$EI$35,7,0)/1000,0)</f>
        <v>0</v>
      </c>
      <c r="T13" s="6">
        <f>+IFERROR(VLOOKUP(T$1,'[4]Base de Datos'!$A$5:$EI$35,7,0)/1000,0)</f>
        <v>0</v>
      </c>
      <c r="U13" s="6">
        <f>+IFERROR(VLOOKUP(U$1,'[4]Base de Datos'!$A$5:$EI$35,7,0)/1000,0)</f>
        <v>0</v>
      </c>
      <c r="V13" s="6">
        <f>+IFERROR(VLOOKUP(V$1,'[4]Base de Datos'!$A$5:$EI$35,7,0)/1000,0)</f>
        <v>0</v>
      </c>
      <c r="W13" s="6">
        <f>+IFERROR(VLOOKUP(W$1,'[4]Base de Datos'!$A$5:$EI$35,7,0)/1000,0)</f>
        <v>0</v>
      </c>
      <c r="X13" s="6">
        <f>+IFERROR(VLOOKUP(X$1,'[4]Base de Datos'!$A$5:$EI$35,7,0)/1000,0)</f>
        <v>0</v>
      </c>
      <c r="Y13" s="7">
        <f>+Q13+SUM(R13:X13)</f>
        <v>2271.5100000000002</v>
      </c>
      <c r="Z13" s="6">
        <f>+IFERROR(VLOOKUP(Z$1,'[4]Base de Datos'!$A$5:$EI$35,7,0)/1000,0)</f>
        <v>0</v>
      </c>
      <c r="AA13" s="6">
        <f>+IFERROR(VLOOKUP(AA$1,'[4]Base de Datos'!$A$5:$EI$35,7,0)/1000,0)</f>
        <v>0</v>
      </c>
      <c r="AB13" s="6">
        <f>+IFERROR(VLOOKUP(AB$1,'[4]Base de Datos'!$A$5:$EI$35,7,0)/1000,0)</f>
        <v>0</v>
      </c>
      <c r="AC13" s="6">
        <f>+IFERROR(VLOOKUP(AC$1,'[4]Base de Datos'!$A$5:$EI$35,7,0)/1000,0)</f>
        <v>0</v>
      </c>
      <c r="AD13" s="6">
        <f>+IFERROR(VLOOKUP(AD$1,'[4]Base de Datos'!$A$5:$EI$35,7,0)/1000,0)</f>
        <v>0</v>
      </c>
      <c r="AE13" s="6">
        <f>+IFERROR(VLOOKUP(AE$1,'[4]Base de Datos'!$A$5:$EI$35,7,0)/1000,0)</f>
        <v>0</v>
      </c>
      <c r="AF13" s="6">
        <f>+IFERROR(VLOOKUP(AF$1,'[4]Base de Datos'!$A$5:$EI$35,7,0)/1000,0)</f>
        <v>0</v>
      </c>
      <c r="AG13" s="7">
        <f>+Y13+SUM(Z13:AF13)</f>
        <v>2271.5100000000002</v>
      </c>
      <c r="AH13" s="6">
        <f>+IFERROR(VLOOKUP(AH$1,'[4]Base de Datos'!$A$5:$EI$35,7,0)/1000,0)</f>
        <v>0</v>
      </c>
      <c r="AI13" s="6">
        <f>+IFERROR(VLOOKUP(AI$1,'[4]Base de Datos'!$A$5:$EI$35,7,0)/1000,0)</f>
        <v>0</v>
      </c>
      <c r="AJ13" s="6">
        <f>+IFERROR(VLOOKUP(AJ$1,'[4]Base de Datos'!$A$5:$EI$35,7,0)/1000,0)</f>
        <v>0</v>
      </c>
      <c r="AK13" s="7">
        <f>+AG13+SUM(AH13:AJ13)</f>
        <v>2271.5100000000002</v>
      </c>
      <c r="AL13" s="412">
        <f>+AG13/AG12</f>
        <v>0.37055628058727574</v>
      </c>
      <c r="AO13" s="368"/>
      <c r="AQ13" s="185"/>
      <c r="AR13" s="185"/>
      <c r="AY13" s="185"/>
      <c r="AZ13" s="185"/>
      <c r="BA13" s="8"/>
      <c r="BB13" s="8"/>
      <c r="BC13" s="8"/>
      <c r="BD13" s="8"/>
      <c r="BE13" s="8"/>
      <c r="BF13" s="8"/>
      <c r="BG13" s="8"/>
      <c r="BH13" s="8"/>
      <c r="BI13" s="8"/>
      <c r="BJ13" s="6"/>
      <c r="BK13" s="8"/>
      <c r="BL13" s="8"/>
      <c r="BM13" s="8"/>
      <c r="BN13" s="8"/>
      <c r="BO13" s="8"/>
      <c r="BP13" s="8"/>
      <c r="BQ13" s="8"/>
      <c r="BR13" s="8"/>
      <c r="BS13" s="8"/>
    </row>
    <row r="14" spans="1:71" x14ac:dyDescent="0.2">
      <c r="A14" s="9" t="s">
        <v>6</v>
      </c>
      <c r="B14" s="10">
        <f>+IFERROR(VLOOKUP(B$1,'[4]Base de Datos'!$A$5:$EI$35,5,0)/1000,0)</f>
        <v>0</v>
      </c>
      <c r="C14" s="10">
        <f>+IFERROR(VLOOKUP(C$1,'[4]Base de Datos'!$A$5:$EI$35,5,0)/1000,0)</f>
        <v>64.043999999999997</v>
      </c>
      <c r="D14" s="10">
        <f>+IFERROR(VLOOKUP(D$1,'[4]Base de Datos'!$A$5:$EI$35,5,0)/1000,0)</f>
        <v>59.259</v>
      </c>
      <c r="E14" s="10">
        <f>+IFERROR(VLOOKUP(E$1,'[4]Base de Datos'!$A$5:$EI$35,5,0)/1000,0)</f>
        <v>57.21</v>
      </c>
      <c r="F14" s="10">
        <f>+IFERROR(VLOOKUP(F$1,'[4]Base de Datos'!$A$5:$EI$35,5,0)/1000,0)</f>
        <v>27.768999999999998</v>
      </c>
      <c r="G14" s="10">
        <f>+IFERROR(VLOOKUP(G$1,'[4]Base de Datos'!$A$5:$EI$35,5,0)/1000,0)</f>
        <v>53.478999999999999</v>
      </c>
      <c r="H14" s="10">
        <f>+IFERROR(VLOOKUP(H$1,'[4]Base de Datos'!$A$5:$EI$35,5,0)/1000,0)</f>
        <v>0</v>
      </c>
      <c r="I14" s="10">
        <f>+IFERROR(VLOOKUP(I$1,'[4]Base de Datos'!$A$5:$EI$35,5,0)/1000,0)</f>
        <v>0</v>
      </c>
      <c r="J14" s="7">
        <f>+SUM(B14:I14)</f>
        <v>261.76100000000002</v>
      </c>
      <c r="K14" s="10">
        <f>+IFERROR(VLOOKUP(K$1,'[4]Base de Datos'!$A$5:$EI$35,5,0)/1000,0)</f>
        <v>26.384</v>
      </c>
      <c r="L14" s="10">
        <f>+IFERROR(VLOOKUP(L$1,'[4]Base de Datos'!$A$5:$EI$35,5,0)/1000,0)</f>
        <v>68.813999999999993</v>
      </c>
      <c r="M14" s="10">
        <f>+IFERROR(VLOOKUP(M$1,'[4]Base de Datos'!$A$5:$EI$35,5,0)/1000,0)</f>
        <v>67.739000000000004</v>
      </c>
      <c r="N14" s="10">
        <f>+IFERROR(VLOOKUP(N$1,'[4]Base de Datos'!$A$5:$EI$35,5,0)/1000,0)</f>
        <v>0</v>
      </c>
      <c r="O14" s="10">
        <f>+IFERROR(VLOOKUP(O$1,'[4]Base de Datos'!$A$5:$EI$35,5,0)/1000,0)</f>
        <v>0</v>
      </c>
      <c r="P14" s="10">
        <f>+IFERROR(VLOOKUP(P$1,'[4]Base de Datos'!$A$5:$EI$35,5,0)/1000,0)</f>
        <v>0</v>
      </c>
      <c r="Q14" s="7">
        <f>+J14+SUM(K14:P14)</f>
        <v>424.69800000000004</v>
      </c>
      <c r="R14" s="10">
        <f>+IFERROR(VLOOKUP(R$1,'[4]Base de Datos'!$A$5:$EI$35,5,0)/1000,0)</f>
        <v>0</v>
      </c>
      <c r="S14" s="10">
        <f>+IFERROR(VLOOKUP(S$1,'[4]Base de Datos'!$A$5:$EI$35,5,0)/1000,0)</f>
        <v>0</v>
      </c>
      <c r="T14" s="10">
        <f>+IFERROR(VLOOKUP(T$1,'[4]Base de Datos'!$A$5:$EI$35,5,0)/1000,0)</f>
        <v>0</v>
      </c>
      <c r="U14" s="10">
        <f>+IFERROR(VLOOKUP(U$1,'[4]Base de Datos'!$A$5:$EI$35,5,0)/1000,0)</f>
        <v>0</v>
      </c>
      <c r="V14" s="10">
        <f>+IFERROR(VLOOKUP(V$1,'[4]Base de Datos'!$A$5:$EI$35,5,0)/1000,0)</f>
        <v>0</v>
      </c>
      <c r="W14" s="10">
        <f>+IFERROR(VLOOKUP(W$1,'[4]Base de Datos'!$A$5:$EI$35,5,0)/1000,0)</f>
        <v>0</v>
      </c>
      <c r="X14" s="10">
        <f>+IFERROR(VLOOKUP(X$1,'[4]Base de Datos'!$A$5:$EI$35,5,0)/1000,0)</f>
        <v>0</v>
      </c>
      <c r="Y14" s="7">
        <f>+Q14+SUM(R14:X14)</f>
        <v>424.69800000000004</v>
      </c>
      <c r="Z14" s="10">
        <f>+IFERROR(VLOOKUP(Z$1,'[4]Base de Datos'!$A$5:$EI$35,5,0)/1000,0)</f>
        <v>0</v>
      </c>
      <c r="AA14" s="10">
        <f>+IFERROR(VLOOKUP(AA$1,'[4]Base de Datos'!$A$5:$EI$35,5,0)/1000,0)</f>
        <v>0</v>
      </c>
      <c r="AB14" s="10">
        <f>+IFERROR(VLOOKUP(AB$1,'[4]Base de Datos'!$A$5:$EI$35,5,0)/1000,0)</f>
        <v>0</v>
      </c>
      <c r="AC14" s="10">
        <f>+IFERROR(VLOOKUP(AC$1,'[4]Base de Datos'!$A$5:$EI$35,5,0)/1000,0)</f>
        <v>0</v>
      </c>
      <c r="AD14" s="10">
        <f>+IFERROR(VLOOKUP(AD$1,'[4]Base de Datos'!$A$5:$EI$35,5,0)/1000,0)</f>
        <v>0</v>
      </c>
      <c r="AE14" s="10">
        <f>+IFERROR(VLOOKUP(AE$1,'[4]Base de Datos'!$A$5:$EI$35,5,0)/1000,0)</f>
        <v>0</v>
      </c>
      <c r="AF14" s="10">
        <f>+IFERROR(VLOOKUP(AF$1,'[4]Base de Datos'!$A$5:$EI$35,5,0)/1000,0)</f>
        <v>0</v>
      </c>
      <c r="AG14" s="7">
        <f>+Y14+SUM(Z14:AF14)</f>
        <v>424.69800000000004</v>
      </c>
      <c r="AH14" s="10">
        <f>+IFERROR(VLOOKUP(AH$1,'[4]Base de Datos'!$A$5:$EI$35,5,0)/1000,0)</f>
        <v>0</v>
      </c>
      <c r="AI14" s="10">
        <f>+IFERROR(VLOOKUP(AI$1,'[4]Base de Datos'!$A$5:$EI$35,5,0)/1000,0)</f>
        <v>0</v>
      </c>
      <c r="AJ14" s="10">
        <f>+IFERROR(VLOOKUP(AJ$1,'[4]Base de Datos'!$A$5:$EI$35,5,0)/1000,0)</f>
        <v>0</v>
      </c>
      <c r="AK14" s="7">
        <f>+AG14+SUM(AH14:AJ14)</f>
        <v>424.69800000000004</v>
      </c>
      <c r="AQ14" s="185"/>
      <c r="AR14" s="185"/>
      <c r="AY14" s="185"/>
      <c r="AZ14" s="185"/>
      <c r="BA14" s="8"/>
      <c r="BB14" s="8"/>
      <c r="BC14" s="8"/>
      <c r="BD14" s="8"/>
      <c r="BE14" s="8"/>
      <c r="BF14" s="8"/>
      <c r="BG14" s="8"/>
      <c r="BH14" s="8"/>
      <c r="BI14" s="8"/>
      <c r="BJ14" s="8"/>
      <c r="BK14" s="8"/>
      <c r="BL14" s="8"/>
      <c r="BM14" s="8"/>
      <c r="BN14" s="8"/>
      <c r="BO14" s="8"/>
      <c r="BP14" s="8"/>
      <c r="BQ14" s="8"/>
      <c r="BR14" s="8"/>
      <c r="BS14" s="8"/>
    </row>
    <row r="15" spans="1:71" x14ac:dyDescent="0.2">
      <c r="A15" s="186" t="str">
        <f>+_xlfn.CONCAT("TEA% ", B45,"%")</f>
        <v>TEA% 18.6%</v>
      </c>
      <c r="B15" s="14">
        <f t="shared" ref="B15:G15" si="9">IFERROR(+B14/B13,0)</f>
        <v>0</v>
      </c>
      <c r="C15" s="14">
        <f t="shared" si="9"/>
        <v>0.19319457013574659</v>
      </c>
      <c r="D15" s="14">
        <f t="shared" si="9"/>
        <v>0.18740986717267552</v>
      </c>
      <c r="E15" s="14">
        <f t="shared" si="9"/>
        <v>0.17695091398348334</v>
      </c>
      <c r="F15" s="14">
        <f t="shared" si="9"/>
        <v>0.17015318627450982</v>
      </c>
      <c r="G15" s="14">
        <f t="shared" si="9"/>
        <v>0.18725140056022407</v>
      </c>
      <c r="H15" s="14">
        <f t="shared" ref="H15:AI15" si="10">IFERROR(+H14/H13,0)</f>
        <v>0</v>
      </c>
      <c r="I15" s="14">
        <f t="shared" si="10"/>
        <v>0</v>
      </c>
      <c r="J15" s="15">
        <f>IFERROR(+J14/J13,0)</f>
        <v>0.18436340073671831</v>
      </c>
      <c r="K15" s="14">
        <f t="shared" si="10"/>
        <v>0.18476190476190474</v>
      </c>
      <c r="L15" s="14">
        <f t="shared" si="10"/>
        <v>0.19275630252100839</v>
      </c>
      <c r="M15" s="14">
        <f t="shared" si="10"/>
        <v>0.1924950269963058</v>
      </c>
      <c r="N15" s="14">
        <v>0.19639999999999999</v>
      </c>
      <c r="O15" s="14">
        <f t="shared" si="10"/>
        <v>0</v>
      </c>
      <c r="P15" s="14">
        <f t="shared" si="10"/>
        <v>0</v>
      </c>
      <c r="Q15" s="15">
        <f>IFERROR(+Q14/Q13,0)</f>
        <v>0.18696725966427619</v>
      </c>
      <c r="R15" s="14">
        <f>IFERROR(+R14/R13,0)</f>
        <v>0</v>
      </c>
      <c r="S15" s="14">
        <f>IFERROR(+S14/S13,0)</f>
        <v>0</v>
      </c>
      <c r="T15" s="14">
        <f>IFERROR(+T14/T13,0)</f>
        <v>0</v>
      </c>
      <c r="U15" s="14">
        <f>IFERROR(+U14/U13,0)</f>
        <v>0</v>
      </c>
      <c r="V15" s="14">
        <f t="shared" si="10"/>
        <v>0</v>
      </c>
      <c r="W15" s="14">
        <f t="shared" si="10"/>
        <v>0</v>
      </c>
      <c r="X15" s="14">
        <f t="shared" si="10"/>
        <v>0</v>
      </c>
      <c r="Y15" s="15">
        <f>IFERROR(+Y14/Y13,0)</f>
        <v>0.18696725966427619</v>
      </c>
      <c r="Z15" s="14">
        <f t="shared" si="10"/>
        <v>0</v>
      </c>
      <c r="AA15" s="14">
        <f t="shared" si="10"/>
        <v>0</v>
      </c>
      <c r="AB15" s="14">
        <f t="shared" si="10"/>
        <v>0</v>
      </c>
      <c r="AC15" s="14">
        <f t="shared" si="10"/>
        <v>0</v>
      </c>
      <c r="AD15" s="14">
        <f t="shared" si="10"/>
        <v>0</v>
      </c>
      <c r="AE15" s="14">
        <f t="shared" si="10"/>
        <v>0</v>
      </c>
      <c r="AF15" s="14">
        <f t="shared" si="10"/>
        <v>0</v>
      </c>
      <c r="AG15" s="15">
        <f>IFERROR(+AG14/AG13,0)</f>
        <v>0.18696725966427619</v>
      </c>
      <c r="AH15" s="14">
        <f t="shared" si="10"/>
        <v>0</v>
      </c>
      <c r="AI15" s="14">
        <f t="shared" si="10"/>
        <v>0</v>
      </c>
      <c r="AJ15" s="14">
        <f>IFERROR(+AJ14/AJ13,0)</f>
        <v>0</v>
      </c>
      <c r="AK15" s="15">
        <f>IFERROR(+AK14/AK13,0)</f>
        <v>0.18696725966427619</v>
      </c>
      <c r="AQ15" s="185"/>
      <c r="AR15" s="185"/>
      <c r="AY15" s="185"/>
      <c r="AZ15" s="185"/>
      <c r="BA15" s="8"/>
      <c r="BB15" s="8"/>
      <c r="BC15" s="8"/>
      <c r="BD15" s="8"/>
      <c r="BE15" s="8"/>
      <c r="BF15" s="8"/>
      <c r="BG15" s="8"/>
      <c r="BH15" s="8"/>
      <c r="BI15" s="8"/>
      <c r="BJ15" s="6"/>
      <c r="BK15" s="8"/>
      <c r="BL15" s="8"/>
      <c r="BM15" s="8"/>
      <c r="BN15" s="8"/>
      <c r="BO15" s="8"/>
      <c r="BP15" s="8"/>
      <c r="BQ15" s="8"/>
      <c r="BR15" s="8"/>
      <c r="BS15" s="8"/>
    </row>
    <row r="16" spans="1:71" x14ac:dyDescent="0.2">
      <c r="A16" s="16" t="s">
        <v>11</v>
      </c>
      <c r="B16" s="6">
        <f>+HLOOKUP(B$1,'[1]RFF Resumen'!$C$16:$AG$153,106,0)</f>
        <v>60</v>
      </c>
      <c r="C16" s="6">
        <f>+HLOOKUP(C$1,'[1]RFF Resumen'!$C$16:$AG$153,106,0)</f>
        <v>130</v>
      </c>
      <c r="D16" s="6">
        <f>+HLOOKUP(D$1,'[1]RFF Resumen'!$C$16:$AG$153,106,0)</f>
        <v>230</v>
      </c>
      <c r="E16" s="6">
        <f>+HLOOKUP(E$1,'[1]RFF Resumen'!$C$16:$AG$153,106,0)</f>
        <v>270</v>
      </c>
      <c r="F16" s="6">
        <f>+HLOOKUP(F$1,'[1]RFF Resumen'!$C$16:$AG$153,106,0)</f>
        <v>280</v>
      </c>
      <c r="G16" s="6">
        <f>+HLOOKUP(G$1,'[1]RFF Resumen'!$C$16:$AG$153,106,0)</f>
        <v>290</v>
      </c>
      <c r="H16" s="6">
        <f>+HLOOKUP(H$1,'[1]RFF Resumen'!$C$16:$AG$153,106,0)</f>
        <v>30</v>
      </c>
      <c r="I16" s="6">
        <f>+HLOOKUP(I$1,'[1]RFF Resumen'!$C$16:$AG$153,106,0)</f>
        <v>20</v>
      </c>
      <c r="J16" s="7">
        <f>+SUM(B16:I16)</f>
        <v>1310</v>
      </c>
      <c r="K16" s="6">
        <f>+HLOOKUP(K$1,'[1]RFF Resumen'!$C$16:$AG$153,106,0)</f>
        <v>180</v>
      </c>
      <c r="L16" s="6">
        <f>+HLOOKUP(L$1,'[1]RFF Resumen'!$C$16:$AG$153,106,0)</f>
        <v>230</v>
      </c>
      <c r="M16" s="6">
        <f>+HLOOKUP(M$1,'[1]RFF Resumen'!$C$16:$AG$153,106,0)</f>
        <v>260</v>
      </c>
      <c r="N16" s="6">
        <f>+HLOOKUP(N$1,'[1]RFF Resumen'!$C$16:$AG$153,106,0)</f>
        <v>280</v>
      </c>
      <c r="O16" s="6">
        <v>97.724000000000004</v>
      </c>
      <c r="P16" s="6">
        <f>+HLOOKUP(P$1,'[1]RFF Resumen'!$C$16:$AG$153,106,0)</f>
        <v>50</v>
      </c>
      <c r="Q16" s="7">
        <f>+J16+SUM(K16:P16)</f>
        <v>2407.7240000000002</v>
      </c>
      <c r="R16" s="6">
        <f>+HLOOKUP(R$1,'[1]RFF Resumen'!$C$16:$AG$153,106,0)</f>
        <v>100</v>
      </c>
      <c r="S16" s="6">
        <f>+HLOOKUP(S$1,'[1]RFF Resumen'!$C$16:$AG$153,106,0)</f>
        <v>230</v>
      </c>
      <c r="T16" s="6">
        <f>+HLOOKUP(T$1,'[1]RFF Resumen'!$C$16:$AG$153,106,0)</f>
        <v>270</v>
      </c>
      <c r="U16" s="6">
        <f>+HLOOKUP(U$1,'[1]RFF Resumen'!$C$16:$AG$153,106,0)</f>
        <v>280</v>
      </c>
      <c r="V16" s="6">
        <f>+HLOOKUP(V$1,'[1]RFF Resumen'!$C$16:$AG$153,106,0)</f>
        <v>290</v>
      </c>
      <c r="W16" s="6">
        <f>+HLOOKUP(W$1,'[1]RFF Resumen'!$C$16:$AG$153,106,0)</f>
        <v>300</v>
      </c>
      <c r="X16" s="6">
        <f>+HLOOKUP(X$1,'[1]RFF Resumen'!$C$16:$AG$153,106,0)</f>
        <v>40</v>
      </c>
      <c r="Y16" s="7">
        <f>+Q16+SUM(R16:X16)</f>
        <v>3917.7240000000002</v>
      </c>
      <c r="Z16" s="6">
        <f>+HLOOKUP(Z$1,'[1]RFF Resumen'!$C$16:$AG$153,106,0)</f>
        <v>120</v>
      </c>
      <c r="AA16" s="6">
        <f>+HLOOKUP(AA$1,'[1]RFF Resumen'!$C$16:$AG$153,106,0)</f>
        <v>230</v>
      </c>
      <c r="AB16" s="6">
        <f>+HLOOKUP(AB$1,'[1]RFF Resumen'!$C$16:$AG$153,106,0)</f>
        <v>260</v>
      </c>
      <c r="AC16" s="6">
        <f>+HLOOKUP(AC$1,'[1]RFF Resumen'!$C$16:$AG$153,106,0)</f>
        <v>20</v>
      </c>
      <c r="AD16" s="6">
        <f>+HLOOKUP(AD$1,'[1]RFF Resumen'!$C$16:$AG$153,106,0)</f>
        <v>240</v>
      </c>
      <c r="AE16" s="6">
        <f>+HLOOKUP(AE$1,'[1]RFF Resumen'!$C$16:$AG$153,106,0)</f>
        <v>270</v>
      </c>
      <c r="AF16" s="6">
        <f>+HLOOKUP(AF$1,'[1]RFF Resumen'!$C$16:$AG$153,106,0)</f>
        <v>50</v>
      </c>
      <c r="AG16" s="7">
        <f>+Y16+SUM(Z16:AF16)</f>
        <v>5107.7240000000002</v>
      </c>
      <c r="AH16" s="6">
        <f>+HLOOKUP(AH$1,'[1]RFF Resumen'!$C$16:$AG$153,106,0)</f>
        <v>160</v>
      </c>
      <c r="AI16" s="6">
        <f>+HLOOKUP(AI$1,'[1]RFF Resumen'!$C$16:$AG$153,106,0)</f>
        <v>270</v>
      </c>
      <c r="AJ16" s="6">
        <f>+HLOOKUP(AJ$1,'[1]RFF Resumen'!$C$16:$AG$153,106,0)</f>
        <v>70</v>
      </c>
      <c r="AK16" s="7">
        <f>+AG16+SUM(AH16:AJ16)</f>
        <v>5607.7240000000002</v>
      </c>
      <c r="AQ16" s="185"/>
      <c r="AR16" s="185"/>
      <c r="AY16" s="185"/>
      <c r="AZ16" s="185"/>
      <c r="BA16" s="8"/>
      <c r="BB16" s="8"/>
      <c r="BC16" s="8"/>
      <c r="BD16" s="8"/>
      <c r="BE16" s="8"/>
      <c r="BF16" s="8"/>
      <c r="BG16" s="8"/>
      <c r="BH16" s="8"/>
      <c r="BI16" s="8"/>
      <c r="BJ16" s="8"/>
      <c r="BK16" s="8"/>
      <c r="BL16" s="8"/>
      <c r="BM16" s="8"/>
      <c r="BN16" s="8"/>
      <c r="BO16" s="8"/>
      <c r="BP16" s="8"/>
      <c r="BQ16" s="8"/>
      <c r="BR16" s="8"/>
      <c r="BS16" s="8"/>
    </row>
    <row r="17" spans="1:71" x14ac:dyDescent="0.2">
      <c r="A17" s="9" t="s">
        <v>12</v>
      </c>
      <c r="B17" s="10">
        <f>IFERROR(VLOOKUP(B$1,[2]Hoja1!$A$2:$E$32,5,0)/1000,0)</f>
        <v>70.099999999999994</v>
      </c>
      <c r="C17" s="10">
        <f>IFERROR(VLOOKUP(C$1,[2]Hoja1!$A$2:$E$32,5,0)/1000,0)</f>
        <v>231.41</v>
      </c>
      <c r="D17" s="10">
        <f>IFERROR(VLOOKUP(D$1,[2]Hoja1!$A$2:$E$32,5,0)/1000,0)</f>
        <v>284.58999999999997</v>
      </c>
      <c r="E17" s="10">
        <f>IFERROR(VLOOKUP(E$1,[2]Hoja1!$A$2:$E$32,5,0)/1000,0)</f>
        <v>342.6</v>
      </c>
      <c r="F17" s="10">
        <f>IFERROR(VLOOKUP(F$1,[2]Hoja1!$A$2:$E$32,5,0)/1000,0)</f>
        <v>380.72</v>
      </c>
      <c r="G17" s="10">
        <f>IFERROR(VLOOKUP(G$1,[2]Hoja1!$A$2:$E$32,5,0)/1000,0)</f>
        <v>420.65</v>
      </c>
      <c r="H17" s="10">
        <f>IFERROR(VLOOKUP(H$1,[2]Hoja1!$A$2:$E$32,5,0)/1000,0)</f>
        <v>0</v>
      </c>
      <c r="I17" s="10">
        <f>IFERROR(VLOOKUP(I$1,[2]Hoja1!$A$2:$E$32,5,0)/1000,0)</f>
        <v>0</v>
      </c>
      <c r="J17" s="7">
        <f>+SUM(B17:I17)</f>
        <v>1730.0700000000002</v>
      </c>
      <c r="K17" s="10">
        <f>IFERROR(VLOOKUP(K$1,[2]Hoja1!$A$2:$E$32,5,0)/1000,0)</f>
        <v>37.81</v>
      </c>
      <c r="L17" s="10">
        <f>IFERROR(VLOOKUP(L$1,[2]Hoja1!$A$2:$E$32,5,0)/1000,0)</f>
        <v>248.7</v>
      </c>
      <c r="M17" s="10">
        <f>IFERROR(VLOOKUP(M$1,[2]Hoja1!$A$2:$E$32,5,0)/1000,0)</f>
        <v>361.91</v>
      </c>
      <c r="N17" s="10">
        <f>IFERROR(VLOOKUP(N$1,[2]Hoja1!$A$2:$E$32,5,0)/1000,0)</f>
        <v>0</v>
      </c>
      <c r="O17" s="10">
        <f>IFERROR(VLOOKUP(O$1,[2]Hoja1!$A$2:$E$32,5,0)/1000,0)</f>
        <v>0</v>
      </c>
      <c r="P17" s="10">
        <f>IFERROR(VLOOKUP(P$1,[2]Hoja1!$A$2:$E$32,5,0)/1000,0)</f>
        <v>0</v>
      </c>
      <c r="Q17" s="7">
        <f>+J17+SUM(K17:P17)</f>
        <v>2378.4900000000002</v>
      </c>
      <c r="R17" s="10">
        <f>IFERROR(VLOOKUP(R$1,[2]Hoja1!$A$2:$E$32,5,0)/1000,0)</f>
        <v>0</v>
      </c>
      <c r="S17" s="10">
        <f>IFERROR(VLOOKUP(S$1,[2]Hoja1!$A$2:$E$32,5,0)/1000,0)</f>
        <v>0</v>
      </c>
      <c r="T17" s="10">
        <f>IFERROR(VLOOKUP(T$1,[2]Hoja1!$A$2:$E$32,5,0)/1000,0)</f>
        <v>0</v>
      </c>
      <c r="U17" s="10">
        <f>IFERROR(VLOOKUP(U$1,[2]Hoja1!$A$2:$E$32,5,0)/1000,0)</f>
        <v>0</v>
      </c>
      <c r="V17" s="10">
        <f>IFERROR(VLOOKUP(V$1,[2]Hoja1!$A$2:$E$32,5,0)/1000,0)</f>
        <v>0</v>
      </c>
      <c r="W17" s="10">
        <f>IFERROR(VLOOKUP(W$1,[2]Hoja1!$A$2:$E$32,5,0)/1000,0)</f>
        <v>0</v>
      </c>
      <c r="X17" s="10">
        <f>IFERROR(VLOOKUP(X$1,[2]Hoja1!$A$2:$E$32,5,0)/1000,0)</f>
        <v>0</v>
      </c>
      <c r="Y17" s="7">
        <f>+Q17+SUM(R17:X17)</f>
        <v>2378.4900000000002</v>
      </c>
      <c r="Z17" s="10">
        <f>IFERROR(VLOOKUP(Z$1,[2]Hoja1!$A$2:$E$32,5,0)/1000,0)</f>
        <v>0</v>
      </c>
      <c r="AA17" s="10">
        <f>IFERROR(VLOOKUP(AA$1,[2]Hoja1!$A$2:$E$32,5,0)/1000,0)</f>
        <v>0</v>
      </c>
      <c r="AB17" s="10">
        <f>IFERROR(VLOOKUP(AB$1,[2]Hoja1!$A$2:$E$32,5,0)/1000,0)</f>
        <v>0</v>
      </c>
      <c r="AC17" s="10">
        <f>IFERROR(VLOOKUP(AC$1,[2]Hoja1!$A$2:$E$32,5,0)/1000,0)</f>
        <v>0</v>
      </c>
      <c r="AD17" s="10">
        <f>IFERROR(VLOOKUP(AD$1,[2]Hoja1!$A$2:$E$32,5,0)/1000,0)</f>
        <v>0</v>
      </c>
      <c r="AE17" s="10">
        <f>IFERROR(VLOOKUP(AE$1,[2]Hoja1!$A$2:$E$32,5,0)/1000,0)</f>
        <v>0</v>
      </c>
      <c r="AF17" s="10">
        <f>IFERROR(VLOOKUP(AF$1,[2]Hoja1!$A$2:$E$32,5,0)/1000,0)</f>
        <v>0</v>
      </c>
      <c r="AG17" s="7">
        <f>+Y17+SUM(Z17:AF17)</f>
        <v>2378.4900000000002</v>
      </c>
      <c r="AH17" s="10">
        <f>IFERROR(VLOOKUP(AH$1,[2]Hoja1!$A$2:$E$32,5,0)/1000,0)</f>
        <v>0</v>
      </c>
      <c r="AI17" s="10">
        <f>IFERROR(VLOOKUP(AI$1,[2]Hoja1!$A$2:$E$32,5,0)/1000,0)</f>
        <v>0</v>
      </c>
      <c r="AJ17" s="10">
        <f>IFERROR(VLOOKUP(AJ$1,[2]Hoja1!$A$2:$E$32,5,0)/1000,0)</f>
        <v>0</v>
      </c>
      <c r="AK17" s="7">
        <f>+AG17+SUM(AH17:AJ17)</f>
        <v>2378.4900000000002</v>
      </c>
      <c r="AQ17" s="185"/>
      <c r="AR17" s="185"/>
      <c r="AY17" s="185"/>
      <c r="AZ17" s="185"/>
      <c r="BA17" s="8"/>
      <c r="BB17" s="8"/>
      <c r="BC17" s="8"/>
      <c r="BD17" s="8"/>
      <c r="BE17" s="8"/>
      <c r="BF17" s="8"/>
      <c r="BG17" s="8"/>
      <c r="BH17" s="8"/>
      <c r="BI17" s="8"/>
      <c r="BJ17" s="6"/>
      <c r="BK17" s="8"/>
      <c r="BL17" s="8"/>
      <c r="BM17" s="8"/>
      <c r="BN17" s="8"/>
      <c r="BO17" s="8"/>
      <c r="BP17" s="8"/>
      <c r="BQ17" s="8"/>
      <c r="BR17" s="8"/>
      <c r="BS17" s="8"/>
    </row>
    <row r="18" spans="1:71" x14ac:dyDescent="0.2">
      <c r="A18" s="11" t="s">
        <v>3</v>
      </c>
      <c r="B18" s="12">
        <f t="shared" ref="B18:K18" si="11">IFERROR(+B17/B16,0)</f>
        <v>1.1683333333333332</v>
      </c>
      <c r="C18" s="12">
        <f t="shared" si="11"/>
        <v>1.7800769230769231</v>
      </c>
      <c r="D18" s="12">
        <f t="shared" si="11"/>
        <v>1.2373478260869564</v>
      </c>
      <c r="E18" s="12">
        <f t="shared" si="11"/>
        <v>1.268888888888889</v>
      </c>
      <c r="F18" s="12">
        <f t="shared" si="11"/>
        <v>1.3597142857142859</v>
      </c>
      <c r="G18" s="12">
        <f t="shared" si="11"/>
        <v>1.4505172413793104</v>
      </c>
      <c r="H18" s="12">
        <f t="shared" si="11"/>
        <v>0</v>
      </c>
      <c r="I18" s="12">
        <f t="shared" si="11"/>
        <v>0</v>
      </c>
      <c r="J18" s="13">
        <f>IFERROR(+J17/J16,0)</f>
        <v>1.3206641221374047</v>
      </c>
      <c r="K18" s="12">
        <f t="shared" si="11"/>
        <v>0.21005555555555558</v>
      </c>
      <c r="L18" s="12">
        <v>0.51</v>
      </c>
      <c r="M18" s="12">
        <f t="shared" ref="M18:U18" si="12">IFERROR(+M17/M16,0)</f>
        <v>1.3919615384615385</v>
      </c>
      <c r="N18" s="12">
        <f t="shared" si="12"/>
        <v>0</v>
      </c>
      <c r="O18" s="12">
        <f t="shared" si="12"/>
        <v>0</v>
      </c>
      <c r="P18" s="12">
        <f t="shared" si="12"/>
        <v>0</v>
      </c>
      <c r="Q18" s="13">
        <f>IFERROR(+Q17/Q16,0)</f>
        <v>0.98785824288830448</v>
      </c>
      <c r="R18" s="12">
        <f t="shared" si="12"/>
        <v>0</v>
      </c>
      <c r="S18" s="12">
        <f t="shared" si="12"/>
        <v>0</v>
      </c>
      <c r="T18" s="12">
        <f t="shared" si="12"/>
        <v>0</v>
      </c>
      <c r="U18" s="12">
        <f t="shared" si="12"/>
        <v>0</v>
      </c>
      <c r="V18" s="12">
        <f t="shared" ref="V18:AI18" si="13">IFERROR(+V17/V16,0)</f>
        <v>0</v>
      </c>
      <c r="W18" s="12">
        <f t="shared" si="13"/>
        <v>0</v>
      </c>
      <c r="X18" s="12">
        <f t="shared" si="13"/>
        <v>0</v>
      </c>
      <c r="Y18" s="13">
        <f>IFERROR(+Y17/Y16,0)</f>
        <v>0.6071101486475311</v>
      </c>
      <c r="Z18" s="12">
        <f t="shared" si="13"/>
        <v>0</v>
      </c>
      <c r="AA18" s="12">
        <f t="shared" si="13"/>
        <v>0</v>
      </c>
      <c r="AB18" s="12">
        <f t="shared" si="13"/>
        <v>0</v>
      </c>
      <c r="AC18" s="12">
        <f t="shared" si="13"/>
        <v>0</v>
      </c>
      <c r="AD18" s="12">
        <f t="shared" si="13"/>
        <v>0</v>
      </c>
      <c r="AE18" s="12">
        <f t="shared" si="13"/>
        <v>0</v>
      </c>
      <c r="AF18" s="12">
        <f t="shared" si="13"/>
        <v>0</v>
      </c>
      <c r="AG18" s="13">
        <f>IFERROR(+AG17/AG16,0)</f>
        <v>0.4656653335223282</v>
      </c>
      <c r="AH18" s="12">
        <f t="shared" si="13"/>
        <v>0</v>
      </c>
      <c r="AI18" s="12">
        <f t="shared" si="13"/>
        <v>0</v>
      </c>
      <c r="AJ18" s="12">
        <f>IFERROR(+AJ17/AJ16,0)</f>
        <v>0</v>
      </c>
      <c r="AK18" s="13">
        <f>IFERROR(+AK17/AK16,0)</f>
        <v>0.42414533953525535</v>
      </c>
      <c r="AQ18" s="185"/>
      <c r="AR18" s="185"/>
      <c r="AY18" s="185"/>
      <c r="AZ18" s="185"/>
      <c r="BA18" s="8"/>
      <c r="BB18" s="8"/>
      <c r="BC18" s="8"/>
      <c r="BD18" s="8"/>
      <c r="BE18" s="8"/>
      <c r="BF18" s="8"/>
      <c r="BG18" s="8"/>
      <c r="BH18" s="8"/>
      <c r="BI18" s="8"/>
      <c r="BJ18" s="8"/>
      <c r="BK18" s="8"/>
      <c r="BL18" s="8"/>
      <c r="BM18" s="8"/>
      <c r="BN18" s="8"/>
      <c r="BO18" s="8"/>
      <c r="BP18" s="8"/>
      <c r="BQ18" s="8"/>
      <c r="BR18" s="8"/>
      <c r="BS18" s="8"/>
    </row>
    <row r="19" spans="1:71" x14ac:dyDescent="0.2">
      <c r="A19" s="9" t="s">
        <v>13</v>
      </c>
      <c r="B19" s="6">
        <f>+HLOOKUP(B$1,[3]Resumen!$B$1:$AH$27,6,0)</f>
        <v>100</v>
      </c>
      <c r="C19" s="6">
        <f>+HLOOKUP(C$1,[3]Resumen!$B$1:$AH$27,6,0)</f>
        <v>200</v>
      </c>
      <c r="D19" s="6">
        <f>+HLOOKUP(D$1,[3]Resumen!$B$1:$AH$27,6,0)</f>
        <v>200</v>
      </c>
      <c r="E19" s="6">
        <f>+HLOOKUP(E$1,[3]Resumen!$B$1:$AH$27,6,0)</f>
        <v>250</v>
      </c>
      <c r="F19" s="6">
        <f>+HLOOKUP(F$1,[3]Resumen!$B$1:$AH$27,6,0)</f>
        <v>250</v>
      </c>
      <c r="G19" s="6">
        <f>+HLOOKUP(G$1,[3]Resumen!$B$1:$AH$27,6,0)</f>
        <v>300</v>
      </c>
      <c r="H19" s="6">
        <f>+HLOOKUP(H$1,[3]Resumen!$B$1:$AH$27,6,0)</f>
        <v>0</v>
      </c>
      <c r="I19" s="6">
        <f>+HLOOKUP(I$1,[3]Resumen!$B$1:$AH$27,6,0)</f>
        <v>0</v>
      </c>
      <c r="J19" s="7">
        <f>+SUM(B19:I19)</f>
        <v>1300</v>
      </c>
      <c r="K19" s="6">
        <f>+HLOOKUP(K$1,[3]Resumen!$B$1:$AH$27,6,0)</f>
        <v>0</v>
      </c>
      <c r="L19" s="6">
        <f>+HLOOKUP(L$1,[3]Resumen!$B$1:$AH$27,6,0)</f>
        <v>0</v>
      </c>
      <c r="M19" s="6">
        <f>+HLOOKUP(M$1,[3]Resumen!$B$1:$AH$27,6,0)</f>
        <v>150</v>
      </c>
      <c r="N19" s="6">
        <f>+HLOOKUP(N$1,[3]Resumen!$B$1:$AH$27,6,0)</f>
        <v>320</v>
      </c>
      <c r="O19" s="6">
        <f>+HLOOKUP(O$1,[3]Resumen!$B$1:$AH$27,6,0)</f>
        <v>320</v>
      </c>
      <c r="P19" s="6">
        <f>+HLOOKUP(P$1,[3]Resumen!$B$1:$AH$27,6,0)</f>
        <v>0</v>
      </c>
      <c r="Q19" s="7">
        <f>+J19+SUM(K19:P19)</f>
        <v>2090</v>
      </c>
      <c r="R19" s="6">
        <f>+HLOOKUP(R$1,[3]Resumen!$B$1:$AH$27,6,0)</f>
        <v>250</v>
      </c>
      <c r="S19" s="6">
        <f>+HLOOKUP(S$1,[3]Resumen!$B$1:$AH$27,6,0)</f>
        <v>200</v>
      </c>
      <c r="T19" s="6">
        <f>+HLOOKUP(T$1,[3]Resumen!$B$1:$AH$27,6,0)</f>
        <v>250</v>
      </c>
      <c r="U19" s="6">
        <f>+HLOOKUP(U$1,[3]Resumen!$B$1:$AH$27,6,0)</f>
        <v>250</v>
      </c>
      <c r="V19" s="6">
        <f>+HLOOKUP(V$1,[3]Resumen!$B$1:$AH$27,6,0)</f>
        <v>250</v>
      </c>
      <c r="W19" s="6">
        <f>+HLOOKUP(W$1,[3]Resumen!$B$1:$AH$27,6,0)</f>
        <v>250</v>
      </c>
      <c r="X19" s="6">
        <f>+HLOOKUP(X$1,[3]Resumen!$B$1:$AH$27,6,0)</f>
        <v>0</v>
      </c>
      <c r="Y19" s="7">
        <f>+Q19+SUM(R19:X19)</f>
        <v>3540</v>
      </c>
      <c r="Z19" s="6">
        <f>+HLOOKUP(Z$1,[3]Resumen!$B$1:$AH$27,6,0)</f>
        <v>100</v>
      </c>
      <c r="AA19" s="6">
        <f>+HLOOKUP(AA$1,[3]Resumen!$B$1:$AH$27,6,0)</f>
        <v>250</v>
      </c>
      <c r="AB19" s="6">
        <f>+HLOOKUP(AB$1,[3]Resumen!$B$1:$AH$27,6,0)</f>
        <v>250</v>
      </c>
      <c r="AC19" s="6">
        <f>+HLOOKUP(AC$1,[3]Resumen!$B$1:$AH$27,6,0)</f>
        <v>0</v>
      </c>
      <c r="AD19" s="6">
        <f>+HLOOKUP(AD$1,[3]Resumen!$B$1:$AH$27,6,0)</f>
        <v>270</v>
      </c>
      <c r="AE19" s="6">
        <f>+HLOOKUP(AE$1,[3]Resumen!$B$1:$AH$27,6,0)</f>
        <v>270</v>
      </c>
      <c r="AF19" s="6">
        <f>+HLOOKUP(AF$1,[3]Resumen!$B$1:$AH$27,6,0)</f>
        <v>0</v>
      </c>
      <c r="AG19" s="7">
        <f>+Y19+SUM(Z19:AF19)</f>
        <v>4680</v>
      </c>
      <c r="AH19" s="6">
        <f>+HLOOKUP(AH$1,[3]Resumen!$B$1:$AH$27,6,0)</f>
        <v>100</v>
      </c>
      <c r="AI19" s="6">
        <f>+HLOOKUP(AI$1,[3]Resumen!$B$1:$AH$27,6,0)</f>
        <v>250</v>
      </c>
      <c r="AJ19" s="6">
        <f>+HLOOKUP(AJ$1,[3]Resumen!$B$1:$AH$27,6,0)</f>
        <v>100</v>
      </c>
      <c r="AK19" s="7">
        <f>+AG19+SUM(AH19:AJ19)</f>
        <v>5130</v>
      </c>
      <c r="AQ19" s="185"/>
      <c r="AR19" s="185"/>
      <c r="AY19" s="185"/>
      <c r="AZ19" s="185"/>
      <c r="BA19" s="8"/>
      <c r="BB19" s="8"/>
      <c r="BC19" s="8"/>
      <c r="BD19" s="8"/>
      <c r="BE19" s="8"/>
      <c r="BF19" s="8"/>
      <c r="BG19" s="8"/>
      <c r="BH19" s="8"/>
      <c r="BI19" s="8"/>
      <c r="BJ19" s="6"/>
      <c r="BK19" s="8"/>
      <c r="BL19" s="8"/>
      <c r="BM19" s="8"/>
      <c r="BN19" s="8"/>
      <c r="BO19" s="8"/>
      <c r="BP19" s="8"/>
      <c r="BQ19" s="8"/>
      <c r="BR19" s="8"/>
      <c r="BS19" s="8"/>
    </row>
    <row r="20" spans="1:71" x14ac:dyDescent="0.2">
      <c r="A20" s="9" t="s">
        <v>14</v>
      </c>
      <c r="B20" s="6">
        <f>+IFERROR(VLOOKUP(B$1,'[4]BD Sinu'!$A$5:$EI$35,7,0)/1000,0)</f>
        <v>0</v>
      </c>
      <c r="C20" s="6">
        <f>+IFERROR(VLOOKUP(C$1,'[4]BD Sinu'!$A$5:$EI$35,7,0)/1000,0)</f>
        <v>324</v>
      </c>
      <c r="D20" s="6">
        <f>+IFERROR(VLOOKUP(D$1,'[4]BD Sinu'!$A$5:$EI$35,7,0)/1000,0)</f>
        <v>148.5</v>
      </c>
      <c r="E20" s="6">
        <f>+IFERROR(VLOOKUP(E$1,'[4]BD Sinu'!$A$5:$EI$35,7,0)/1000,0)</f>
        <v>391.5</v>
      </c>
      <c r="F20" s="6">
        <f>+IFERROR(VLOOKUP(F$1,'[4]BD Sinu'!$A$5:$EI$35,7,0)/1000,0)</f>
        <v>351</v>
      </c>
      <c r="G20" s="6">
        <f>+IFERROR(VLOOKUP(G$1,'[4]BD Sinu'!$A$5:$EI$35,7,0)/1000,0)</f>
        <v>351</v>
      </c>
      <c r="H20" s="6">
        <f>+IFERROR(VLOOKUP(H$1,'[4]BD Sinu'!$A$5:$EI$35,7,0)/1000,0)</f>
        <v>0</v>
      </c>
      <c r="I20" s="6">
        <f>+IFERROR(VLOOKUP(I$1,'[4]BD Sinu'!$A$5:$EI$35,7,0)/1000,0)</f>
        <v>0</v>
      </c>
      <c r="J20" s="7">
        <f>+SUM(B20:I20)</f>
        <v>1566</v>
      </c>
      <c r="K20" s="6">
        <f>+IFERROR(VLOOKUP(K$1,'[4]BD Sinu'!$A$5:$EI$35,7,0)/1000,0)</f>
        <v>0</v>
      </c>
      <c r="L20" s="6">
        <f>+IFERROR(VLOOKUP(L$1,'[4]BD Sinu'!$A$5:$EI$35,7,0)/1000,0)</f>
        <v>0</v>
      </c>
      <c r="M20" s="6">
        <f>+IFERROR(VLOOKUP(M$1,'[4]BD Sinu'!$A$5:$EI$35,7,0)/1000,0)</f>
        <v>108</v>
      </c>
      <c r="N20" s="6">
        <f>+IFERROR(VLOOKUP(N$1,'[4]BD Sinu'!$A$5:$EI$35,7,0)/1000,0)</f>
        <v>0</v>
      </c>
      <c r="O20" s="6">
        <f>+IFERROR(VLOOKUP(O$1,'[4]BD Sinu'!$A$5:$EI$35,7,0)/1000,0)</f>
        <v>0</v>
      </c>
      <c r="P20" s="6">
        <f>+IFERROR(VLOOKUP(P$1,'[4]BD Sinu'!$A$5:$EI$35,7,0)/1000,0)</f>
        <v>0</v>
      </c>
      <c r="Q20" s="7">
        <f>+J20+SUM(K20:P20)</f>
        <v>1674</v>
      </c>
      <c r="R20" s="6">
        <f>+IFERROR(VLOOKUP(R$1,'[4]BD Sinu'!$A$5:$EI$35,7,0)/1000,0)</f>
        <v>0</v>
      </c>
      <c r="S20" s="6">
        <f>+IFERROR(VLOOKUP(S$1,'[4]BD Sinu'!$A$5:$EI$35,7,0)/1000,0)</f>
        <v>0</v>
      </c>
      <c r="T20" s="6">
        <f>+IFERROR(VLOOKUP(T$1,'[4]BD Sinu'!$A$5:$EI$35,7,0)/1000,0)</f>
        <v>0</v>
      </c>
      <c r="U20" s="6">
        <f>+IFERROR(VLOOKUP(U$1,'[4]BD Sinu'!$A$5:$EI$35,7,0)/1000,0)</f>
        <v>0</v>
      </c>
      <c r="V20" s="6">
        <f>+IFERROR(VLOOKUP(V$1,'[4]BD Sinu'!$A$5:$EI$35,7,0)/1000,0)</f>
        <v>0</v>
      </c>
      <c r="W20" s="6">
        <f>+IFERROR(VLOOKUP(W$1,'[4]BD Sinu'!$A$5:$EI$35,7,0)/1000,0)</f>
        <v>0</v>
      </c>
      <c r="X20" s="6">
        <f>+IFERROR(VLOOKUP(X$1,'[4]BD Sinu'!$A$5:$EI$35,7,0)/1000,0)</f>
        <v>0</v>
      </c>
      <c r="Y20" s="7">
        <f>+Q20+SUM(R20:X20)</f>
        <v>1674</v>
      </c>
      <c r="Z20" s="6">
        <f>+IFERROR(VLOOKUP(Z$1,'[4]BD Sinu'!$A$5:$EI$35,7,0)/1000,0)</f>
        <v>0</v>
      </c>
      <c r="AA20" s="6">
        <f>+IFERROR(VLOOKUP(AA$1,'[4]BD Sinu'!$A$5:$EI$35,7,0)/1000,0)</f>
        <v>0</v>
      </c>
      <c r="AB20" s="6">
        <f>+IFERROR(VLOOKUP(AB$1,'[4]BD Sinu'!$A$5:$EI$35,7,0)/1000,0)</f>
        <v>0</v>
      </c>
      <c r="AC20" s="6">
        <f>+IFERROR(VLOOKUP(AC$1,'[4]BD Sinu'!$A$5:$EI$35,7,0)/1000,0)</f>
        <v>0</v>
      </c>
      <c r="AD20" s="6">
        <f>+IFERROR(VLOOKUP(AD$1,'[4]BD Sinu'!$A$5:$EI$35,7,0)/1000,0)</f>
        <v>0</v>
      </c>
      <c r="AE20" s="6">
        <f>+IFERROR(VLOOKUP(AE$1,'[4]BD Sinu'!$A$5:$EI$35,7,0)/1000,0)</f>
        <v>0</v>
      </c>
      <c r="AF20" s="6">
        <f>+IFERROR(VLOOKUP(AF$1,'[4]BD Sinu'!$A$5:$EI$35,7,0)/1000,0)</f>
        <v>0</v>
      </c>
      <c r="AG20" s="7">
        <f>+Y20+SUM(Z20:AF20)</f>
        <v>1674</v>
      </c>
      <c r="AH20" s="6">
        <f>+IFERROR(VLOOKUP(AH$1,'[4]BD Sinu'!$A$5:$EI$35,7,0)/1000,0)</f>
        <v>0</v>
      </c>
      <c r="AI20" s="6">
        <f>+IFERROR(VLOOKUP(AI$1,'[4]BD Sinu'!$A$5:$EI$35,7,0)/1000,0)</f>
        <v>0</v>
      </c>
      <c r="AJ20" s="6">
        <f>+IFERROR(VLOOKUP(AJ$1,'[4]BD Sinu'!$A$5:$EI$35,7,0)/1000,0)</f>
        <v>0</v>
      </c>
      <c r="AK20" s="7">
        <f>+AG20+SUM(AH20:AJ20)</f>
        <v>1674</v>
      </c>
      <c r="AL20" s="412">
        <f>+AG20/AG19</f>
        <v>0.3576923076923077</v>
      </c>
      <c r="AO20" s="368"/>
      <c r="AQ20" s="185"/>
      <c r="AR20" s="185"/>
      <c r="AY20" s="185"/>
      <c r="AZ20" s="185"/>
      <c r="BA20" s="8"/>
      <c r="BB20" s="8"/>
      <c r="BC20" s="8"/>
      <c r="BD20" s="8"/>
      <c r="BE20" s="8"/>
      <c r="BF20" s="8"/>
      <c r="BG20" s="8"/>
      <c r="BH20" s="8"/>
      <c r="BI20" s="8"/>
      <c r="BJ20" s="8"/>
      <c r="BK20" s="8"/>
      <c r="BL20" s="8"/>
      <c r="BM20" s="8"/>
      <c r="BN20" s="8"/>
      <c r="BO20" s="8"/>
      <c r="BP20" s="8"/>
      <c r="BQ20" s="8"/>
      <c r="BR20" s="8"/>
      <c r="BS20" s="8"/>
    </row>
    <row r="21" spans="1:71" x14ac:dyDescent="0.2">
      <c r="A21" s="9" t="s">
        <v>6</v>
      </c>
      <c r="B21" s="10">
        <f>+IFERROR(VLOOKUP(B$1,'[4]BD Sinu'!$A$5:$EI$35,5,0)/1000,0)</f>
        <v>0</v>
      </c>
      <c r="C21" s="10">
        <f>+IFERROR(VLOOKUP(C$1,'[4]BD Sinu'!$A$5:$EI$35,5,0)/1000,0)</f>
        <v>52.165999999999997</v>
      </c>
      <c r="D21" s="10">
        <f>+IFERROR(VLOOKUP(D$1,'[4]BD Sinu'!$A$5:$EI$35,5,0)/1000,0)</f>
        <v>27.033000000000001</v>
      </c>
      <c r="E21" s="10">
        <f>+IFERROR(VLOOKUP(E$1,'[4]BD Sinu'!$A$5:$EI$35,5,0)/1000,0)</f>
        <v>74.626000000000005</v>
      </c>
      <c r="F21" s="10">
        <f>+IFERROR(VLOOKUP(F$1,'[4]BD Sinu'!$A$5:$EI$35,5,0)/1000,0)</f>
        <v>66.634</v>
      </c>
      <c r="G21" s="10">
        <f>+IFERROR(VLOOKUP(G$1,'[4]BD Sinu'!$A$5:$EI$35,5,0)/1000,0)</f>
        <v>82.781000000000006</v>
      </c>
      <c r="H21" s="10">
        <f>+IFERROR(VLOOKUP(H$1,'[4]BD Sinu'!$A$5:$EI$35,5,0)/1000,0)</f>
        <v>0</v>
      </c>
      <c r="I21" s="10">
        <f>+IFERROR(VLOOKUP(I$1,'[4]BD Sinu'!$A$5:$EI$35,5,0)/1000,0)</f>
        <v>0</v>
      </c>
      <c r="J21" s="7">
        <f>+SUM(B21:I21)</f>
        <v>303.24</v>
      </c>
      <c r="K21" s="10">
        <f>+IFERROR(VLOOKUP(K$1,'[4]BD Sinu'!$A$5:$EI$35,5,0)/1000,0)</f>
        <v>0</v>
      </c>
      <c r="L21" s="10">
        <f>+IFERROR(VLOOKUP(L$1,'[4]BD Sinu'!$A$5:$EI$35,5,0)/1000,0)</f>
        <v>0</v>
      </c>
      <c r="M21" s="10">
        <f>+IFERROR(VLOOKUP(M$1,'[4]BD Sinu'!$A$5:$EI$35,5,0)/1000,0)</f>
        <v>7.3959999999999999</v>
      </c>
      <c r="N21" s="10">
        <f>+IFERROR(VLOOKUP(N$1,'[4]BD Sinu'!$A$5:$EI$35,5,0)/1000,0)</f>
        <v>0</v>
      </c>
      <c r="O21" s="10">
        <f>+IFERROR(VLOOKUP(O$1,'[4]BD Sinu'!$A$5:$EI$35,5,0)/1000,0)</f>
        <v>0</v>
      </c>
      <c r="P21" s="10">
        <f>+IFERROR(VLOOKUP(P$1,'[4]BD Sinu'!$A$5:$EI$35,5,0)/1000,0)</f>
        <v>0</v>
      </c>
      <c r="Q21" s="7">
        <f>+J21+SUM(K21:P21)</f>
        <v>310.63600000000002</v>
      </c>
      <c r="R21" s="10">
        <f>+IFERROR(VLOOKUP(R$1,'[4]BD Sinu'!$A$5:$EI$35,5,0)/1000,0)</f>
        <v>0</v>
      </c>
      <c r="S21" s="10">
        <f>+IFERROR(VLOOKUP(S$1,'[4]BD Sinu'!$A$5:$EI$35,5,0)/1000,0)</f>
        <v>0</v>
      </c>
      <c r="T21" s="10">
        <f>+IFERROR(VLOOKUP(T$1,'[4]BD Sinu'!$A$5:$EI$35,5,0)/1000,0)</f>
        <v>0</v>
      </c>
      <c r="U21" s="10">
        <f>+IFERROR(VLOOKUP(U$1,'[4]BD Sinu'!$A$5:$EI$35,5,0)/1000,0)</f>
        <v>0</v>
      </c>
      <c r="V21" s="10">
        <f>+IFERROR(VLOOKUP(V$1,'[4]BD Sinu'!$A$5:$EI$35,5,0)/1000,0)</f>
        <v>0</v>
      </c>
      <c r="W21" s="10">
        <f>+IFERROR(VLOOKUP(W$1,'[4]BD Sinu'!$A$5:$EI$35,5,0)/1000,0)</f>
        <v>0</v>
      </c>
      <c r="X21" s="10">
        <f>+IFERROR(VLOOKUP(X$1,'[4]BD Sinu'!$A$5:$EI$35,5,0)/1000,0)</f>
        <v>0</v>
      </c>
      <c r="Y21" s="7">
        <f>+Q21+SUM(R21:X21)</f>
        <v>310.63600000000002</v>
      </c>
      <c r="Z21" s="10">
        <f>+IFERROR(VLOOKUP(Z$1,'[4]BD Sinu'!$A$5:$EI$35,5,0)/1000,0)</f>
        <v>0</v>
      </c>
      <c r="AA21" s="10">
        <f>+IFERROR(VLOOKUP(AA$1,'[4]BD Sinu'!$A$5:$EI$35,5,0)/1000,0)</f>
        <v>0</v>
      </c>
      <c r="AB21" s="10">
        <f>+IFERROR(VLOOKUP(AB$1,'[4]BD Sinu'!$A$5:$EI$35,5,0)/1000,0)</f>
        <v>0</v>
      </c>
      <c r="AC21" s="10">
        <f>+IFERROR(VLOOKUP(AC$1,'[4]BD Sinu'!$A$5:$EI$35,5,0)/1000,0)</f>
        <v>0</v>
      </c>
      <c r="AD21" s="10">
        <f>+IFERROR(VLOOKUP(AD$1,'[4]BD Sinu'!$A$5:$EI$35,5,0)/1000,0)</f>
        <v>0</v>
      </c>
      <c r="AE21" s="10">
        <f>+IFERROR(VLOOKUP(AE$1,'[4]BD Sinu'!$A$5:$EI$35,5,0)/1000,0)</f>
        <v>0</v>
      </c>
      <c r="AF21" s="10">
        <f>+IFERROR(VLOOKUP(AF$1,'[4]BD Sinu'!$A$5:$EI$35,5,0)/1000,0)</f>
        <v>0</v>
      </c>
      <c r="AG21" s="7">
        <f>+Y21+SUM(Z21:AF21)</f>
        <v>310.63600000000002</v>
      </c>
      <c r="AH21" s="10">
        <f>+IFERROR(VLOOKUP(AH$1,'[4]BD Sinu'!$A$5:$EI$35,5,0)/1000,0)</f>
        <v>0</v>
      </c>
      <c r="AI21" s="10">
        <f>+IFERROR(VLOOKUP(AI$1,'[4]BD Sinu'!$A$5:$EI$35,5,0)/1000,0)</f>
        <v>0</v>
      </c>
      <c r="AJ21" s="10">
        <f>+IFERROR(VLOOKUP(AJ$1,'[4]BD Sinu'!$A$5:$EI$35,5,0)/1000,0)</f>
        <v>0</v>
      </c>
      <c r="AK21" s="7">
        <f>+AG21+SUM(AH21:AJ21)</f>
        <v>310.63600000000002</v>
      </c>
      <c r="AQ21" s="185"/>
      <c r="AR21" s="185"/>
      <c r="AY21" s="185"/>
      <c r="AZ21" s="185"/>
      <c r="BA21" s="8"/>
      <c r="BB21" s="8"/>
      <c r="BC21" s="8"/>
      <c r="BD21" s="8"/>
      <c r="BE21" s="8"/>
      <c r="BF21" s="8"/>
      <c r="BG21" s="8"/>
      <c r="BH21" s="8"/>
      <c r="BI21" s="8"/>
      <c r="BJ21" s="6"/>
      <c r="BK21" s="8"/>
      <c r="BL21" s="8"/>
      <c r="BM21" s="8"/>
      <c r="BN21" s="8"/>
      <c r="BO21" s="8"/>
      <c r="BP21" s="8"/>
      <c r="BQ21" s="8"/>
      <c r="BR21" s="8"/>
      <c r="BS21" s="8"/>
    </row>
    <row r="22" spans="1:71" x14ac:dyDescent="0.2">
      <c r="A22" s="186" t="str">
        <f>+_xlfn.CONCAT("TEA% ", B47,"%")</f>
        <v>TEA% 22%</v>
      </c>
      <c r="B22" s="14">
        <f t="shared" ref="B22:G22" si="14">IFERROR(+B21/B20,0)</f>
        <v>0</v>
      </c>
      <c r="C22" s="14">
        <f t="shared" si="14"/>
        <v>0.16100617283950616</v>
      </c>
      <c r="D22" s="14">
        <f t="shared" si="14"/>
        <v>0.18204040404040406</v>
      </c>
      <c r="E22" s="14">
        <f t="shared" si="14"/>
        <v>0.19061558109833973</v>
      </c>
      <c r="F22" s="14">
        <f t="shared" si="14"/>
        <v>0.18984045584045584</v>
      </c>
      <c r="G22" s="14">
        <f t="shared" si="14"/>
        <v>0.23584330484330487</v>
      </c>
      <c r="H22" s="14">
        <f t="shared" ref="H22:AI22" si="15">IFERROR(+H21/H20,0)</f>
        <v>0</v>
      </c>
      <c r="I22" s="14">
        <f t="shared" si="15"/>
        <v>0</v>
      </c>
      <c r="J22" s="15">
        <f>IFERROR(+J21/J20,0)</f>
        <v>0.19363984674329501</v>
      </c>
      <c r="K22" s="14">
        <f t="shared" si="15"/>
        <v>0</v>
      </c>
      <c r="L22" s="14">
        <f t="shared" si="15"/>
        <v>0</v>
      </c>
      <c r="M22" s="14">
        <f t="shared" si="15"/>
        <v>6.8481481481481477E-2</v>
      </c>
      <c r="N22" s="14">
        <f t="shared" si="15"/>
        <v>0</v>
      </c>
      <c r="O22" s="14">
        <f t="shared" si="15"/>
        <v>0</v>
      </c>
      <c r="P22" s="14">
        <f t="shared" si="15"/>
        <v>0</v>
      </c>
      <c r="Q22" s="15">
        <f>IFERROR(+Q21/Q20,0)</f>
        <v>0.18556511350059737</v>
      </c>
      <c r="R22" s="14">
        <f>IFERROR(+R21/R20,0)</f>
        <v>0</v>
      </c>
      <c r="S22" s="14">
        <f>IFERROR(+S21/S20,0)</f>
        <v>0</v>
      </c>
      <c r="T22" s="14">
        <f>IFERROR(+T21/T20,0)</f>
        <v>0</v>
      </c>
      <c r="U22" s="14">
        <f>IFERROR(+U21/U20,0)</f>
        <v>0</v>
      </c>
      <c r="V22" s="14">
        <f t="shared" si="15"/>
        <v>0</v>
      </c>
      <c r="W22" s="14">
        <f t="shared" si="15"/>
        <v>0</v>
      </c>
      <c r="X22" s="14">
        <f t="shared" si="15"/>
        <v>0</v>
      </c>
      <c r="Y22" s="15">
        <f>IFERROR(+Y21/Y20,0)</f>
        <v>0.18556511350059737</v>
      </c>
      <c r="Z22" s="14">
        <f t="shared" si="15"/>
        <v>0</v>
      </c>
      <c r="AA22" s="14">
        <f t="shared" si="15"/>
        <v>0</v>
      </c>
      <c r="AB22" s="14">
        <f t="shared" si="15"/>
        <v>0</v>
      </c>
      <c r="AC22" s="14">
        <f t="shared" si="15"/>
        <v>0</v>
      </c>
      <c r="AD22" s="14">
        <f t="shared" si="15"/>
        <v>0</v>
      </c>
      <c r="AE22" s="14">
        <f t="shared" si="15"/>
        <v>0</v>
      </c>
      <c r="AF22" s="14">
        <f t="shared" si="15"/>
        <v>0</v>
      </c>
      <c r="AG22" s="15">
        <f>IFERROR(+AG21/AG20,0)</f>
        <v>0.18556511350059737</v>
      </c>
      <c r="AH22" s="14">
        <f t="shared" si="15"/>
        <v>0</v>
      </c>
      <c r="AI22" s="14">
        <f t="shared" si="15"/>
        <v>0</v>
      </c>
      <c r="AJ22" s="14">
        <f>IFERROR(+AJ21/AJ20,0)</f>
        <v>0</v>
      </c>
      <c r="AK22" s="15">
        <f>IFERROR(+AK21/AK20,0)</f>
        <v>0.18556511350059737</v>
      </c>
      <c r="AQ22" s="185"/>
      <c r="AR22" s="185"/>
      <c r="AY22" s="185"/>
      <c r="AZ22" s="185"/>
      <c r="BA22" s="8"/>
      <c r="BB22" s="8"/>
      <c r="BC22" s="8"/>
      <c r="BD22" s="8"/>
      <c r="BE22" s="8"/>
      <c r="BF22" s="8"/>
      <c r="BG22" s="8"/>
      <c r="BH22" s="8"/>
      <c r="BI22" s="8"/>
      <c r="BJ22" s="8"/>
      <c r="BK22" s="8"/>
      <c r="BL22" s="8"/>
      <c r="BM22" s="8"/>
      <c r="BN22" s="8"/>
      <c r="BO22" s="8"/>
      <c r="BP22" s="8"/>
      <c r="BQ22" s="8"/>
      <c r="BR22" s="8"/>
      <c r="BS22" s="8"/>
    </row>
    <row r="23" spans="1:71" x14ac:dyDescent="0.2">
      <c r="A23" s="16" t="s">
        <v>15</v>
      </c>
      <c r="B23" s="6">
        <f>+HLOOKUP(B$1,'[1]RFF Resumen'!$C$16:$AG$153,77,0)</f>
        <v>490.0990099009901</v>
      </c>
      <c r="C23" s="6">
        <f>+HLOOKUP(C$1,'[1]RFF Resumen'!$C$16:$AG$153,77,0)</f>
        <v>740.59405940594058</v>
      </c>
      <c r="D23" s="6">
        <f>+HLOOKUP(D$1,'[1]RFF Resumen'!$C$16:$AG$153,77,0)</f>
        <v>914.85148514851483</v>
      </c>
      <c r="E23" s="6">
        <f>+HLOOKUP(E$1,'[1]RFF Resumen'!$C$16:$AG$153,77,0)</f>
        <v>936.63366336633658</v>
      </c>
      <c r="F23" s="6">
        <f>+HLOOKUP(F$1,'[1]RFF Resumen'!$C$16:$AG$153,77,0)</f>
        <v>882.17821782178214</v>
      </c>
      <c r="G23" s="6">
        <f>+HLOOKUP(G$1,'[1]RFF Resumen'!$C$16:$AG$153,77,0)</f>
        <v>838.61386138613864</v>
      </c>
      <c r="H23" s="6">
        <f>+HLOOKUP(H$1,'[1]RFF Resumen'!$C$16:$AG$153,77,0)</f>
        <v>185.14851485148515</v>
      </c>
      <c r="I23" s="6">
        <f>+HLOOKUP(I$1,'[1]RFF Resumen'!$C$16:$AG$153,77,0)</f>
        <v>141.58415841584159</v>
      </c>
      <c r="J23" s="7">
        <f>+SUM(B23:I23)</f>
        <v>5129.7029702970294</v>
      </c>
      <c r="K23" s="6">
        <f>+HLOOKUP(K$1,'[1]RFF Resumen'!$C$16:$AG$153,77,0)</f>
        <v>773.26732673267327</v>
      </c>
      <c r="L23" s="6">
        <f>+HLOOKUP(L$1,'[1]RFF Resumen'!$C$16:$AG$153,77,0)</f>
        <v>1034.6534653465346</v>
      </c>
      <c r="M23" s="6">
        <f>+HLOOKUP(M$1,'[1]RFF Resumen'!$C$16:$AG$153,77,0)</f>
        <v>1198.0198019801981</v>
      </c>
      <c r="N23" s="6">
        <f>+HLOOKUP(N$1,'[1]RFF Resumen'!$C$16:$AG$153,77,0)</f>
        <v>1143.5643564356435</v>
      </c>
      <c r="O23" s="6">
        <f>+HLOOKUP(O$1,'[1]RFF Resumen'!$C$16:$AG$153,77,0)</f>
        <v>991.08910891089113</v>
      </c>
      <c r="P23" s="6">
        <f>+HLOOKUP(P$1,'[1]RFF Resumen'!$C$16:$AG$153,77,0)</f>
        <v>152.47524752475249</v>
      </c>
      <c r="Q23" s="7">
        <f>+J23+SUM(K23:P23)</f>
        <v>10422.772277227723</v>
      </c>
      <c r="R23" s="6">
        <f>+HLOOKUP(R$1,'[1]RFF Resumen'!$C$16:$AG$153,77,0)</f>
        <v>490.0990099009901</v>
      </c>
      <c r="S23" s="6">
        <f>+HLOOKUP(S$1,'[1]RFF Resumen'!$C$16:$AG$153,77,0)</f>
        <v>805.94059405940595</v>
      </c>
      <c r="T23" s="6">
        <f>+HLOOKUP(T$1,'[1]RFF Resumen'!$C$16:$AG$153,77,0)</f>
        <v>1110.8910891089108</v>
      </c>
      <c r="U23" s="6">
        <f>+HLOOKUP(U$1,'[1]RFF Resumen'!$C$16:$AG$153,77,0)</f>
        <v>1089.1089108910892</v>
      </c>
      <c r="V23" s="6">
        <f>+HLOOKUP(V$1,'[1]RFF Resumen'!$C$16:$AG$153,77,0)</f>
        <v>1056.4356435643565</v>
      </c>
      <c r="W23" s="6">
        <f>+HLOOKUP(W$1,'[1]RFF Resumen'!$C$16:$AG$153,77,0)</f>
        <v>1001.9801980198019</v>
      </c>
      <c r="X23" s="6">
        <f>+HLOOKUP(X$1,'[1]RFF Resumen'!$C$16:$AG$153,77,0)</f>
        <v>185.14851485148515</v>
      </c>
      <c r="Y23" s="7">
        <f>+Q23+SUM(R23:X23)</f>
        <v>16162.376237623761</v>
      </c>
      <c r="Z23" s="6">
        <f>+HLOOKUP(Z$1,'[1]RFF Resumen'!$C$16:$AG$153,77,0)</f>
        <v>511.88118811881191</v>
      </c>
      <c r="AA23" s="6">
        <f>+HLOOKUP(AA$1,'[1]RFF Resumen'!$C$16:$AG$153,77,0)</f>
        <v>980.19801980198019</v>
      </c>
      <c r="AB23" s="6">
        <f>+HLOOKUP(AB$1,'[1]RFF Resumen'!$C$16:$AG$153,77,0)</f>
        <v>599.00990099009903</v>
      </c>
      <c r="AC23" s="6">
        <f>+HLOOKUP(AC$1,'[1]RFF Resumen'!$C$16:$AG$153,77,0)</f>
        <v>163.36633663366337</v>
      </c>
      <c r="AD23" s="6">
        <f>+HLOOKUP(AD$1,'[1]RFF Resumen'!$C$16:$AG$153,77,0)</f>
        <v>653.46534653465346</v>
      </c>
      <c r="AE23" s="6">
        <f>+HLOOKUP(AE$1,'[1]RFF Resumen'!$C$16:$AG$153,77,0)</f>
        <v>1034.6534653465346</v>
      </c>
      <c r="AF23" s="6">
        <f>+HLOOKUP(AF$1,'[1]RFF Resumen'!$C$16:$AG$153,77,0)</f>
        <v>163.36633663366337</v>
      </c>
      <c r="AG23" s="7">
        <f>+Y23+SUM(Z23:AF23)</f>
        <v>20268.316831683165</v>
      </c>
      <c r="AH23" s="6">
        <f>+HLOOKUP(AH$1,'[1]RFF Resumen'!$C$16:$AG$153,77,0)</f>
        <v>544.55445544554459</v>
      </c>
      <c r="AI23" s="6">
        <f>+HLOOKUP(AI$1,'[1]RFF Resumen'!$C$16:$AG$153,77,0)</f>
        <v>1001.9801980198019</v>
      </c>
      <c r="AJ23" s="6">
        <f>+HLOOKUP(AJ$1,'[1]RFF Resumen'!$C$16:$AG$153,77,0)</f>
        <v>185.14851485148515</v>
      </c>
      <c r="AK23" s="7">
        <f>+AG23+SUM(AH23:AJ23)</f>
        <v>21999.999999999996</v>
      </c>
      <c r="AQ23" s="185"/>
      <c r="AR23" s="185"/>
      <c r="AY23" s="185"/>
      <c r="AZ23" s="185"/>
      <c r="BA23" s="8"/>
      <c r="BB23" s="8"/>
      <c r="BC23" s="8"/>
      <c r="BD23" s="8"/>
      <c r="BE23" s="8"/>
      <c r="BF23" s="8"/>
      <c r="BG23" s="8"/>
      <c r="BH23" s="8"/>
      <c r="BI23" s="8"/>
      <c r="BJ23" s="6"/>
      <c r="BK23" s="8"/>
      <c r="BL23" s="8"/>
      <c r="BM23" s="8"/>
      <c r="BN23" s="8"/>
      <c r="BO23" s="8"/>
      <c r="BP23" s="8"/>
      <c r="BQ23" s="8"/>
      <c r="BR23" s="8"/>
      <c r="BS23" s="8"/>
    </row>
    <row r="24" spans="1:71" ht="12" customHeight="1" x14ac:dyDescent="0.2">
      <c r="A24" s="9" t="s">
        <v>16</v>
      </c>
      <c r="B24" s="10">
        <f>IFERROR(VLOOKUP(B$1,[2]Hoja1!$A$2:$E$32,3,0)/1000,0)</f>
        <v>455.3</v>
      </c>
      <c r="C24" s="10">
        <f>IFERROR(VLOOKUP(C$1,[2]Hoja1!$A$2:$E$32,3,0)/1000,0)</f>
        <v>605.61</v>
      </c>
      <c r="D24" s="10">
        <f>IFERROR(VLOOKUP(D$1,[2]Hoja1!$A$2:$E$32,3,0)/1000,0)</f>
        <v>799.38</v>
      </c>
      <c r="E24" s="10">
        <f>IFERROR(VLOOKUP(E$1,[2]Hoja1!$A$2:$E$32,3,0)/1000,0)</f>
        <v>708.73</v>
      </c>
      <c r="F24" s="10">
        <f>IFERROR(VLOOKUP(F$1,[2]Hoja1!$A$2:$E$32,3,0)/1000,0)</f>
        <v>742.49</v>
      </c>
      <c r="G24" s="10">
        <f>IFERROR(VLOOKUP(G$1,[2]Hoja1!$A$2:$E$32,3,0)/1000,0)</f>
        <v>907.6</v>
      </c>
      <c r="H24" s="10">
        <f>IFERROR(VLOOKUP(H$1,[2]Hoja1!$A$2:$E$32,3,0)/1000,0)</f>
        <v>306.72000000000003</v>
      </c>
      <c r="I24" s="10">
        <f>IFERROR(VLOOKUP(I$1,[2]Hoja1!$A$2:$E$32,3,0)/1000,0)</f>
        <v>151.32</v>
      </c>
      <c r="J24" s="7">
        <f>+SUM(B24:I24)</f>
        <v>4677.1500000000005</v>
      </c>
      <c r="K24" s="10">
        <f>IFERROR(VLOOKUP(K$1,[2]Hoja1!$A$2:$E$32,3,0)/1000,0)</f>
        <v>754.27</v>
      </c>
      <c r="L24" s="10">
        <f>IFERROR(VLOOKUP(L$1,[2]Hoja1!$A$2:$E$32,3,0)/1000,0)</f>
        <v>721.26</v>
      </c>
      <c r="M24" s="10">
        <f>IFERROR(VLOOKUP(M$1,[2]Hoja1!$A$2:$E$32,3,0)/1000,0)</f>
        <v>610.6</v>
      </c>
      <c r="N24" s="10">
        <f>IFERROR(VLOOKUP(N$1,[2]Hoja1!$A$2:$E$32,3,0)/1000,0)</f>
        <v>0</v>
      </c>
      <c r="O24" s="10">
        <f>IFERROR(VLOOKUP(O$1,[2]Hoja1!$A$2:$E$32,3,0)/1000,0)</f>
        <v>0</v>
      </c>
      <c r="P24" s="10">
        <f>IFERROR(VLOOKUP(P$1,[2]Hoja1!$A$2:$E$32,3,0)/1000,0)</f>
        <v>0</v>
      </c>
      <c r="Q24" s="7">
        <f>+J24+SUM(K24:P24)</f>
        <v>6763.2800000000007</v>
      </c>
      <c r="R24" s="10">
        <f>IFERROR(VLOOKUP(R$1,[2]Hoja1!$A$2:$E$32,3,0)/1000,0)</f>
        <v>0</v>
      </c>
      <c r="S24" s="10">
        <f>IFERROR(VLOOKUP(S$1,[2]Hoja1!$A$2:$E$32,3,0)/1000,0)</f>
        <v>0</v>
      </c>
      <c r="T24" s="10">
        <f>IFERROR(VLOOKUP(T$1,[2]Hoja1!$A$2:$E$32,3,0)/1000,0)</f>
        <v>0</v>
      </c>
      <c r="U24" s="10">
        <f>IFERROR(VLOOKUP(U$1,[2]Hoja1!$A$2:$E$32,3,0)/1000,0)</f>
        <v>0</v>
      </c>
      <c r="V24" s="10">
        <f>IFERROR(VLOOKUP(V$1,[2]Hoja1!$A$2:$E$32,3,0)/1000,0)</f>
        <v>0</v>
      </c>
      <c r="W24" s="10">
        <f>IFERROR(VLOOKUP(W$1,[2]Hoja1!$A$2:$E$32,3,0)/1000,0)</f>
        <v>0</v>
      </c>
      <c r="X24" s="10">
        <f>IFERROR(VLOOKUP(X$1,[2]Hoja1!$A$2:$E$32,3,0)/1000,0)</f>
        <v>0</v>
      </c>
      <c r="Y24" s="7">
        <f>+Q24+SUM(R24:X24)</f>
        <v>6763.2800000000007</v>
      </c>
      <c r="Z24" s="10">
        <f>IFERROR(VLOOKUP(Z$1,[2]Hoja1!$A$2:$E$32,3,0)/1000,0)</f>
        <v>0</v>
      </c>
      <c r="AA24" s="10">
        <f>IFERROR(VLOOKUP(AA$1,[2]Hoja1!$A$2:$E$32,3,0)/1000,0)</f>
        <v>0</v>
      </c>
      <c r="AB24" s="10">
        <f>IFERROR(VLOOKUP(AB$1,[2]Hoja1!$A$2:$E$32,3,0)/1000,0)</f>
        <v>0</v>
      </c>
      <c r="AC24" s="10">
        <f>IFERROR(VLOOKUP(AC$1,[2]Hoja1!$A$2:$E$32,3,0)/1000,0)</f>
        <v>0</v>
      </c>
      <c r="AD24" s="10">
        <f>IFERROR(VLOOKUP(AD$1,[2]Hoja1!$A$2:$E$32,3,0)/1000,0)</f>
        <v>0</v>
      </c>
      <c r="AE24" s="10">
        <f>IFERROR(VLOOKUP(AE$1,[2]Hoja1!$A$2:$E$32,3,0)/1000,0)</f>
        <v>0</v>
      </c>
      <c r="AF24" s="10">
        <f>IFERROR(VLOOKUP(AF$1,[2]Hoja1!$A$2:$E$32,3,0)/1000,0)</f>
        <v>0</v>
      </c>
      <c r="AG24" s="7">
        <f>+Y24+SUM(Z24:AF24)</f>
        <v>6763.2800000000007</v>
      </c>
      <c r="AH24" s="10">
        <f>IFERROR(VLOOKUP(AH$1,[2]Hoja1!$A$2:$E$32,3,0)/1000,0)</f>
        <v>0</v>
      </c>
      <c r="AI24" s="10">
        <f>IFERROR(VLOOKUP(AI$1,[2]Hoja1!$A$2:$E$32,3,0)/1000,0)</f>
        <v>0</v>
      </c>
      <c r="AJ24" s="10">
        <f>IFERROR(VLOOKUP(AJ$1,[2]Hoja1!$A$2:$E$32,3,0)/1000,0)</f>
        <v>0</v>
      </c>
      <c r="AK24" s="7">
        <f>+AG24+SUM(AH24:AJ24)</f>
        <v>6763.2800000000007</v>
      </c>
      <c r="AQ24" s="185"/>
      <c r="AR24" s="185"/>
      <c r="AY24" s="185"/>
      <c r="AZ24" s="185"/>
      <c r="BA24" s="8"/>
      <c r="BB24" s="8"/>
      <c r="BC24" s="8"/>
      <c r="BD24" s="8"/>
      <c r="BE24" s="8"/>
      <c r="BF24" s="8"/>
      <c r="BG24" s="8"/>
      <c r="BH24" s="8"/>
      <c r="BI24" s="8"/>
      <c r="BJ24" s="8"/>
      <c r="BK24" s="8"/>
      <c r="BL24" s="8"/>
      <c r="BM24" s="8"/>
      <c r="BN24" s="8"/>
      <c r="BO24" s="8"/>
      <c r="BP24" s="8"/>
      <c r="BQ24" s="8"/>
      <c r="BR24" s="8"/>
      <c r="BS24" s="8"/>
    </row>
    <row r="25" spans="1:71" ht="12" customHeight="1" x14ac:dyDescent="0.2">
      <c r="A25" s="11" t="s">
        <v>3</v>
      </c>
      <c r="B25" s="12">
        <f t="shared" ref="B25:G25" si="16">IFERROR(+B24/B23,0)</f>
        <v>0.9289959595959596</v>
      </c>
      <c r="C25" s="12">
        <f t="shared" si="16"/>
        <v>0.81773542780748665</v>
      </c>
      <c r="D25" s="12">
        <f t="shared" si="16"/>
        <v>0.87378116883116885</v>
      </c>
      <c r="E25" s="12">
        <f t="shared" si="16"/>
        <v>0.7566779069767442</v>
      </c>
      <c r="F25" s="12">
        <f t="shared" si="16"/>
        <v>0.84165533108866442</v>
      </c>
      <c r="G25" s="12">
        <f t="shared" si="16"/>
        <v>1.0822621015348288</v>
      </c>
      <c r="H25" s="12">
        <f t="shared" ref="H25:AI25" si="17">IFERROR(+H24/H23,0)</f>
        <v>1.6566160427807488</v>
      </c>
      <c r="I25" s="12">
        <f t="shared" si="17"/>
        <v>1.0687636363636364</v>
      </c>
      <c r="J25" s="13">
        <f>IFERROR(+J24/J23,0)</f>
        <v>0.91177793862188783</v>
      </c>
      <c r="K25" s="12">
        <f t="shared" si="17"/>
        <v>0.97543239436619711</v>
      </c>
      <c r="L25" s="12">
        <f t="shared" si="17"/>
        <v>0.69710296650717707</v>
      </c>
      <c r="M25" s="12">
        <f t="shared" si="17"/>
        <v>0.50967438016528921</v>
      </c>
      <c r="N25" s="12">
        <f t="shared" si="17"/>
        <v>0</v>
      </c>
      <c r="O25" s="12">
        <f t="shared" si="17"/>
        <v>0</v>
      </c>
      <c r="P25" s="12">
        <f t="shared" si="17"/>
        <v>0</v>
      </c>
      <c r="Q25" s="13">
        <f>IFERROR(+Q24/Q23,0)</f>
        <v>0.64889453785503948</v>
      </c>
      <c r="R25" s="12">
        <f t="shared" si="17"/>
        <v>0</v>
      </c>
      <c r="S25" s="12">
        <f t="shared" si="17"/>
        <v>0</v>
      </c>
      <c r="T25" s="12">
        <f t="shared" si="17"/>
        <v>0</v>
      </c>
      <c r="U25" s="12">
        <f t="shared" si="17"/>
        <v>0</v>
      </c>
      <c r="V25" s="12">
        <f t="shared" si="17"/>
        <v>0</v>
      </c>
      <c r="W25" s="12">
        <f t="shared" si="17"/>
        <v>0</v>
      </c>
      <c r="X25" s="12">
        <f t="shared" si="17"/>
        <v>0</v>
      </c>
      <c r="Y25" s="13">
        <f>IFERROR(+Y24/Y23,0)</f>
        <v>0.41845827003185504</v>
      </c>
      <c r="Z25" s="12">
        <f t="shared" si="17"/>
        <v>0</v>
      </c>
      <c r="AA25" s="12">
        <f t="shared" si="17"/>
        <v>0</v>
      </c>
      <c r="AB25" s="12">
        <f t="shared" si="17"/>
        <v>0</v>
      </c>
      <c r="AC25" s="12">
        <f t="shared" si="17"/>
        <v>0</v>
      </c>
      <c r="AD25" s="12">
        <f t="shared" si="17"/>
        <v>0</v>
      </c>
      <c r="AE25" s="12">
        <f t="shared" si="17"/>
        <v>0</v>
      </c>
      <c r="AF25" s="12">
        <f t="shared" si="17"/>
        <v>0</v>
      </c>
      <c r="AG25" s="13">
        <f>IFERROR(+AG24/AG23,0)</f>
        <v>0.33368730399101176</v>
      </c>
      <c r="AH25" s="12">
        <f t="shared" si="17"/>
        <v>0</v>
      </c>
      <c r="AI25" s="12">
        <f t="shared" si="17"/>
        <v>0</v>
      </c>
      <c r="AJ25" s="12">
        <f>IFERROR(+AJ24/AJ23,0)</f>
        <v>0</v>
      </c>
      <c r="AK25" s="13">
        <f>IFERROR(+AK24/AK23,0)</f>
        <v>0.30742181818181824</v>
      </c>
      <c r="AQ25" s="185"/>
      <c r="AR25" s="185"/>
      <c r="AY25" s="185"/>
      <c r="AZ25" s="185"/>
      <c r="BA25" s="8"/>
      <c r="BB25" s="8"/>
      <c r="BC25" s="8"/>
      <c r="BD25" s="8"/>
      <c r="BE25" s="8"/>
      <c r="BF25" s="8"/>
      <c r="BG25" s="8"/>
      <c r="BH25" s="8"/>
      <c r="BI25" s="8"/>
      <c r="BJ25" s="6"/>
      <c r="BK25" s="8"/>
      <c r="BL25" s="8"/>
      <c r="BM25" s="8"/>
      <c r="BN25" s="8"/>
      <c r="BO25" s="8"/>
      <c r="BP25" s="8"/>
      <c r="BQ25" s="8"/>
      <c r="BR25" s="8"/>
      <c r="BS25" s="8"/>
    </row>
    <row r="26" spans="1:71" ht="12" customHeight="1" x14ac:dyDescent="0.2">
      <c r="A26" s="9" t="s">
        <v>17</v>
      </c>
      <c r="B26" s="6">
        <f>+HLOOKUP(B$1,[3]Resumen!$B$1:$AH$27,8,0)</f>
        <v>700</v>
      </c>
      <c r="C26" s="6">
        <f>+HLOOKUP(C$1,[3]Resumen!$B$1:$AH$27,8,0)</f>
        <v>850</v>
      </c>
      <c r="D26" s="6">
        <f>+HLOOKUP(D$1,[3]Resumen!$B$1:$AH$27,8,0)</f>
        <v>850</v>
      </c>
      <c r="E26" s="6">
        <f>+HLOOKUP(E$1,[3]Resumen!$B$1:$AH$27,8,0)</f>
        <v>850</v>
      </c>
      <c r="F26" s="6">
        <f>+HLOOKUP(F$1,[3]Resumen!$B$1:$AH$27,8,0)</f>
        <v>850</v>
      </c>
      <c r="G26" s="6">
        <f>+HLOOKUP(G$1,[3]Resumen!$B$1:$AH$27,8,0)</f>
        <v>850</v>
      </c>
      <c r="H26" s="6">
        <f>+HLOOKUP(H$1,[3]Resumen!$B$1:$AH$27,8,0)</f>
        <v>500</v>
      </c>
      <c r="I26" s="6">
        <f>+HLOOKUP(I$1,[3]Resumen!$B$1:$AH$27,8,0)</f>
        <v>0</v>
      </c>
      <c r="J26" s="7">
        <f>+SUM(B26:I26)</f>
        <v>5450</v>
      </c>
      <c r="K26" s="6">
        <f>+HLOOKUP(K$1,[3]Resumen!$B$1:$AH$27,8,0)</f>
        <v>850</v>
      </c>
      <c r="L26" s="6">
        <f>+HLOOKUP(L$1,[3]Resumen!$B$1:$AH$27,8,0)</f>
        <v>850</v>
      </c>
      <c r="M26" s="6">
        <f>+HLOOKUP(M$1,[3]Resumen!$B$1:$AH$27,8,0)</f>
        <v>850</v>
      </c>
      <c r="N26" s="6">
        <f>+HLOOKUP(N$1,[3]Resumen!$B$1:$AH$27,8,0)</f>
        <v>850</v>
      </c>
      <c r="O26" s="6">
        <f>+HLOOKUP(O$1,[3]Resumen!$B$1:$AH$27,8,0)</f>
        <v>850</v>
      </c>
      <c r="P26" s="6">
        <f>+HLOOKUP(P$1,[3]Resumen!$B$1:$AH$27,8,0)</f>
        <v>850</v>
      </c>
      <c r="Q26" s="7">
        <f>+J26+SUM(K26:P26)</f>
        <v>10550</v>
      </c>
      <c r="R26" s="6">
        <f>+HLOOKUP(R$1,[3]Resumen!$B$1:$AH$27,8,0)</f>
        <v>850</v>
      </c>
      <c r="S26" s="6">
        <f>+HLOOKUP(S$1,[3]Resumen!$B$1:$AH$27,8,0)</f>
        <v>850</v>
      </c>
      <c r="T26" s="6">
        <f>+HLOOKUP(T$1,[3]Resumen!$B$1:$AH$27,8,0)</f>
        <v>850</v>
      </c>
      <c r="U26" s="6">
        <f>+HLOOKUP(U$1,[3]Resumen!$B$1:$AH$27,8,0)</f>
        <v>850</v>
      </c>
      <c r="V26" s="6">
        <f>+HLOOKUP(V$1,[3]Resumen!$B$1:$AH$27,8,0)</f>
        <v>850</v>
      </c>
      <c r="W26" s="6">
        <f>+HLOOKUP(W$1,[3]Resumen!$B$1:$AH$27,8,0)</f>
        <v>850</v>
      </c>
      <c r="X26" s="6">
        <f>+HLOOKUP(X$1,[3]Resumen!$B$1:$AH$27,8,0)</f>
        <v>850</v>
      </c>
      <c r="Y26" s="7">
        <f>+Q26+SUM(R26:X26)</f>
        <v>16500</v>
      </c>
      <c r="Z26" s="6">
        <f>+HLOOKUP(Z$1,[3]Resumen!$B$1:$AH$27,8,0)</f>
        <v>400</v>
      </c>
      <c r="AA26" s="6">
        <f>+HLOOKUP(AA$1,[3]Resumen!$B$1:$AH$27,8,0)</f>
        <v>850</v>
      </c>
      <c r="AB26" s="6">
        <f>+HLOOKUP(AB$1,[3]Resumen!$B$1:$AH$27,8,0)</f>
        <v>850</v>
      </c>
      <c r="AC26" s="6">
        <f>+HLOOKUP(AC$1,[3]Resumen!$B$1:$AH$27,8,0)</f>
        <v>0</v>
      </c>
      <c r="AD26" s="6">
        <f>+HLOOKUP(AD$1,[3]Resumen!$B$1:$AH$27,8,0)</f>
        <v>850</v>
      </c>
      <c r="AE26" s="6">
        <f>+HLOOKUP(AE$1,[3]Resumen!$B$1:$AH$27,8,0)</f>
        <v>850</v>
      </c>
      <c r="AF26" s="6">
        <f>+HLOOKUP(AF$1,[3]Resumen!$B$1:$AH$27,8,0)</f>
        <v>500</v>
      </c>
      <c r="AG26" s="7">
        <f>+Y26+SUM(Z26:AF26)</f>
        <v>20800</v>
      </c>
      <c r="AH26" s="6">
        <f>+HLOOKUP(AH$1,[3]Resumen!$B$1:$AH$27,8,0)</f>
        <v>400</v>
      </c>
      <c r="AI26" s="6">
        <f>+HLOOKUP(AI$1,[3]Resumen!$B$1:$AH$27,8,0)</f>
        <v>850</v>
      </c>
      <c r="AJ26" s="6">
        <f>+HLOOKUP(AJ$1,[3]Resumen!$B$1:$AH$27,8,0)</f>
        <v>0</v>
      </c>
      <c r="AK26" s="7">
        <f>+AG26+SUM(AH26:AJ26)</f>
        <v>22050</v>
      </c>
      <c r="AQ26" s="185"/>
      <c r="AR26" s="185"/>
      <c r="AY26" s="185"/>
      <c r="AZ26" s="185"/>
      <c r="BA26" s="8"/>
      <c r="BB26" s="8"/>
      <c r="BC26" s="8"/>
      <c r="BD26" s="8"/>
      <c r="BE26" s="8"/>
      <c r="BF26" s="8"/>
      <c r="BG26" s="8"/>
      <c r="BH26" s="8"/>
      <c r="BI26" s="8"/>
      <c r="BJ26" s="8"/>
      <c r="BK26" s="8"/>
      <c r="BL26" s="8"/>
      <c r="BM26" s="8"/>
      <c r="BN26" s="8"/>
      <c r="BO26" s="8"/>
      <c r="BP26" s="8"/>
      <c r="BQ26" s="8"/>
      <c r="BR26" s="8"/>
      <c r="BS26" s="8"/>
    </row>
    <row r="27" spans="1:71" ht="12" customHeight="1" x14ac:dyDescent="0.2">
      <c r="A27" s="9" t="s">
        <v>18</v>
      </c>
      <c r="B27" s="6">
        <f>+IFERROR(VLOOKUP(B$1,'[4]Base de Datos'!$A$5:$EI$35,21,0)/1000,0)</f>
        <v>511.50400000000002</v>
      </c>
      <c r="C27" s="6">
        <f>+IFERROR(VLOOKUP(C$1,'[4]Base de Datos'!$A$5:$EI$35,21,0)/1000,0)</f>
        <v>349.34899999999999</v>
      </c>
      <c r="D27" s="6">
        <f>+IFERROR(VLOOKUP(D$1,'[4]Base de Datos'!$A$5:$EI$35,21,0)/1000,0)</f>
        <v>605.22</v>
      </c>
      <c r="E27" s="6">
        <f>+IFERROR(VLOOKUP(E$1,'[4]Base de Datos'!$A$5:$EI$35,21,0)/1000,0)</f>
        <v>714.16800000000001</v>
      </c>
      <c r="F27" s="6">
        <f>+IFERROR(VLOOKUP(F$1,'[4]Base de Datos'!$A$5:$EI$35,21,0)/1000,0)</f>
        <v>706.70600000000002</v>
      </c>
      <c r="G27" s="6">
        <f>+IFERROR(VLOOKUP(G$1,'[4]Base de Datos'!$A$5:$EI$35,21,0)/1000,0)</f>
        <v>668.97199999999998</v>
      </c>
      <c r="H27" s="6">
        <f>+IFERROR(VLOOKUP(H$1,'[4]Base de Datos'!$A$5:$EI$35,21,0)/1000,0)</f>
        <v>504.79</v>
      </c>
      <c r="I27" s="6">
        <f>+IFERROR(VLOOKUP(I$1,'[4]Base de Datos'!$A$5:$EI$35,21,0)/1000,0)</f>
        <v>723.14200000000005</v>
      </c>
      <c r="J27" s="7">
        <f>+SUM(B27:I27)</f>
        <v>4783.8509999999997</v>
      </c>
      <c r="K27" s="6">
        <f>+IFERROR(VLOOKUP(K$1,'[4]Base de Datos'!$A$5:$EI$35,21,0)/1000,0)</f>
        <v>607.42200000000003</v>
      </c>
      <c r="L27" s="6">
        <f>+IFERROR(VLOOKUP(L$1,'[4]Base de Datos'!$A$5:$EI$35,21,0)/1000,0)</f>
        <v>431.96499999999997</v>
      </c>
      <c r="M27" s="6">
        <f>+IFERROR(VLOOKUP(M$1,'[4]Base de Datos'!$A$5:$EI$35,21,0)/1000,0)</f>
        <v>670.44</v>
      </c>
      <c r="N27" s="6">
        <f>+IFERROR(VLOOKUP(N$1,'[4]Base de Datos'!$A$5:$EI$35,21,0)/1000,0)</f>
        <v>0</v>
      </c>
      <c r="O27" s="6">
        <f>+IFERROR(VLOOKUP(O$1,'[4]Base de Datos'!$A$5:$EI$35,21,0)/1000,0)</f>
        <v>0</v>
      </c>
      <c r="P27" s="6">
        <f>+IFERROR(VLOOKUP(P$1,'[4]Base de Datos'!$A$5:$EI$35,21,0)/1000,0)</f>
        <v>0</v>
      </c>
      <c r="Q27" s="7">
        <f>+J27+SUM(K27:P27)</f>
        <v>6493.6779999999999</v>
      </c>
      <c r="R27" s="6">
        <f>+IFERROR(VLOOKUP(R$1,'[4]Base de Datos'!$A$5:$EI$35,21,0)/1000,0)</f>
        <v>0</v>
      </c>
      <c r="S27" s="6">
        <f>+IFERROR(VLOOKUP(S$1,'[4]Base de Datos'!$A$5:$EI$35,21,0)/1000,0)</f>
        <v>0</v>
      </c>
      <c r="T27" s="6">
        <f>+IFERROR(VLOOKUP(T$1,'[4]Base de Datos'!$A$5:$EI$35,21,0)/1000,0)</f>
        <v>0</v>
      </c>
      <c r="U27" s="6">
        <f>+IFERROR(VLOOKUP(U$1,'[4]Base de Datos'!$A$5:$EI$35,21,0)/1000,0)</f>
        <v>0</v>
      </c>
      <c r="V27" s="6">
        <f>+IFERROR(VLOOKUP(V$1,'[4]Base de Datos'!$A$5:$EI$35,21,0)/1000,0)</f>
        <v>0</v>
      </c>
      <c r="W27" s="6">
        <f>+IFERROR(VLOOKUP(W$1,'[4]Base de Datos'!$A$5:$EI$35,21,0)/1000,0)</f>
        <v>0</v>
      </c>
      <c r="X27" s="6">
        <f>+IFERROR(VLOOKUP(X$1,'[4]Base de Datos'!$A$5:$EI$35,21,0)/1000,0)</f>
        <v>0</v>
      </c>
      <c r="Y27" s="7">
        <f>+Q27+SUM(R27:X27)</f>
        <v>6493.6779999999999</v>
      </c>
      <c r="Z27" s="6">
        <f>+IFERROR(VLOOKUP(Z$1,'[4]Base de Datos'!$A$5:$EI$35,21,0)/1000,0)</f>
        <v>0</v>
      </c>
      <c r="AA27" s="6">
        <f>+IFERROR(VLOOKUP(AA$1,'[4]Base de Datos'!$A$5:$EI$35,21,0)/1000,0)</f>
        <v>0</v>
      </c>
      <c r="AB27" s="6">
        <f>+IFERROR(VLOOKUP(AB$1,'[4]Base de Datos'!$A$5:$EI$35,21,0)/1000,0)</f>
        <v>0</v>
      </c>
      <c r="AC27" s="6">
        <f>+IFERROR(VLOOKUP(AC$1,'[4]Base de Datos'!$A$5:$EI$35,21,0)/1000,0)</f>
        <v>0</v>
      </c>
      <c r="AD27" s="6">
        <f>+IFERROR(VLOOKUP(AD$1,'[4]Base de Datos'!$A$5:$EI$35,21,0)/1000,0)</f>
        <v>0</v>
      </c>
      <c r="AE27" s="6">
        <f>+IFERROR(VLOOKUP(AE$1,'[4]Base de Datos'!$A$5:$EI$35,21,0)/1000,0)</f>
        <v>0</v>
      </c>
      <c r="AF27" s="6">
        <f>+IFERROR(VLOOKUP(AF$1,'[4]Base de Datos'!$A$5:$EI$35,21,0)/1000,0)</f>
        <v>0</v>
      </c>
      <c r="AG27" s="7">
        <f>+Y27+SUM(Z27:AF27)</f>
        <v>6493.6779999999999</v>
      </c>
      <c r="AH27" s="6">
        <f>+IFERROR(VLOOKUP(AH$1,'[4]Base de Datos'!$A$5:$EI$35,21,0)/1000,0)</f>
        <v>0</v>
      </c>
      <c r="AI27" s="6">
        <f>+IFERROR(VLOOKUP(AI$1,'[4]Base de Datos'!$A$5:$EI$35,21,0)/1000,0)</f>
        <v>0</v>
      </c>
      <c r="AJ27" s="6">
        <f>+IFERROR(VLOOKUP(AJ$1,'[4]Base de Datos'!$A$5:$EI$35,21,0)/1000,0)</f>
        <v>0</v>
      </c>
      <c r="AK27" s="7">
        <f>+AG27+SUM(AH27:AJ27)</f>
        <v>6493.6779999999999</v>
      </c>
      <c r="AL27" s="412">
        <f>+AG27/AG26</f>
        <v>0.31219605769230768</v>
      </c>
      <c r="AO27" s="368"/>
      <c r="AQ27" s="185"/>
      <c r="AR27" s="185"/>
      <c r="AY27" s="185"/>
      <c r="AZ27" s="185"/>
      <c r="BA27" s="8"/>
      <c r="BB27" s="8"/>
      <c r="BC27" s="8"/>
      <c r="BD27" s="8"/>
      <c r="BE27" s="8"/>
      <c r="BF27" s="8"/>
      <c r="BG27" s="8"/>
      <c r="BH27" s="8"/>
      <c r="BI27" s="8"/>
      <c r="BJ27" s="6"/>
      <c r="BK27" s="8"/>
      <c r="BL27" s="8"/>
      <c r="BM27" s="8"/>
      <c r="BN27" s="8"/>
      <c r="BO27" s="8"/>
      <c r="BP27" s="8"/>
      <c r="BQ27" s="8"/>
      <c r="BR27" s="8"/>
      <c r="BS27" s="8"/>
    </row>
    <row r="28" spans="1:71" ht="12" customHeight="1" x14ac:dyDescent="0.2">
      <c r="A28" s="9" t="s">
        <v>6</v>
      </c>
      <c r="B28" s="10">
        <f>+IFERROR(VLOOKUP(B$1,'[4]Base de Datos'!$A$5:$EI$35,19,0)/1000,0)</f>
        <v>120.3</v>
      </c>
      <c r="C28" s="10">
        <f>+IFERROR(VLOOKUP(C$1,'[4]Base de Datos'!$A$5:$EI$35,19,0)/1000,0)</f>
        <v>78.135999999999996</v>
      </c>
      <c r="D28" s="10">
        <f>+IFERROR(VLOOKUP(D$1,'[4]Base de Datos'!$A$5:$EI$35,19,0)/1000,0)</f>
        <v>149.477</v>
      </c>
      <c r="E28" s="10">
        <f>+IFERROR(VLOOKUP(E$1,'[4]Base de Datos'!$A$5:$EI$35,19,0)/1000,0)</f>
        <v>167.89500000000001</v>
      </c>
      <c r="F28" s="10">
        <f>+IFERROR(VLOOKUP(F$1,'[4]Base de Datos'!$A$5:$EI$35,19,0)/1000,0)</f>
        <v>167.42</v>
      </c>
      <c r="G28" s="10">
        <f>+IFERROR(VLOOKUP(G$1,'[4]Base de Datos'!$A$5:$EI$35,19,0)/1000,0)</f>
        <v>158.21199999999999</v>
      </c>
      <c r="H28" s="10">
        <f>+IFERROR(VLOOKUP(H$1,'[4]Base de Datos'!$A$5:$EI$35,19,0)/1000,0)</f>
        <v>108.70399999999999</v>
      </c>
      <c r="I28" s="10">
        <f>+IFERROR(VLOOKUP(I$1,'[4]Base de Datos'!$A$5:$EI$35,19,0)/1000,0)</f>
        <v>171.56700000000001</v>
      </c>
      <c r="J28" s="7">
        <f>+SUM(B28:I28)</f>
        <v>1121.7109999999998</v>
      </c>
      <c r="K28" s="10">
        <f>+IFERROR(VLOOKUP(K$1,'[4]Base de Datos'!$A$5:$EI$35,19,0)/1000,0)</f>
        <v>154.34200000000001</v>
      </c>
      <c r="L28" s="10">
        <f>+IFERROR(VLOOKUP(L$1,'[4]Base de Datos'!$A$5:$EI$35,19,0)/1000,0)</f>
        <v>87.543999999999997</v>
      </c>
      <c r="M28" s="10">
        <f>+IFERROR(VLOOKUP(M$1,'[4]Base de Datos'!$A$5:$EI$35,19,0)/1000,0)</f>
        <v>152.958</v>
      </c>
      <c r="N28" s="10">
        <f>+IFERROR(VLOOKUP(N$1,'[4]Base de Datos'!$A$5:$EI$35,19,0)/1000,0)</f>
        <v>0</v>
      </c>
      <c r="O28" s="10">
        <f>+IFERROR(VLOOKUP(O$1,'[4]Base de Datos'!$A$5:$EI$35,19,0)/1000,0)</f>
        <v>0</v>
      </c>
      <c r="P28" s="10">
        <f>+IFERROR(VLOOKUP(P$1,'[4]Base de Datos'!$A$5:$EI$35,19,0)/1000,0)</f>
        <v>0</v>
      </c>
      <c r="Q28" s="7">
        <f>+J28+SUM(K28:P28)</f>
        <v>1516.5549999999998</v>
      </c>
      <c r="R28" s="10">
        <f>+IFERROR(VLOOKUP(R$1,'[4]Base de Datos'!$A$5:$EI$35,19,0)/1000,0)</f>
        <v>0</v>
      </c>
      <c r="S28" s="10">
        <f>+IFERROR(VLOOKUP(S$1,'[4]Base de Datos'!$A$5:$EI$35,19,0)/1000,0)</f>
        <v>0</v>
      </c>
      <c r="T28" s="10">
        <f>+IFERROR(VLOOKUP(T$1,'[4]Base de Datos'!$A$5:$EI$35,19,0)/1000,0)</f>
        <v>0</v>
      </c>
      <c r="U28" s="10">
        <f>+IFERROR(VLOOKUP(U$1,'[4]Base de Datos'!$A$5:$EI$35,19,0)/1000,0)</f>
        <v>0</v>
      </c>
      <c r="V28" s="10">
        <f>+IFERROR(VLOOKUP(V$1,'[4]Base de Datos'!$A$5:$EI$35,19,0)/1000,0)</f>
        <v>0</v>
      </c>
      <c r="W28" s="10">
        <f>+IFERROR(VLOOKUP(W$1,'[4]Base de Datos'!$A$5:$EI$35,19,0)/1000,0)</f>
        <v>0</v>
      </c>
      <c r="X28" s="10">
        <f>+IFERROR(VLOOKUP(X$1,'[4]Base de Datos'!$A$5:$EI$35,19,0)/1000,0)</f>
        <v>0</v>
      </c>
      <c r="Y28" s="7">
        <f>+Q28+SUM(R28:X28)</f>
        <v>1516.5549999999998</v>
      </c>
      <c r="Z28" s="10">
        <f>+IFERROR(VLOOKUP(Z$1,'[4]Base de Datos'!$A$5:$EI$35,19,0)/1000,0)</f>
        <v>0</v>
      </c>
      <c r="AA28" s="10">
        <f>+IFERROR(VLOOKUP(AA$1,'[4]Base de Datos'!$A$5:$EI$35,19,0)/1000,0)</f>
        <v>0</v>
      </c>
      <c r="AB28" s="10">
        <f>+IFERROR(VLOOKUP(AB$1,'[4]Base de Datos'!$A$5:$EI$35,19,0)/1000,0)</f>
        <v>0</v>
      </c>
      <c r="AC28" s="10">
        <f>+IFERROR(VLOOKUP(AC$1,'[4]Base de Datos'!$A$5:$EI$35,19,0)/1000,0)</f>
        <v>0</v>
      </c>
      <c r="AD28" s="10">
        <f>+IFERROR(VLOOKUP(AD$1,'[4]Base de Datos'!$A$5:$EI$35,19,0)/1000,0)</f>
        <v>0</v>
      </c>
      <c r="AE28" s="10">
        <f>+IFERROR(VLOOKUP(AE$1,'[4]Base de Datos'!$A$5:$EI$35,19,0)/1000,0)</f>
        <v>0</v>
      </c>
      <c r="AF28" s="10">
        <f>+IFERROR(VLOOKUP(AF$1,'[4]Base de Datos'!$A$5:$EI$35,19,0)/1000,0)</f>
        <v>0</v>
      </c>
      <c r="AG28" s="7">
        <f>+Y28+SUM(Z28:AF28)</f>
        <v>1516.5549999999998</v>
      </c>
      <c r="AH28" s="10">
        <f>+IFERROR(VLOOKUP(AH$1,'[4]Base de Datos'!$A$5:$EI$35,19,0)/1000,0)</f>
        <v>0</v>
      </c>
      <c r="AI28" s="10">
        <f>+IFERROR(VLOOKUP(AI$1,'[4]Base de Datos'!$A$5:$EI$35,19,0)/1000,0)</f>
        <v>0</v>
      </c>
      <c r="AJ28" s="10">
        <f>+IFERROR(VLOOKUP(AJ$1,'[4]Base de Datos'!$A$5:$EI$35,19,0)/1000,0)</f>
        <v>0</v>
      </c>
      <c r="AK28" s="7">
        <f>+AG28+SUM(AH28:AJ28)</f>
        <v>1516.5549999999998</v>
      </c>
      <c r="AQ28" s="185"/>
      <c r="AR28" s="185"/>
      <c r="AY28" s="185"/>
      <c r="AZ28" s="185"/>
      <c r="BA28" s="8"/>
      <c r="BB28" s="8"/>
      <c r="BC28" s="8"/>
      <c r="BD28" s="8"/>
      <c r="BE28" s="8"/>
      <c r="BF28" s="8"/>
      <c r="BG28" s="8"/>
      <c r="BH28" s="8"/>
      <c r="BI28" s="8"/>
      <c r="BJ28" s="8"/>
      <c r="BK28" s="8"/>
      <c r="BL28" s="8"/>
      <c r="BM28" s="8"/>
      <c r="BN28" s="8"/>
      <c r="BO28" s="8"/>
      <c r="BP28" s="8"/>
      <c r="BQ28" s="8"/>
      <c r="BR28" s="8"/>
      <c r="BS28" s="8"/>
    </row>
    <row r="29" spans="1:71" ht="12" customHeight="1" thickBot="1" x14ac:dyDescent="0.25">
      <c r="A29" s="186" t="str">
        <f>+_xlfn.CONCAT("TEA% ", B46,"%")</f>
        <v>TEA% 23.5%</v>
      </c>
      <c r="B29" s="14">
        <f t="shared" ref="B29:G29" si="18">IFERROR(+B28/B27,0)</f>
        <v>0.23518877662735774</v>
      </c>
      <c r="C29" s="14">
        <f t="shared" si="18"/>
        <v>0.22366172509438983</v>
      </c>
      <c r="D29" s="14">
        <f t="shared" si="18"/>
        <v>0.24697961072006874</v>
      </c>
      <c r="E29" s="14">
        <f t="shared" si="18"/>
        <v>0.23509174311926606</v>
      </c>
      <c r="F29" s="14">
        <f t="shared" si="18"/>
        <v>0.23690190829001026</v>
      </c>
      <c r="G29" s="14">
        <f t="shared" si="18"/>
        <v>0.23650018236936671</v>
      </c>
      <c r="H29" s="14">
        <f t="shared" ref="H29:AB29" si="19">IFERROR(+H28/H27,0)</f>
        <v>0.21534499494839435</v>
      </c>
      <c r="I29" s="14">
        <f t="shared" si="19"/>
        <v>0.23725215794408289</v>
      </c>
      <c r="J29" s="17">
        <f>IFERROR(+J28/J27,0)</f>
        <v>0.23447866582801175</v>
      </c>
      <c r="K29" s="14">
        <f t="shared" si="19"/>
        <v>0.25409352970422538</v>
      </c>
      <c r="L29" s="14">
        <f t="shared" si="19"/>
        <v>0.20266456773118194</v>
      </c>
      <c r="M29" s="14">
        <f t="shared" si="19"/>
        <v>0.2281456953642384</v>
      </c>
      <c r="N29" s="14">
        <f t="shared" si="19"/>
        <v>0</v>
      </c>
      <c r="O29" s="14">
        <f t="shared" si="19"/>
        <v>0</v>
      </c>
      <c r="P29" s="14">
        <f t="shared" si="19"/>
        <v>0</v>
      </c>
      <c r="Q29" s="17">
        <f>IFERROR(+Q28/Q27,0)</f>
        <v>0.23354330165431669</v>
      </c>
      <c r="R29" s="14">
        <f t="shared" si="19"/>
        <v>0</v>
      </c>
      <c r="S29" s="14">
        <f t="shared" si="19"/>
        <v>0</v>
      </c>
      <c r="T29" s="14">
        <f t="shared" si="19"/>
        <v>0</v>
      </c>
      <c r="U29" s="14">
        <f t="shared" si="19"/>
        <v>0</v>
      </c>
      <c r="V29" s="18">
        <f t="shared" si="19"/>
        <v>0</v>
      </c>
      <c r="W29" s="18">
        <f t="shared" si="19"/>
        <v>0</v>
      </c>
      <c r="X29" s="18">
        <f t="shared" si="19"/>
        <v>0</v>
      </c>
      <c r="Y29" s="17">
        <f>IFERROR(+Y28/Y27,0)</f>
        <v>0.23354330165431669</v>
      </c>
      <c r="Z29" s="18">
        <f>+Y29</f>
        <v>0.23354330165431669</v>
      </c>
      <c r="AA29" s="18">
        <f>+Y29</f>
        <v>0.23354330165431669</v>
      </c>
      <c r="AB29" s="18">
        <f t="shared" si="19"/>
        <v>0</v>
      </c>
      <c r="AC29" s="18">
        <f t="shared" ref="AC29:AK29" si="20">IFERROR(+AC28/AC27,0)</f>
        <v>0</v>
      </c>
      <c r="AD29" s="18">
        <f t="shared" si="20"/>
        <v>0</v>
      </c>
      <c r="AE29" s="18">
        <f t="shared" si="20"/>
        <v>0</v>
      </c>
      <c r="AF29" s="18">
        <f t="shared" si="20"/>
        <v>0</v>
      </c>
      <c r="AG29" s="17">
        <f>IFERROR(+AG28/AG27,0)</f>
        <v>0.23354330165431669</v>
      </c>
      <c r="AH29" s="18">
        <f t="shared" si="20"/>
        <v>0</v>
      </c>
      <c r="AI29" s="18">
        <f t="shared" si="20"/>
        <v>0</v>
      </c>
      <c r="AJ29" s="18">
        <f>IFERROR(+AJ28/AJ27,0)</f>
        <v>0</v>
      </c>
      <c r="AK29" s="17">
        <f t="shared" si="20"/>
        <v>0.23354330165431669</v>
      </c>
      <c r="AR29" s="185"/>
      <c r="AY29" s="185"/>
      <c r="AZ29" s="185"/>
      <c r="BA29" s="8"/>
      <c r="BB29" s="8"/>
      <c r="BC29" s="8"/>
      <c r="BD29" s="8"/>
      <c r="BE29" s="8"/>
      <c r="BF29" s="8"/>
      <c r="BG29" s="8"/>
      <c r="BH29" s="8"/>
      <c r="BI29" s="8"/>
      <c r="BJ29" s="6"/>
      <c r="BK29" s="8"/>
      <c r="BL29" s="8"/>
      <c r="BM29" s="8"/>
      <c r="BN29" s="8"/>
      <c r="BO29" s="8"/>
      <c r="BP29" s="8"/>
      <c r="BQ29" s="8"/>
      <c r="BR29" s="8"/>
      <c r="BS29" s="8"/>
    </row>
    <row r="30" spans="1:71" ht="12" customHeight="1" x14ac:dyDescent="0.2">
      <c r="A30" s="19" t="s">
        <v>19</v>
      </c>
      <c r="B30" s="20">
        <f>B2+B9+B16+B23</f>
        <v>1149.2934477876433</v>
      </c>
      <c r="C30" s="20">
        <f>C2+C9+C16+C23</f>
        <v>1598.7829385568871</v>
      </c>
      <c r="D30" s="20">
        <f t="shared" ref="D30:G31" si="21">D2+D9+D16+D23</f>
        <v>1991.9958855683544</v>
      </c>
      <c r="E30" s="20">
        <f t="shared" si="21"/>
        <v>2067.4817840575547</v>
      </c>
      <c r="F30" s="20">
        <f t="shared" si="21"/>
        <v>2081.7244596123132</v>
      </c>
      <c r="G30" s="20">
        <f t="shared" si="21"/>
        <v>2104.6685019347678</v>
      </c>
      <c r="H30" s="20">
        <f>H2+H9+H16+H23</f>
        <v>553.82456493576603</v>
      </c>
      <c r="I30" s="20">
        <f>I2+I9+I16+I23</f>
        <v>226.49565930866015</v>
      </c>
      <c r="J30" s="7">
        <f>+SUM(B30:I30)</f>
        <v>11774.267241761947</v>
      </c>
      <c r="K30" s="20">
        <f t="shared" ref="K30:O31" si="22">K2+K9+K16+K23</f>
        <v>1622.9334484272185</v>
      </c>
      <c r="L30" s="20">
        <f t="shared" si="22"/>
        <v>2147.5940387177357</v>
      </c>
      <c r="M30" s="20">
        <f t="shared" si="22"/>
        <v>2374.6373697168451</v>
      </c>
      <c r="N30" s="20">
        <f t="shared" si="22"/>
        <v>2487.5383315028967</v>
      </c>
      <c r="O30" s="20">
        <f t="shared" si="22"/>
        <v>2128.0663121996904</v>
      </c>
      <c r="P30" s="20">
        <f t="shared" ref="P30:S31" si="23">P2+P9+P16+P23</f>
        <v>813.03409029561249</v>
      </c>
      <c r="Q30" s="7">
        <f>+J30+SUM(K30:P30)</f>
        <v>23348.070832621946</v>
      </c>
      <c r="R30" s="20">
        <f t="shared" si="23"/>
        <v>1440.0631286057719</v>
      </c>
      <c r="S30" s="20">
        <f t="shared" si="23"/>
        <v>1907.300548071953</v>
      </c>
      <c r="T30" s="20">
        <f t="shared" ref="T30:V31" si="24">T2+T9+T16+T23</f>
        <v>2300.186606519982</v>
      </c>
      <c r="U30" s="20">
        <f t="shared" si="24"/>
        <v>2305.0972042202866</v>
      </c>
      <c r="V30" s="21">
        <f t="shared" si="24"/>
        <v>2314.643077949474</v>
      </c>
      <c r="W30" s="21">
        <f t="shared" ref="W30:AA31" si="25">W2+W9+W16+W23</f>
        <v>2308.244345661853</v>
      </c>
      <c r="X30" s="21">
        <f t="shared" si="25"/>
        <v>707.87811783852806</v>
      </c>
      <c r="Y30" s="7">
        <f>+Q30+SUM(R30:X30)</f>
        <v>36631.483861489796</v>
      </c>
      <c r="Z30" s="21">
        <f t="shared" si="25"/>
        <v>1540.2250661514404</v>
      </c>
      <c r="AA30" s="21">
        <f t="shared" si="25"/>
        <v>2362.8786215039049</v>
      </c>
      <c r="AB30" s="21">
        <f>AB2+AB9+AB16+AB23</f>
        <v>1323.2032306677925</v>
      </c>
      <c r="AC30" s="21">
        <f t="shared" ref="AC30:AI31" si="26">AC2+AC9+AC16+AC23</f>
        <v>229.28150586241205</v>
      </c>
      <c r="AD30" s="21">
        <f t="shared" si="26"/>
        <v>1722.0578449924451</v>
      </c>
      <c r="AE30" s="21">
        <f t="shared" si="26"/>
        <v>2308.6184268966717</v>
      </c>
      <c r="AF30" s="21">
        <f>AF2+AF9+AF16+AF23</f>
        <v>874.39960471978361</v>
      </c>
      <c r="AG30" s="7">
        <f>+Y30+SUM(Z30:AF30)</f>
        <v>46992.148162284248</v>
      </c>
      <c r="AH30" s="21">
        <f>AH2+AH9+AH16+AH23</f>
        <v>1633.5161757687918</v>
      </c>
      <c r="AI30" s="21">
        <f>AI2+AI9+AI16+AI23</f>
        <v>2448.4676225991025</v>
      </c>
      <c r="AJ30" s="21">
        <f>AJ2+AJ9+AJ16+AJ23</f>
        <v>693.59203934786183</v>
      </c>
      <c r="AK30" s="7">
        <f>+AG30+SUM(AH30:AJ30)</f>
        <v>51767.724000000002</v>
      </c>
      <c r="AL30" s="21">
        <f>+AK33-AK19</f>
        <v>47300</v>
      </c>
      <c r="AM30" s="286" t="s">
        <v>21</v>
      </c>
      <c r="AY30" s="185"/>
      <c r="AZ30" s="185"/>
      <c r="BA30" s="8"/>
      <c r="BB30" s="8"/>
      <c r="BC30" s="8"/>
      <c r="BD30" s="8"/>
      <c r="BE30" s="8"/>
      <c r="BF30" s="8"/>
      <c r="BG30" s="8"/>
      <c r="BH30" s="8"/>
      <c r="BI30" s="8"/>
      <c r="BJ30" s="8"/>
      <c r="BK30" s="8"/>
      <c r="BL30" s="8"/>
      <c r="BM30" s="8"/>
      <c r="BN30" s="8"/>
      <c r="BO30" s="8"/>
      <c r="BP30" s="8"/>
      <c r="BQ30" s="8"/>
      <c r="BR30" s="8"/>
      <c r="BS30" s="8"/>
    </row>
    <row r="31" spans="1:71" ht="12" customHeight="1" x14ac:dyDescent="0.2">
      <c r="A31" s="22" t="s">
        <v>20</v>
      </c>
      <c r="B31" s="10">
        <f>B3+B10+B17+B24</f>
        <v>997.89400000000001</v>
      </c>
      <c r="C31" s="10">
        <f>C3+C10+C17+C24</f>
        <v>1441.616</v>
      </c>
      <c r="D31" s="10">
        <f t="shared" si="21"/>
        <v>2130.5169999999998</v>
      </c>
      <c r="E31" s="10">
        <f t="shared" si="21"/>
        <v>1996.817</v>
      </c>
      <c r="F31" s="10">
        <f t="shared" si="21"/>
        <v>2175.6680000000001</v>
      </c>
      <c r="G31" s="10">
        <f t="shared" si="21"/>
        <v>2115.35</v>
      </c>
      <c r="H31" s="10">
        <f>H3+H10+H17+H24</f>
        <v>1098.1100000000001</v>
      </c>
      <c r="I31" s="10">
        <f>I3+I10+I17+I24</f>
        <v>373.255</v>
      </c>
      <c r="J31" s="7">
        <f>+SUM(B31:I31)</f>
        <v>12329.227000000001</v>
      </c>
      <c r="K31" s="10">
        <f t="shared" si="22"/>
        <v>1276.69</v>
      </c>
      <c r="L31" s="10">
        <f t="shared" si="22"/>
        <v>1784.9859999999999</v>
      </c>
      <c r="M31" s="10">
        <f t="shared" si="22"/>
        <v>2012.2200000000003</v>
      </c>
      <c r="N31" s="10">
        <f t="shared" si="22"/>
        <v>0</v>
      </c>
      <c r="O31" s="10">
        <f t="shared" si="22"/>
        <v>0</v>
      </c>
      <c r="P31" s="10">
        <f t="shared" si="23"/>
        <v>0</v>
      </c>
      <c r="Q31" s="7">
        <f>+J31+SUM(K31:P31)</f>
        <v>17403.123</v>
      </c>
      <c r="R31" s="10">
        <f t="shared" si="23"/>
        <v>0</v>
      </c>
      <c r="S31" s="10">
        <f t="shared" si="23"/>
        <v>0</v>
      </c>
      <c r="T31" s="10">
        <f t="shared" si="24"/>
        <v>0</v>
      </c>
      <c r="U31" s="10">
        <f t="shared" si="24"/>
        <v>0</v>
      </c>
      <c r="V31" s="10">
        <f t="shared" si="24"/>
        <v>0</v>
      </c>
      <c r="W31" s="10">
        <f t="shared" si="25"/>
        <v>0</v>
      </c>
      <c r="X31" s="10">
        <f t="shared" si="25"/>
        <v>0</v>
      </c>
      <c r="Y31" s="7">
        <f>+Q31+SUM(R31:X31)</f>
        <v>17403.123</v>
      </c>
      <c r="Z31" s="10">
        <f t="shared" si="25"/>
        <v>0</v>
      </c>
      <c r="AA31" s="10">
        <f t="shared" si="25"/>
        <v>0</v>
      </c>
      <c r="AB31" s="10">
        <f>AB3+AB10+AB17+AB24</f>
        <v>0</v>
      </c>
      <c r="AC31" s="10">
        <f t="shared" si="26"/>
        <v>0</v>
      </c>
      <c r="AD31" s="10">
        <f t="shared" si="26"/>
        <v>0</v>
      </c>
      <c r="AE31" s="10">
        <f t="shared" si="26"/>
        <v>0</v>
      </c>
      <c r="AF31" s="10">
        <f t="shared" si="26"/>
        <v>0</v>
      </c>
      <c r="AG31" s="7">
        <f>+Y31+SUM(Z31:AF31)</f>
        <v>17403.123</v>
      </c>
      <c r="AH31" s="10">
        <f>AH3+AH10+AH17+AH24</f>
        <v>0</v>
      </c>
      <c r="AI31" s="10">
        <f t="shared" si="26"/>
        <v>0</v>
      </c>
      <c r="AJ31" s="10">
        <f>AJ3+AJ10+AJ17+AJ24</f>
        <v>0</v>
      </c>
      <c r="AK31" s="7">
        <f>+AG31+SUM(AH31:AJ31)</f>
        <v>17403.123</v>
      </c>
      <c r="AL31" s="21">
        <f>+AK34-AK20</f>
        <v>15505.046999999999</v>
      </c>
      <c r="AM31" s="284" t="s">
        <v>23</v>
      </c>
      <c r="AY31" s="185"/>
      <c r="AZ31" s="185"/>
      <c r="BA31" s="8"/>
      <c r="BB31" s="8"/>
      <c r="BC31" s="8"/>
      <c r="BD31" s="8"/>
      <c r="BE31" s="8"/>
      <c r="BF31" s="8"/>
      <c r="BG31" s="8"/>
      <c r="BH31" s="8"/>
      <c r="BI31" s="8"/>
      <c r="BJ31" s="6"/>
      <c r="BK31" s="8"/>
      <c r="BL31" s="8"/>
      <c r="BM31" s="8"/>
      <c r="BN31" s="8"/>
      <c r="BO31" s="8"/>
      <c r="BP31" s="8"/>
      <c r="BQ31" s="8"/>
      <c r="BR31" s="8"/>
      <c r="BS31" s="8"/>
    </row>
    <row r="32" spans="1:71" ht="12" customHeight="1" thickBot="1" x14ac:dyDescent="0.25">
      <c r="A32" s="23" t="s">
        <v>3</v>
      </c>
      <c r="B32" s="12">
        <f t="shared" ref="B32:G32" si="27">IFERROR(+B31/B30,0)</f>
        <v>0.86826737063620885</v>
      </c>
      <c r="C32" s="12">
        <f t="shared" si="27"/>
        <v>0.90169588706097215</v>
      </c>
      <c r="D32" s="12">
        <f t="shared" si="27"/>
        <v>1.0695388556950371</v>
      </c>
      <c r="E32" s="12">
        <f t="shared" si="27"/>
        <v>0.9658208432101052</v>
      </c>
      <c r="F32" s="12">
        <f t="shared" si="27"/>
        <v>1.0451277497143798</v>
      </c>
      <c r="G32" s="12">
        <f t="shared" si="27"/>
        <v>1.0050751451144979</v>
      </c>
      <c r="H32" s="12">
        <f t="shared" ref="H32:AI32" si="28">IFERROR(+H31/H30,0)</f>
        <v>1.9827758996702534</v>
      </c>
      <c r="I32" s="12">
        <f t="shared" si="28"/>
        <v>1.6479565265811187</v>
      </c>
      <c r="J32" s="17">
        <f>IFERROR(+J31/J30,0)</f>
        <v>1.0471332735059449</v>
      </c>
      <c r="K32" s="12">
        <f t="shared" si="28"/>
        <v>0.78665579370320926</v>
      </c>
      <c r="L32" s="12">
        <f t="shared" si="28"/>
        <v>0.83115615326710524</v>
      </c>
      <c r="M32" s="12">
        <f t="shared" si="28"/>
        <v>0.84737990973330801</v>
      </c>
      <c r="N32" s="12">
        <f t="shared" si="28"/>
        <v>0</v>
      </c>
      <c r="O32" s="12">
        <f t="shared" si="28"/>
        <v>0</v>
      </c>
      <c r="P32" s="12">
        <f t="shared" si="28"/>
        <v>0</v>
      </c>
      <c r="Q32" s="17">
        <f>IFERROR(+Q31/Q30,0)</f>
        <v>0.74537734294022873</v>
      </c>
      <c r="R32" s="12">
        <f t="shared" si="28"/>
        <v>0</v>
      </c>
      <c r="S32" s="12">
        <f t="shared" si="28"/>
        <v>0</v>
      </c>
      <c r="T32" s="12">
        <f t="shared" si="28"/>
        <v>0</v>
      </c>
      <c r="U32" s="12">
        <f t="shared" si="28"/>
        <v>0</v>
      </c>
      <c r="V32" s="12">
        <f t="shared" si="28"/>
        <v>0</v>
      </c>
      <c r="W32" s="12">
        <f t="shared" si="28"/>
        <v>0</v>
      </c>
      <c r="X32" s="12">
        <f t="shared" si="28"/>
        <v>0</v>
      </c>
      <c r="Y32" s="17">
        <f>IFERROR(+Y31/Y30,0)</f>
        <v>0.47508648750905985</v>
      </c>
      <c r="Z32" s="12">
        <f t="shared" si="28"/>
        <v>0</v>
      </c>
      <c r="AA32" s="12">
        <f t="shared" si="28"/>
        <v>0</v>
      </c>
      <c r="AB32" s="12">
        <f t="shared" si="28"/>
        <v>0</v>
      </c>
      <c r="AC32" s="12">
        <f t="shared" si="28"/>
        <v>0</v>
      </c>
      <c r="AD32" s="12">
        <f t="shared" si="28"/>
        <v>0</v>
      </c>
      <c r="AE32" s="12">
        <f t="shared" si="28"/>
        <v>0</v>
      </c>
      <c r="AF32" s="12">
        <f t="shared" si="28"/>
        <v>0</v>
      </c>
      <c r="AG32" s="17">
        <f>IFERROR(+AG31/AG30,0)</f>
        <v>0.37034108208672384</v>
      </c>
      <c r="AH32" s="12">
        <f t="shared" si="28"/>
        <v>0</v>
      </c>
      <c r="AI32" s="12">
        <f t="shared" si="28"/>
        <v>0</v>
      </c>
      <c r="AJ32" s="12">
        <f>IFERROR(+AJ31/AJ30,0)</f>
        <v>0</v>
      </c>
      <c r="AK32" s="17">
        <f>IFERROR(+AK31/AK30,0)</f>
        <v>0.33617709366554338</v>
      </c>
      <c r="AL32" s="21">
        <f>+AL31-AL30</f>
        <v>-31794.953000000001</v>
      </c>
      <c r="AM32" s="285" t="s">
        <v>25</v>
      </c>
      <c r="AY32" s="185"/>
      <c r="AZ32" s="185"/>
      <c r="BA32" s="8"/>
      <c r="BB32" s="8"/>
      <c r="BC32" s="8"/>
      <c r="BD32" s="8"/>
      <c r="BE32" s="8"/>
      <c r="BF32" s="8"/>
      <c r="BG32" s="8"/>
      <c r="BH32" s="8"/>
      <c r="BI32" s="8"/>
      <c r="BJ32" s="8"/>
      <c r="BK32" s="8"/>
      <c r="BL32" s="8"/>
      <c r="BM32" s="8"/>
      <c r="BN32" s="8"/>
      <c r="BO32" s="8"/>
      <c r="BP32" s="8"/>
      <c r="BQ32" s="8"/>
      <c r="BR32" s="8"/>
      <c r="BS32" s="8"/>
    </row>
    <row r="33" spans="1:71" ht="12" customHeight="1" x14ac:dyDescent="0.2">
      <c r="A33" s="19" t="s">
        <v>19</v>
      </c>
      <c r="B33" s="20">
        <f>B5+B12+B19+B26</f>
        <v>1550</v>
      </c>
      <c r="C33" s="20">
        <f>C5+C12+C19+C26</f>
        <v>1800</v>
      </c>
      <c r="D33" s="20">
        <f t="shared" ref="D33:I33" si="29">D5+D12+D19+D26</f>
        <v>1900</v>
      </c>
      <c r="E33" s="20">
        <f t="shared" si="29"/>
        <v>2000</v>
      </c>
      <c r="F33" s="20">
        <f t="shared" si="29"/>
        <v>2000</v>
      </c>
      <c r="G33" s="20">
        <f t="shared" si="29"/>
        <v>2150</v>
      </c>
      <c r="H33" s="20">
        <f t="shared" si="29"/>
        <v>800</v>
      </c>
      <c r="I33" s="20">
        <f t="shared" si="29"/>
        <v>0</v>
      </c>
      <c r="J33" s="7">
        <f>+SUM(B33:I33)</f>
        <v>12200</v>
      </c>
      <c r="K33" s="20">
        <f t="shared" ref="K33:R33" si="30">K5+K12+K19+K26</f>
        <v>1350</v>
      </c>
      <c r="L33" s="20">
        <f t="shared" si="30"/>
        <v>1950</v>
      </c>
      <c r="M33" s="20">
        <f t="shared" si="30"/>
        <v>2100</v>
      </c>
      <c r="N33" s="20">
        <f t="shared" si="30"/>
        <v>2270</v>
      </c>
      <c r="O33" s="20">
        <f t="shared" si="30"/>
        <v>2270</v>
      </c>
      <c r="P33" s="20">
        <f t="shared" si="30"/>
        <v>1550</v>
      </c>
      <c r="Q33" s="7">
        <f>+J33+SUM(K33:P33)</f>
        <v>23690</v>
      </c>
      <c r="R33" s="20">
        <f t="shared" si="30"/>
        <v>1600</v>
      </c>
      <c r="S33" s="20">
        <f>S5+S12+S19+S26</f>
        <v>2050</v>
      </c>
      <c r="T33" s="20">
        <f t="shared" ref="T33:AA33" si="31">T5+T12+T19+T26</f>
        <v>2100</v>
      </c>
      <c r="U33" s="20">
        <f t="shared" si="31"/>
        <v>2150</v>
      </c>
      <c r="V33" s="20">
        <f t="shared" si="31"/>
        <v>2150</v>
      </c>
      <c r="W33" s="20">
        <f t="shared" si="31"/>
        <v>2150</v>
      </c>
      <c r="X33" s="20">
        <f t="shared" si="31"/>
        <v>1250</v>
      </c>
      <c r="Y33" s="7">
        <f>+Q33+SUM(R33:X33)</f>
        <v>37140</v>
      </c>
      <c r="Z33" s="20">
        <f t="shared" si="31"/>
        <v>1250</v>
      </c>
      <c r="AA33" s="20">
        <f t="shared" si="31"/>
        <v>2200</v>
      </c>
      <c r="AB33" s="20">
        <f t="shared" ref="AB33:AI33" si="32">AB5+AB12+AB19+AB26</f>
        <v>1780</v>
      </c>
      <c r="AC33" s="20">
        <f t="shared" si="32"/>
        <v>0</v>
      </c>
      <c r="AD33" s="20">
        <f t="shared" si="32"/>
        <v>2170</v>
      </c>
      <c r="AE33" s="20">
        <f t="shared" si="32"/>
        <v>2170</v>
      </c>
      <c r="AF33" s="20">
        <f t="shared" si="32"/>
        <v>1050</v>
      </c>
      <c r="AG33" s="7">
        <f>+Y33+SUM(Z33:AF33)</f>
        <v>47760</v>
      </c>
      <c r="AH33" s="20">
        <f t="shared" si="32"/>
        <v>1350</v>
      </c>
      <c r="AI33" s="20">
        <f t="shared" si="32"/>
        <v>2220</v>
      </c>
      <c r="AJ33" s="20">
        <f>AJ5+AJ12+AJ19+AJ26</f>
        <v>1100</v>
      </c>
      <c r="AK33" s="7">
        <f>+AG33+SUM(AH33:AJ33)</f>
        <v>52430</v>
      </c>
      <c r="AL33" s="21">
        <f>+AK5+AK12+AK19+AK26</f>
        <v>52430</v>
      </c>
      <c r="AM33" s="185"/>
      <c r="AZ33" s="185"/>
      <c r="BA33" s="185"/>
      <c r="BB33" s="185"/>
      <c r="BC33" s="184"/>
      <c r="BD33" s="8"/>
      <c r="BE33" s="8"/>
      <c r="BF33" s="8"/>
      <c r="BG33" s="8"/>
      <c r="BH33" s="8"/>
      <c r="BI33" s="8"/>
      <c r="BJ33" s="8"/>
      <c r="BK33" s="8"/>
      <c r="BL33" s="8"/>
      <c r="BM33" s="8"/>
      <c r="BN33" s="8"/>
      <c r="BO33" s="8"/>
      <c r="BP33" s="8"/>
      <c r="BQ33" s="8"/>
      <c r="BR33" s="8"/>
      <c r="BS33" s="8"/>
    </row>
    <row r="34" spans="1:71" ht="12" customHeight="1" x14ac:dyDescent="0.2">
      <c r="A34" s="22" t="s">
        <v>22</v>
      </c>
      <c r="B34" s="6">
        <f>+B27+B13+B20+B6</f>
        <v>1212.7539999999999</v>
      </c>
      <c r="C34" s="6">
        <f>+C27+C13+C20+C6</f>
        <v>1323.8489999999999</v>
      </c>
      <c r="D34" s="6">
        <f t="shared" ref="D34:I34" si="33">+D27+D13+D20+D6</f>
        <v>1795.92</v>
      </c>
      <c r="E34" s="6">
        <f t="shared" si="33"/>
        <v>2220.9780000000001</v>
      </c>
      <c r="F34" s="6">
        <f t="shared" si="33"/>
        <v>1979.9059999999999</v>
      </c>
      <c r="G34" s="6">
        <f t="shared" si="33"/>
        <v>1861.0720000000001</v>
      </c>
      <c r="H34" s="6">
        <f t="shared" si="33"/>
        <v>1335.29</v>
      </c>
      <c r="I34" s="6">
        <f t="shared" si="33"/>
        <v>1250.7510000000002</v>
      </c>
      <c r="J34" s="7">
        <f>+SUM(B34:I34)</f>
        <v>12980.52</v>
      </c>
      <c r="K34" s="6">
        <f t="shared" ref="K34:R34" si="34">+K27+K13+K20+K6</f>
        <v>937.22199999999998</v>
      </c>
      <c r="L34" s="6">
        <f t="shared" si="34"/>
        <v>1402.2149999999999</v>
      </c>
      <c r="M34" s="6">
        <f t="shared" si="34"/>
        <v>1859.0900000000001</v>
      </c>
      <c r="N34" s="6">
        <f t="shared" si="34"/>
        <v>0</v>
      </c>
      <c r="O34" s="6">
        <f t="shared" si="34"/>
        <v>0</v>
      </c>
      <c r="P34" s="6">
        <f t="shared" si="34"/>
        <v>0</v>
      </c>
      <c r="Q34" s="7">
        <f>+J34+SUM(K34:P34)</f>
        <v>17179.046999999999</v>
      </c>
      <c r="R34" s="6">
        <f t="shared" si="34"/>
        <v>0</v>
      </c>
      <c r="S34" s="6">
        <f>+S27+S13+S20+S6</f>
        <v>0</v>
      </c>
      <c r="T34" s="6">
        <f t="shared" ref="T34:AA34" si="35">+T27+T13+T20+T6</f>
        <v>0</v>
      </c>
      <c r="U34" s="6">
        <f t="shared" si="35"/>
        <v>0</v>
      </c>
      <c r="V34" s="6">
        <f t="shared" si="35"/>
        <v>0</v>
      </c>
      <c r="W34" s="6">
        <f t="shared" si="35"/>
        <v>0</v>
      </c>
      <c r="X34" s="6">
        <f t="shared" si="35"/>
        <v>0</v>
      </c>
      <c r="Y34" s="7">
        <f>+Q34+SUM(R34:X34)</f>
        <v>17179.046999999999</v>
      </c>
      <c r="Z34" s="6">
        <f t="shared" si="35"/>
        <v>0</v>
      </c>
      <c r="AA34" s="6">
        <f t="shared" si="35"/>
        <v>0</v>
      </c>
      <c r="AB34" s="6">
        <f>+AB27+AB13+AB20+AB6</f>
        <v>0</v>
      </c>
      <c r="AC34" s="6">
        <f t="shared" ref="AC34:AI34" si="36">+AC27+AC13+AC20+AC6</f>
        <v>0</v>
      </c>
      <c r="AD34" s="6">
        <f t="shared" si="36"/>
        <v>0</v>
      </c>
      <c r="AE34" s="6">
        <f t="shared" si="36"/>
        <v>0</v>
      </c>
      <c r="AF34" s="6">
        <f t="shared" si="36"/>
        <v>0</v>
      </c>
      <c r="AG34" s="7">
        <f>+Y34+SUM(Z34:AF34)</f>
        <v>17179.046999999999</v>
      </c>
      <c r="AH34" s="6">
        <f t="shared" si="36"/>
        <v>0</v>
      </c>
      <c r="AI34" s="6">
        <f t="shared" si="36"/>
        <v>0</v>
      </c>
      <c r="AJ34" s="6">
        <f>+AJ27+AJ13+AJ20+AJ6</f>
        <v>0</v>
      </c>
      <c r="AK34" s="7">
        <f>+AG34+SUM(AH34:AJ34)</f>
        <v>17179.046999999999</v>
      </c>
      <c r="AL34" s="21">
        <f>+AK6+AK13+AK20+AK27</f>
        <v>17179.046999999999</v>
      </c>
      <c r="AM34" s="185"/>
      <c r="AS34" s="21"/>
      <c r="AZ34" s="185"/>
      <c r="BA34" s="185"/>
      <c r="BB34" s="185"/>
      <c r="BC34" s="24"/>
      <c r="BD34" s="8"/>
      <c r="BE34" s="8"/>
      <c r="BF34" s="8"/>
      <c r="BG34" s="8"/>
      <c r="BH34" s="8"/>
      <c r="BI34" s="8"/>
      <c r="BJ34" s="8"/>
      <c r="BK34" s="8"/>
      <c r="BL34" s="8"/>
      <c r="BM34" s="8"/>
      <c r="BN34" s="8"/>
      <c r="BO34" s="8"/>
      <c r="BP34" s="8"/>
      <c r="BQ34" s="8"/>
      <c r="BR34" s="8"/>
      <c r="BS34" s="8"/>
    </row>
    <row r="35" spans="1:71" ht="12" customHeight="1" x14ac:dyDescent="0.2">
      <c r="A35" s="22" t="s">
        <v>24</v>
      </c>
      <c r="B35" s="10">
        <f>B7+B14+B21+B28</f>
        <v>283.24799999999999</v>
      </c>
      <c r="C35" s="10">
        <f>C7+C14+C21+C28</f>
        <v>258.90599999999995</v>
      </c>
      <c r="D35" s="10">
        <f t="shared" ref="D35:I35" si="37">D7+D14+D21+D28</f>
        <v>391.60500000000002</v>
      </c>
      <c r="E35" s="10">
        <f t="shared" si="37"/>
        <v>458.26300000000003</v>
      </c>
      <c r="F35" s="10">
        <f t="shared" si="37"/>
        <v>421.71500000000003</v>
      </c>
      <c r="G35" s="10">
        <f t="shared" si="37"/>
        <v>409.64400000000001</v>
      </c>
      <c r="H35" s="10">
        <f t="shared" si="37"/>
        <v>279.52</v>
      </c>
      <c r="I35" s="10">
        <f t="shared" si="37"/>
        <v>294.19100000000003</v>
      </c>
      <c r="J35" s="7">
        <f>+SUM(B35:I35)</f>
        <v>2797.0920000000006</v>
      </c>
      <c r="K35" s="10">
        <f t="shared" ref="K35:R35" si="38">K7+K14+K21+K28</f>
        <v>217.00600000000003</v>
      </c>
      <c r="L35" s="10">
        <f t="shared" si="38"/>
        <v>290.76599999999996</v>
      </c>
      <c r="M35" s="10">
        <f t="shared" si="38"/>
        <v>390.745</v>
      </c>
      <c r="N35" s="10">
        <f t="shared" si="38"/>
        <v>0</v>
      </c>
      <c r="O35" s="10">
        <f t="shared" si="38"/>
        <v>0</v>
      </c>
      <c r="P35" s="10">
        <f t="shared" si="38"/>
        <v>0</v>
      </c>
      <c r="Q35" s="7">
        <f>+J35+SUM(K35:P35)</f>
        <v>3695.6090000000004</v>
      </c>
      <c r="R35" s="10">
        <f t="shared" si="38"/>
        <v>0</v>
      </c>
      <c r="S35" s="10">
        <f>S7+S14+S21+S28</f>
        <v>0</v>
      </c>
      <c r="T35" s="10">
        <f t="shared" ref="T35:AA35" si="39">T7+T14+T21+T28</f>
        <v>0</v>
      </c>
      <c r="U35" s="10">
        <f t="shared" si="39"/>
        <v>0</v>
      </c>
      <c r="V35" s="10">
        <f t="shared" si="39"/>
        <v>0</v>
      </c>
      <c r="W35" s="10">
        <f t="shared" si="39"/>
        <v>0</v>
      </c>
      <c r="X35" s="10">
        <f t="shared" si="39"/>
        <v>0</v>
      </c>
      <c r="Y35" s="7">
        <f>+Q35+SUM(R35:X35)</f>
        <v>3695.6090000000004</v>
      </c>
      <c r="Z35" s="10">
        <f t="shared" si="39"/>
        <v>0</v>
      </c>
      <c r="AA35" s="10">
        <f t="shared" si="39"/>
        <v>0</v>
      </c>
      <c r="AB35" s="10">
        <f>AB7+AB14+AB21+AB28</f>
        <v>0</v>
      </c>
      <c r="AC35" s="10">
        <f t="shared" ref="AC35:AI35" si="40">AC7+AC14+AC21+AC28</f>
        <v>0</v>
      </c>
      <c r="AD35" s="10">
        <f t="shared" si="40"/>
        <v>0</v>
      </c>
      <c r="AE35" s="10">
        <f t="shared" si="40"/>
        <v>0</v>
      </c>
      <c r="AF35" s="10">
        <f t="shared" si="40"/>
        <v>0</v>
      </c>
      <c r="AG35" s="7">
        <f>+Y35+SUM(Z35:AF35)</f>
        <v>3695.6090000000004</v>
      </c>
      <c r="AH35" s="10">
        <f t="shared" si="40"/>
        <v>0</v>
      </c>
      <c r="AI35" s="10">
        <f t="shared" si="40"/>
        <v>12.417</v>
      </c>
      <c r="AJ35" s="10">
        <f>AJ7+AJ14+AJ21+AJ28</f>
        <v>11.058999999999999</v>
      </c>
      <c r="AK35" s="7">
        <f>+AG35+SUM(AH35:AJ35)</f>
        <v>3719.0850000000005</v>
      </c>
      <c r="AL35" s="21">
        <f>+AK7+AK14+AK21+AK28</f>
        <v>3719.085</v>
      </c>
      <c r="AM35" s="185"/>
      <c r="AS35" s="21"/>
      <c r="AZ35" s="185"/>
      <c r="BA35" s="185"/>
      <c r="BB35" s="185"/>
      <c r="BC35" s="24"/>
      <c r="BD35" s="8"/>
      <c r="BE35" s="8"/>
      <c r="BF35" s="8"/>
      <c r="BG35" s="8"/>
      <c r="BH35" s="8"/>
      <c r="BI35" s="8"/>
      <c r="BJ35" s="8"/>
      <c r="BK35" s="8"/>
      <c r="BL35" s="8"/>
      <c r="BM35" s="8"/>
      <c r="BN35" s="8"/>
      <c r="BO35" s="8"/>
      <c r="BP35" s="8"/>
      <c r="BQ35" s="8"/>
      <c r="BR35" s="8"/>
      <c r="BS35" s="8"/>
    </row>
    <row r="36" spans="1:71" ht="12" customHeight="1" thickBot="1" x14ac:dyDescent="0.25">
      <c r="A36" s="23" t="s">
        <v>26</v>
      </c>
      <c r="B36" s="14">
        <f t="shared" ref="B36:G36" si="41">IFERROR(+B35/B34,0)</f>
        <v>0.23355767121774079</v>
      </c>
      <c r="C36" s="14">
        <f t="shared" si="41"/>
        <v>0.19557064287543366</v>
      </c>
      <c r="D36" s="14">
        <f t="shared" si="41"/>
        <v>0.21805258586128559</v>
      </c>
      <c r="E36" s="14">
        <f t="shared" si="41"/>
        <v>0.2063338763373613</v>
      </c>
      <c r="F36" s="14">
        <f t="shared" si="41"/>
        <v>0.21299748573922198</v>
      </c>
      <c r="G36" s="14">
        <f t="shared" si="41"/>
        <v>0.22011184951468829</v>
      </c>
      <c r="H36" s="14">
        <f t="shared" ref="H36:AI36" si="42">IFERROR(+H35/H34,0)</f>
        <v>0.2093328041099686</v>
      </c>
      <c r="I36" s="14">
        <f t="shared" si="42"/>
        <v>0.23521148493984811</v>
      </c>
      <c r="J36" s="15">
        <f>IFERROR(+J35/J34,0)</f>
        <v>0.215483817289292</v>
      </c>
      <c r="K36" s="14">
        <f t="shared" si="42"/>
        <v>0.23154172650663346</v>
      </c>
      <c r="L36" s="14">
        <f t="shared" si="42"/>
        <v>0.20736192381339522</v>
      </c>
      <c r="M36" s="14">
        <f t="shared" si="42"/>
        <v>0.21018078737446813</v>
      </c>
      <c r="N36" s="14">
        <f t="shared" si="42"/>
        <v>0</v>
      </c>
      <c r="O36" s="14">
        <f t="shared" si="42"/>
        <v>0</v>
      </c>
      <c r="P36" s="14">
        <f t="shared" si="42"/>
        <v>0</v>
      </c>
      <c r="Q36" s="15">
        <f>IFERROR(+Q35/Q34,0)</f>
        <v>0.21512305077225766</v>
      </c>
      <c r="R36" s="14">
        <f t="shared" si="42"/>
        <v>0</v>
      </c>
      <c r="S36" s="14">
        <f t="shared" si="42"/>
        <v>0</v>
      </c>
      <c r="T36" s="14">
        <f t="shared" si="42"/>
        <v>0</v>
      </c>
      <c r="U36" s="14">
        <f t="shared" si="42"/>
        <v>0</v>
      </c>
      <c r="V36" s="14">
        <f t="shared" si="42"/>
        <v>0</v>
      </c>
      <c r="W36" s="14">
        <f t="shared" si="42"/>
        <v>0</v>
      </c>
      <c r="X36" s="14">
        <f t="shared" si="42"/>
        <v>0</v>
      </c>
      <c r="Y36" s="15">
        <f>IFERROR(+Y35/Y34,0)</f>
        <v>0.21512305077225766</v>
      </c>
      <c r="Z36" s="14">
        <f t="shared" si="42"/>
        <v>0</v>
      </c>
      <c r="AA36" s="14">
        <f t="shared" si="42"/>
        <v>0</v>
      </c>
      <c r="AB36" s="14">
        <f t="shared" si="42"/>
        <v>0</v>
      </c>
      <c r="AC36" s="14">
        <f t="shared" si="42"/>
        <v>0</v>
      </c>
      <c r="AD36" s="14">
        <f t="shared" si="42"/>
        <v>0</v>
      </c>
      <c r="AE36" s="14">
        <f t="shared" si="42"/>
        <v>0</v>
      </c>
      <c r="AF36" s="14">
        <f t="shared" si="42"/>
        <v>0</v>
      </c>
      <c r="AG36" s="15">
        <f>IFERROR(+AG35/AG34,0)</f>
        <v>0.21512305077225766</v>
      </c>
      <c r="AH36" s="14">
        <f t="shared" si="42"/>
        <v>0</v>
      </c>
      <c r="AI36" s="14">
        <f t="shared" si="42"/>
        <v>0</v>
      </c>
      <c r="AJ36" s="14">
        <f>IFERROR(+AJ35/AJ34,0)</f>
        <v>0</v>
      </c>
      <c r="AK36" s="15">
        <f>IFERROR(+AK35/AK34,0)</f>
        <v>0.21648959921932812</v>
      </c>
      <c r="AQ36" s="185"/>
      <c r="AR36" s="185"/>
      <c r="AS36" s="21"/>
      <c r="AY36" s="185"/>
      <c r="AZ36" s="185"/>
      <c r="BA36" s="8"/>
      <c r="BB36" s="8"/>
      <c r="BC36" s="8"/>
      <c r="BD36" s="8"/>
      <c r="BE36" s="8"/>
      <c r="BF36" s="8"/>
      <c r="BG36" s="8"/>
      <c r="BH36" s="8"/>
      <c r="BI36" s="8"/>
      <c r="BJ36" s="8"/>
      <c r="BK36" s="8"/>
      <c r="BL36" s="8"/>
      <c r="BM36" s="8"/>
      <c r="BN36" s="8"/>
      <c r="BO36" s="8"/>
      <c r="BP36" s="8"/>
      <c r="BQ36" s="8"/>
      <c r="BR36" s="8"/>
      <c r="BS36" s="8"/>
    </row>
    <row r="37" spans="1:71" ht="12" customHeight="1" thickBot="1" x14ac:dyDescent="0.25">
      <c r="A37" s="25" t="s">
        <v>27</v>
      </c>
      <c r="B37" s="26">
        <f t="shared" ref="B37:G37" si="43">+B26*$A$42+B12*$A$41+B19*$A$43+B5*$A$40</f>
        <v>344</v>
      </c>
      <c r="C37" s="27">
        <f t="shared" si="43"/>
        <v>401.25</v>
      </c>
      <c r="D37" s="27">
        <f t="shared" si="43"/>
        <v>421.35</v>
      </c>
      <c r="E37" s="27">
        <f t="shared" si="43"/>
        <v>443.15</v>
      </c>
      <c r="F37" s="27">
        <f t="shared" si="43"/>
        <v>443.15</v>
      </c>
      <c r="G37" s="27">
        <f t="shared" si="43"/>
        <v>475.75</v>
      </c>
      <c r="H37" s="27">
        <f t="shared" ref="H37:AI37" si="44">+H26*$A$42+H12*$A$41+H19*$A$43+H5*$A$40</f>
        <v>182.3</v>
      </c>
      <c r="I37" s="28">
        <f t="shared" si="44"/>
        <v>0</v>
      </c>
      <c r="J37" s="28">
        <f>+J26*$A$42+J12*$A$41+J19*$A$43+J5*$A$40</f>
        <v>2710.95</v>
      </c>
      <c r="K37" s="27">
        <f t="shared" si="44"/>
        <v>304.75</v>
      </c>
      <c r="L37" s="27">
        <f t="shared" si="44"/>
        <v>426.85</v>
      </c>
      <c r="M37" s="27">
        <f t="shared" si="44"/>
        <v>459.85</v>
      </c>
      <c r="N37" s="27">
        <f t="shared" si="44"/>
        <v>497.25</v>
      </c>
      <c r="O37" s="27">
        <f t="shared" si="44"/>
        <v>497.25</v>
      </c>
      <c r="P37" s="27">
        <f t="shared" si="44"/>
        <v>341.95000000000005</v>
      </c>
      <c r="Q37" s="28">
        <f>+Q26*$A$42+Q12*$A$41+Q19*$A$43+Q5*$A$40</f>
        <v>5238.8500000000004</v>
      </c>
      <c r="R37" s="27">
        <f t="shared" si="44"/>
        <v>359.75</v>
      </c>
      <c r="S37" s="27">
        <f t="shared" si="44"/>
        <v>452.25</v>
      </c>
      <c r="T37" s="27">
        <f t="shared" si="44"/>
        <v>463.25</v>
      </c>
      <c r="U37" s="27">
        <f t="shared" si="44"/>
        <v>472.55</v>
      </c>
      <c r="V37" s="27">
        <f t="shared" si="44"/>
        <v>472.55</v>
      </c>
      <c r="W37" s="27">
        <f t="shared" si="44"/>
        <v>472.55</v>
      </c>
      <c r="X37" s="27">
        <f t="shared" si="44"/>
        <v>286.14999999999998</v>
      </c>
      <c r="Y37" s="28">
        <f>+Y26*$A$42+Y12*$A$41+Y19*$A$43+Y5*$A$40</f>
        <v>8217.9</v>
      </c>
      <c r="Z37" s="27">
        <f t="shared" si="44"/>
        <v>267.5</v>
      </c>
      <c r="AA37" s="27">
        <f t="shared" si="44"/>
        <v>481.85</v>
      </c>
      <c r="AB37" s="27">
        <f t="shared" si="44"/>
        <v>393.23</v>
      </c>
      <c r="AC37" s="27">
        <f t="shared" si="44"/>
        <v>0</v>
      </c>
      <c r="AD37" s="27">
        <f t="shared" si="44"/>
        <v>476.95</v>
      </c>
      <c r="AE37" s="27">
        <f t="shared" si="44"/>
        <v>476.95</v>
      </c>
      <c r="AF37" s="27">
        <f t="shared" si="44"/>
        <v>231.8</v>
      </c>
      <c r="AG37" s="28">
        <f>+AG26*$A$42+AG12*$A$41+AG19*$A$43+AG5*$A$40</f>
        <v>10546.18</v>
      </c>
      <c r="AH37" s="27">
        <f t="shared" si="44"/>
        <v>296.60000000000002</v>
      </c>
      <c r="AI37" s="27">
        <f t="shared" si="44"/>
        <v>485.57</v>
      </c>
      <c r="AJ37" s="27">
        <f>+AJ26*$A$42+AJ12*$A$41+AJ19*$A$43+AJ5*$A$40</f>
        <v>226</v>
      </c>
      <c r="AK37" s="28">
        <f>+AK26*$A$42+AK12*$A$41+AK19*$A$43+AK5*$A$40</f>
        <v>11554.35</v>
      </c>
      <c r="AQ37" s="185"/>
      <c r="AR37" s="185"/>
      <c r="AY37" s="185"/>
      <c r="AZ37" s="185"/>
      <c r="BA37" s="8"/>
      <c r="BB37" s="8"/>
      <c r="BC37" s="8"/>
      <c r="BD37" s="8"/>
      <c r="BE37" s="8"/>
      <c r="BF37" s="8"/>
      <c r="BG37" s="8"/>
      <c r="BH37" s="8"/>
      <c r="BI37" s="8"/>
      <c r="BJ37" s="6"/>
      <c r="BK37" s="8"/>
      <c r="BL37" s="8"/>
      <c r="BM37" s="8"/>
      <c r="BN37" s="8"/>
      <c r="BO37" s="8"/>
      <c r="BP37" s="8"/>
      <c r="BQ37" s="8"/>
      <c r="BR37" s="8"/>
      <c r="BS37" s="8"/>
    </row>
    <row r="38" spans="1:71" ht="15.75" customHeight="1" thickBot="1" x14ac:dyDescent="0.25">
      <c r="A38" s="8"/>
      <c r="B38" s="29"/>
      <c r="H38" s="30" t="s">
        <v>28</v>
      </c>
      <c r="I38" s="31" t="s">
        <v>29</v>
      </c>
      <c r="J38" s="32" t="s">
        <v>30</v>
      </c>
      <c r="K38" s="29" t="s">
        <v>31</v>
      </c>
      <c r="L38" s="29" t="s">
        <v>32</v>
      </c>
      <c r="O38" s="33" t="s">
        <v>28</v>
      </c>
      <c r="P38" s="31" t="s">
        <v>29</v>
      </c>
      <c r="Q38" s="32" t="s">
        <v>30</v>
      </c>
      <c r="R38" s="29" t="s">
        <v>31</v>
      </c>
      <c r="S38" s="29" t="s">
        <v>32</v>
      </c>
      <c r="W38" s="30" t="s">
        <v>28</v>
      </c>
      <c r="X38" s="31" t="s">
        <v>29</v>
      </c>
      <c r="Y38" s="32" t="s">
        <v>30</v>
      </c>
      <c r="Z38" s="29" t="s">
        <v>31</v>
      </c>
      <c r="AA38" s="29" t="s">
        <v>32</v>
      </c>
      <c r="AE38" s="30" t="s">
        <v>28</v>
      </c>
      <c r="AF38" s="31" t="s">
        <v>29</v>
      </c>
      <c r="AG38" s="32" t="s">
        <v>30</v>
      </c>
      <c r="AH38" s="29" t="s">
        <v>31</v>
      </c>
      <c r="AI38" s="29" t="s">
        <v>32</v>
      </c>
      <c r="AM38" s="414" t="s">
        <v>28</v>
      </c>
      <c r="AN38" s="413" t="s">
        <v>29</v>
      </c>
      <c r="AO38" s="32" t="s">
        <v>30</v>
      </c>
      <c r="AP38" s="29" t="s">
        <v>31</v>
      </c>
      <c r="AQ38" s="29" t="s">
        <v>32</v>
      </c>
    </row>
    <row r="39" spans="1:71" ht="15" customHeight="1" x14ac:dyDescent="0.2">
      <c r="A39" s="29" t="s">
        <v>33</v>
      </c>
      <c r="B39" s="34"/>
      <c r="H39" s="35" t="s">
        <v>34</v>
      </c>
      <c r="I39" s="36">
        <f>+(SUM($J5))*$A$40</f>
        <v>939.6</v>
      </c>
      <c r="J39" s="37">
        <f>J7</f>
        <v>1110.3800000000001</v>
      </c>
      <c r="K39" s="34">
        <f>+J39/I39</f>
        <v>1.1817581949765859</v>
      </c>
      <c r="L39" s="6">
        <f>+J39-I39</f>
        <v>170.78000000000009</v>
      </c>
      <c r="O39" s="35" t="s">
        <v>34</v>
      </c>
      <c r="P39" s="36">
        <f>(Q5)*$A$40</f>
        <v>1760.4</v>
      </c>
      <c r="Q39" s="37">
        <f>Q7</f>
        <v>1443.72</v>
      </c>
      <c r="R39" s="34">
        <f>+Q39/P39</f>
        <v>0.82010906612133605</v>
      </c>
      <c r="S39" s="6">
        <f>+Q39-P39</f>
        <v>-316.68000000000006</v>
      </c>
      <c r="W39" s="35" t="s">
        <v>34</v>
      </c>
      <c r="X39" s="36">
        <f>(Y5)*$A$40</f>
        <v>2743.2</v>
      </c>
      <c r="Y39" s="37">
        <f>Y7</f>
        <v>1443.72</v>
      </c>
      <c r="Z39" s="34">
        <f>+Y39/X39</f>
        <v>0.52629046369203858</v>
      </c>
      <c r="AA39" s="6">
        <f>+Y39-X39</f>
        <v>-1299.4799999999998</v>
      </c>
      <c r="AE39" s="35" t="s">
        <v>34</v>
      </c>
      <c r="AF39" s="36">
        <f>+AG5*$A$40</f>
        <v>3488.4</v>
      </c>
      <c r="AG39" s="37">
        <f>AG7</f>
        <v>1443.72</v>
      </c>
      <c r="AH39" s="34">
        <f>+AG39/AF39</f>
        <v>0.41386308909528724</v>
      </c>
      <c r="AI39" s="6">
        <f>+AG39-AF39</f>
        <v>-2044.68</v>
      </c>
      <c r="AM39" s="188" t="s">
        <v>34</v>
      </c>
      <c r="AN39" s="36">
        <f>+AK5*$A$40</f>
        <v>3942</v>
      </c>
      <c r="AO39" s="37">
        <f>AK7</f>
        <v>1467.1959999999999</v>
      </c>
      <c r="AP39" s="34">
        <f>+AO39/AN39</f>
        <v>0.37219583967529168</v>
      </c>
      <c r="AQ39" s="6">
        <f>+AO39-AN39</f>
        <v>-2474.8040000000001</v>
      </c>
    </row>
    <row r="40" spans="1:71" ht="15" customHeight="1" x14ac:dyDescent="0.2">
      <c r="A40" s="72">
        <f>+[3]Resumen!$B$3</f>
        <v>0.216</v>
      </c>
      <c r="B40" s="29" t="s">
        <v>34</v>
      </c>
      <c r="H40" s="38" t="s">
        <v>35</v>
      </c>
      <c r="I40" s="39">
        <f>+(SUM($J12))*$A$41</f>
        <v>204.6</v>
      </c>
      <c r="J40" s="40">
        <f>J14</f>
        <v>261.76100000000002</v>
      </c>
      <c r="K40" s="34">
        <f>+J40/I40</f>
        <v>1.2793792766373413</v>
      </c>
      <c r="L40" s="6">
        <f>+J40-I40</f>
        <v>57.16100000000003</v>
      </c>
      <c r="O40" s="38" t="s">
        <v>35</v>
      </c>
      <c r="P40" s="39">
        <f>(Q12)*$A$41</f>
        <v>539.4</v>
      </c>
      <c r="Q40" s="40">
        <f>Q14</f>
        <v>424.69800000000004</v>
      </c>
      <c r="R40" s="34">
        <f>+Q40/P40</f>
        <v>0.78735261401557299</v>
      </c>
      <c r="S40" s="6">
        <f>+Q40-P40</f>
        <v>-114.70199999999994</v>
      </c>
      <c r="W40" s="38" t="s">
        <v>35</v>
      </c>
      <c r="X40" s="39">
        <f>+(Y12)*$A$41</f>
        <v>818.4</v>
      </c>
      <c r="Y40" s="40">
        <f>Y14</f>
        <v>424.69800000000004</v>
      </c>
      <c r="Z40" s="34">
        <f>+Y40/X40</f>
        <v>0.51893695014662766</v>
      </c>
      <c r="AA40" s="6">
        <f>+Y40-X40</f>
        <v>-393.70199999999994</v>
      </c>
      <c r="AE40" s="38" t="s">
        <v>35</v>
      </c>
      <c r="AF40" s="39">
        <f>+AG12*$A$41</f>
        <v>1140.18</v>
      </c>
      <c r="AG40" s="40">
        <f>AG14</f>
        <v>424.69800000000004</v>
      </c>
      <c r="AH40" s="34">
        <f>+AG40/AF40</f>
        <v>0.37248329211177184</v>
      </c>
      <c r="AI40" s="6">
        <f>+AG40-AF40</f>
        <v>-715.48199999999997</v>
      </c>
      <c r="AM40" s="189" t="s">
        <v>35</v>
      </c>
      <c r="AN40" s="39">
        <f>+AK12*$A$41</f>
        <v>1302</v>
      </c>
      <c r="AO40" s="40">
        <f>AK14</f>
        <v>424.69800000000004</v>
      </c>
      <c r="AP40" s="34">
        <f>+AO40/AN40</f>
        <v>0.32618894009216592</v>
      </c>
      <c r="AQ40" s="6">
        <f>+AO40-AN40</f>
        <v>-877.30199999999991</v>
      </c>
    </row>
    <row r="41" spans="1:71" ht="15" customHeight="1" x14ac:dyDescent="0.2">
      <c r="A41" s="72">
        <f>+[3]Resumen!$B$5</f>
        <v>0.186</v>
      </c>
      <c r="B41" s="29" t="s">
        <v>35</v>
      </c>
      <c r="H41" s="38" t="s">
        <v>36</v>
      </c>
      <c r="I41" s="39">
        <f>+(SUM($J26))*$A$42</f>
        <v>1280.75</v>
      </c>
      <c r="J41" s="40">
        <f>J28</f>
        <v>1121.7109999999998</v>
      </c>
      <c r="K41" s="34">
        <f>+J41/I41</f>
        <v>0.87582354089400727</v>
      </c>
      <c r="L41" s="6">
        <f>+J41-I41</f>
        <v>-159.03900000000021</v>
      </c>
      <c r="O41" s="38" t="s">
        <v>36</v>
      </c>
      <c r="P41" s="39">
        <f>(Q26)*$A$42</f>
        <v>2479.25</v>
      </c>
      <c r="Q41" s="40">
        <f>Q28</f>
        <v>1516.5549999999998</v>
      </c>
      <c r="R41" s="34">
        <f>IFERROR(+Q41/P41,0)</f>
        <v>0.61169910255117466</v>
      </c>
      <c r="S41" s="6">
        <f>+Q41-P41</f>
        <v>-962.69500000000016</v>
      </c>
      <c r="W41" s="38" t="s">
        <v>36</v>
      </c>
      <c r="X41" s="39">
        <f>+(Y26)*$A$42</f>
        <v>3877.5</v>
      </c>
      <c r="Y41" s="40">
        <f>Y28</f>
        <v>1516.5549999999998</v>
      </c>
      <c r="Z41" s="34">
        <f>IFERROR(+Y41/X41,0)</f>
        <v>0.39111669890393291</v>
      </c>
      <c r="AA41" s="6">
        <f>+Y41-X41</f>
        <v>-2360.9450000000002</v>
      </c>
      <c r="AE41" s="38" t="s">
        <v>36</v>
      </c>
      <c r="AF41" s="39">
        <f>+AG26*$A$42</f>
        <v>4888</v>
      </c>
      <c r="AG41" s="40">
        <f>AG28</f>
        <v>1516.5549999999998</v>
      </c>
      <c r="AH41" s="34">
        <f>IFERROR(+AG41/AF41,0)</f>
        <v>0.31026084288052369</v>
      </c>
      <c r="AI41" s="6">
        <f>+AG41-AF41</f>
        <v>-3371.4450000000002</v>
      </c>
      <c r="AM41" s="189" t="s">
        <v>36</v>
      </c>
      <c r="AN41" s="39">
        <f>+AK26*$A$42</f>
        <v>5181.75</v>
      </c>
      <c r="AO41" s="40">
        <f>AK28</f>
        <v>1516.5549999999998</v>
      </c>
      <c r="AP41" s="34">
        <f>IFERROR(+AO41/AN41,0)</f>
        <v>0.29267235972403144</v>
      </c>
      <c r="AQ41" s="6">
        <f>+AO41-AN41</f>
        <v>-3665.1950000000002</v>
      </c>
    </row>
    <row r="42" spans="1:71" ht="15.75" customHeight="1" thickBot="1" x14ac:dyDescent="0.25">
      <c r="A42" s="72">
        <f>+[3]Resumen!$B$9</f>
        <v>0.23499999999999999</v>
      </c>
      <c r="B42" s="29" t="s">
        <v>36</v>
      </c>
      <c r="H42" s="41" t="s">
        <v>37</v>
      </c>
      <c r="I42" s="42">
        <f>+(SUM($J19))*$A$43</f>
        <v>286</v>
      </c>
      <c r="J42" s="43">
        <f>J21</f>
        <v>303.24</v>
      </c>
      <c r="K42" s="34">
        <f>IFERROR(+J42/I42,0)</f>
        <v>1.0602797202797203</v>
      </c>
      <c r="L42" s="6">
        <f>+J42-I42</f>
        <v>17.240000000000009</v>
      </c>
      <c r="O42" s="41" t="s">
        <v>37</v>
      </c>
      <c r="P42" s="42">
        <f>+(Q19)*$A$43</f>
        <v>459.8</v>
      </c>
      <c r="Q42" s="43">
        <f>Q21</f>
        <v>310.63600000000002</v>
      </c>
      <c r="R42" s="34">
        <f>IFERROR(+Q42/P42,0)</f>
        <v>0.67558938668986523</v>
      </c>
      <c r="S42" s="6">
        <f>+Q42-P42</f>
        <v>-149.16399999999999</v>
      </c>
      <c r="W42" s="41" t="s">
        <v>37</v>
      </c>
      <c r="X42" s="42">
        <f>+(Y19)*$A$43</f>
        <v>778.8</v>
      </c>
      <c r="Y42" s="43">
        <f>Y21</f>
        <v>310.63600000000002</v>
      </c>
      <c r="Z42" s="34">
        <f>IFERROR(+Y42/X42,0)</f>
        <v>0.39886492039034416</v>
      </c>
      <c r="AA42" s="6">
        <f>+Y42-X42</f>
        <v>-468.16399999999993</v>
      </c>
      <c r="AE42" s="41" t="s">
        <v>37</v>
      </c>
      <c r="AF42" s="42">
        <f>+AG19*$A$43</f>
        <v>1029.5999999999999</v>
      </c>
      <c r="AG42" s="43">
        <f>AG21</f>
        <v>310.63600000000002</v>
      </c>
      <c r="AH42" s="34">
        <f>IFERROR(+AG42/AF42,0)</f>
        <v>0.30170551670551676</v>
      </c>
      <c r="AI42" s="6">
        <f>+AG42-AF42</f>
        <v>-718.96399999999994</v>
      </c>
      <c r="AM42" s="190" t="s">
        <v>37</v>
      </c>
      <c r="AN42" s="42">
        <f>+AK19*$A$43</f>
        <v>1128.5999999999999</v>
      </c>
      <c r="AO42" s="43">
        <f>AK21</f>
        <v>310.63600000000002</v>
      </c>
      <c r="AP42" s="34">
        <f>IFERROR(+AO42/AN42,0)</f>
        <v>0.27524012050327845</v>
      </c>
      <c r="AQ42" s="6">
        <f>+AO42-AN42</f>
        <v>-817.96399999999994</v>
      </c>
    </row>
    <row r="43" spans="1:71" ht="15.75" customHeight="1" thickBot="1" x14ac:dyDescent="0.25">
      <c r="A43" s="72">
        <f>+[3]Resumen!$B$7</f>
        <v>0.22</v>
      </c>
      <c r="B43" s="29" t="s">
        <v>37</v>
      </c>
      <c r="H43" s="44" t="s">
        <v>38</v>
      </c>
      <c r="I43" s="45">
        <f>SUM(I39:I42)</f>
        <v>2710.95</v>
      </c>
      <c r="J43" s="46">
        <f>SUM(J39:J42)</f>
        <v>2797.0919999999996</v>
      </c>
      <c r="K43" s="47">
        <f>+J43/I43</f>
        <v>1.0317755768273114</v>
      </c>
      <c r="L43" s="48">
        <f>+J43-I43</f>
        <v>86.141999999999825</v>
      </c>
      <c r="O43" s="44" t="s">
        <v>38</v>
      </c>
      <c r="P43" s="45">
        <f>SUM(P39:P42)</f>
        <v>5238.8500000000004</v>
      </c>
      <c r="Q43" s="46">
        <f>SUM(Q39:Q42)</f>
        <v>3695.6089999999999</v>
      </c>
      <c r="R43" s="47">
        <f>+Q43/P43</f>
        <v>0.70542370940187249</v>
      </c>
      <c r="S43" s="48">
        <f>+Q43-P43</f>
        <v>-1543.2410000000004</v>
      </c>
      <c r="W43" s="44" t="s">
        <v>38</v>
      </c>
      <c r="X43" s="45">
        <f>SUM(X39:X42)</f>
        <v>8217.9</v>
      </c>
      <c r="Y43" s="46">
        <f>SUM(Y39:Y42)</f>
        <v>3695.6089999999999</v>
      </c>
      <c r="Z43" s="47">
        <f>+Y43/X43</f>
        <v>0.44970235704985462</v>
      </c>
      <c r="AA43" s="48">
        <f>+Y43-X43</f>
        <v>-4522.2909999999993</v>
      </c>
      <c r="AE43" s="44" t="s">
        <v>38</v>
      </c>
      <c r="AF43" s="45">
        <f>SUM(AF39:AF42)</f>
        <v>10546.18</v>
      </c>
      <c r="AG43" s="46">
        <f>SUM(AG39:AG42)</f>
        <v>3695.6089999999999</v>
      </c>
      <c r="AH43" s="47">
        <f>+AG43/AF43</f>
        <v>0.35042157444686128</v>
      </c>
      <c r="AI43" s="48">
        <f>+AG43-AF43</f>
        <v>-6850.5709999999999</v>
      </c>
      <c r="AM43" s="187" t="s">
        <v>38</v>
      </c>
      <c r="AN43" s="45">
        <f>SUM(AN39:AN42)</f>
        <v>11554.35</v>
      </c>
      <c r="AO43" s="46">
        <f>SUM(AO39:AO42)</f>
        <v>3719.0849999999996</v>
      </c>
      <c r="AP43" s="47">
        <f>+AO43/AN43</f>
        <v>0.3218774747173142</v>
      </c>
      <c r="AQ43" s="48">
        <f>+AO43-AN43</f>
        <v>-7835.2650000000012</v>
      </c>
    </row>
    <row r="44" spans="1:71" ht="18.75" customHeight="1" thickBot="1" x14ac:dyDescent="0.25">
      <c r="A44" s="283">
        <f>+AK37/AK33</f>
        <v>0.22037669273316804</v>
      </c>
      <c r="B44" s="66">
        <f>+A40*100</f>
        <v>21.6</v>
      </c>
      <c r="H44" s="8"/>
      <c r="I44" s="8"/>
      <c r="J44" s="8"/>
      <c r="K44" s="8"/>
      <c r="L44" s="8"/>
      <c r="O44" s="8"/>
      <c r="P44" s="8"/>
      <c r="Q44" s="8"/>
      <c r="R44" s="8"/>
      <c r="S44" s="8"/>
      <c r="W44" s="8"/>
      <c r="X44" s="8"/>
      <c r="Y44" s="8"/>
      <c r="Z44" s="8"/>
      <c r="AA44" s="8"/>
      <c r="AE44" s="8"/>
      <c r="AF44" s="8"/>
      <c r="AG44" s="8"/>
      <c r="AH44" s="8"/>
      <c r="AI44" s="8"/>
      <c r="AM44" s="8"/>
      <c r="AN44" s="8"/>
      <c r="AO44" s="8"/>
      <c r="AP44" s="8"/>
      <c r="AQ44" s="185"/>
    </row>
    <row r="45" spans="1:71" ht="12" customHeight="1" x14ac:dyDescent="0.2">
      <c r="A45" s="49"/>
      <c r="B45" s="66">
        <f>+A41*100</f>
        <v>18.600000000000001</v>
      </c>
      <c r="H45" s="50" t="s">
        <v>39</v>
      </c>
      <c r="I45" s="36">
        <f>+I39+I40+I41</f>
        <v>2424.9499999999998</v>
      </c>
      <c r="J45" s="37">
        <f>+J39+J40+J41</f>
        <v>2493.8519999999999</v>
      </c>
      <c r="K45" s="34">
        <f>+J45/I45</f>
        <v>1.0284137817274583</v>
      </c>
      <c r="L45" s="6">
        <f>+J45-I45</f>
        <v>68.902000000000044</v>
      </c>
      <c r="O45" s="50" t="s">
        <v>39</v>
      </c>
      <c r="P45" s="51">
        <f>+P39+P40+P41</f>
        <v>4779.05</v>
      </c>
      <c r="Q45" s="37">
        <f>+Q39+Q40+Q41</f>
        <v>3384.973</v>
      </c>
      <c r="R45" s="34">
        <f>+Q45/P45</f>
        <v>0.70829411703162759</v>
      </c>
      <c r="S45" s="6">
        <f>+Q45-P45</f>
        <v>-1394.0770000000002</v>
      </c>
      <c r="W45" s="50" t="s">
        <v>39</v>
      </c>
      <c r="X45" s="51">
        <f>+X39+X40+X41</f>
        <v>7439.1</v>
      </c>
      <c r="Y45" s="37">
        <f>+Y39+Y40+Y41</f>
        <v>3384.973</v>
      </c>
      <c r="Z45" s="34">
        <f>+Y45/X45</f>
        <v>0.45502453253753811</v>
      </c>
      <c r="AA45" s="6">
        <f>+Y45-X45</f>
        <v>-4054.1270000000004</v>
      </c>
      <c r="AE45" s="50" t="s">
        <v>39</v>
      </c>
      <c r="AF45" s="51">
        <f>+AF39+AF40+AF41</f>
        <v>9516.58</v>
      </c>
      <c r="AG45" s="37">
        <f>+AG39+AG40+AG41</f>
        <v>3384.973</v>
      </c>
      <c r="AH45" s="34">
        <f>+AG45/AF45</f>
        <v>0.35569217092695066</v>
      </c>
      <c r="AI45" s="6">
        <f>+AG45-AF45</f>
        <v>-6131.607</v>
      </c>
      <c r="AM45" s="50" t="s">
        <v>39</v>
      </c>
      <c r="AN45" s="51">
        <f>+AN39+AN40+AN41</f>
        <v>10425.75</v>
      </c>
      <c r="AO45" s="37">
        <f>+AO39+AO40+AO41</f>
        <v>3408.4489999999996</v>
      </c>
      <c r="AP45" s="34">
        <f>IFERROR(+AO45/AN45,0)</f>
        <v>0.32692602450663016</v>
      </c>
      <c r="AQ45" s="6">
        <f>+AO45-AN45</f>
        <v>-7017.3010000000004</v>
      </c>
    </row>
    <row r="46" spans="1:71" ht="35.25" customHeight="1" thickBot="1" x14ac:dyDescent="0.25">
      <c r="A46" s="49"/>
      <c r="B46" s="66">
        <f>+A42*100</f>
        <v>23.5</v>
      </c>
      <c r="H46" s="52" t="s">
        <v>40</v>
      </c>
      <c r="I46" s="42">
        <v>0</v>
      </c>
      <c r="J46" s="53">
        <v>0</v>
      </c>
      <c r="K46" s="34">
        <f>+IFERROR(J46/I46,0)</f>
        <v>0</v>
      </c>
      <c r="L46" s="6">
        <f>+J46-I46</f>
        <v>0</v>
      </c>
      <c r="O46" s="52" t="s">
        <v>40</v>
      </c>
      <c r="P46" s="54">
        <v>0</v>
      </c>
      <c r="Q46" s="55">
        <v>0</v>
      </c>
      <c r="R46" s="34">
        <f>IFERROR(+Q46/P46,0)</f>
        <v>0</v>
      </c>
      <c r="S46" s="6">
        <f>+Q46-P46</f>
        <v>0</v>
      </c>
      <c r="W46" s="52" t="s">
        <v>40</v>
      </c>
      <c r="X46" s="54">
        <v>0</v>
      </c>
      <c r="Y46" s="55">
        <v>0</v>
      </c>
      <c r="Z46" s="34">
        <f>IFERROR(+Y46/X46,0)</f>
        <v>0</v>
      </c>
      <c r="AA46" s="6">
        <f>+Y46-X46</f>
        <v>0</v>
      </c>
      <c r="AE46" s="52" t="s">
        <v>40</v>
      </c>
      <c r="AF46" s="54">
        <v>0</v>
      </c>
      <c r="AG46" s="55">
        <v>0</v>
      </c>
      <c r="AH46" s="34">
        <f>IFERROR(+AG46/AF46,0)</f>
        <v>0</v>
      </c>
      <c r="AI46" s="6">
        <f>+AG46-AF46</f>
        <v>0</v>
      </c>
      <c r="AM46" s="52" t="s">
        <v>40</v>
      </c>
      <c r="AN46" s="54">
        <v>0</v>
      </c>
      <c r="AO46" s="55"/>
      <c r="AP46" s="34"/>
      <c r="AQ46" s="185"/>
    </row>
    <row r="47" spans="1:71" ht="12" customHeight="1" thickBot="1" x14ac:dyDescent="0.25">
      <c r="A47" s="49"/>
      <c r="B47" s="66">
        <f>+A43*100</f>
        <v>22</v>
      </c>
      <c r="H47" s="44" t="s">
        <v>41</v>
      </c>
      <c r="I47" s="45">
        <f>+I46+I45</f>
        <v>2424.9499999999998</v>
      </c>
      <c r="J47" s="46">
        <f>+J46+J45</f>
        <v>2493.8519999999999</v>
      </c>
      <c r="K47" s="47">
        <f>+J47/I47</f>
        <v>1.0284137817274583</v>
      </c>
      <c r="L47" s="48">
        <f>+J47-I47</f>
        <v>68.902000000000044</v>
      </c>
      <c r="O47" s="44" t="s">
        <v>42</v>
      </c>
      <c r="P47" s="45">
        <f>+P46+P45</f>
        <v>4779.05</v>
      </c>
      <c r="Q47" s="46">
        <f>+Q46+Q45</f>
        <v>3384.973</v>
      </c>
      <c r="R47" s="47">
        <f>+Q47/P47</f>
        <v>0.70829411703162759</v>
      </c>
      <c r="S47" s="48">
        <f>+Q47-P47</f>
        <v>-1394.0770000000002</v>
      </c>
      <c r="W47" s="44" t="s">
        <v>42</v>
      </c>
      <c r="X47" s="45">
        <f>+X46+X45</f>
        <v>7439.1</v>
      </c>
      <c r="Y47" s="46">
        <f>+Y46+Y45</f>
        <v>3384.973</v>
      </c>
      <c r="Z47" s="47">
        <f>+Y47/X47</f>
        <v>0.45502453253753811</v>
      </c>
      <c r="AA47" s="48">
        <f>+Y47-X47</f>
        <v>-4054.1270000000004</v>
      </c>
      <c r="AE47" s="44" t="s">
        <v>42</v>
      </c>
      <c r="AF47" s="45">
        <f>+AF46+AF45</f>
        <v>9516.58</v>
      </c>
      <c r="AG47" s="46">
        <f>+AG46+AG45</f>
        <v>3384.973</v>
      </c>
      <c r="AH47" s="47">
        <f>+AG47/AF47</f>
        <v>0.35569217092695066</v>
      </c>
      <c r="AI47" s="48">
        <f>+AG47-AF47</f>
        <v>-6131.607</v>
      </c>
      <c r="AM47" s="44" t="s">
        <v>42</v>
      </c>
      <c r="AN47" s="45">
        <f>+AN46+AN45</f>
        <v>10425.75</v>
      </c>
      <c r="AO47" s="46">
        <f>+AO46+AO45</f>
        <v>3408.4489999999996</v>
      </c>
      <c r="AP47" s="47">
        <f>+AO47/AN47</f>
        <v>0.32692602450663016</v>
      </c>
      <c r="AQ47" s="48">
        <f>+AO47-AN47</f>
        <v>-7017.3010000000004</v>
      </c>
    </row>
    <row r="48" spans="1:71" ht="12" customHeight="1" thickBot="1" x14ac:dyDescent="0.25">
      <c r="A48" s="49"/>
      <c r="B48" s="34"/>
      <c r="H48" s="8"/>
      <c r="I48" s="8"/>
      <c r="J48" s="8"/>
      <c r="K48" s="8"/>
      <c r="L48" s="8"/>
      <c r="N48" s="8"/>
      <c r="O48" s="8"/>
      <c r="P48" s="8"/>
      <c r="Q48" s="8"/>
      <c r="R48" s="8"/>
      <c r="W48" s="8"/>
      <c r="X48" s="8"/>
      <c r="Y48" s="6"/>
      <c r="Z48" s="6"/>
      <c r="AA48" s="6"/>
      <c r="AE48" s="8"/>
      <c r="AF48" s="8"/>
      <c r="AG48" s="6"/>
      <c r="AH48" s="6"/>
      <c r="AI48" s="6"/>
      <c r="AM48" s="8"/>
      <c r="AN48" s="8"/>
      <c r="AO48" s="6"/>
      <c r="AP48" s="6"/>
      <c r="AQ48" s="185"/>
    </row>
    <row r="49" spans="1:75" ht="12" customHeight="1" x14ac:dyDescent="0.2">
      <c r="A49" s="49"/>
      <c r="B49" s="34"/>
      <c r="H49" s="56" t="s">
        <v>43</v>
      </c>
      <c r="I49" s="36">
        <f>+J53</f>
        <v>720</v>
      </c>
      <c r="J49" s="57">
        <f>+J54</f>
        <v>803.01400000000001</v>
      </c>
      <c r="K49" s="34">
        <f>+J49/I49</f>
        <v>1.1152972222222222</v>
      </c>
      <c r="L49" s="6">
        <f>+J49-I49</f>
        <v>83.01400000000001</v>
      </c>
      <c r="N49" s="56" t="s">
        <v>43</v>
      </c>
      <c r="O49" s="36">
        <f>+Q53</f>
        <v>1310</v>
      </c>
      <c r="P49" s="57">
        <f>+Q54</f>
        <v>1010.405</v>
      </c>
      <c r="Q49" s="34">
        <f>+P49/O49</f>
        <v>0.77130152671755725</v>
      </c>
      <c r="R49" s="6">
        <f>+P49-O49</f>
        <v>-299.59500000000003</v>
      </c>
      <c r="W49" s="56" t="s">
        <v>43</v>
      </c>
      <c r="X49" s="36">
        <f>+Y53</f>
        <v>2000</v>
      </c>
      <c r="Y49" s="57">
        <f>+Y54</f>
        <v>1010.405</v>
      </c>
      <c r="Z49" s="34">
        <f>+Y49/X49</f>
        <v>0.5052025</v>
      </c>
      <c r="AA49" s="6">
        <f>+Y49-X49</f>
        <v>-989.59500000000003</v>
      </c>
      <c r="AE49" s="191" t="s">
        <v>43</v>
      </c>
      <c r="AF49" s="195">
        <f>+AG53</f>
        <v>2700</v>
      </c>
      <c r="AG49" s="196">
        <f>+AG54</f>
        <v>1010.405</v>
      </c>
      <c r="AH49" s="34">
        <f>+AG49/AF49</f>
        <v>0.37422407407407404</v>
      </c>
      <c r="AI49" s="6">
        <f>+AG49-AF49</f>
        <v>-1689.595</v>
      </c>
      <c r="AM49" s="56" t="s">
        <v>43</v>
      </c>
      <c r="AN49" s="195">
        <f>+AK53</f>
        <v>3000</v>
      </c>
      <c r="AO49" s="57">
        <f>+AK54</f>
        <v>1010.405</v>
      </c>
      <c r="AP49" s="34">
        <f>IFERROR(+AO49/AN49,0)</f>
        <v>0.33680166666666667</v>
      </c>
      <c r="AQ49" s="6">
        <f>+AO49-AN49</f>
        <v>-1989.595</v>
      </c>
    </row>
    <row r="50" spans="1:75" ht="12" customHeight="1" thickBot="1" x14ac:dyDescent="0.25">
      <c r="A50" s="49"/>
      <c r="B50" s="59"/>
      <c r="H50" s="60" t="s">
        <v>44</v>
      </c>
      <c r="I50" s="61">
        <f>+I49*0.41</f>
        <v>295.2</v>
      </c>
      <c r="J50" s="55">
        <f>+J55</f>
        <v>329.54399999999998</v>
      </c>
      <c r="K50" s="34">
        <f>+J50/I50</f>
        <v>1.116341463414634</v>
      </c>
      <c r="L50" s="6">
        <f>+J50-I50</f>
        <v>34.343999999999994</v>
      </c>
      <c r="N50" s="60" t="s">
        <v>44</v>
      </c>
      <c r="O50" s="61">
        <f>+O49*0.41</f>
        <v>537.1</v>
      </c>
      <c r="P50" s="55">
        <f>+Q55</f>
        <v>415.15099999999995</v>
      </c>
      <c r="Q50" s="34">
        <f>+P50/O50</f>
        <v>0.77294917147644748</v>
      </c>
      <c r="R50" s="6">
        <f>+P50-O50</f>
        <v>-121.94900000000007</v>
      </c>
      <c r="W50" s="60" t="s">
        <v>44</v>
      </c>
      <c r="X50" s="61">
        <f>+X49*0.41</f>
        <v>820</v>
      </c>
      <c r="Y50" s="55">
        <f>+Y55</f>
        <v>415.15099999999995</v>
      </c>
      <c r="Z50" s="34">
        <f>+Y50/X50</f>
        <v>0.50628170731707312</v>
      </c>
      <c r="AA50" s="6">
        <f>+Y50-X50</f>
        <v>-404.84900000000005</v>
      </c>
      <c r="AE50" s="192" t="s">
        <v>44</v>
      </c>
      <c r="AF50" s="61">
        <f>+AF49*0.41</f>
        <v>1107</v>
      </c>
      <c r="AG50" s="197">
        <f>+AG55</f>
        <v>415.15099999999995</v>
      </c>
      <c r="AH50" s="34">
        <f>+AG50/AF50</f>
        <v>0.37502348690153564</v>
      </c>
      <c r="AI50" s="6">
        <f>+AG50-AF50</f>
        <v>-691.84900000000005</v>
      </c>
      <c r="AM50" s="60" t="s">
        <v>44</v>
      </c>
      <c r="AN50" s="61">
        <f>+AN49*0.405</f>
        <v>1215</v>
      </c>
      <c r="AO50" s="55">
        <f>+AK55</f>
        <v>415.15099999999995</v>
      </c>
      <c r="AP50" s="34"/>
      <c r="AQ50" s="185"/>
    </row>
    <row r="51" spans="1:75" ht="12" customHeight="1" thickBot="1" x14ac:dyDescent="0.25">
      <c r="A51" s="49"/>
      <c r="B51" s="34"/>
      <c r="H51" s="58" t="s">
        <v>45</v>
      </c>
      <c r="I51" s="63">
        <f>+I50/I49</f>
        <v>0.41</v>
      </c>
      <c r="J51" s="64">
        <f>IFERROR(+J50/J49,0)</f>
        <v>0.41038387873685883</v>
      </c>
      <c r="K51" s="34">
        <f>+J51/I51</f>
        <v>1.0009362896020948</v>
      </c>
      <c r="L51" s="62">
        <f>+J51-I51</f>
        <v>3.8387873685885587E-4</v>
      </c>
      <c r="N51" s="58" t="s">
        <v>45</v>
      </c>
      <c r="O51" s="63">
        <f>+O50/O49</f>
        <v>0.41000000000000003</v>
      </c>
      <c r="P51" s="64">
        <f>IFERROR(+P50/P49,0)</f>
        <v>0.41087583691687984</v>
      </c>
      <c r="Q51" s="34">
        <f>+P51/O51</f>
        <v>1.002136187602146</v>
      </c>
      <c r="R51" s="62">
        <f>+P51-O51</f>
        <v>8.7583691687981302E-4</v>
      </c>
      <c r="W51" s="58" t="s">
        <v>45</v>
      </c>
      <c r="X51" s="63">
        <f>+X50/X49</f>
        <v>0.41</v>
      </c>
      <c r="Y51" s="64">
        <f>IFERROR(+Y50/Y49,0)</f>
        <v>0.41087583691687984</v>
      </c>
      <c r="Z51" s="34">
        <f>+Y51/X51</f>
        <v>1.002136187602146</v>
      </c>
      <c r="AA51" s="62">
        <f>+Y51-X51</f>
        <v>8.7583691687986853E-4</v>
      </c>
      <c r="AE51" s="58" t="s">
        <v>45</v>
      </c>
      <c r="AF51" s="193">
        <f>+AF50/AF49</f>
        <v>0.41</v>
      </c>
      <c r="AG51" s="194">
        <f>IFERROR(+AG50/AG49,0)</f>
        <v>0.41087583691687984</v>
      </c>
      <c r="AH51" s="34">
        <f>+AG51/AF51</f>
        <v>1.002136187602146</v>
      </c>
      <c r="AI51" s="62">
        <f>+AG51-AF51</f>
        <v>8.7583691687986853E-4</v>
      </c>
      <c r="AM51" s="58" t="s">
        <v>45</v>
      </c>
      <c r="AN51" s="193">
        <v>0.41</v>
      </c>
      <c r="AO51" s="194">
        <f>IFERROR(+AO50/AO49,0)</f>
        <v>0.41087583691687984</v>
      </c>
      <c r="AP51" s="47">
        <f>+AO51/AN51</f>
        <v>1.002136187602146</v>
      </c>
      <c r="AQ51" s="48">
        <f>+AO51-AN51</f>
        <v>8.7583691687986853E-4</v>
      </c>
    </row>
    <row r="52" spans="1:75" ht="12" customHeight="1" thickBot="1" x14ac:dyDescent="0.25">
      <c r="A52" s="49"/>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439"/>
      <c r="AJ52" s="439"/>
      <c r="AK52" s="439"/>
      <c r="AL52" s="8"/>
      <c r="AO52" s="8"/>
      <c r="AP52" s="8"/>
      <c r="AQ52" s="8"/>
      <c r="AR52" s="8"/>
      <c r="AT52" s="8"/>
      <c r="AU52" s="8"/>
      <c r="AX52" s="8"/>
      <c r="AY52" s="8"/>
      <c r="AZ52" s="185"/>
      <c r="BA52" s="8"/>
      <c r="BB52" s="8"/>
      <c r="BC52" s="8"/>
      <c r="BD52" s="8"/>
      <c r="BE52" s="8"/>
      <c r="BF52" s="29"/>
      <c r="BG52" s="8"/>
      <c r="BH52" s="8"/>
      <c r="BI52" s="8"/>
      <c r="BJ52" s="8"/>
      <c r="BK52" s="8"/>
      <c r="BL52" s="8"/>
      <c r="BM52" s="8"/>
      <c r="BN52" s="8"/>
      <c r="BO52" s="8"/>
      <c r="BP52" s="8"/>
      <c r="BQ52" s="8"/>
      <c r="BR52" s="8"/>
      <c r="BS52" s="8"/>
      <c r="BT52" s="8"/>
      <c r="BU52" s="8"/>
      <c r="BV52" s="8"/>
      <c r="BW52" s="8"/>
    </row>
    <row r="53" spans="1:75" ht="12" customHeight="1" x14ac:dyDescent="0.2">
      <c r="A53" s="436" t="s">
        <v>46</v>
      </c>
      <c r="B53" s="195">
        <f>+HLOOKUP(B$1,[3]Resumen!$B$25:$AJ$29,2,0)</f>
        <v>90</v>
      </c>
      <c r="C53" s="195">
        <f>+HLOOKUP(C$1,[3]Resumen!$B$25:$AJ$29,2,0)</f>
        <v>90</v>
      </c>
      <c r="D53" s="195">
        <f>+HLOOKUP(D$1,[3]Resumen!$B$25:$AJ$29,2,0)</f>
        <v>90</v>
      </c>
      <c r="E53" s="195">
        <f>+HLOOKUP(E$1,[3]Resumen!$B$25:$AJ$29,2,0)</f>
        <v>90</v>
      </c>
      <c r="F53" s="195">
        <f>+HLOOKUP(F$1,[3]Resumen!$B$25:$AJ$29,2,0)</f>
        <v>90</v>
      </c>
      <c r="G53" s="195">
        <f>+HLOOKUP(G$1,[3]Resumen!$B$25:$AJ$29,2,0)</f>
        <v>90</v>
      </c>
      <c r="H53" s="195">
        <f>+HLOOKUP(H$1,[3]Resumen!$B$25:$AJ$29,2,0)</f>
        <v>90</v>
      </c>
      <c r="I53" s="195">
        <f>+HLOOKUP(I$1,[3]Resumen!$B$25:$AJ$29,2,0)</f>
        <v>90</v>
      </c>
      <c r="J53" s="443">
        <f>+SUM(B53:I53)</f>
        <v>720</v>
      </c>
      <c r="K53" s="195">
        <f>+HLOOKUP(K$1,[3]Resumen!$B$25:$AJ$29,2,0)</f>
        <v>90</v>
      </c>
      <c r="L53" s="195">
        <f>+HLOOKUP(L$1,[3]Resumen!$B$25:$AJ$29,2,0)</f>
        <v>100</v>
      </c>
      <c r="M53" s="195">
        <f>+HLOOKUP(M$1,[3]Resumen!$B$25:$AJ$29,2,0)</f>
        <v>100</v>
      </c>
      <c r="N53" s="195">
        <f>+HLOOKUP(N$1,[3]Resumen!$B$25:$AJ$29,2,0)</f>
        <v>100</v>
      </c>
      <c r="O53" s="195">
        <f>+HLOOKUP(O$1,[3]Resumen!$B$25:$AJ$29,2,0)</f>
        <v>100</v>
      </c>
      <c r="P53" s="195">
        <f>+HLOOKUP(P$1,[3]Resumen!$B$25:$AJ$29,2,0)</f>
        <v>100</v>
      </c>
      <c r="Q53" s="443">
        <f>+J53+SUM(K53:P53)</f>
        <v>1310</v>
      </c>
      <c r="R53" s="195">
        <f>+HLOOKUP(R$1,[3]Resumen!$B$25:$AJ$29,2,0)</f>
        <v>100</v>
      </c>
      <c r="S53" s="195">
        <f>+HLOOKUP(S$1,[3]Resumen!$B$25:$AJ$29,2,0)</f>
        <v>90</v>
      </c>
      <c r="T53" s="195">
        <f>+HLOOKUP(T$1,[3]Resumen!$B$25:$AJ$29,2,0)</f>
        <v>100</v>
      </c>
      <c r="U53" s="195">
        <f>+HLOOKUP(U$1,[3]Resumen!$B$25:$AJ$29,2,0)</f>
        <v>100</v>
      </c>
      <c r="V53" s="195">
        <f>+HLOOKUP(V$1,[3]Resumen!$B$25:$AJ$29,2,0)</f>
        <v>100</v>
      </c>
      <c r="W53" s="195">
        <f>+HLOOKUP(W$1,[3]Resumen!$B$25:$AJ$29,2,0)</f>
        <v>100</v>
      </c>
      <c r="X53" s="195">
        <f>+HLOOKUP(X$1,[3]Resumen!$B$25:$AJ$29,2,0)</f>
        <v>100</v>
      </c>
      <c r="Y53" s="443">
        <f>+Q53+SUM(R53:X53)</f>
        <v>2000</v>
      </c>
      <c r="Z53" s="195">
        <f>+HLOOKUP(Z$1,[3]Resumen!$B$25:$AJ$29,2,0)</f>
        <v>100</v>
      </c>
      <c r="AA53" s="195">
        <f>+HLOOKUP(AA$1,[3]Resumen!$B$25:$AJ$29,2,0)</f>
        <v>100</v>
      </c>
      <c r="AB53" s="195">
        <f>+HLOOKUP(AB$1,[3]Resumen!$B$25:$AJ$29,2,0)</f>
        <v>100</v>
      </c>
      <c r="AC53" s="195">
        <f>+HLOOKUP(AC$1,[3]Resumen!$B$25:$AJ$29,2,0)</f>
        <v>100</v>
      </c>
      <c r="AD53" s="195">
        <f>+HLOOKUP(AD$1,[3]Resumen!$B$25:$AJ$29,2,0)</f>
        <v>100</v>
      </c>
      <c r="AE53" s="195">
        <f>+HLOOKUP(AE$1,[3]Resumen!$B$25:$AJ$29,2,0)</f>
        <v>100</v>
      </c>
      <c r="AF53" s="195">
        <f>+HLOOKUP(AF$1,[3]Resumen!$B$25:$AJ$29,2,0)</f>
        <v>100</v>
      </c>
      <c r="AG53" s="443">
        <f>+Y53+SUM(Z53:AF53)</f>
        <v>2700</v>
      </c>
      <c r="AH53" s="195">
        <f>+HLOOKUP(AH$1,[3]Resumen!$B$25:$AJ$29,2,0)</f>
        <v>100</v>
      </c>
      <c r="AI53" s="195">
        <f>+HLOOKUP(AI$1,[3]Resumen!$B$25:$AJ$29,2,0)</f>
        <v>100</v>
      </c>
      <c r="AJ53" s="195">
        <f>+HLOOKUP(AJ$1,[3]Resumen!$B$25:$AJ$29,2,0)</f>
        <v>100</v>
      </c>
      <c r="AK53" s="443">
        <f>+AG53+SUM(AH53:AJ53)</f>
        <v>3000</v>
      </c>
      <c r="AL53" s="8"/>
      <c r="AR53" s="185"/>
      <c r="AX53" s="8"/>
      <c r="AY53" s="8"/>
      <c r="AZ53" s="185"/>
      <c r="BA53" s="8"/>
      <c r="BB53" s="8"/>
      <c r="BC53" s="8"/>
      <c r="BD53" s="8"/>
      <c r="BE53" s="8"/>
      <c r="BF53" s="29"/>
      <c r="BG53" s="8"/>
      <c r="BH53" s="8"/>
      <c r="BI53" s="8"/>
      <c r="BJ53" s="6"/>
      <c r="BK53" s="8"/>
      <c r="BL53" s="8"/>
      <c r="BM53" s="8"/>
      <c r="BN53" s="8"/>
      <c r="BO53" s="8"/>
      <c r="BP53" s="8"/>
      <c r="BQ53" s="8"/>
      <c r="BR53" s="8"/>
      <c r="BS53" s="8"/>
    </row>
    <row r="54" spans="1:75" ht="12" customHeight="1" x14ac:dyDescent="0.2">
      <c r="A54" s="437" t="s">
        <v>47</v>
      </c>
      <c r="B54" s="440">
        <f>+IFERROR(VLOOKUP(B$1,'[5]Base de Datos'!$A$4:$X$34,7,0)/1000,0)</f>
        <v>97.972999999999999</v>
      </c>
      <c r="C54" s="492">
        <f>+IFERROR(VLOOKUP(C$1,'[5]Base de Datos'!$A$4:$X$34,7,0)/1000,0)</f>
        <v>96.46</v>
      </c>
      <c r="D54" s="440">
        <f>+IFERROR(VLOOKUP(D$1,'[5]Base de Datos'!$A$4:$X$34,7,0)/1000,0)</f>
        <v>102.188</v>
      </c>
      <c r="E54" s="440">
        <f>+IFERROR(VLOOKUP(E$1,'[5]Base de Datos'!$A$4:$X$34,7,0)/1000,0)</f>
        <v>104.88800000000001</v>
      </c>
      <c r="F54" s="440">
        <f>+IFERROR(VLOOKUP(F$1,'[5]Base de Datos'!$A$4:$X$34,7,0)/1000,0)</f>
        <v>100.107</v>
      </c>
      <c r="G54" s="440">
        <f>+IFERROR(VLOOKUP(G$1,'[5]Base de Datos'!$A$4:$X$34,7,0)/1000,0)</f>
        <v>99.132000000000005</v>
      </c>
      <c r="H54" s="440">
        <f>+IFERROR(VLOOKUP(H$1,'[5]Base de Datos'!$A$4:$X$34,7,0)/1000,0)</f>
        <v>102.846</v>
      </c>
      <c r="I54" s="440">
        <f>+IFERROR(VLOOKUP(I$1,'[5]Base de Datos'!$A$4:$X$34,7,0)/1000,0)</f>
        <v>99.42</v>
      </c>
      <c r="J54" s="444">
        <f>+SUM(B54:I54)</f>
        <v>803.01400000000001</v>
      </c>
      <c r="K54" s="440">
        <f>+IFERROR(VLOOKUP(K$1,'[5]Base de Datos'!$A$4:$X$34,7,0)/1000,0)</f>
        <v>73.307000000000002</v>
      </c>
      <c r="L54" s="440">
        <f>+IFERROR(VLOOKUP(L$1,'[5]Base de Datos'!$A$4:$X$34,7,0)/1000,0)</f>
        <v>66.721999999999994</v>
      </c>
      <c r="M54" s="440">
        <f>+IFERROR(VLOOKUP(M$1,'[5]Base de Datos'!$A$4:$X$34,7,0)/1000,0)</f>
        <v>67.361999999999995</v>
      </c>
      <c r="N54" s="440">
        <f>+IFERROR(VLOOKUP(N$1,'[5]Base de Datos'!$A$4:$X$34,7,0)/1000,0)</f>
        <v>0</v>
      </c>
      <c r="O54" s="440">
        <f>+IFERROR(VLOOKUP(O$1,'[5]Base de Datos'!$A$4:$X$34,7,0)/1000,0)</f>
        <v>0</v>
      </c>
      <c r="P54" s="440">
        <f>+IFERROR(VLOOKUP(P$1,'[5]Base de Datos'!$A$4:$X$34,7,0)/1000,0)</f>
        <v>0</v>
      </c>
      <c r="Q54" s="444">
        <f>+J54+SUM(K54:P54)</f>
        <v>1010.405</v>
      </c>
      <c r="R54" s="440">
        <f>+IFERROR(VLOOKUP(R$1,'[5]Base de Datos'!$A$4:$X$34,7,0)/1000,0)</f>
        <v>0</v>
      </c>
      <c r="S54" s="440">
        <f>+IFERROR(VLOOKUP(S$1,'[5]Base de Datos'!$A$4:$X$34,7,0)/1000,0)</f>
        <v>0</v>
      </c>
      <c r="T54" s="440">
        <f>+IFERROR(VLOOKUP(T$1,'[5]Base de Datos'!$A$4:$X$34,7,0)/1000,0)</f>
        <v>0</v>
      </c>
      <c r="U54" s="440">
        <f>+IFERROR(VLOOKUP(U$1,'[5]Base de Datos'!$A$4:$X$34,7,0)/1000,0)</f>
        <v>0</v>
      </c>
      <c r="V54" s="440">
        <f>+IFERROR(VLOOKUP(V$1,'[5]Base de Datos'!$A$4:$X$34,7,0)/1000,0)</f>
        <v>0</v>
      </c>
      <c r="W54" s="440">
        <f>+IFERROR(VLOOKUP(W$1,'[5]Base de Datos'!$A$4:$X$34,7,0)/1000,0)</f>
        <v>0</v>
      </c>
      <c r="X54" s="440">
        <f>+IFERROR(VLOOKUP(X$1,'[5]Base de Datos'!$A$4:$X$34,7,0)/1000,0)</f>
        <v>0</v>
      </c>
      <c r="Y54" s="444">
        <f>+Q54+SUM(R54:X54)</f>
        <v>1010.405</v>
      </c>
      <c r="Z54" s="440">
        <f>+IFERROR(VLOOKUP(Z$1,'[5]Base de Datos'!$A$4:$X$34,7,0)/1000,0)</f>
        <v>0</v>
      </c>
      <c r="AA54" s="440">
        <f>+IFERROR(VLOOKUP(AA$1,'[5]Base de Datos'!$A$4:$X$34,7,0)/1000,0)</f>
        <v>0</v>
      </c>
      <c r="AB54" s="440">
        <f>+IFERROR(VLOOKUP(AB$1,'[5]Base de Datos'!$A$4:$X$34,7,0)/1000,0)</f>
        <v>0</v>
      </c>
      <c r="AC54" s="440">
        <f>+IFERROR(VLOOKUP(AC$1,'[5]Base de Datos'!$A$4:$X$34,7,0)/1000,0)</f>
        <v>0</v>
      </c>
      <c r="AD54" s="440">
        <f>+IFERROR(VLOOKUP(AD$1,'[5]Base de Datos'!$A$4:$X$34,7,0)/1000,0)</f>
        <v>0</v>
      </c>
      <c r="AE54" s="440">
        <f>+IFERROR(VLOOKUP(AE$1,'[5]Base de Datos'!$A$4:$X$34,7,0)/1000,0)</f>
        <v>0</v>
      </c>
      <c r="AF54" s="440">
        <f>+IFERROR(VLOOKUP(AF$1,'[5]Base de Datos'!$A$4:$X$34,7,0)/1000,0)</f>
        <v>0</v>
      </c>
      <c r="AG54" s="444">
        <f>+Y54+SUM(Z54:AF54)</f>
        <v>1010.405</v>
      </c>
      <c r="AH54" s="440">
        <f>+IFERROR(VLOOKUP(AH$1,'[5]Base de Datos'!$A$4:$X$34,7,0)/1000,0)</f>
        <v>0</v>
      </c>
      <c r="AI54" s="440">
        <f>+IFERROR(VLOOKUP(AI$1,'[5]Base de Datos'!$A$4:$X$34,7,0)/1000,0)</f>
        <v>0</v>
      </c>
      <c r="AJ54" s="440">
        <f>+IFERROR(VLOOKUP(AJ$1,'[5]Base de Datos'!$A$4:$X$34,7,0)/1000,0)</f>
        <v>0</v>
      </c>
      <c r="AK54" s="444">
        <f>+AG54+SUM(AH54:AJ54)</f>
        <v>1010.405</v>
      </c>
      <c r="AL54" s="8"/>
      <c r="AR54" s="185"/>
      <c r="AX54" s="8"/>
      <c r="AY54" s="8"/>
      <c r="AZ54" s="185"/>
      <c r="BA54" s="8"/>
      <c r="BB54" s="8"/>
      <c r="BC54" s="8"/>
      <c r="BD54" s="8"/>
      <c r="BE54" s="8"/>
      <c r="BF54" s="29"/>
      <c r="BG54" s="8"/>
      <c r="BH54" s="8"/>
      <c r="BI54" s="8"/>
      <c r="BJ54" s="8"/>
      <c r="BK54" s="8"/>
      <c r="BL54" s="8"/>
      <c r="BM54" s="8"/>
      <c r="BN54" s="8"/>
      <c r="BO54" s="8"/>
      <c r="BP54" s="8"/>
      <c r="BQ54" s="8"/>
      <c r="BR54" s="8"/>
      <c r="BS54" s="8"/>
    </row>
    <row r="55" spans="1:75" ht="12" customHeight="1" x14ac:dyDescent="0.2">
      <c r="A55" s="437" t="s">
        <v>44</v>
      </c>
      <c r="B55" s="491">
        <f>+IFERROR(IF(VLOOKUP(B$1,'[5]Base de Datos'!$A$4:$X$34,5,0)/1000&gt;0,VLOOKUP(B$1,'[5]Base de Datos'!$A$4:$X$34,5,0)/1000,0),0)</f>
        <v>40.308</v>
      </c>
      <c r="C55" s="491">
        <f>+IFERROR(IF(VLOOKUP(C$1,'[5]Base de Datos'!$A$4:$X$34,5,0)/1000&gt;0,VLOOKUP(C$1,'[5]Base de Datos'!$A$4:$X$34,5,0)/1000,0),0)</f>
        <v>39.563000000000002</v>
      </c>
      <c r="D55" s="441">
        <f>+IFERROR(IF(VLOOKUP(D$1,'[5]Base de Datos'!$A$4:$X$34,5,0)/1000&gt;0,VLOOKUP(D$1,'[5]Base de Datos'!$A$4:$X$34,5,0)/1000,0),0)</f>
        <v>41.957000000000001</v>
      </c>
      <c r="E55" s="441">
        <f>+IFERROR(IF(VLOOKUP(E$1,'[5]Base de Datos'!$A$4:$X$34,5,0)/1000&gt;0,VLOOKUP(E$1,'[5]Base de Datos'!$A$4:$X$34,5,0)/1000,0),0)</f>
        <v>43.115000000000002</v>
      </c>
      <c r="F55" s="441">
        <f>+IFERROR(IF(VLOOKUP(F$1,'[5]Base de Datos'!$A$4:$X$34,5,0)/1000&gt;0,VLOOKUP(F$1,'[5]Base de Datos'!$A$4:$X$34,5,0)/1000,0),0)</f>
        <v>41.106000000000002</v>
      </c>
      <c r="G55" s="441">
        <f>+IFERROR(IF(VLOOKUP(G$1,'[5]Base de Datos'!$A$4:$X$34,5,0)/1000&gt;0,VLOOKUP(G$1,'[5]Base de Datos'!$A$4:$X$34,5,0)/1000,0),0)</f>
        <v>39.420999999999999</v>
      </c>
      <c r="H55" s="441">
        <f>+IFERROR(IF(VLOOKUP(H$1,'[5]Base de Datos'!$A$4:$X$34,5,0)/1000&gt;0,VLOOKUP(H$1,'[5]Base de Datos'!$A$4:$X$34,5,0)/1000,0),0)</f>
        <v>43.061999999999998</v>
      </c>
      <c r="I55" s="441">
        <f>+IFERROR(IF(VLOOKUP(I$1,'[5]Base de Datos'!$A$4:$X$34,5,0)/1000&gt;0,VLOOKUP(I$1,'[5]Base de Datos'!$A$4:$X$34,5,0)/1000,0),0)</f>
        <v>41.012</v>
      </c>
      <c r="J55" s="444">
        <f>+SUM(B55:I55)</f>
        <v>329.54399999999998</v>
      </c>
      <c r="K55" s="441">
        <f>+IFERROR(IF(VLOOKUP(K$1,'[5]Base de Datos'!$A$4:$X$34,5,0)/1000&gt;0,VLOOKUP(K$1,'[5]Base de Datos'!$A$4:$X$34,5,0)/1000,0),0)</f>
        <v>30.167000000000002</v>
      </c>
      <c r="L55" s="441">
        <f>+IFERROR(IF(VLOOKUP(L$1,'[5]Base de Datos'!$A$4:$X$34,5,0)/1000&gt;0,VLOOKUP(L$1,'[5]Base de Datos'!$A$4:$X$34,5,0)/1000,0),0)</f>
        <v>27.71</v>
      </c>
      <c r="M55" s="441">
        <f>+IFERROR(IF(VLOOKUP(M$1,'[5]Base de Datos'!$A$4:$X$34,5,0)/1000&gt;0,VLOOKUP(M$1,'[5]Base de Datos'!$A$4:$X$34,5,0)/1000,0),0)</f>
        <v>27.73</v>
      </c>
      <c r="N55" s="441">
        <f>+IFERROR(IF(VLOOKUP(N$1,'[5]Base de Datos'!$A$4:$X$34,5,0)/1000&gt;0,VLOOKUP(N$1,'[5]Base de Datos'!$A$4:$X$34,5,0)/1000,0),0)</f>
        <v>0</v>
      </c>
      <c r="O55" s="441">
        <f>+IFERROR(IF(VLOOKUP(O$1,'[5]Base de Datos'!$A$4:$X$34,5,0)/1000&gt;0,VLOOKUP(O$1,'[5]Base de Datos'!$A$4:$X$34,5,0)/1000,0),0)</f>
        <v>0</v>
      </c>
      <c r="P55" s="441">
        <f>+IFERROR(IF(VLOOKUP(P$1,'[5]Base de Datos'!$A$4:$X$34,5,0)/1000&gt;0,VLOOKUP(P$1,'[5]Base de Datos'!$A$4:$X$34,5,0)/1000,0),0)</f>
        <v>0</v>
      </c>
      <c r="Q55" s="444">
        <f>+J55+SUM(K55:P55)</f>
        <v>415.15099999999995</v>
      </c>
      <c r="R55" s="441">
        <f>+IFERROR(IF(VLOOKUP(R$1,'[5]Base de Datos'!$A$4:$X$34,5,0)/1000&gt;0,VLOOKUP(R$1,'[5]Base de Datos'!$A$4:$X$34,5,0)/1000,0),0)</f>
        <v>0</v>
      </c>
      <c r="S55" s="441">
        <f>+IFERROR(IF(VLOOKUP(S$1,'[5]Base de Datos'!$A$4:$X$34,5,0)/1000&gt;0,VLOOKUP(S$1,'[5]Base de Datos'!$A$4:$X$34,5,0)/1000,0),0)</f>
        <v>0</v>
      </c>
      <c r="T55" s="441">
        <f>+IFERROR(IF(VLOOKUP(T$1,'[5]Base de Datos'!$A$4:$X$34,5,0)/1000&gt;0,VLOOKUP(T$1,'[5]Base de Datos'!$A$4:$X$34,5,0)/1000,0),0)</f>
        <v>0</v>
      </c>
      <c r="U55" s="441">
        <f>+IFERROR(IF(VLOOKUP(U$1,'[5]Base de Datos'!$A$4:$X$34,5,0)/1000&gt;0,VLOOKUP(U$1,'[5]Base de Datos'!$A$4:$X$34,5,0)/1000,0),0)</f>
        <v>0</v>
      </c>
      <c r="V55" s="441">
        <f>+IFERROR(IF(VLOOKUP(V$1,'[5]Base de Datos'!$A$4:$X$34,5,0)/1000&gt;0,VLOOKUP(V$1,'[5]Base de Datos'!$A$4:$X$34,5,0)/1000,0),0)</f>
        <v>0</v>
      </c>
      <c r="W55" s="441">
        <f>+IFERROR(IF(VLOOKUP(W$1,'[5]Base de Datos'!$A$4:$X$34,5,0)/1000&gt;0,VLOOKUP(W$1,'[5]Base de Datos'!$A$4:$X$34,5,0)/1000,0),0)</f>
        <v>0</v>
      </c>
      <c r="X55" s="441">
        <f>+IFERROR(IF(VLOOKUP(X$1,'[5]Base de Datos'!$A$4:$X$34,5,0)/1000&gt;0,VLOOKUP(X$1,'[5]Base de Datos'!$A$4:$X$34,5,0)/1000,0),0)</f>
        <v>0</v>
      </c>
      <c r="Y55" s="444">
        <f>+Q55+SUM(R55:X55)</f>
        <v>415.15099999999995</v>
      </c>
      <c r="Z55" s="441">
        <f>+IFERROR(IF(VLOOKUP(Z$1,'[5]Base de Datos'!$A$4:$X$34,5,0)/1000&gt;0,VLOOKUP(Z$1,'[5]Base de Datos'!$A$4:$X$34,5,0)/1000,0),0)</f>
        <v>0</v>
      </c>
      <c r="AA55" s="441">
        <f>+IFERROR(IF(VLOOKUP(AA$1,'[5]Base de Datos'!$A$4:$X$34,5,0)/1000&gt;0,VLOOKUP(AA$1,'[5]Base de Datos'!$A$4:$X$34,5,0)/1000,0),0)</f>
        <v>0</v>
      </c>
      <c r="AB55" s="441">
        <f>+IFERROR(IF(VLOOKUP(AB$1,'[5]Base de Datos'!$A$4:$X$34,5,0)/1000&gt;0,VLOOKUP(AB$1,'[5]Base de Datos'!$A$4:$X$34,5,0)/1000,0),0)</f>
        <v>0</v>
      </c>
      <c r="AC55" s="441">
        <f>+IFERROR(IF(VLOOKUP(AC$1,'[5]Base de Datos'!$A$4:$X$34,5,0)/1000&gt;0,VLOOKUP(AC$1,'[5]Base de Datos'!$A$4:$X$34,5,0)/1000,0),0)</f>
        <v>0</v>
      </c>
      <c r="AD55" s="441">
        <f>+IFERROR(IF(VLOOKUP(AD$1,'[5]Base de Datos'!$A$4:$X$34,5,0)/1000&gt;0,VLOOKUP(AD$1,'[5]Base de Datos'!$A$4:$X$34,5,0)/1000,0),0)</f>
        <v>0</v>
      </c>
      <c r="AE55" s="441">
        <f>+IFERROR(IF(VLOOKUP(AE$1,'[5]Base de Datos'!$A$4:$X$34,5,0)/1000&gt;0,VLOOKUP(AE$1,'[5]Base de Datos'!$A$4:$X$34,5,0)/1000,0),0)</f>
        <v>0</v>
      </c>
      <c r="AF55" s="441">
        <f>+IFERROR(IF(VLOOKUP(AF$1,'[5]Base de Datos'!$A$4:$X$34,5,0)/1000&gt;0,VLOOKUP(AF$1,'[5]Base de Datos'!$A$4:$X$34,5,0)/1000,0),0)</f>
        <v>0</v>
      </c>
      <c r="AG55" s="444">
        <f>+Y55+SUM(Z55:AF55)</f>
        <v>415.15099999999995</v>
      </c>
      <c r="AH55" s="441">
        <f>+IFERROR(IF(VLOOKUP(AH$1,'[5]Base de Datos'!$A$4:$X$34,5,0)/1000&gt;0,VLOOKUP(AH$1,'[5]Base de Datos'!$A$4:$X$34,5,0)/1000,0),0)</f>
        <v>0</v>
      </c>
      <c r="AI55" s="441">
        <f>+IFERROR(IF(VLOOKUP(AI$1,'[5]Base de Datos'!$A$4:$X$34,5,0)/1000&gt;0,VLOOKUP(AI$1,'[5]Base de Datos'!$A$4:$X$34,5,0)/1000,0),0)</f>
        <v>0</v>
      </c>
      <c r="AJ55" s="441">
        <f>+IFERROR(IF(VLOOKUP(AJ$1,'[5]Base de Datos'!$A$4:$X$34,5,0)/1000&gt;0,VLOOKUP(AJ$1,'[5]Base de Datos'!$A$4:$X$34,5,0)/1000,0),0)</f>
        <v>0</v>
      </c>
      <c r="AK55" s="444">
        <f>+AG55+SUM(AH55:AJ55)</f>
        <v>415.15099999999995</v>
      </c>
      <c r="AL55" s="8"/>
      <c r="AR55" s="185"/>
      <c r="AX55" s="8"/>
      <c r="AY55" s="8"/>
      <c r="AZ55" s="185"/>
      <c r="BA55" s="8"/>
      <c r="BB55" s="8"/>
      <c r="BC55" s="8"/>
      <c r="BD55" s="8"/>
      <c r="BE55" s="8"/>
      <c r="BF55" s="29"/>
      <c r="BG55" s="8"/>
      <c r="BH55" s="8"/>
      <c r="BI55" s="8"/>
      <c r="BJ55" s="6"/>
      <c r="BK55" s="8"/>
      <c r="BL55" s="8"/>
      <c r="BM55" s="8"/>
      <c r="BN55" s="8"/>
      <c r="BO55" s="8"/>
      <c r="BP55" s="8"/>
      <c r="BQ55" s="8"/>
      <c r="BR55" s="8"/>
      <c r="BS55" s="8"/>
    </row>
    <row r="56" spans="1:75" ht="12" customHeight="1" thickBot="1" x14ac:dyDescent="0.25">
      <c r="A56" s="438" t="s">
        <v>48</v>
      </c>
      <c r="B56" s="442">
        <f>IFERROR(+B55/B54,0)</f>
        <v>0.41141947271186957</v>
      </c>
      <c r="C56" s="183">
        <f>IFERROR(+C55/C54,0)</f>
        <v>0.4101492846775866</v>
      </c>
      <c r="D56" s="183">
        <f t="shared" ref="D56:M56" si="45">IFERROR(+D55/D54,0)</f>
        <v>0.41058637021959526</v>
      </c>
      <c r="E56" s="183">
        <f t="shared" si="45"/>
        <v>0.41105750896194038</v>
      </c>
      <c r="F56" s="183">
        <f t="shared" si="45"/>
        <v>0.4106206359195661</v>
      </c>
      <c r="G56" s="183">
        <f t="shared" si="45"/>
        <v>0.39766170358713632</v>
      </c>
      <c r="H56" s="183">
        <f t="shared" si="45"/>
        <v>0.41870369290006415</v>
      </c>
      <c r="I56" s="183">
        <f t="shared" si="45"/>
        <v>0.41251257292295312</v>
      </c>
      <c r="J56" s="182">
        <f>IFERROR(+J55/J54,0)</f>
        <v>0.41038387873685883</v>
      </c>
      <c r="K56" s="183">
        <f t="shared" si="45"/>
        <v>0.41151595345601377</v>
      </c>
      <c r="L56" s="183">
        <f t="shared" si="45"/>
        <v>0.41530529660381887</v>
      </c>
      <c r="M56" s="183">
        <f t="shared" si="45"/>
        <v>0.41165642350286513</v>
      </c>
      <c r="N56" s="183">
        <f t="shared" ref="N56:T56" si="46">IFERROR(+N55/N54,0)</f>
        <v>0</v>
      </c>
      <c r="O56" s="183">
        <f t="shared" si="46"/>
        <v>0</v>
      </c>
      <c r="P56" s="183">
        <f t="shared" si="46"/>
        <v>0</v>
      </c>
      <c r="Q56" s="182">
        <f>IFERROR(+Q55/Q54,0)</f>
        <v>0.41087583691687984</v>
      </c>
      <c r="R56" s="183">
        <f t="shared" si="46"/>
        <v>0</v>
      </c>
      <c r="S56" s="183">
        <f t="shared" si="46"/>
        <v>0</v>
      </c>
      <c r="T56" s="183">
        <f t="shared" si="46"/>
        <v>0</v>
      </c>
      <c r="U56" s="183">
        <f t="shared" ref="U56:AC56" si="47">IFERROR(+U55/U54,0)</f>
        <v>0</v>
      </c>
      <c r="V56" s="183">
        <f t="shared" si="47"/>
        <v>0</v>
      </c>
      <c r="W56" s="183">
        <f t="shared" si="47"/>
        <v>0</v>
      </c>
      <c r="X56" s="183">
        <f t="shared" si="47"/>
        <v>0</v>
      </c>
      <c r="Y56" s="182">
        <f>IFERROR(+Y55/Y54,0)</f>
        <v>0.41087583691687984</v>
      </c>
      <c r="Z56" s="183">
        <f t="shared" si="47"/>
        <v>0</v>
      </c>
      <c r="AA56" s="183">
        <f t="shared" si="47"/>
        <v>0</v>
      </c>
      <c r="AB56" s="183">
        <f t="shared" si="47"/>
        <v>0</v>
      </c>
      <c r="AC56" s="183">
        <f t="shared" si="47"/>
        <v>0</v>
      </c>
      <c r="AD56" s="183">
        <f t="shared" ref="AD56:AK56" si="48">IFERROR(+AD55/AD54,0)</f>
        <v>0</v>
      </c>
      <c r="AE56" s="183">
        <f t="shared" si="48"/>
        <v>0</v>
      </c>
      <c r="AF56" s="183">
        <f t="shared" si="48"/>
        <v>0</v>
      </c>
      <c r="AG56" s="182">
        <f>IFERROR(+AG55/AG54,0)</f>
        <v>0.41087583691687984</v>
      </c>
      <c r="AH56" s="183">
        <f t="shared" si="48"/>
        <v>0</v>
      </c>
      <c r="AI56" s="183">
        <f t="shared" si="48"/>
        <v>0</v>
      </c>
      <c r="AJ56" s="183">
        <f>IFERROR(+AJ55/AJ54,0)</f>
        <v>0</v>
      </c>
      <c r="AK56" s="182">
        <f t="shared" si="48"/>
        <v>0.41087583691687984</v>
      </c>
      <c r="AL56" s="8"/>
      <c r="AR56" s="185"/>
      <c r="AX56" s="8"/>
      <c r="AY56" s="8"/>
      <c r="AZ56" s="8"/>
      <c r="BA56" s="8"/>
      <c r="BB56" s="8"/>
      <c r="BC56" s="8"/>
      <c r="BD56" s="8"/>
      <c r="BE56" s="8"/>
      <c r="BF56" s="29"/>
      <c r="BG56" s="8"/>
      <c r="BH56" s="8"/>
      <c r="BI56" s="8"/>
      <c r="BJ56" s="8"/>
      <c r="BK56" s="8"/>
      <c r="BL56" s="8"/>
      <c r="BM56" s="8"/>
      <c r="BN56" s="8"/>
      <c r="BO56" s="8"/>
      <c r="BP56" s="8"/>
      <c r="BQ56" s="8"/>
      <c r="BR56" s="8"/>
      <c r="BS56" s="8"/>
    </row>
    <row r="57" spans="1:75" ht="12" customHeight="1" x14ac:dyDescent="0.2">
      <c r="A57" s="49"/>
      <c r="B57" s="8"/>
      <c r="C57" s="8"/>
      <c r="D57" s="8"/>
      <c r="E57" s="8"/>
      <c r="F57" s="8"/>
      <c r="G57" s="8"/>
      <c r="H57" s="8"/>
      <c r="I57" s="8"/>
      <c r="J57" s="8"/>
      <c r="K57" s="8"/>
      <c r="L57" s="8"/>
      <c r="M57" s="8"/>
      <c r="N57" s="8"/>
      <c r="O57" s="8"/>
      <c r="P57" s="8"/>
      <c r="Q57" s="8"/>
      <c r="R57" s="8"/>
      <c r="S57" s="8"/>
      <c r="T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W57" s="8"/>
      <c r="AX57" s="8"/>
      <c r="AY57" s="8"/>
      <c r="AZ57" s="8"/>
      <c r="BA57" s="8"/>
      <c r="BB57" s="8"/>
      <c r="BC57" s="8"/>
      <c r="BD57" s="8"/>
      <c r="BE57" s="8"/>
      <c r="BF57" s="29"/>
      <c r="BG57" s="8"/>
      <c r="BH57" s="8"/>
      <c r="BI57" s="8"/>
      <c r="BJ57" s="6"/>
      <c r="BK57" s="8"/>
      <c r="BL57" s="8"/>
      <c r="BM57" s="8"/>
      <c r="BN57" s="6"/>
      <c r="BO57" s="8"/>
      <c r="BP57" s="8"/>
      <c r="BQ57" s="8"/>
      <c r="BR57" s="8"/>
      <c r="BS57" s="8"/>
      <c r="BT57" s="8"/>
      <c r="BU57" s="8"/>
      <c r="BV57" s="8"/>
      <c r="BW57" s="8"/>
    </row>
    <row r="58" spans="1:75" ht="12" customHeight="1" x14ac:dyDescent="0.2">
      <c r="A58" s="4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W58" s="8"/>
      <c r="AX58" s="8"/>
      <c r="AY58" s="8"/>
      <c r="AZ58" s="8"/>
      <c r="BA58" s="8"/>
      <c r="BB58" s="8"/>
      <c r="BC58" s="8"/>
      <c r="BD58" s="8"/>
      <c r="BE58" s="8"/>
      <c r="BF58" s="29"/>
      <c r="BG58" s="29"/>
      <c r="BH58" s="29"/>
      <c r="BI58" s="8"/>
      <c r="BJ58" s="8"/>
      <c r="BK58" s="8"/>
      <c r="BL58" s="8"/>
      <c r="BM58" s="6"/>
      <c r="BN58" s="8"/>
      <c r="BO58" s="8"/>
      <c r="BP58" s="8"/>
      <c r="BQ58" s="8"/>
      <c r="BR58" s="8"/>
      <c r="BS58" s="8"/>
      <c r="BT58" s="8"/>
      <c r="BU58" s="8"/>
      <c r="BV58" s="8"/>
      <c r="BW58" s="8"/>
    </row>
    <row r="59" spans="1:75" ht="12" customHeight="1" x14ac:dyDescent="0.2">
      <c r="A59" s="49"/>
      <c r="B59" s="8"/>
      <c r="C59" s="8"/>
      <c r="D59" s="8"/>
      <c r="E59" s="8"/>
      <c r="F59" s="8"/>
      <c r="G59" s="8"/>
      <c r="H59" s="8"/>
      <c r="I59" s="8"/>
      <c r="J59" s="8"/>
      <c r="K59" s="8"/>
      <c r="L59" s="8"/>
      <c r="M59" s="8"/>
      <c r="N59" s="8"/>
      <c r="O59" s="8"/>
      <c r="P59" s="8"/>
      <c r="Q59" s="8"/>
      <c r="R59" s="8"/>
      <c r="S59" s="8"/>
      <c r="T59" s="8"/>
      <c r="U59" s="8"/>
      <c r="V59" s="8"/>
      <c r="W59" s="8"/>
      <c r="X59" s="8"/>
      <c r="Y59" s="8"/>
      <c r="Z59" s="6"/>
      <c r="AA59" s="6"/>
      <c r="AB59" s="8"/>
      <c r="AC59" s="8"/>
      <c r="AD59" s="8"/>
      <c r="AE59" s="8"/>
      <c r="AF59" s="8"/>
      <c r="AG59" s="8"/>
      <c r="AH59" s="8"/>
      <c r="AI59" s="8"/>
      <c r="AJ59" s="8"/>
      <c r="AK59" s="6"/>
      <c r="AL59" s="8"/>
      <c r="AM59" s="8"/>
      <c r="AN59" s="8"/>
      <c r="AO59" s="8"/>
      <c r="AP59" s="8"/>
      <c r="AQ59" s="6"/>
      <c r="AR59" s="6"/>
      <c r="AS59" s="6"/>
      <c r="AT59" s="6"/>
      <c r="AU59" s="6"/>
      <c r="AW59" s="6"/>
      <c r="AX59" s="6"/>
      <c r="AY59" s="6"/>
      <c r="AZ59" s="6"/>
      <c r="BA59" s="6"/>
      <c r="BB59" s="6"/>
      <c r="BC59" s="6"/>
      <c r="BD59" s="6"/>
      <c r="BE59" s="8"/>
      <c r="BF59" s="29"/>
      <c r="BG59" s="29"/>
      <c r="BH59" s="29"/>
      <c r="BI59" s="6"/>
      <c r="BJ59" s="6"/>
      <c r="BK59" s="6"/>
      <c r="BL59" s="6"/>
      <c r="BM59" s="8"/>
      <c r="BN59" s="6"/>
      <c r="BO59" s="8"/>
      <c r="BP59" s="8"/>
      <c r="BQ59" s="8"/>
      <c r="BR59" s="8"/>
      <c r="BS59" s="8"/>
      <c r="BT59" s="8"/>
      <c r="BU59" s="8"/>
      <c r="BV59" s="8"/>
      <c r="BW59" s="8"/>
    </row>
    <row r="60" spans="1:75" ht="12" customHeight="1" x14ac:dyDescent="0.2">
      <c r="A60" s="49"/>
      <c r="B60" s="8"/>
      <c r="C60" s="8"/>
      <c r="D60" s="8"/>
      <c r="E60" s="8"/>
      <c r="F60" s="8"/>
      <c r="G60" s="8"/>
      <c r="H60" s="8"/>
      <c r="I60" s="8"/>
      <c r="J60" s="8"/>
      <c r="K60" s="8"/>
      <c r="L60" s="8"/>
      <c r="M60" s="8"/>
      <c r="N60" s="8"/>
      <c r="O60" s="8"/>
      <c r="P60" s="8"/>
      <c r="Q60" s="8"/>
      <c r="R60" s="8"/>
      <c r="S60" s="67"/>
      <c r="T60" s="8"/>
      <c r="U60" s="8"/>
      <c r="V60" s="8"/>
      <c r="W60" s="8"/>
      <c r="X60" s="8"/>
      <c r="Y60" s="8"/>
      <c r="Z60" s="10"/>
      <c r="AA60" s="10"/>
      <c r="AB60" s="8"/>
      <c r="AC60" s="8"/>
      <c r="AD60" s="8"/>
      <c r="AE60" s="8"/>
      <c r="AF60" s="10"/>
      <c r="AG60" s="8"/>
      <c r="AH60" s="10"/>
      <c r="AI60" s="10"/>
      <c r="AJ60" s="10"/>
      <c r="AK60" s="10"/>
      <c r="AL60" s="10"/>
      <c r="AM60" s="10"/>
      <c r="AN60" s="8"/>
      <c r="AO60" s="8"/>
      <c r="AP60" s="8"/>
      <c r="AQ60" s="8"/>
      <c r="AR60" s="8"/>
      <c r="AS60" s="8"/>
      <c r="AT60" s="8"/>
      <c r="AU60" s="8"/>
      <c r="AW60" s="8"/>
      <c r="AX60" s="8"/>
      <c r="AY60" s="8"/>
      <c r="AZ60" s="8"/>
      <c r="BA60" s="8"/>
      <c r="BB60" s="8"/>
      <c r="BC60" s="8"/>
      <c r="BD60" s="8"/>
      <c r="BE60" s="8"/>
      <c r="BF60" s="29"/>
      <c r="BG60" s="29"/>
      <c r="BH60" s="29"/>
      <c r="BI60" s="8"/>
      <c r="BJ60" s="8"/>
      <c r="BK60" s="8"/>
      <c r="BL60" s="8"/>
      <c r="BM60" s="8"/>
      <c r="BN60" s="8"/>
      <c r="BO60" s="8"/>
      <c r="BP60" s="8"/>
      <c r="BQ60" s="8"/>
      <c r="BR60" s="8"/>
      <c r="BS60" s="8"/>
      <c r="BT60" s="8"/>
      <c r="BU60" s="8"/>
      <c r="BV60" s="8"/>
      <c r="BW60" s="8"/>
    </row>
    <row r="61" spans="1:75" ht="12" customHeight="1" x14ac:dyDescent="0.2">
      <c r="A61" s="49"/>
      <c r="B61" s="8"/>
      <c r="C61" s="8"/>
      <c r="D61" s="8"/>
      <c r="E61" s="8"/>
      <c r="F61" s="8"/>
      <c r="G61" s="8"/>
      <c r="H61" s="8"/>
      <c r="I61" s="8"/>
      <c r="J61" s="8"/>
      <c r="K61" s="8"/>
      <c r="L61" s="8"/>
      <c r="M61" s="8"/>
      <c r="N61" s="8"/>
      <c r="O61" s="8"/>
      <c r="P61" s="8"/>
      <c r="Q61" s="8"/>
      <c r="R61" s="8"/>
      <c r="S61" s="67"/>
      <c r="T61" s="8"/>
      <c r="U61" s="8"/>
      <c r="V61" s="6"/>
      <c r="W61" s="8"/>
      <c r="X61" s="8"/>
      <c r="Y61" s="8"/>
      <c r="Z61" s="8"/>
      <c r="AA61" s="8"/>
      <c r="AB61" s="8"/>
      <c r="AC61" s="8"/>
      <c r="AD61" s="8"/>
      <c r="AE61" s="8"/>
      <c r="AF61" s="8"/>
      <c r="AG61" s="8"/>
      <c r="AH61" s="8"/>
      <c r="AI61" s="8"/>
      <c r="AJ61" s="8"/>
      <c r="AK61" s="8"/>
      <c r="AL61" s="8"/>
      <c r="AM61" s="8"/>
      <c r="AN61" s="8"/>
      <c r="AO61" s="8"/>
      <c r="AP61" s="8"/>
      <c r="AQ61" s="8"/>
      <c r="AR61" s="8"/>
      <c r="AS61" s="8"/>
      <c r="AT61" s="8"/>
      <c r="AU61" s="8"/>
      <c r="AW61" s="8"/>
      <c r="AX61" s="8"/>
      <c r="AY61" s="8"/>
      <c r="AZ61" s="8"/>
      <c r="BA61" s="8"/>
      <c r="BB61" s="8"/>
      <c r="BC61" s="8"/>
      <c r="BD61" s="8"/>
      <c r="BE61" s="8"/>
      <c r="BF61" s="8"/>
      <c r="BG61" s="8"/>
      <c r="BH61" s="8"/>
      <c r="BI61" s="8"/>
      <c r="BJ61" s="8"/>
      <c r="BK61" s="8"/>
      <c r="BL61" s="8"/>
      <c r="BM61" s="8"/>
      <c r="BN61" s="6"/>
      <c r="BO61" s="8"/>
      <c r="BP61" s="8"/>
      <c r="BQ61" s="8"/>
      <c r="BR61" s="8"/>
      <c r="BS61" s="8"/>
      <c r="BT61" s="8"/>
      <c r="BU61" s="8"/>
      <c r="BV61" s="8"/>
      <c r="BW61" s="8"/>
    </row>
    <row r="62" spans="1:75" ht="12" customHeight="1" x14ac:dyDescent="0.2">
      <c r="A62" s="49"/>
      <c r="B62" s="8"/>
      <c r="C62" s="8"/>
      <c r="D62" s="8"/>
      <c r="E62" s="8"/>
      <c r="F62" s="8"/>
      <c r="G62" s="8"/>
      <c r="H62" s="8"/>
      <c r="I62" s="8"/>
      <c r="J62" s="8"/>
      <c r="K62" s="8"/>
      <c r="L62" s="8"/>
      <c r="M62" s="8"/>
      <c r="N62" s="8"/>
      <c r="O62" s="8"/>
      <c r="P62" s="8"/>
      <c r="Q62" s="8"/>
      <c r="R62" s="8"/>
      <c r="S62" s="67"/>
      <c r="T62" s="8"/>
      <c r="U62" s="8"/>
      <c r="V62" s="10"/>
      <c r="W62" s="8"/>
      <c r="X62" s="8"/>
      <c r="Y62" s="8"/>
      <c r="Z62" s="8"/>
      <c r="AA62" s="8"/>
      <c r="AB62" s="8"/>
      <c r="AC62" s="8"/>
      <c r="AD62" s="8"/>
      <c r="AE62" s="8"/>
      <c r="AF62" s="8"/>
      <c r="AG62" s="8"/>
      <c r="AH62" s="8"/>
      <c r="AI62" s="8"/>
      <c r="AJ62" s="8"/>
      <c r="AK62" s="8"/>
      <c r="AL62" s="8"/>
      <c r="AM62" s="8"/>
      <c r="AN62" s="8"/>
      <c r="AO62" s="8"/>
      <c r="AP62" s="8"/>
      <c r="AQ62" s="8"/>
      <c r="AR62" s="8"/>
      <c r="AS62" s="8"/>
      <c r="AT62" s="8"/>
      <c r="AU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row>
    <row r="63" spans="1:75" ht="12" customHeight="1" x14ac:dyDescent="0.2">
      <c r="A63" s="49"/>
      <c r="B63" s="8"/>
      <c r="C63" s="8"/>
      <c r="D63" s="8"/>
      <c r="E63" s="8"/>
      <c r="F63" s="8"/>
      <c r="G63" s="8"/>
      <c r="H63" s="8"/>
      <c r="I63" s="8"/>
      <c r="K63" s="8"/>
      <c r="L63" s="8"/>
      <c r="M63" s="8"/>
      <c r="N63" s="8"/>
      <c r="O63" s="8"/>
      <c r="P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W63" s="8"/>
      <c r="AX63" s="8"/>
      <c r="AY63" s="8"/>
      <c r="AZ63" s="8"/>
      <c r="BA63" s="8"/>
      <c r="BB63" s="8"/>
      <c r="BC63" s="8"/>
      <c r="BD63" s="8"/>
      <c r="BE63" s="8"/>
      <c r="BF63" s="8"/>
      <c r="BG63" s="8"/>
      <c r="BH63" s="8"/>
      <c r="BI63" s="8"/>
      <c r="BJ63" s="8"/>
      <c r="BK63" s="8"/>
      <c r="BL63" s="8"/>
      <c r="BM63" s="8"/>
      <c r="BN63" s="6"/>
      <c r="BO63" s="8"/>
      <c r="BP63" s="8"/>
      <c r="BQ63" s="8"/>
      <c r="BR63" s="8"/>
      <c r="BS63" s="8"/>
      <c r="BT63" s="8"/>
      <c r="BU63" s="8"/>
      <c r="BV63" s="8"/>
      <c r="BW63" s="8"/>
    </row>
    <row r="64" spans="1:75" ht="12" customHeight="1" x14ac:dyDescent="0.2">
      <c r="A64" s="4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row>
    <row r="65" spans="1:75" ht="12" customHeight="1" x14ac:dyDescent="0.2">
      <c r="A65" s="49"/>
      <c r="B65" s="8"/>
      <c r="C65" s="8"/>
      <c r="D65" s="8"/>
      <c r="E65" s="8"/>
      <c r="F65" s="8"/>
      <c r="G65" s="8"/>
      <c r="H65" s="8"/>
      <c r="I65" s="8"/>
      <c r="J65" s="8"/>
      <c r="K65" s="8"/>
      <c r="L65" s="8"/>
      <c r="M65" s="8"/>
      <c r="N65" s="8"/>
      <c r="O65" s="8"/>
      <c r="P65" s="8"/>
      <c r="Q65" s="8"/>
      <c r="R65" s="8"/>
      <c r="S65" s="8"/>
      <c r="T65" s="65">
        <f>+SUM(E35:M35)</f>
        <v>5558.9420000000009</v>
      </c>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W65" s="8"/>
      <c r="AX65" s="8"/>
      <c r="AY65" s="8"/>
      <c r="AZ65" s="8"/>
      <c r="BA65" s="8"/>
      <c r="BB65" s="8"/>
      <c r="BC65" s="8"/>
      <c r="BD65" s="8"/>
      <c r="BE65" s="8"/>
      <c r="BF65" s="8"/>
      <c r="BG65" s="8"/>
      <c r="BH65" s="8"/>
      <c r="BI65" s="8"/>
      <c r="BJ65" s="8"/>
      <c r="BK65" s="8"/>
      <c r="BL65" s="8"/>
      <c r="BM65" s="8"/>
      <c r="BN65" s="6"/>
      <c r="BO65" s="8"/>
      <c r="BP65" s="8"/>
      <c r="BQ65" s="8"/>
      <c r="BR65" s="8"/>
      <c r="BS65" s="8"/>
      <c r="BT65" s="8"/>
      <c r="BU65" s="8"/>
      <c r="BV65" s="8"/>
      <c r="BW65" s="8"/>
    </row>
    <row r="66" spans="1:75" ht="12" customHeight="1" x14ac:dyDescent="0.2">
      <c r="A66" s="49"/>
      <c r="B66" s="8"/>
      <c r="C66" s="8"/>
      <c r="D66" s="8"/>
      <c r="E66" s="8"/>
      <c r="F66" s="8"/>
      <c r="G66" s="8"/>
      <c r="H66" s="8"/>
      <c r="I66" s="8"/>
      <c r="J66" s="8"/>
      <c r="K66" s="8"/>
      <c r="L66" s="8"/>
      <c r="M66" s="8"/>
      <c r="N66" s="8"/>
      <c r="O66" s="8"/>
      <c r="P66" s="8"/>
      <c r="Q66" s="8"/>
      <c r="R66" s="8"/>
      <c r="S66" s="8"/>
      <c r="T66" s="65">
        <f>+SUM(E36:M36)</f>
        <v>1.9485557556248772</v>
      </c>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row>
    <row r="67" spans="1:75" ht="12" customHeight="1" x14ac:dyDescent="0.2">
      <c r="A67" s="49"/>
      <c r="B67" s="8"/>
      <c r="C67" s="8"/>
      <c r="D67" s="8"/>
      <c r="E67" s="8"/>
      <c r="F67" s="8"/>
      <c r="G67" s="8"/>
      <c r="H67" s="8"/>
      <c r="I67" s="8"/>
      <c r="J67" s="8"/>
      <c r="K67" s="8"/>
      <c r="L67" s="8"/>
      <c r="M67" s="8"/>
      <c r="N67" s="8"/>
      <c r="O67" s="8"/>
      <c r="P67" s="8"/>
      <c r="Q67" s="8"/>
      <c r="R67" s="8"/>
      <c r="S67" s="8"/>
      <c r="T67" s="65">
        <f>+SUM(E37:M37)</f>
        <v>5446.75</v>
      </c>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row>
    <row r="68" spans="1:75" ht="12" customHeight="1" x14ac:dyDescent="0.2">
      <c r="A68" s="49"/>
      <c r="B68" s="8"/>
      <c r="C68" s="8"/>
      <c r="D68" s="8"/>
      <c r="E68" s="8"/>
      <c r="F68" s="8"/>
      <c r="G68" s="8"/>
      <c r="H68" s="8"/>
      <c r="I68" s="8"/>
      <c r="J68" s="8"/>
      <c r="K68" s="8"/>
      <c r="L68" s="8"/>
      <c r="M68" s="8"/>
      <c r="N68" s="8"/>
      <c r="O68" s="8"/>
      <c r="P68" s="8"/>
      <c r="Q68" s="8"/>
      <c r="R68" s="8"/>
      <c r="S68" s="8"/>
      <c r="T68" s="66"/>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row>
    <row r="69" spans="1:75" ht="12" customHeight="1" x14ac:dyDescent="0.2">
      <c r="A69" s="49"/>
      <c r="B69" s="8"/>
      <c r="C69" s="8"/>
      <c r="D69" s="8"/>
      <c r="E69" s="8"/>
      <c r="F69" s="8"/>
      <c r="G69" s="8"/>
      <c r="H69" s="8"/>
      <c r="I69" s="8"/>
      <c r="J69" s="8"/>
      <c r="K69" s="8"/>
      <c r="L69" s="8"/>
      <c r="M69" s="8"/>
      <c r="N69" s="8"/>
      <c r="O69" s="8"/>
      <c r="P69" s="8"/>
      <c r="Q69" s="8"/>
      <c r="R69" s="8"/>
      <c r="S69" s="8"/>
      <c r="T69" s="66"/>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row>
    <row r="70" spans="1:75" ht="12" customHeight="1" x14ac:dyDescent="0.2">
      <c r="A70" s="49"/>
      <c r="B70" s="8"/>
      <c r="C70" s="8"/>
      <c r="D70" s="8"/>
      <c r="E70" s="8"/>
      <c r="F70" s="8"/>
      <c r="G70" s="8"/>
      <c r="H70" s="8"/>
      <c r="I70" s="8"/>
      <c r="J70" s="8"/>
      <c r="K70" s="8"/>
      <c r="L70" s="8"/>
      <c r="M70" s="8"/>
      <c r="N70" s="8"/>
      <c r="O70" s="8"/>
      <c r="P70" s="8"/>
      <c r="Q70" s="8"/>
      <c r="R70" s="8"/>
      <c r="S70" s="8"/>
      <c r="T70" s="65">
        <f>+T67-T65</f>
        <v>-112.19200000000092</v>
      </c>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row>
    <row r="71" spans="1:75" ht="12" customHeight="1" x14ac:dyDescent="0.2">
      <c r="A71" s="49"/>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row>
    <row r="72" spans="1:75" ht="12" customHeight="1" x14ac:dyDescent="0.2">
      <c r="A72" s="4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row>
    <row r="73" spans="1:75" ht="12" customHeight="1" x14ac:dyDescent="0.2">
      <c r="A73" s="4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row>
    <row r="74" spans="1:75" ht="12" customHeight="1" x14ac:dyDescent="0.2">
      <c r="A74" s="4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row>
    <row r="75" spans="1:75" ht="12" customHeight="1" x14ac:dyDescent="0.2">
      <c r="A75" s="49"/>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row>
    <row r="76" spans="1:75" ht="12" customHeight="1" x14ac:dyDescent="0.2">
      <c r="A76" s="4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row>
    <row r="77" spans="1:75" ht="12" customHeight="1" x14ac:dyDescent="0.2">
      <c r="A77" s="4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row>
    <row r="78" spans="1:75" ht="12" customHeight="1" x14ac:dyDescent="0.2">
      <c r="A78" s="4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row>
    <row r="79" spans="1:75" ht="12" customHeight="1" x14ac:dyDescent="0.2">
      <c r="A79" s="4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row>
    <row r="80" spans="1:75" ht="12" customHeight="1" x14ac:dyDescent="0.2">
      <c r="A80" s="4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row>
    <row r="81" spans="1:75" ht="12" customHeight="1" x14ac:dyDescent="0.2">
      <c r="A81" s="4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row>
    <row r="82" spans="1:75" ht="12" customHeight="1" x14ac:dyDescent="0.2">
      <c r="A82" s="4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row>
    <row r="83" spans="1:75" ht="12" customHeight="1" x14ac:dyDescent="0.2">
      <c r="A83" s="4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row>
    <row r="84" spans="1:75" ht="12" customHeight="1" x14ac:dyDescent="0.2">
      <c r="A84" s="4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row>
    <row r="85" spans="1:75" ht="12" customHeight="1" x14ac:dyDescent="0.2">
      <c r="A85" s="4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row>
    <row r="86" spans="1:75" ht="12" customHeight="1" x14ac:dyDescent="0.2">
      <c r="A86" s="4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row>
    <row r="87" spans="1:75" ht="12" customHeight="1" x14ac:dyDescent="0.2">
      <c r="A87" s="4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row>
    <row r="88" spans="1:75" ht="12" customHeight="1" x14ac:dyDescent="0.2">
      <c r="A88" s="49"/>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row>
    <row r="89" spans="1:75" ht="12" customHeight="1" x14ac:dyDescent="0.2">
      <c r="A89" s="4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row>
    <row r="90" spans="1:75" ht="12" customHeight="1" x14ac:dyDescent="0.2">
      <c r="A90" s="49"/>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row>
    <row r="91" spans="1:75" ht="12" customHeight="1" x14ac:dyDescent="0.2">
      <c r="A91" s="49"/>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row>
    <row r="92" spans="1:75" ht="12" customHeight="1" x14ac:dyDescent="0.2">
      <c r="A92" s="49"/>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row>
    <row r="93" spans="1:75" ht="12" customHeight="1" x14ac:dyDescent="0.2">
      <c r="A93" s="49"/>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row>
    <row r="94" spans="1:75" ht="12" customHeight="1" x14ac:dyDescent="0.2">
      <c r="A94" s="49"/>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row>
    <row r="95" spans="1:75" ht="12" customHeight="1" x14ac:dyDescent="0.2">
      <c r="A95" s="4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row>
    <row r="96" spans="1:75" ht="12" customHeight="1" x14ac:dyDescent="0.2">
      <c r="A96" s="4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row>
    <row r="97" spans="1:75" ht="12" customHeight="1" x14ac:dyDescent="0.2">
      <c r="A97" s="4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row>
    <row r="98" spans="1:75" ht="12" customHeight="1" x14ac:dyDescent="0.2">
      <c r="A98" s="4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row>
    <row r="99" spans="1:75" ht="12" customHeight="1" x14ac:dyDescent="0.2">
      <c r="A99" s="4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row>
    <row r="100" spans="1:75" ht="12" customHeight="1" x14ac:dyDescent="0.2">
      <c r="A100" s="4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row>
    <row r="101" spans="1:75" ht="12" customHeight="1" x14ac:dyDescent="0.2">
      <c r="A101" s="4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row>
    <row r="102" spans="1:75" ht="12" customHeight="1" x14ac:dyDescent="0.2">
      <c r="A102" s="4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row>
    <row r="103" spans="1:75" ht="12" customHeight="1" x14ac:dyDescent="0.2">
      <c r="A103" s="4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row>
    <row r="104" spans="1:75" ht="12" customHeight="1" x14ac:dyDescent="0.2">
      <c r="A104" s="4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row>
    <row r="105" spans="1:75" ht="12" customHeight="1" x14ac:dyDescent="0.2">
      <c r="A105" s="4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row>
    <row r="106" spans="1:75" ht="12" customHeight="1" x14ac:dyDescent="0.2">
      <c r="A106" s="4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row>
    <row r="107" spans="1:75" ht="12" customHeight="1" x14ac:dyDescent="0.2">
      <c r="A107" s="4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row>
    <row r="108" spans="1:75" ht="12" customHeight="1" x14ac:dyDescent="0.2">
      <c r="A108" s="4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row>
    <row r="109" spans="1:75" ht="12" customHeight="1" x14ac:dyDescent="0.2">
      <c r="A109" s="4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row>
    <row r="110" spans="1:75" ht="12" customHeight="1" x14ac:dyDescent="0.2">
      <c r="A110" s="4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row>
    <row r="111" spans="1:75" ht="12" customHeight="1" x14ac:dyDescent="0.2">
      <c r="A111" s="4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row>
    <row r="112" spans="1:75" ht="12" customHeight="1" x14ac:dyDescent="0.2">
      <c r="A112" s="4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row>
    <row r="113" spans="1:75" ht="12" customHeight="1" x14ac:dyDescent="0.2">
      <c r="A113" s="4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row>
    <row r="114" spans="1:75" ht="12" customHeight="1" x14ac:dyDescent="0.2">
      <c r="A114" s="49"/>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row>
    <row r="115" spans="1:75" ht="12" customHeight="1" x14ac:dyDescent="0.2">
      <c r="A115" s="4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row>
    <row r="116" spans="1:75" ht="12" customHeight="1" x14ac:dyDescent="0.2">
      <c r="A116" s="49"/>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row>
    <row r="117" spans="1:75" ht="12" customHeight="1" x14ac:dyDescent="0.2">
      <c r="A117" s="49"/>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row>
    <row r="118" spans="1:75" ht="12" customHeight="1" x14ac:dyDescent="0.2">
      <c r="A118" s="49"/>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row>
    <row r="119" spans="1:75" ht="12" customHeight="1" x14ac:dyDescent="0.2">
      <c r="A119" s="49"/>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row>
    <row r="120" spans="1:75" ht="12" customHeight="1" x14ac:dyDescent="0.2">
      <c r="A120" s="4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row>
    <row r="121" spans="1:75" ht="12" customHeight="1" x14ac:dyDescent="0.2">
      <c r="A121" s="4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row>
    <row r="122" spans="1:75" ht="12" customHeight="1" x14ac:dyDescent="0.2">
      <c r="A122" s="4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row>
    <row r="123" spans="1:75" ht="12" customHeight="1" x14ac:dyDescent="0.2">
      <c r="A123" s="4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row>
    <row r="124" spans="1:75" ht="12" customHeight="1" x14ac:dyDescent="0.2">
      <c r="A124" s="4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row>
    <row r="125" spans="1:75" ht="12" customHeight="1" x14ac:dyDescent="0.2">
      <c r="A125" s="4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row>
    <row r="126" spans="1:75" ht="12" customHeight="1" x14ac:dyDescent="0.2">
      <c r="A126" s="4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row>
    <row r="127" spans="1:75" ht="12" customHeight="1" x14ac:dyDescent="0.2">
      <c r="A127" s="4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row>
    <row r="128" spans="1:75" ht="12" customHeight="1" x14ac:dyDescent="0.2">
      <c r="A128" s="4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row>
    <row r="129" spans="1:75" ht="12" customHeight="1" x14ac:dyDescent="0.2">
      <c r="A129" s="4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row>
    <row r="130" spans="1:75" ht="12" customHeight="1" x14ac:dyDescent="0.2">
      <c r="A130" s="4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row>
    <row r="131" spans="1:75" ht="12" customHeight="1" x14ac:dyDescent="0.2">
      <c r="A131" s="4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row>
    <row r="132" spans="1:75" ht="12" customHeight="1" x14ac:dyDescent="0.2">
      <c r="A132" s="4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row>
    <row r="133" spans="1:75" ht="12" customHeight="1" x14ac:dyDescent="0.2">
      <c r="A133" s="49"/>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row>
    <row r="134" spans="1:75" ht="12" customHeight="1" x14ac:dyDescent="0.2">
      <c r="A134" s="49"/>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row>
    <row r="135" spans="1:75" ht="12" customHeight="1" x14ac:dyDescent="0.2">
      <c r="A135" s="49"/>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row>
    <row r="136" spans="1:75" ht="12" customHeight="1" x14ac:dyDescent="0.2">
      <c r="A136" s="49"/>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row>
    <row r="137" spans="1:75" ht="12" customHeight="1" x14ac:dyDescent="0.2">
      <c r="A137" s="49"/>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row>
    <row r="138" spans="1:75" ht="12" customHeight="1" x14ac:dyDescent="0.2">
      <c r="A138" s="49"/>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row>
    <row r="139" spans="1:75" ht="12" customHeight="1" x14ac:dyDescent="0.2">
      <c r="A139" s="4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row>
    <row r="140" spans="1:75" ht="12" customHeight="1" x14ac:dyDescent="0.2">
      <c r="A140" s="4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row>
    <row r="141" spans="1:75" ht="12" customHeight="1" x14ac:dyDescent="0.2">
      <c r="A141" s="4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row>
    <row r="142" spans="1:75" ht="12" customHeight="1" x14ac:dyDescent="0.2">
      <c r="A142" s="4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row>
    <row r="143" spans="1:75" ht="12" customHeight="1" x14ac:dyDescent="0.2">
      <c r="A143" s="4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row>
    <row r="144" spans="1:75" ht="12" customHeight="1" x14ac:dyDescent="0.2">
      <c r="A144" s="4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row>
    <row r="145" spans="1:75" ht="12" customHeight="1" x14ac:dyDescent="0.2">
      <c r="A145" s="4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row>
    <row r="146" spans="1:75" ht="12" customHeight="1" x14ac:dyDescent="0.2">
      <c r="A146" s="4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row>
    <row r="147" spans="1:75" ht="12" customHeight="1" x14ac:dyDescent="0.2">
      <c r="A147" s="4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row>
    <row r="148" spans="1:75" ht="12" customHeight="1" x14ac:dyDescent="0.2">
      <c r="A148" s="4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row>
    <row r="149" spans="1:75" ht="12" customHeight="1" x14ac:dyDescent="0.2">
      <c r="A149" s="4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row>
    <row r="150" spans="1:75" ht="12" customHeight="1" x14ac:dyDescent="0.2">
      <c r="A150" s="4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row>
    <row r="151" spans="1:75" ht="12" customHeight="1" x14ac:dyDescent="0.2">
      <c r="A151" s="4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row>
    <row r="152" spans="1:75" ht="12" customHeight="1" x14ac:dyDescent="0.2">
      <c r="A152" s="4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row>
    <row r="153" spans="1:75" ht="12" customHeight="1" x14ac:dyDescent="0.2">
      <c r="A153" s="4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row>
    <row r="154" spans="1:75" ht="12" customHeight="1" x14ac:dyDescent="0.2">
      <c r="A154" s="49"/>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row>
    <row r="155" spans="1:75" ht="12" customHeight="1" x14ac:dyDescent="0.2">
      <c r="A155" s="4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row>
    <row r="156" spans="1:75" ht="12" customHeight="1" x14ac:dyDescent="0.2">
      <c r="A156" s="4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row>
    <row r="157" spans="1:75" ht="12" customHeight="1" x14ac:dyDescent="0.2">
      <c r="A157" s="49"/>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row>
    <row r="158" spans="1:75" ht="12" customHeight="1" x14ac:dyDescent="0.2">
      <c r="A158" s="4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row>
    <row r="159" spans="1:75" ht="12" customHeight="1" x14ac:dyDescent="0.2">
      <c r="A159" s="49"/>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row>
    <row r="160" spans="1:75" ht="12" customHeight="1" x14ac:dyDescent="0.2">
      <c r="A160" s="49"/>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row>
    <row r="161" spans="1:75" ht="12" customHeight="1" x14ac:dyDescent="0.2">
      <c r="A161" s="4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row>
    <row r="162" spans="1:75" ht="12" customHeight="1" x14ac:dyDescent="0.2">
      <c r="A162" s="4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row>
    <row r="163" spans="1:75" ht="12" customHeight="1" x14ac:dyDescent="0.2">
      <c r="A163" s="4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row>
    <row r="164" spans="1:75" ht="12" customHeight="1" x14ac:dyDescent="0.2">
      <c r="A164" s="4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row>
    <row r="165" spans="1:75" ht="12" customHeight="1" x14ac:dyDescent="0.2">
      <c r="A165" s="4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row>
    <row r="166" spans="1:75" ht="12" customHeight="1" x14ac:dyDescent="0.2">
      <c r="A166" s="4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row>
    <row r="167" spans="1:75" ht="12" customHeight="1" x14ac:dyDescent="0.2">
      <c r="A167" s="4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row>
    <row r="168" spans="1:75" ht="12" customHeight="1" x14ac:dyDescent="0.2">
      <c r="A168" s="4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row>
    <row r="169" spans="1:75" ht="12" customHeight="1" x14ac:dyDescent="0.2">
      <c r="A169" s="4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row>
    <row r="170" spans="1:75" ht="12" customHeight="1" x14ac:dyDescent="0.2">
      <c r="A170" s="4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row>
    <row r="171" spans="1:75" ht="12" customHeight="1" x14ac:dyDescent="0.2">
      <c r="A171" s="4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row>
    <row r="172" spans="1:75" ht="12" customHeight="1" x14ac:dyDescent="0.2">
      <c r="A172" s="4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row>
    <row r="173" spans="1:75" ht="12" customHeight="1" x14ac:dyDescent="0.2">
      <c r="A173" s="4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row>
    <row r="174" spans="1:75" ht="12" customHeight="1" x14ac:dyDescent="0.2">
      <c r="A174" s="4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row>
    <row r="175" spans="1:75" ht="12" customHeight="1" x14ac:dyDescent="0.2">
      <c r="A175" s="4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row>
    <row r="176" spans="1:75" ht="12" customHeight="1" x14ac:dyDescent="0.2">
      <c r="A176" s="49"/>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row>
    <row r="177" spans="1:75" ht="12" customHeight="1" x14ac:dyDescent="0.2">
      <c r="A177" s="49"/>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row>
    <row r="178" spans="1:75" ht="12" customHeight="1" x14ac:dyDescent="0.2">
      <c r="A178" s="49"/>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row>
    <row r="179" spans="1:75" ht="12" customHeight="1" x14ac:dyDescent="0.2">
      <c r="A179" s="49"/>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row>
    <row r="180" spans="1:75" ht="12" customHeight="1" x14ac:dyDescent="0.2">
      <c r="A180" s="49"/>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row>
    <row r="181" spans="1:75" ht="12" customHeight="1" x14ac:dyDescent="0.2">
      <c r="A181" s="49"/>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row>
    <row r="182" spans="1:75" ht="12" customHeight="1" x14ac:dyDescent="0.2">
      <c r="A182" s="49"/>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row>
    <row r="183" spans="1:75" ht="12" customHeight="1" x14ac:dyDescent="0.2">
      <c r="A183" s="49"/>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row>
    <row r="184" spans="1:75" ht="12" customHeight="1" x14ac:dyDescent="0.2">
      <c r="A184" s="49"/>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row>
    <row r="185" spans="1:75" ht="12" customHeight="1" x14ac:dyDescent="0.2">
      <c r="A185" s="49"/>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row>
    <row r="186" spans="1:75" ht="12" customHeight="1" x14ac:dyDescent="0.2">
      <c r="A186" s="49"/>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row>
    <row r="187" spans="1:75" ht="12" customHeight="1" x14ac:dyDescent="0.2">
      <c r="A187" s="49"/>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row>
    <row r="188" spans="1:75" ht="12" customHeight="1" x14ac:dyDescent="0.2">
      <c r="A188" s="49"/>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row>
    <row r="189" spans="1:75" ht="12" customHeight="1" x14ac:dyDescent="0.2">
      <c r="A189" s="49"/>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row>
    <row r="190" spans="1:75" ht="12" customHeight="1" x14ac:dyDescent="0.2">
      <c r="A190" s="49"/>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row>
    <row r="191" spans="1:75" ht="12" customHeight="1" x14ac:dyDescent="0.2">
      <c r="A191" s="49"/>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row>
    <row r="192" spans="1:75" ht="12" customHeight="1" x14ac:dyDescent="0.2">
      <c r="A192" s="49"/>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row>
    <row r="193" spans="1:75" ht="12" customHeight="1" x14ac:dyDescent="0.2">
      <c r="A193" s="49"/>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row>
    <row r="194" spans="1:75" ht="12" customHeight="1" x14ac:dyDescent="0.2">
      <c r="A194" s="49"/>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row>
    <row r="195" spans="1:75" ht="12" customHeight="1" x14ac:dyDescent="0.2">
      <c r="A195" s="49"/>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row>
    <row r="196" spans="1:75" ht="12" customHeight="1" x14ac:dyDescent="0.2">
      <c r="A196" s="49"/>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row>
    <row r="197" spans="1:75" ht="12" customHeight="1" x14ac:dyDescent="0.2">
      <c r="A197" s="49"/>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row>
    <row r="198" spans="1:75" ht="12" customHeight="1" x14ac:dyDescent="0.2">
      <c r="A198" s="49"/>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row>
    <row r="199" spans="1:75" ht="12" customHeight="1" x14ac:dyDescent="0.2">
      <c r="A199" s="49"/>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row>
    <row r="200" spans="1:75" ht="12" customHeight="1" x14ac:dyDescent="0.2">
      <c r="A200" s="49"/>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row>
    <row r="201" spans="1:75" ht="12" customHeight="1" x14ac:dyDescent="0.2">
      <c r="A201" s="49"/>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row>
    <row r="202" spans="1:75" ht="12" customHeight="1" x14ac:dyDescent="0.2">
      <c r="A202" s="49"/>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row>
    <row r="203" spans="1:75" ht="12" customHeight="1" x14ac:dyDescent="0.2">
      <c r="A203" s="49"/>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row>
    <row r="204" spans="1:75" ht="12" customHeight="1" x14ac:dyDescent="0.2">
      <c r="A204" s="49"/>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row>
    <row r="205" spans="1:75" ht="12" customHeight="1" x14ac:dyDescent="0.2">
      <c r="A205" s="49"/>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row>
    <row r="206" spans="1:75" ht="12" customHeight="1" x14ac:dyDescent="0.2">
      <c r="A206" s="49"/>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row>
    <row r="207" spans="1:75" ht="12" customHeight="1" x14ac:dyDescent="0.2">
      <c r="A207" s="49"/>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row>
    <row r="208" spans="1:75" ht="12" customHeight="1" x14ac:dyDescent="0.2">
      <c r="A208" s="49"/>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row>
    <row r="209" spans="1:75" ht="12" customHeight="1" x14ac:dyDescent="0.2">
      <c r="A209" s="49"/>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row>
    <row r="210" spans="1:75" ht="12" customHeight="1" x14ac:dyDescent="0.2">
      <c r="A210" s="49"/>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row>
    <row r="211" spans="1:75" ht="12" customHeight="1" x14ac:dyDescent="0.2">
      <c r="A211" s="49"/>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row>
    <row r="212" spans="1:75" ht="12" customHeight="1" x14ac:dyDescent="0.2">
      <c r="A212" s="49"/>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row>
    <row r="213" spans="1:75" ht="12" customHeight="1" x14ac:dyDescent="0.2">
      <c r="A213" s="49"/>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row>
    <row r="214" spans="1:75" ht="12" customHeight="1" x14ac:dyDescent="0.2">
      <c r="A214" s="49"/>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row>
    <row r="215" spans="1:75" ht="12" customHeight="1" x14ac:dyDescent="0.2">
      <c r="A215" s="49"/>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row>
    <row r="216" spans="1:75" ht="12" customHeight="1" x14ac:dyDescent="0.2">
      <c r="A216" s="49"/>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row>
    <row r="217" spans="1:75" ht="12" customHeight="1" x14ac:dyDescent="0.2">
      <c r="A217" s="49"/>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row>
    <row r="218" spans="1:75" ht="12" customHeight="1" x14ac:dyDescent="0.2">
      <c r="A218" s="49"/>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row>
    <row r="219" spans="1:75" ht="12" customHeight="1" x14ac:dyDescent="0.2">
      <c r="A219" s="49"/>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row>
    <row r="220" spans="1:75" ht="12" customHeight="1" x14ac:dyDescent="0.2">
      <c r="A220" s="49"/>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row>
    <row r="221" spans="1:75" ht="12" customHeight="1" x14ac:dyDescent="0.2">
      <c r="A221" s="49"/>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row>
    <row r="222" spans="1:75" ht="12" customHeight="1" x14ac:dyDescent="0.2">
      <c r="A222" s="49"/>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row>
    <row r="223" spans="1:75" ht="12" customHeight="1" x14ac:dyDescent="0.2">
      <c r="A223" s="49"/>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row>
    <row r="224" spans="1:75" ht="12" customHeight="1" x14ac:dyDescent="0.2">
      <c r="A224" s="49"/>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row>
    <row r="225" spans="1:75" ht="12" customHeight="1" x14ac:dyDescent="0.2">
      <c r="A225" s="49"/>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row>
    <row r="226" spans="1:75" ht="12" customHeight="1" x14ac:dyDescent="0.2">
      <c r="A226" s="49"/>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row>
    <row r="227" spans="1:75" ht="12" customHeight="1" x14ac:dyDescent="0.2">
      <c r="A227" s="49"/>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row>
    <row r="228" spans="1:75" ht="12" customHeight="1" x14ac:dyDescent="0.2">
      <c r="A228" s="49"/>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row>
    <row r="229" spans="1:75" ht="12" customHeight="1" x14ac:dyDescent="0.2">
      <c r="A229" s="49"/>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row>
    <row r="230" spans="1:75" ht="12" customHeight="1" x14ac:dyDescent="0.2">
      <c r="A230" s="49"/>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row>
    <row r="231" spans="1:75" ht="12" customHeight="1" x14ac:dyDescent="0.2">
      <c r="A231" s="49"/>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row>
    <row r="232" spans="1:75" ht="12" customHeight="1" x14ac:dyDescent="0.2">
      <c r="A232" s="49"/>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row>
    <row r="233" spans="1:75" ht="12" customHeight="1" x14ac:dyDescent="0.2">
      <c r="A233" s="49"/>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row>
    <row r="234" spans="1:75" ht="12" customHeight="1" x14ac:dyDescent="0.2">
      <c r="A234" s="49"/>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row>
    <row r="235" spans="1:75" ht="12" customHeight="1" x14ac:dyDescent="0.2">
      <c r="A235" s="49"/>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row>
    <row r="236" spans="1:75" ht="12" customHeight="1" x14ac:dyDescent="0.2">
      <c r="A236" s="49"/>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row>
    <row r="237" spans="1:75" ht="12" customHeight="1" x14ac:dyDescent="0.2">
      <c r="A237" s="49"/>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row>
    <row r="238" spans="1:75" ht="12" customHeight="1" x14ac:dyDescent="0.2">
      <c r="A238" s="49"/>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row>
    <row r="239" spans="1:75" ht="12" customHeight="1" x14ac:dyDescent="0.2">
      <c r="A239" s="49"/>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row>
    <row r="240" spans="1:75" ht="12" customHeight="1" x14ac:dyDescent="0.2">
      <c r="A240" s="49"/>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row>
    <row r="241" spans="1:75" ht="12" customHeight="1" x14ac:dyDescent="0.2">
      <c r="A241" s="49"/>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row>
    <row r="242" spans="1:75" ht="12" customHeight="1" x14ac:dyDescent="0.2">
      <c r="A242" s="49"/>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row>
    <row r="243" spans="1:75" ht="12" customHeight="1" x14ac:dyDescent="0.2">
      <c r="A243" s="49"/>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row>
    <row r="244" spans="1:75" ht="12" customHeight="1" x14ac:dyDescent="0.2">
      <c r="A244" s="49"/>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row>
    <row r="245" spans="1:75" ht="12" customHeight="1" x14ac:dyDescent="0.2">
      <c r="A245" s="49"/>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row>
    <row r="246" spans="1:75" ht="12" customHeight="1" x14ac:dyDescent="0.2">
      <c r="A246" s="49"/>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row>
    <row r="247" spans="1:75" ht="12" customHeight="1" x14ac:dyDescent="0.2">
      <c r="A247" s="49"/>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row>
    <row r="248" spans="1:75" ht="12" customHeight="1" x14ac:dyDescent="0.2">
      <c r="A248" s="49"/>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row>
    <row r="249" spans="1:75" ht="12" customHeight="1" x14ac:dyDescent="0.2">
      <c r="A249" s="49"/>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row>
    <row r="250" spans="1:75" ht="12" customHeight="1" x14ac:dyDescent="0.2">
      <c r="A250" s="49"/>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row>
    <row r="251" spans="1:75" ht="12" customHeight="1" x14ac:dyDescent="0.2">
      <c r="A251" s="49"/>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row>
    <row r="252" spans="1:75" ht="12" customHeight="1" x14ac:dyDescent="0.2">
      <c r="A252" s="49"/>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row>
    <row r="253" spans="1:75" ht="12" customHeight="1" x14ac:dyDescent="0.2">
      <c r="A253" s="49"/>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row>
    <row r="254" spans="1:75" ht="12" customHeight="1" x14ac:dyDescent="0.2">
      <c r="A254" s="49"/>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row>
    <row r="255" spans="1:75" ht="12" customHeight="1" x14ac:dyDescent="0.2">
      <c r="A255" s="49"/>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row>
    <row r="256" spans="1:75" ht="12" customHeight="1" x14ac:dyDescent="0.2">
      <c r="A256" s="49"/>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row>
    <row r="257" spans="1:75" ht="12" customHeight="1" x14ac:dyDescent="0.2">
      <c r="A257" s="49"/>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row>
    <row r="258" spans="1:75" ht="12" customHeight="1" x14ac:dyDescent="0.2">
      <c r="A258" s="49"/>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row>
    <row r="259" spans="1:75" ht="12" customHeight="1" x14ac:dyDescent="0.2">
      <c r="A259" s="49"/>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row>
    <row r="260" spans="1:75" ht="12" customHeight="1" x14ac:dyDescent="0.2">
      <c r="A260" s="49"/>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row>
    <row r="261" spans="1:75" ht="12" customHeight="1" x14ac:dyDescent="0.2">
      <c r="A261" s="49"/>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row>
    <row r="262" spans="1:75" ht="12" customHeight="1" x14ac:dyDescent="0.2">
      <c r="A262" s="49"/>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row>
    <row r="263" spans="1:75" ht="12" customHeight="1" x14ac:dyDescent="0.2">
      <c r="A263" s="49"/>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row>
    <row r="264" spans="1:75" ht="12" customHeight="1" x14ac:dyDescent="0.2">
      <c r="A264" s="49"/>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row>
    <row r="265" spans="1:75" ht="12" customHeight="1" x14ac:dyDescent="0.2">
      <c r="A265" s="49"/>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row>
    <row r="266" spans="1:75" ht="12" customHeight="1" x14ac:dyDescent="0.2">
      <c r="A266" s="49"/>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row>
    <row r="267" spans="1:75" ht="12" customHeight="1" x14ac:dyDescent="0.2">
      <c r="A267" s="49"/>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row>
    <row r="268" spans="1:75" ht="12" customHeight="1" x14ac:dyDescent="0.2">
      <c r="A268" s="49"/>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row>
    <row r="269" spans="1:75" ht="12" customHeight="1" x14ac:dyDescent="0.2">
      <c r="A269" s="49"/>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row>
    <row r="270" spans="1:75" ht="12" customHeight="1" x14ac:dyDescent="0.2">
      <c r="A270" s="49"/>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row>
    <row r="271" spans="1:75" ht="12" customHeight="1" x14ac:dyDescent="0.2">
      <c r="A271" s="49"/>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row>
    <row r="272" spans="1:75" ht="12" customHeight="1" x14ac:dyDescent="0.2">
      <c r="A272" s="49"/>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row>
    <row r="273" spans="1:75" ht="12" customHeight="1" x14ac:dyDescent="0.2">
      <c r="A273" s="49"/>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row>
    <row r="274" spans="1:75" ht="12" customHeight="1" x14ac:dyDescent="0.2">
      <c r="A274" s="49"/>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row>
    <row r="275" spans="1:75" ht="12" customHeight="1" x14ac:dyDescent="0.2">
      <c r="A275" s="49"/>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row>
    <row r="276" spans="1:75" ht="12" customHeight="1" x14ac:dyDescent="0.2">
      <c r="A276" s="49"/>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row>
    <row r="277" spans="1:75" ht="12" customHeight="1" x14ac:dyDescent="0.2">
      <c r="A277" s="49"/>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row>
    <row r="278" spans="1:75" ht="12" customHeight="1" x14ac:dyDescent="0.2">
      <c r="A278" s="49"/>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row>
    <row r="279" spans="1:75" ht="12" customHeight="1" x14ac:dyDescent="0.2">
      <c r="A279" s="49"/>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row>
    <row r="280" spans="1:75" ht="12" customHeight="1" x14ac:dyDescent="0.2">
      <c r="A280" s="49"/>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row>
    <row r="281" spans="1:75" ht="12" customHeight="1" x14ac:dyDescent="0.2">
      <c r="A281" s="49"/>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row>
    <row r="282" spans="1:75" ht="12" customHeight="1" x14ac:dyDescent="0.2">
      <c r="A282" s="49"/>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row>
    <row r="283" spans="1:75" ht="12" customHeight="1" x14ac:dyDescent="0.2">
      <c r="A283" s="49"/>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row>
    <row r="284" spans="1:75" ht="12" customHeight="1" x14ac:dyDescent="0.2">
      <c r="A284" s="49"/>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row>
    <row r="285" spans="1:75" ht="12" customHeight="1" x14ac:dyDescent="0.2">
      <c r="A285" s="49"/>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row>
    <row r="286" spans="1:75" ht="12" customHeight="1" x14ac:dyDescent="0.2">
      <c r="A286" s="49"/>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row>
    <row r="287" spans="1:75" ht="12" customHeight="1" x14ac:dyDescent="0.2">
      <c r="A287" s="49"/>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row>
    <row r="288" spans="1:75" ht="12" customHeight="1" x14ac:dyDescent="0.2">
      <c r="A288" s="49"/>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row>
    <row r="289" spans="1:75" ht="12" customHeight="1" x14ac:dyDescent="0.2">
      <c r="A289" s="49"/>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row>
    <row r="290" spans="1:75" ht="12" customHeight="1" x14ac:dyDescent="0.2">
      <c r="A290" s="49"/>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row>
    <row r="291" spans="1:75" ht="12" customHeight="1" x14ac:dyDescent="0.2">
      <c r="A291" s="49"/>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row>
    <row r="292" spans="1:75" ht="12" customHeight="1" x14ac:dyDescent="0.2">
      <c r="A292" s="49"/>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row>
    <row r="293" spans="1:75" ht="12" customHeight="1" x14ac:dyDescent="0.2">
      <c r="A293" s="49"/>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row>
    <row r="294" spans="1:75" ht="12" customHeight="1" x14ac:dyDescent="0.2">
      <c r="A294" s="49"/>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row>
    <row r="295" spans="1:75" ht="12" customHeight="1" x14ac:dyDescent="0.2">
      <c r="A295" s="49"/>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row>
    <row r="296" spans="1:75" ht="12" customHeight="1" x14ac:dyDescent="0.2">
      <c r="A296" s="49"/>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row>
    <row r="297" spans="1:75" ht="12" customHeight="1" x14ac:dyDescent="0.2">
      <c r="A297" s="49"/>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row>
    <row r="298" spans="1:75" ht="12" customHeight="1" x14ac:dyDescent="0.2">
      <c r="A298" s="49"/>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row>
    <row r="299" spans="1:75" ht="12" customHeight="1" x14ac:dyDescent="0.2">
      <c r="A299" s="49"/>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row>
    <row r="300" spans="1:75" ht="12" customHeight="1" x14ac:dyDescent="0.2">
      <c r="A300" s="49"/>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row>
    <row r="301" spans="1:75" ht="12" customHeight="1" x14ac:dyDescent="0.2">
      <c r="A301" s="49"/>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row>
    <row r="302" spans="1:75" ht="12" customHeight="1" x14ac:dyDescent="0.2">
      <c r="A302" s="49"/>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row>
    <row r="303" spans="1:75" ht="12" customHeight="1" x14ac:dyDescent="0.2">
      <c r="A303" s="49"/>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row>
    <row r="304" spans="1:75" ht="12" customHeight="1" x14ac:dyDescent="0.2">
      <c r="A304" s="49"/>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row>
    <row r="305" spans="1:75" ht="12" customHeight="1" x14ac:dyDescent="0.2">
      <c r="A305" s="49"/>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row>
    <row r="306" spans="1:75" ht="12" customHeight="1" x14ac:dyDescent="0.2">
      <c r="A306" s="49"/>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row>
    <row r="307" spans="1:75" ht="12" customHeight="1" x14ac:dyDescent="0.2">
      <c r="A307" s="49"/>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row>
    <row r="308" spans="1:75" ht="12" customHeight="1" x14ac:dyDescent="0.2">
      <c r="A308" s="49"/>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row>
    <row r="309" spans="1:75" ht="12" customHeight="1" x14ac:dyDescent="0.2">
      <c r="A309" s="49"/>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row>
    <row r="310" spans="1:75" ht="12" customHeight="1" x14ac:dyDescent="0.2">
      <c r="A310" s="49"/>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row>
    <row r="311" spans="1:75" ht="12" customHeight="1" x14ac:dyDescent="0.2">
      <c r="A311" s="49"/>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row>
    <row r="312" spans="1:75" ht="12" customHeight="1" x14ac:dyDescent="0.2">
      <c r="A312" s="49"/>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row>
    <row r="313" spans="1:75" ht="12" customHeight="1" x14ac:dyDescent="0.2">
      <c r="A313" s="49"/>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row>
    <row r="314" spans="1:75" ht="12" customHeight="1" x14ac:dyDescent="0.2">
      <c r="A314" s="49"/>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row>
    <row r="315" spans="1:75" ht="12" customHeight="1" x14ac:dyDescent="0.2">
      <c r="A315" s="49"/>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row>
    <row r="316" spans="1:75" ht="12" customHeight="1" x14ac:dyDescent="0.2">
      <c r="A316" s="49"/>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row>
    <row r="317" spans="1:75" ht="12" customHeight="1" x14ac:dyDescent="0.2">
      <c r="A317" s="49"/>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row>
    <row r="318" spans="1:75" ht="12" customHeight="1" x14ac:dyDescent="0.2">
      <c r="A318" s="49"/>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row>
    <row r="319" spans="1:75" ht="12" customHeight="1" x14ac:dyDescent="0.2">
      <c r="A319" s="49"/>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row>
    <row r="320" spans="1:75" ht="12" customHeight="1" x14ac:dyDescent="0.2">
      <c r="A320" s="49"/>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row>
    <row r="321" spans="1:75" ht="12" customHeight="1" x14ac:dyDescent="0.2">
      <c r="A321" s="49"/>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row>
    <row r="322" spans="1:75" ht="12" customHeight="1" x14ac:dyDescent="0.2">
      <c r="A322" s="49"/>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row>
    <row r="323" spans="1:75" ht="12" customHeight="1" x14ac:dyDescent="0.2">
      <c r="A323" s="49"/>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row>
    <row r="324" spans="1:75" ht="12" customHeight="1" x14ac:dyDescent="0.2">
      <c r="A324" s="49"/>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row>
    <row r="325" spans="1:75" ht="12" customHeight="1" x14ac:dyDescent="0.2">
      <c r="A325" s="49"/>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row>
    <row r="326" spans="1:75" ht="12" customHeight="1" x14ac:dyDescent="0.2">
      <c r="A326" s="49"/>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row>
    <row r="327" spans="1:75" ht="12" customHeight="1" x14ac:dyDescent="0.2">
      <c r="A327" s="49"/>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row>
    <row r="328" spans="1:75" ht="12" customHeight="1" x14ac:dyDescent="0.2">
      <c r="A328" s="49"/>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row>
    <row r="329" spans="1:75" ht="12" customHeight="1" x14ac:dyDescent="0.2">
      <c r="A329" s="49"/>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row>
    <row r="330" spans="1:75" ht="12" customHeight="1" x14ac:dyDescent="0.2">
      <c r="A330" s="49"/>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row>
    <row r="331" spans="1:75" ht="12" customHeight="1" x14ac:dyDescent="0.2">
      <c r="A331" s="49"/>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row>
    <row r="332" spans="1:75" ht="12" customHeight="1" x14ac:dyDescent="0.2">
      <c r="A332" s="49"/>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row>
    <row r="333" spans="1:75" ht="12" customHeight="1" x14ac:dyDescent="0.2">
      <c r="A333" s="49"/>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row>
    <row r="334" spans="1:75" ht="12" customHeight="1" x14ac:dyDescent="0.2">
      <c r="A334" s="49"/>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row>
    <row r="335" spans="1:75" ht="12" customHeight="1" x14ac:dyDescent="0.2">
      <c r="A335" s="49"/>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row>
    <row r="336" spans="1:75" ht="12" customHeight="1" x14ac:dyDescent="0.2">
      <c r="A336" s="49"/>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row>
    <row r="337" spans="1:75" ht="12" customHeight="1" x14ac:dyDescent="0.2">
      <c r="A337" s="49"/>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row>
    <row r="338" spans="1:75" ht="12" customHeight="1" x14ac:dyDescent="0.2">
      <c r="A338" s="49"/>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row>
    <row r="339" spans="1:75" ht="12" customHeight="1" x14ac:dyDescent="0.2">
      <c r="A339" s="49"/>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row>
    <row r="340" spans="1:75" ht="12" customHeight="1" x14ac:dyDescent="0.2">
      <c r="A340" s="49"/>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row>
    <row r="341" spans="1:75" ht="12" customHeight="1" x14ac:dyDescent="0.2">
      <c r="A341" s="49"/>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row>
    <row r="342" spans="1:75" ht="12" customHeight="1" x14ac:dyDescent="0.2">
      <c r="A342" s="49"/>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row>
    <row r="343" spans="1:75" ht="12" customHeight="1" x14ac:dyDescent="0.2">
      <c r="A343" s="49"/>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row>
    <row r="344" spans="1:75" ht="12" customHeight="1" x14ac:dyDescent="0.2">
      <c r="A344" s="49"/>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row>
    <row r="345" spans="1:75" ht="12" customHeight="1" x14ac:dyDescent="0.2">
      <c r="A345" s="49"/>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row>
    <row r="346" spans="1:75" ht="12" customHeight="1" x14ac:dyDescent="0.2">
      <c r="A346" s="49"/>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row>
    <row r="347" spans="1:75" ht="12" customHeight="1" x14ac:dyDescent="0.2">
      <c r="A347" s="49"/>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row>
    <row r="348" spans="1:75" ht="12" customHeight="1" x14ac:dyDescent="0.2">
      <c r="A348" s="49"/>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row>
    <row r="349" spans="1:75" ht="12" customHeight="1" x14ac:dyDescent="0.2">
      <c r="A349" s="49"/>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row>
    <row r="350" spans="1:75" ht="12" customHeight="1" x14ac:dyDescent="0.2">
      <c r="A350" s="49"/>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row>
    <row r="351" spans="1:75" ht="12" customHeight="1" x14ac:dyDescent="0.2">
      <c r="A351" s="49"/>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row>
    <row r="352" spans="1:75" ht="12" customHeight="1" x14ac:dyDescent="0.2">
      <c r="A352" s="49"/>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row>
    <row r="353" spans="1:75" ht="12" customHeight="1" x14ac:dyDescent="0.2">
      <c r="A353" s="49"/>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row>
    <row r="354" spans="1:75" ht="12" customHeight="1" x14ac:dyDescent="0.2">
      <c r="A354" s="49"/>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row>
    <row r="355" spans="1:75" ht="12" customHeight="1" x14ac:dyDescent="0.2">
      <c r="A355" s="49"/>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row>
    <row r="356" spans="1:75" ht="12" customHeight="1" x14ac:dyDescent="0.2">
      <c r="A356" s="49"/>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row>
    <row r="357" spans="1:75" ht="12" customHeight="1" x14ac:dyDescent="0.2">
      <c r="A357" s="49"/>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row>
    <row r="358" spans="1:75" ht="12" customHeight="1" x14ac:dyDescent="0.2">
      <c r="A358" s="49"/>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row>
    <row r="359" spans="1:75" ht="12" customHeight="1" x14ac:dyDescent="0.2">
      <c r="A359" s="49"/>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row>
    <row r="360" spans="1:75" ht="12" customHeight="1" x14ac:dyDescent="0.2">
      <c r="A360" s="49"/>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row>
    <row r="361" spans="1:75" ht="12" customHeight="1" x14ac:dyDescent="0.2">
      <c r="A361" s="49"/>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row>
    <row r="362" spans="1:75" ht="12" customHeight="1" x14ac:dyDescent="0.2">
      <c r="A362" s="49"/>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row>
    <row r="363" spans="1:75" ht="12" customHeight="1" x14ac:dyDescent="0.2">
      <c r="A363" s="49"/>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row>
    <row r="364" spans="1:75" ht="12" customHeight="1" x14ac:dyDescent="0.2">
      <c r="A364" s="49"/>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row>
    <row r="365" spans="1:75" ht="12" customHeight="1" x14ac:dyDescent="0.2">
      <c r="A365" s="49"/>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row>
    <row r="366" spans="1:75" ht="12" customHeight="1" x14ac:dyDescent="0.2">
      <c r="A366" s="49"/>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row>
    <row r="367" spans="1:75" ht="12" customHeight="1" x14ac:dyDescent="0.2">
      <c r="A367" s="49"/>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row>
    <row r="368" spans="1:75" ht="12" customHeight="1" x14ac:dyDescent="0.2">
      <c r="A368" s="49"/>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row>
    <row r="369" spans="1:75" ht="12" customHeight="1" x14ac:dyDescent="0.2">
      <c r="A369" s="49"/>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row>
    <row r="370" spans="1:75" ht="12" customHeight="1" x14ac:dyDescent="0.2">
      <c r="A370" s="49"/>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row>
    <row r="371" spans="1:75" ht="12" customHeight="1" x14ac:dyDescent="0.2">
      <c r="A371" s="49"/>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row>
    <row r="372" spans="1:75" ht="12" customHeight="1" x14ac:dyDescent="0.2">
      <c r="A372" s="49"/>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row>
    <row r="373" spans="1:75" ht="12" customHeight="1" x14ac:dyDescent="0.2">
      <c r="A373" s="49"/>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row>
    <row r="374" spans="1:75" ht="12" customHeight="1" x14ac:dyDescent="0.2">
      <c r="A374" s="49"/>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row>
    <row r="375" spans="1:75" ht="12" customHeight="1" x14ac:dyDescent="0.2">
      <c r="A375" s="49"/>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row>
    <row r="376" spans="1:75" ht="12" customHeight="1" x14ac:dyDescent="0.2">
      <c r="A376" s="49"/>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row>
    <row r="377" spans="1:75" ht="12" customHeight="1" x14ac:dyDescent="0.2">
      <c r="A377" s="49"/>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row>
    <row r="378" spans="1:75" ht="12" customHeight="1" x14ac:dyDescent="0.2">
      <c r="A378" s="49"/>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row>
    <row r="379" spans="1:75" ht="12" customHeight="1" x14ac:dyDescent="0.2">
      <c r="A379" s="49"/>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row>
    <row r="380" spans="1:75" ht="12" customHeight="1" x14ac:dyDescent="0.2">
      <c r="A380" s="49"/>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row>
    <row r="381" spans="1:75" ht="12" customHeight="1" x14ac:dyDescent="0.2">
      <c r="A381" s="49"/>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row>
    <row r="382" spans="1:75" ht="12" customHeight="1" x14ac:dyDescent="0.2">
      <c r="A382" s="49"/>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row>
    <row r="383" spans="1:75" ht="12" customHeight="1" x14ac:dyDescent="0.2">
      <c r="A383" s="49"/>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row>
    <row r="384" spans="1:75" ht="12" customHeight="1" x14ac:dyDescent="0.2">
      <c r="A384" s="49"/>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row>
    <row r="385" spans="1:75" ht="12" customHeight="1" x14ac:dyDescent="0.2">
      <c r="A385" s="49"/>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row>
    <row r="386" spans="1:75" ht="12" customHeight="1" x14ac:dyDescent="0.2">
      <c r="A386" s="49"/>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row>
    <row r="387" spans="1:75" ht="12" customHeight="1" x14ac:dyDescent="0.2">
      <c r="A387" s="49"/>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row>
    <row r="388" spans="1:75" ht="12" customHeight="1" x14ac:dyDescent="0.2">
      <c r="A388" s="49"/>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row>
    <row r="389" spans="1:75" ht="12" customHeight="1" x14ac:dyDescent="0.2">
      <c r="A389" s="49"/>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row>
    <row r="390" spans="1:75" ht="12" customHeight="1" x14ac:dyDescent="0.2">
      <c r="A390" s="49"/>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row>
    <row r="391" spans="1:75" ht="12" customHeight="1" x14ac:dyDescent="0.2">
      <c r="A391" s="49"/>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row>
    <row r="392" spans="1:75" ht="12" customHeight="1" x14ac:dyDescent="0.2">
      <c r="A392" s="49"/>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row>
    <row r="393" spans="1:75" ht="12" customHeight="1" x14ac:dyDescent="0.2">
      <c r="A393" s="49"/>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row>
    <row r="394" spans="1:75" ht="12" customHeight="1" x14ac:dyDescent="0.2">
      <c r="A394" s="49"/>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row>
    <row r="395" spans="1:75" ht="12" customHeight="1" x14ac:dyDescent="0.2">
      <c r="A395" s="49"/>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row>
    <row r="396" spans="1:75" ht="12" customHeight="1" x14ac:dyDescent="0.2">
      <c r="A396" s="49"/>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row>
    <row r="397" spans="1:75" ht="12" customHeight="1" x14ac:dyDescent="0.2">
      <c r="A397" s="49"/>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row>
    <row r="398" spans="1:75" ht="12" customHeight="1" x14ac:dyDescent="0.2">
      <c r="A398" s="49"/>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row>
    <row r="399" spans="1:75" ht="12" customHeight="1" x14ac:dyDescent="0.2">
      <c r="A399" s="49"/>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row>
    <row r="400" spans="1:75" ht="12" customHeight="1" x14ac:dyDescent="0.2">
      <c r="A400" s="49"/>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row>
    <row r="401" spans="1:75" ht="12" customHeight="1" x14ac:dyDescent="0.2">
      <c r="A401" s="49"/>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row>
    <row r="402" spans="1:75" ht="12" customHeight="1" x14ac:dyDescent="0.2">
      <c r="A402" s="49"/>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row>
    <row r="403" spans="1:75" ht="12" customHeight="1" x14ac:dyDescent="0.2">
      <c r="A403" s="49"/>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row>
    <row r="404" spans="1:75" ht="12" customHeight="1" x14ac:dyDescent="0.2">
      <c r="A404" s="49"/>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row>
    <row r="405" spans="1:75" ht="12" customHeight="1" x14ac:dyDescent="0.2">
      <c r="A405" s="49"/>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row>
    <row r="406" spans="1:75" ht="12" customHeight="1" x14ac:dyDescent="0.2">
      <c r="A406" s="49"/>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row>
    <row r="407" spans="1:75" ht="12" customHeight="1" x14ac:dyDescent="0.2">
      <c r="A407" s="49"/>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row>
    <row r="408" spans="1:75" ht="12" customHeight="1" x14ac:dyDescent="0.2">
      <c r="A408" s="49"/>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row>
    <row r="409" spans="1:75" ht="12" customHeight="1" x14ac:dyDescent="0.2">
      <c r="A409" s="49"/>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row>
    <row r="410" spans="1:75" ht="12" customHeight="1" x14ac:dyDescent="0.2">
      <c r="A410" s="49"/>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row>
    <row r="411" spans="1:75" ht="12" customHeight="1" x14ac:dyDescent="0.2">
      <c r="A411" s="49"/>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row>
    <row r="412" spans="1:75" ht="12" customHeight="1" x14ac:dyDescent="0.2">
      <c r="A412" s="49"/>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row>
    <row r="413" spans="1:75" ht="12" customHeight="1" x14ac:dyDescent="0.2">
      <c r="A413" s="49"/>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row>
    <row r="414" spans="1:75" ht="12" customHeight="1" x14ac:dyDescent="0.2">
      <c r="A414" s="49"/>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row>
    <row r="415" spans="1:75" ht="12" customHeight="1" x14ac:dyDescent="0.2">
      <c r="A415" s="49"/>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row>
    <row r="416" spans="1:75" ht="12" customHeight="1" x14ac:dyDescent="0.2">
      <c r="A416" s="49"/>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row>
    <row r="417" spans="1:75" ht="12" customHeight="1" x14ac:dyDescent="0.2">
      <c r="A417" s="49"/>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row>
    <row r="418" spans="1:75" ht="12" customHeight="1" x14ac:dyDescent="0.2">
      <c r="A418" s="49"/>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row>
    <row r="419" spans="1:75" ht="12" customHeight="1" x14ac:dyDescent="0.2">
      <c r="A419" s="49"/>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row>
    <row r="420" spans="1:75" ht="12" customHeight="1" x14ac:dyDescent="0.2">
      <c r="A420" s="49"/>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row>
    <row r="421" spans="1:75" ht="12" customHeight="1" x14ac:dyDescent="0.2">
      <c r="A421" s="49"/>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row>
    <row r="422" spans="1:75" ht="12" customHeight="1" x14ac:dyDescent="0.2">
      <c r="A422" s="49"/>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row>
    <row r="423" spans="1:75" ht="12" customHeight="1" x14ac:dyDescent="0.2">
      <c r="A423" s="49"/>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row>
    <row r="424" spans="1:75" ht="12" customHeight="1" x14ac:dyDescent="0.2">
      <c r="A424" s="49"/>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row>
    <row r="425" spans="1:75" ht="12" customHeight="1" x14ac:dyDescent="0.2">
      <c r="A425" s="49"/>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row>
    <row r="426" spans="1:75" ht="12" customHeight="1" x14ac:dyDescent="0.2">
      <c r="A426" s="49"/>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row>
    <row r="427" spans="1:75" ht="12" customHeight="1" x14ac:dyDescent="0.2">
      <c r="A427" s="49"/>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row>
    <row r="428" spans="1:75" ht="12" customHeight="1" x14ac:dyDescent="0.2">
      <c r="A428" s="49"/>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row>
    <row r="429" spans="1:75" ht="12" customHeight="1" x14ac:dyDescent="0.2">
      <c r="A429" s="49"/>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row>
    <row r="430" spans="1:75" ht="12" customHeight="1" x14ac:dyDescent="0.2">
      <c r="A430" s="49"/>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row>
    <row r="431" spans="1:75" ht="12" customHeight="1" x14ac:dyDescent="0.2">
      <c r="A431" s="49"/>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row>
    <row r="432" spans="1:75" ht="12" customHeight="1" x14ac:dyDescent="0.2">
      <c r="A432" s="49"/>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row>
    <row r="433" spans="1:75" ht="12" customHeight="1" x14ac:dyDescent="0.2">
      <c r="A433" s="49"/>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row>
    <row r="434" spans="1:75" ht="12" customHeight="1" x14ac:dyDescent="0.2">
      <c r="A434" s="49"/>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row>
    <row r="435" spans="1:75" ht="12" customHeight="1" x14ac:dyDescent="0.2">
      <c r="A435" s="49"/>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row>
    <row r="436" spans="1:75" ht="12" customHeight="1" x14ac:dyDescent="0.2">
      <c r="A436" s="49"/>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row>
    <row r="437" spans="1:75" ht="12" customHeight="1" x14ac:dyDescent="0.2">
      <c r="A437" s="49"/>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row>
    <row r="438" spans="1:75" ht="12" customHeight="1" x14ac:dyDescent="0.2">
      <c r="A438" s="49"/>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row>
    <row r="439" spans="1:75" ht="12" customHeight="1" x14ac:dyDescent="0.2">
      <c r="A439" s="49"/>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row>
    <row r="440" spans="1:75" ht="12" customHeight="1" x14ac:dyDescent="0.2">
      <c r="A440" s="49"/>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row>
    <row r="441" spans="1:75" ht="12" customHeight="1" x14ac:dyDescent="0.2">
      <c r="A441" s="49"/>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row>
    <row r="442" spans="1:75" ht="12" customHeight="1" x14ac:dyDescent="0.2">
      <c r="A442" s="49"/>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row>
    <row r="443" spans="1:75" ht="12" customHeight="1" x14ac:dyDescent="0.2">
      <c r="A443" s="49"/>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row>
    <row r="444" spans="1:75" ht="12" customHeight="1" x14ac:dyDescent="0.2">
      <c r="A444" s="49"/>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row>
    <row r="445" spans="1:75" ht="12" customHeight="1" x14ac:dyDescent="0.2">
      <c r="A445" s="49"/>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row>
    <row r="446" spans="1:75" ht="12" customHeight="1" x14ac:dyDescent="0.2">
      <c r="A446" s="49"/>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row>
    <row r="447" spans="1:75" ht="12" customHeight="1" x14ac:dyDescent="0.2">
      <c r="A447" s="49"/>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row>
    <row r="448" spans="1:75" ht="12" customHeight="1" x14ac:dyDescent="0.2">
      <c r="A448" s="49"/>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row>
    <row r="449" spans="1:75" ht="12" customHeight="1" x14ac:dyDescent="0.2">
      <c r="A449" s="49"/>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row>
    <row r="450" spans="1:75" ht="12" customHeight="1" x14ac:dyDescent="0.2">
      <c r="A450" s="49"/>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row>
    <row r="451" spans="1:75" ht="12" customHeight="1" x14ac:dyDescent="0.2">
      <c r="A451" s="49"/>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row>
    <row r="452" spans="1:75" ht="12" customHeight="1" x14ac:dyDescent="0.2">
      <c r="A452" s="49"/>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row>
    <row r="453" spans="1:75" ht="12" customHeight="1" x14ac:dyDescent="0.2">
      <c r="A453" s="49"/>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row>
    <row r="454" spans="1:75" ht="12" customHeight="1" x14ac:dyDescent="0.2">
      <c r="A454" s="49"/>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row>
    <row r="455" spans="1:75" ht="12" customHeight="1" x14ac:dyDescent="0.2">
      <c r="A455" s="49"/>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row>
    <row r="456" spans="1:75" ht="12" customHeight="1" x14ac:dyDescent="0.2">
      <c r="A456" s="49"/>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row>
    <row r="457" spans="1:75" ht="12" customHeight="1" x14ac:dyDescent="0.2">
      <c r="A457" s="49"/>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row>
    <row r="458" spans="1:75" ht="12" customHeight="1" x14ac:dyDescent="0.2">
      <c r="A458" s="49"/>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row>
    <row r="459" spans="1:75" ht="12" customHeight="1" x14ac:dyDescent="0.2">
      <c r="A459" s="49"/>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row>
    <row r="460" spans="1:75" ht="12" customHeight="1" x14ac:dyDescent="0.2">
      <c r="A460" s="49"/>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row>
    <row r="461" spans="1:75" ht="12" customHeight="1" x14ac:dyDescent="0.2">
      <c r="A461" s="49"/>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row>
    <row r="462" spans="1:75" ht="12" customHeight="1" x14ac:dyDescent="0.2">
      <c r="A462" s="49"/>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row>
    <row r="463" spans="1:75" ht="12" customHeight="1" x14ac:dyDescent="0.2">
      <c r="A463" s="49"/>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row>
    <row r="464" spans="1:75" ht="12" customHeight="1" x14ac:dyDescent="0.2">
      <c r="A464" s="49"/>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row>
    <row r="465" spans="1:75" ht="12" customHeight="1" x14ac:dyDescent="0.2">
      <c r="A465" s="49"/>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row>
    <row r="466" spans="1:75" ht="12" customHeight="1" x14ac:dyDescent="0.2">
      <c r="A466" s="49"/>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row>
    <row r="467" spans="1:75" ht="12" customHeight="1" x14ac:dyDescent="0.2">
      <c r="A467" s="49"/>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row>
    <row r="468" spans="1:75" ht="12" customHeight="1" x14ac:dyDescent="0.2">
      <c r="A468" s="49"/>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row>
    <row r="469" spans="1:75" ht="12" customHeight="1" x14ac:dyDescent="0.2">
      <c r="A469" s="49"/>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row>
    <row r="470" spans="1:75" ht="12" customHeight="1" x14ac:dyDescent="0.2">
      <c r="A470" s="49"/>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row>
    <row r="471" spans="1:75" ht="12" customHeight="1" x14ac:dyDescent="0.2">
      <c r="A471" s="49"/>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row>
    <row r="472" spans="1:75" ht="12" customHeight="1" x14ac:dyDescent="0.2">
      <c r="A472" s="49"/>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row>
    <row r="473" spans="1:75" ht="12" customHeight="1" x14ac:dyDescent="0.2">
      <c r="A473" s="49"/>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row>
    <row r="474" spans="1:75" ht="12" customHeight="1" x14ac:dyDescent="0.2">
      <c r="A474" s="49"/>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row>
    <row r="475" spans="1:75" ht="12" customHeight="1" x14ac:dyDescent="0.2">
      <c r="A475" s="49"/>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row>
    <row r="476" spans="1:75" ht="12" customHeight="1" x14ac:dyDescent="0.2">
      <c r="A476" s="49"/>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row>
    <row r="477" spans="1:75" ht="12" customHeight="1" x14ac:dyDescent="0.2">
      <c r="A477" s="49"/>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row>
    <row r="478" spans="1:75" ht="12" customHeight="1" x14ac:dyDescent="0.2">
      <c r="A478" s="49"/>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row>
    <row r="479" spans="1:75" ht="12" customHeight="1" x14ac:dyDescent="0.2">
      <c r="A479" s="49"/>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row>
    <row r="480" spans="1:75" ht="12" customHeight="1" x14ac:dyDescent="0.2">
      <c r="A480" s="49"/>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row>
    <row r="481" spans="1:75" ht="12" customHeight="1" x14ac:dyDescent="0.2">
      <c r="A481" s="49"/>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row>
    <row r="482" spans="1:75" ht="12" customHeight="1" x14ac:dyDescent="0.2">
      <c r="A482" s="49"/>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row>
    <row r="483" spans="1:75" ht="12" customHeight="1" x14ac:dyDescent="0.2">
      <c r="A483" s="49"/>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row>
    <row r="484" spans="1:75" ht="12" customHeight="1" x14ac:dyDescent="0.2">
      <c r="A484" s="49"/>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row>
    <row r="485" spans="1:75" ht="12" customHeight="1" x14ac:dyDescent="0.2">
      <c r="A485" s="49"/>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row>
    <row r="486" spans="1:75" ht="12" customHeight="1" x14ac:dyDescent="0.2">
      <c r="A486" s="49"/>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row>
    <row r="487" spans="1:75" ht="12" customHeight="1" x14ac:dyDescent="0.2">
      <c r="A487" s="49"/>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row>
    <row r="488" spans="1:75" ht="12" customHeight="1" x14ac:dyDescent="0.2">
      <c r="A488" s="49"/>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row>
    <row r="489" spans="1:75" ht="12" customHeight="1" x14ac:dyDescent="0.2">
      <c r="A489" s="49"/>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row>
    <row r="490" spans="1:75" ht="12" customHeight="1" x14ac:dyDescent="0.2">
      <c r="A490" s="49"/>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row>
    <row r="491" spans="1:75" ht="12" customHeight="1" x14ac:dyDescent="0.2">
      <c r="A491" s="49"/>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row>
    <row r="492" spans="1:75" ht="12" customHeight="1" x14ac:dyDescent="0.2">
      <c r="A492" s="49"/>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row>
    <row r="493" spans="1:75" ht="12" customHeight="1" x14ac:dyDescent="0.2">
      <c r="A493" s="49"/>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row>
    <row r="494" spans="1:75" ht="12" customHeight="1" x14ac:dyDescent="0.2">
      <c r="A494" s="49"/>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row>
    <row r="495" spans="1:75" ht="12" customHeight="1" x14ac:dyDescent="0.2">
      <c r="A495" s="49"/>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row>
    <row r="496" spans="1:75" ht="12" customHeight="1" x14ac:dyDescent="0.2">
      <c r="A496" s="49"/>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row>
    <row r="497" spans="1:75" ht="12" customHeight="1" x14ac:dyDescent="0.2">
      <c r="A497" s="49"/>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row>
    <row r="498" spans="1:75" ht="12" customHeight="1" x14ac:dyDescent="0.2">
      <c r="A498" s="49"/>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row>
    <row r="499" spans="1:75" ht="12" customHeight="1" x14ac:dyDescent="0.2">
      <c r="A499" s="49"/>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row>
    <row r="500" spans="1:75" ht="12" customHeight="1" x14ac:dyDescent="0.2">
      <c r="A500" s="49"/>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row>
    <row r="501" spans="1:75" ht="12" customHeight="1" x14ac:dyDescent="0.2">
      <c r="A501" s="49"/>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row>
    <row r="502" spans="1:75" ht="12" customHeight="1" x14ac:dyDescent="0.2">
      <c r="A502" s="49"/>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row>
    <row r="503" spans="1:75" ht="12" customHeight="1" x14ac:dyDescent="0.2">
      <c r="A503" s="49"/>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row>
    <row r="504" spans="1:75" ht="12" customHeight="1" x14ac:dyDescent="0.2">
      <c r="A504" s="49"/>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row>
    <row r="505" spans="1:75" ht="12" customHeight="1" x14ac:dyDescent="0.2">
      <c r="A505" s="49"/>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row>
    <row r="506" spans="1:75" ht="12" customHeight="1" x14ac:dyDescent="0.2">
      <c r="A506" s="49"/>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row>
    <row r="507" spans="1:75" ht="12" customHeight="1" x14ac:dyDescent="0.2">
      <c r="A507" s="49"/>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row>
    <row r="508" spans="1:75" ht="12" customHeight="1" x14ac:dyDescent="0.2">
      <c r="A508" s="49"/>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row>
    <row r="509" spans="1:75" ht="12" customHeight="1" x14ac:dyDescent="0.2">
      <c r="A509" s="49"/>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row>
    <row r="510" spans="1:75" ht="12" customHeight="1" x14ac:dyDescent="0.2">
      <c r="A510" s="49"/>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row>
    <row r="511" spans="1:75" ht="12" customHeight="1" x14ac:dyDescent="0.2">
      <c r="A511" s="49"/>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row>
    <row r="512" spans="1:75" ht="12" customHeight="1" x14ac:dyDescent="0.2">
      <c r="A512" s="49"/>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row>
    <row r="513" spans="1:75" ht="12" customHeight="1" x14ac:dyDescent="0.2">
      <c r="A513" s="49"/>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row>
    <row r="514" spans="1:75" ht="12" customHeight="1" x14ac:dyDescent="0.2">
      <c r="A514" s="49"/>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row>
    <row r="515" spans="1:75" ht="12" customHeight="1" x14ac:dyDescent="0.2">
      <c r="A515" s="49"/>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row>
    <row r="516" spans="1:75" ht="12" customHeight="1" x14ac:dyDescent="0.2">
      <c r="A516" s="49"/>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row>
    <row r="517" spans="1:75" ht="12" customHeight="1" x14ac:dyDescent="0.2">
      <c r="A517" s="49"/>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row>
    <row r="518" spans="1:75" ht="12" customHeight="1" x14ac:dyDescent="0.2">
      <c r="A518" s="49"/>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row>
    <row r="519" spans="1:75" ht="12" customHeight="1" x14ac:dyDescent="0.2">
      <c r="A519" s="49"/>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row>
    <row r="520" spans="1:75" ht="12" customHeight="1" x14ac:dyDescent="0.2">
      <c r="A520" s="49"/>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row>
    <row r="521" spans="1:75" ht="12" customHeight="1" x14ac:dyDescent="0.2">
      <c r="A521" s="49"/>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row>
    <row r="522" spans="1:75" ht="12" customHeight="1" x14ac:dyDescent="0.2">
      <c r="A522" s="49"/>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c r="BW522" s="8"/>
    </row>
    <row r="523" spans="1:75" ht="12" customHeight="1" x14ac:dyDescent="0.2">
      <c r="A523" s="49"/>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row>
    <row r="524" spans="1:75" ht="12" customHeight="1" x14ac:dyDescent="0.2">
      <c r="A524" s="49"/>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row>
    <row r="525" spans="1:75" ht="12" customHeight="1" x14ac:dyDescent="0.2">
      <c r="A525" s="49"/>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c r="BW525" s="8"/>
    </row>
    <row r="526" spans="1:75" ht="12" customHeight="1" x14ac:dyDescent="0.2">
      <c r="A526" s="49"/>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c r="BU526" s="8"/>
      <c r="BV526" s="8"/>
      <c r="BW526" s="8"/>
    </row>
    <row r="527" spans="1:75" ht="12" customHeight="1" x14ac:dyDescent="0.2">
      <c r="A527" s="49"/>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row>
    <row r="528" spans="1:75" ht="12" customHeight="1" x14ac:dyDescent="0.2">
      <c r="A528" s="49"/>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c r="BU528" s="8"/>
      <c r="BV528" s="8"/>
      <c r="BW528" s="8"/>
    </row>
    <row r="529" spans="1:75" ht="12" customHeight="1" x14ac:dyDescent="0.2">
      <c r="A529" s="49"/>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c r="BW529" s="8"/>
    </row>
    <row r="530" spans="1:75" ht="12" customHeight="1" x14ac:dyDescent="0.2">
      <c r="A530" s="49"/>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c r="BW530" s="8"/>
    </row>
    <row r="531" spans="1:75" ht="12" customHeight="1" x14ac:dyDescent="0.2">
      <c r="A531" s="49"/>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row>
    <row r="532" spans="1:75" ht="12" customHeight="1" x14ac:dyDescent="0.2">
      <c r="A532" s="49"/>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c r="BU532" s="8"/>
      <c r="BV532" s="8"/>
      <c r="BW532" s="8"/>
    </row>
    <row r="533" spans="1:75" ht="12" customHeight="1" x14ac:dyDescent="0.2">
      <c r="A533" s="49"/>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c r="BU533" s="8"/>
      <c r="BV533" s="8"/>
      <c r="BW533" s="8"/>
    </row>
    <row r="534" spans="1:75" ht="12" customHeight="1" x14ac:dyDescent="0.2">
      <c r="A534" s="49"/>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row>
    <row r="535" spans="1:75" ht="12" customHeight="1" x14ac:dyDescent="0.2">
      <c r="A535" s="49"/>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row>
    <row r="536" spans="1:75" ht="12" customHeight="1" x14ac:dyDescent="0.2">
      <c r="A536" s="49"/>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c r="BW536" s="8"/>
    </row>
    <row r="537" spans="1:75" ht="12" customHeight="1" x14ac:dyDescent="0.2">
      <c r="A537" s="49"/>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c r="BW537" s="8"/>
    </row>
    <row r="538" spans="1:75" ht="12" customHeight="1" x14ac:dyDescent="0.2">
      <c r="A538" s="49"/>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c r="BU538" s="8"/>
      <c r="BV538" s="8"/>
      <c r="BW538" s="8"/>
    </row>
    <row r="539" spans="1:75" ht="12" customHeight="1" x14ac:dyDescent="0.2">
      <c r="A539" s="49"/>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c r="BU539" s="8"/>
      <c r="BV539" s="8"/>
      <c r="BW539" s="8"/>
    </row>
    <row r="540" spans="1:75" ht="12" customHeight="1" x14ac:dyDescent="0.2">
      <c r="A540" s="49"/>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c r="BW540" s="8"/>
    </row>
    <row r="541" spans="1:75" ht="12" customHeight="1" x14ac:dyDescent="0.2">
      <c r="A541" s="49"/>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c r="BW541" s="8"/>
    </row>
    <row r="542" spans="1:75" ht="12" customHeight="1" x14ac:dyDescent="0.2">
      <c r="A542" s="49"/>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c r="BU542" s="8"/>
      <c r="BV542" s="8"/>
      <c r="BW542" s="8"/>
    </row>
    <row r="543" spans="1:75" ht="12" customHeight="1" x14ac:dyDescent="0.2">
      <c r="A543" s="49"/>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c r="BW543" s="8"/>
    </row>
    <row r="544" spans="1:75" ht="12" customHeight="1" x14ac:dyDescent="0.2">
      <c r="A544" s="49"/>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c r="BU544" s="8"/>
      <c r="BV544" s="8"/>
      <c r="BW544" s="8"/>
    </row>
    <row r="545" spans="1:75" ht="12" customHeight="1" x14ac:dyDescent="0.2">
      <c r="A545" s="49"/>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c r="BU545" s="8"/>
      <c r="BV545" s="8"/>
      <c r="BW545" s="8"/>
    </row>
    <row r="546" spans="1:75" ht="12" customHeight="1" x14ac:dyDescent="0.2">
      <c r="A546" s="49"/>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row>
    <row r="547" spans="1:75" ht="12" customHeight="1" x14ac:dyDescent="0.2">
      <c r="A547" s="49"/>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row>
    <row r="548" spans="1:75" ht="12" customHeight="1" x14ac:dyDescent="0.2">
      <c r="A548" s="49"/>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c r="BW548" s="8"/>
    </row>
    <row r="549" spans="1:75" ht="12" customHeight="1" x14ac:dyDescent="0.2">
      <c r="A549" s="49"/>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row>
    <row r="550" spans="1:75" ht="12" customHeight="1" x14ac:dyDescent="0.2">
      <c r="A550" s="49"/>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row>
    <row r="551" spans="1:75" ht="12" customHeight="1" x14ac:dyDescent="0.2">
      <c r="A551" s="49"/>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row>
    <row r="552" spans="1:75" ht="12" customHeight="1" x14ac:dyDescent="0.2">
      <c r="A552" s="49"/>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c r="BW552" s="8"/>
    </row>
    <row r="553" spans="1:75" ht="12" customHeight="1" x14ac:dyDescent="0.2">
      <c r="A553" s="49"/>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c r="BU553" s="8"/>
      <c r="BV553" s="8"/>
      <c r="BW553" s="8"/>
    </row>
    <row r="554" spans="1:75" ht="12" customHeight="1" x14ac:dyDescent="0.2">
      <c r="A554" s="49"/>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row>
    <row r="555" spans="1:75" ht="12" customHeight="1" x14ac:dyDescent="0.2">
      <c r="A555" s="49"/>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c r="BU555" s="8"/>
      <c r="BV555" s="8"/>
      <c r="BW555" s="8"/>
    </row>
    <row r="556" spans="1:75" ht="12" customHeight="1" x14ac:dyDescent="0.2">
      <c r="A556" s="49"/>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c r="BU556" s="8"/>
      <c r="BV556" s="8"/>
      <c r="BW556" s="8"/>
    </row>
    <row r="557" spans="1:75" ht="12" customHeight="1" x14ac:dyDescent="0.2">
      <c r="A557" s="49"/>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c r="BW557" s="8"/>
    </row>
    <row r="558" spans="1:75" ht="12" customHeight="1" x14ac:dyDescent="0.2">
      <c r="A558" s="49"/>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c r="BU558" s="8"/>
      <c r="BV558" s="8"/>
      <c r="BW558" s="8"/>
    </row>
    <row r="559" spans="1:75" ht="12" customHeight="1" x14ac:dyDescent="0.2">
      <c r="A559" s="49"/>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c r="BW559" s="8"/>
    </row>
    <row r="560" spans="1:75" ht="12" customHeight="1" x14ac:dyDescent="0.2">
      <c r="A560" s="49"/>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c r="BW560" s="8"/>
    </row>
    <row r="561" spans="1:75" ht="12" customHeight="1" x14ac:dyDescent="0.2">
      <c r="A561" s="49"/>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c r="BU561" s="8"/>
      <c r="BV561" s="8"/>
      <c r="BW561" s="8"/>
    </row>
    <row r="562" spans="1:75" ht="12" customHeight="1" x14ac:dyDescent="0.2">
      <c r="A562" s="49"/>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c r="BW562" s="8"/>
    </row>
    <row r="563" spans="1:75" ht="12" customHeight="1" x14ac:dyDescent="0.2">
      <c r="A563" s="49"/>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c r="BW563" s="8"/>
    </row>
    <row r="564" spans="1:75" ht="12" customHeight="1" x14ac:dyDescent="0.2">
      <c r="A564" s="49"/>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c r="BW564" s="8"/>
    </row>
    <row r="565" spans="1:75" ht="12" customHeight="1" x14ac:dyDescent="0.2">
      <c r="A565" s="49"/>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row>
    <row r="566" spans="1:75" ht="12" customHeight="1" x14ac:dyDescent="0.2">
      <c r="A566" s="49"/>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c r="BU566" s="8"/>
      <c r="BV566" s="8"/>
      <c r="BW566" s="8"/>
    </row>
    <row r="567" spans="1:75" ht="12" customHeight="1" x14ac:dyDescent="0.2">
      <c r="A567" s="49"/>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row>
    <row r="568" spans="1:75" ht="12" customHeight="1" x14ac:dyDescent="0.2">
      <c r="A568" s="49"/>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c r="BW568" s="8"/>
    </row>
    <row r="569" spans="1:75" ht="12" customHeight="1" x14ac:dyDescent="0.2">
      <c r="A569" s="49"/>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row>
    <row r="570" spans="1:75" ht="12" customHeight="1" x14ac:dyDescent="0.2">
      <c r="A570" s="49"/>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c r="BU570" s="8"/>
      <c r="BV570" s="8"/>
      <c r="BW570" s="8"/>
    </row>
    <row r="571" spans="1:75" ht="12" customHeight="1" x14ac:dyDescent="0.2">
      <c r="A571" s="49"/>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c r="BW571" s="8"/>
    </row>
    <row r="572" spans="1:75" ht="12" customHeight="1" x14ac:dyDescent="0.2">
      <c r="A572" s="49"/>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c r="BU572" s="8"/>
      <c r="BV572" s="8"/>
      <c r="BW572" s="8"/>
    </row>
    <row r="573" spans="1:75" ht="12" customHeight="1" x14ac:dyDescent="0.2">
      <c r="A573" s="49"/>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c r="BW573" s="8"/>
    </row>
    <row r="574" spans="1:75" ht="12" customHeight="1" x14ac:dyDescent="0.2">
      <c r="A574" s="49"/>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c r="BU574" s="8"/>
      <c r="BV574" s="8"/>
      <c r="BW574" s="8"/>
    </row>
    <row r="575" spans="1:75" ht="12" customHeight="1" x14ac:dyDescent="0.2">
      <c r="A575" s="49"/>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row>
    <row r="576" spans="1:75" ht="12" customHeight="1" x14ac:dyDescent="0.2">
      <c r="A576" s="49"/>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c r="BU576" s="8"/>
      <c r="BV576" s="8"/>
      <c r="BW576" s="8"/>
    </row>
    <row r="577" spans="1:75" ht="12" customHeight="1" x14ac:dyDescent="0.2">
      <c r="A577" s="49"/>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c r="BW577" s="8"/>
    </row>
    <row r="578" spans="1:75" ht="12" customHeight="1" x14ac:dyDescent="0.2">
      <c r="A578" s="49"/>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c r="BW578" s="8"/>
    </row>
    <row r="579" spans="1:75" ht="12" customHeight="1" x14ac:dyDescent="0.2">
      <c r="A579" s="49"/>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c r="BU579" s="8"/>
      <c r="BV579" s="8"/>
      <c r="BW579" s="8"/>
    </row>
    <row r="580" spans="1:75" ht="12" customHeight="1" x14ac:dyDescent="0.2">
      <c r="A580" s="49"/>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c r="BW580" s="8"/>
    </row>
    <row r="581" spans="1:75" ht="12" customHeight="1" x14ac:dyDescent="0.2">
      <c r="A581" s="49"/>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c r="BU581" s="8"/>
      <c r="BV581" s="8"/>
      <c r="BW581" s="8"/>
    </row>
    <row r="582" spans="1:75" ht="12" customHeight="1" x14ac:dyDescent="0.2">
      <c r="A582" s="49"/>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c r="BU582" s="8"/>
      <c r="BV582" s="8"/>
      <c r="BW582" s="8"/>
    </row>
    <row r="583" spans="1:75" ht="12" customHeight="1" x14ac:dyDescent="0.2">
      <c r="A583" s="49"/>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c r="BW583" s="8"/>
    </row>
    <row r="584" spans="1:75" ht="12" customHeight="1" x14ac:dyDescent="0.2">
      <c r="A584" s="49"/>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c r="BW584" s="8"/>
    </row>
    <row r="585" spans="1:75" ht="12" customHeight="1" x14ac:dyDescent="0.2">
      <c r="A585" s="49"/>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c r="BU585" s="8"/>
      <c r="BV585" s="8"/>
      <c r="BW585" s="8"/>
    </row>
    <row r="586" spans="1:75" ht="12" customHeight="1" x14ac:dyDescent="0.2">
      <c r="A586" s="49"/>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c r="BW586" s="8"/>
    </row>
    <row r="587" spans="1:75" ht="12" customHeight="1" x14ac:dyDescent="0.2">
      <c r="A587" s="49"/>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c r="BU587" s="8"/>
      <c r="BV587" s="8"/>
      <c r="BW587" s="8"/>
    </row>
    <row r="588" spans="1:75" ht="12" customHeight="1" x14ac:dyDescent="0.2">
      <c r="A588" s="49"/>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c r="BW588" s="8"/>
    </row>
    <row r="589" spans="1:75" ht="12" customHeight="1" x14ac:dyDescent="0.2">
      <c r="A589" s="49"/>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c r="BW589" s="8"/>
    </row>
    <row r="590" spans="1:75" ht="12" customHeight="1" x14ac:dyDescent="0.2">
      <c r="A590" s="49"/>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c r="BW590" s="8"/>
    </row>
    <row r="591" spans="1:75" ht="12" customHeight="1" x14ac:dyDescent="0.2">
      <c r="A591" s="49"/>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c r="BW591" s="8"/>
    </row>
    <row r="592" spans="1:75" ht="12" customHeight="1" x14ac:dyDescent="0.2">
      <c r="A592" s="49"/>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c r="BW592" s="8"/>
    </row>
    <row r="593" spans="1:75" ht="12" customHeight="1" x14ac:dyDescent="0.2">
      <c r="A593" s="49"/>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c r="BW593" s="8"/>
    </row>
    <row r="594" spans="1:75" ht="12" customHeight="1" x14ac:dyDescent="0.2">
      <c r="A594" s="49"/>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row>
    <row r="595" spans="1:75" ht="12" customHeight="1" x14ac:dyDescent="0.2">
      <c r="A595" s="49"/>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c r="BW595" s="8"/>
    </row>
    <row r="596" spans="1:75" ht="12" customHeight="1" x14ac:dyDescent="0.2">
      <c r="A596" s="49"/>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c r="BU596" s="8"/>
      <c r="BV596" s="8"/>
      <c r="BW596" s="8"/>
    </row>
    <row r="597" spans="1:75" ht="12" customHeight="1" x14ac:dyDescent="0.2">
      <c r="A597" s="49"/>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c r="BU597" s="8"/>
      <c r="BV597" s="8"/>
      <c r="BW597" s="8"/>
    </row>
    <row r="598" spans="1:75" ht="12" customHeight="1" x14ac:dyDescent="0.2">
      <c r="A598" s="49"/>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c r="BW598" s="8"/>
    </row>
    <row r="599" spans="1:75" ht="12" customHeight="1" x14ac:dyDescent="0.2">
      <c r="A599" s="49"/>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c r="BW599" s="8"/>
    </row>
    <row r="600" spans="1:75" ht="12" customHeight="1" x14ac:dyDescent="0.2">
      <c r="A600" s="49"/>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c r="BW600" s="8"/>
    </row>
    <row r="601" spans="1:75" ht="12" customHeight="1" x14ac:dyDescent="0.2">
      <c r="A601" s="49"/>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c r="BW601" s="8"/>
    </row>
    <row r="602" spans="1:75" ht="12" customHeight="1" x14ac:dyDescent="0.2">
      <c r="A602" s="49"/>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c r="BW602" s="8"/>
    </row>
    <row r="603" spans="1:75" ht="12" customHeight="1" x14ac:dyDescent="0.2">
      <c r="A603" s="49"/>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c r="BW603" s="8"/>
    </row>
    <row r="604" spans="1:75" ht="12" customHeight="1" x14ac:dyDescent="0.2">
      <c r="A604" s="49"/>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c r="BW604" s="8"/>
    </row>
    <row r="605" spans="1:75" ht="12" customHeight="1" x14ac:dyDescent="0.2">
      <c r="A605" s="49"/>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c r="BU605" s="8"/>
      <c r="BV605" s="8"/>
      <c r="BW605" s="8"/>
    </row>
    <row r="606" spans="1:75" ht="12" customHeight="1" x14ac:dyDescent="0.2">
      <c r="A606" s="49"/>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c r="BU606" s="8"/>
      <c r="BV606" s="8"/>
      <c r="BW606" s="8"/>
    </row>
    <row r="607" spans="1:75" ht="12" customHeight="1" x14ac:dyDescent="0.2">
      <c r="A607" s="49"/>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c r="BW607" s="8"/>
    </row>
    <row r="608" spans="1:75" ht="12" customHeight="1" x14ac:dyDescent="0.2">
      <c r="A608" s="49"/>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c r="BU608" s="8"/>
      <c r="BV608" s="8"/>
      <c r="BW608" s="8"/>
    </row>
    <row r="609" spans="1:75" ht="12" customHeight="1" x14ac:dyDescent="0.2">
      <c r="A609" s="49"/>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c r="BU609" s="8"/>
      <c r="BV609" s="8"/>
      <c r="BW609" s="8"/>
    </row>
    <row r="610" spans="1:75" ht="12" customHeight="1" x14ac:dyDescent="0.2">
      <c r="A610" s="49"/>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c r="BU610" s="8"/>
      <c r="BV610" s="8"/>
      <c r="BW610" s="8"/>
    </row>
    <row r="611" spans="1:75" ht="12" customHeight="1" x14ac:dyDescent="0.2">
      <c r="A611" s="49"/>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c r="BU611" s="8"/>
      <c r="BV611" s="8"/>
      <c r="BW611" s="8"/>
    </row>
    <row r="612" spans="1:75" ht="12" customHeight="1" x14ac:dyDescent="0.2">
      <c r="A612" s="49"/>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c r="BU612" s="8"/>
      <c r="BV612" s="8"/>
      <c r="BW612" s="8"/>
    </row>
    <row r="613" spans="1:75" ht="12" customHeight="1" x14ac:dyDescent="0.2">
      <c r="A613" s="49"/>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c r="BU613" s="8"/>
      <c r="BV613" s="8"/>
      <c r="BW613" s="8"/>
    </row>
    <row r="614" spans="1:75" ht="12" customHeight="1" x14ac:dyDescent="0.2">
      <c r="A614" s="49"/>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c r="BU614" s="8"/>
      <c r="BV614" s="8"/>
      <c r="BW614" s="8"/>
    </row>
    <row r="615" spans="1:75" ht="12" customHeight="1" x14ac:dyDescent="0.2">
      <c r="A615" s="49"/>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c r="BW615" s="8"/>
    </row>
    <row r="616" spans="1:75" ht="12" customHeight="1" x14ac:dyDescent="0.2">
      <c r="A616" s="49"/>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row>
    <row r="617" spans="1:75" ht="12" customHeight="1" x14ac:dyDescent="0.2">
      <c r="A617" s="49"/>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c r="BW617" s="8"/>
    </row>
    <row r="618" spans="1:75" ht="12" customHeight="1" x14ac:dyDescent="0.2">
      <c r="A618" s="49"/>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c r="BW618" s="8"/>
    </row>
    <row r="619" spans="1:75" ht="12" customHeight="1" x14ac:dyDescent="0.2">
      <c r="A619" s="49"/>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row>
    <row r="620" spans="1:75" ht="12" customHeight="1" x14ac:dyDescent="0.2">
      <c r="A620" s="49"/>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row>
    <row r="621" spans="1:75" ht="12" customHeight="1" x14ac:dyDescent="0.2">
      <c r="A621" s="49"/>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c r="BW621" s="8"/>
    </row>
    <row r="622" spans="1:75" ht="12" customHeight="1" x14ac:dyDescent="0.2">
      <c r="A622" s="49"/>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c r="BU622" s="8"/>
      <c r="BV622" s="8"/>
      <c r="BW622" s="8"/>
    </row>
    <row r="623" spans="1:75" ht="12" customHeight="1" x14ac:dyDescent="0.2">
      <c r="A623" s="49"/>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c r="BU623" s="8"/>
      <c r="BV623" s="8"/>
      <c r="BW623" s="8"/>
    </row>
    <row r="624" spans="1:75" ht="12" customHeight="1" x14ac:dyDescent="0.2">
      <c r="A624" s="49"/>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c r="BW624" s="8"/>
    </row>
    <row r="625" spans="1:75" ht="12" customHeight="1" x14ac:dyDescent="0.2">
      <c r="A625" s="49"/>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c r="BU625" s="8"/>
      <c r="BV625" s="8"/>
      <c r="BW625" s="8"/>
    </row>
    <row r="626" spans="1:75" ht="12" customHeight="1" x14ac:dyDescent="0.2">
      <c r="A626" s="49"/>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c r="BU626" s="8"/>
      <c r="BV626" s="8"/>
      <c r="BW626" s="8"/>
    </row>
    <row r="627" spans="1:75" ht="12" customHeight="1" x14ac:dyDescent="0.2">
      <c r="A627" s="49"/>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row>
    <row r="628" spans="1:75" ht="12" customHeight="1" x14ac:dyDescent="0.2">
      <c r="A628" s="49"/>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c r="BU628" s="8"/>
      <c r="BV628" s="8"/>
      <c r="BW628" s="8"/>
    </row>
    <row r="629" spans="1:75" ht="12" customHeight="1" x14ac:dyDescent="0.2">
      <c r="A629" s="49"/>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c r="BU629" s="8"/>
      <c r="BV629" s="8"/>
      <c r="BW629" s="8"/>
    </row>
    <row r="630" spans="1:75" ht="12" customHeight="1" x14ac:dyDescent="0.2">
      <c r="A630" s="49"/>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row>
    <row r="631" spans="1:75" ht="12" customHeight="1" x14ac:dyDescent="0.2">
      <c r="A631" s="49"/>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c r="BU631" s="8"/>
      <c r="BV631" s="8"/>
      <c r="BW631" s="8"/>
    </row>
    <row r="632" spans="1:75" ht="12" customHeight="1" x14ac:dyDescent="0.2">
      <c r="A632" s="49"/>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c r="BW632" s="8"/>
    </row>
    <row r="633" spans="1:75" ht="12" customHeight="1" x14ac:dyDescent="0.2">
      <c r="A633" s="49"/>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c r="BW633" s="8"/>
    </row>
    <row r="634" spans="1:75" ht="12" customHeight="1" x14ac:dyDescent="0.2">
      <c r="A634" s="49"/>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row>
    <row r="635" spans="1:75" ht="12" customHeight="1" x14ac:dyDescent="0.2">
      <c r="A635" s="49"/>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row>
    <row r="636" spans="1:75" ht="12" customHeight="1" x14ac:dyDescent="0.2">
      <c r="A636" s="49"/>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row>
    <row r="637" spans="1:75" ht="12" customHeight="1" x14ac:dyDescent="0.2">
      <c r="A637" s="49"/>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row>
    <row r="638" spans="1:75" ht="12" customHeight="1" x14ac:dyDescent="0.2">
      <c r="A638" s="49"/>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row>
    <row r="639" spans="1:75" ht="12" customHeight="1" x14ac:dyDescent="0.2">
      <c r="A639" s="49"/>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c r="BU639" s="8"/>
      <c r="BV639" s="8"/>
      <c r="BW639" s="8"/>
    </row>
    <row r="640" spans="1:75" ht="12" customHeight="1" x14ac:dyDescent="0.2">
      <c r="A640" s="49"/>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c r="BU640" s="8"/>
      <c r="BV640" s="8"/>
      <c r="BW640" s="8"/>
    </row>
    <row r="641" spans="1:75" ht="12" customHeight="1" x14ac:dyDescent="0.2">
      <c r="A641" s="49"/>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c r="BU641" s="8"/>
      <c r="BV641" s="8"/>
      <c r="BW641" s="8"/>
    </row>
    <row r="642" spans="1:75" ht="12" customHeight="1" x14ac:dyDescent="0.2">
      <c r="A642" s="49"/>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c r="BU642" s="8"/>
      <c r="BV642" s="8"/>
      <c r="BW642" s="8"/>
    </row>
    <row r="643" spans="1:75" ht="12" customHeight="1" x14ac:dyDescent="0.2">
      <c r="A643" s="49"/>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c r="BU643" s="8"/>
      <c r="BV643" s="8"/>
      <c r="BW643" s="8"/>
    </row>
    <row r="644" spans="1:75" ht="12" customHeight="1" x14ac:dyDescent="0.2">
      <c r="A644" s="49"/>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c r="BU644" s="8"/>
      <c r="BV644" s="8"/>
      <c r="BW644" s="8"/>
    </row>
    <row r="645" spans="1:75" ht="12" customHeight="1" x14ac:dyDescent="0.2">
      <c r="A645" s="49"/>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c r="BU645" s="8"/>
      <c r="BV645" s="8"/>
      <c r="BW645" s="8"/>
    </row>
    <row r="646" spans="1:75" ht="12" customHeight="1" x14ac:dyDescent="0.2">
      <c r="A646" s="49"/>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c r="BU646" s="8"/>
      <c r="BV646" s="8"/>
      <c r="BW646" s="8"/>
    </row>
    <row r="647" spans="1:75" ht="12" customHeight="1" x14ac:dyDescent="0.2">
      <c r="A647" s="49"/>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c r="BU647" s="8"/>
      <c r="BV647" s="8"/>
      <c r="BW647" s="8"/>
    </row>
    <row r="648" spans="1:75" ht="12" customHeight="1" x14ac:dyDescent="0.2">
      <c r="A648" s="49"/>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c r="BU648" s="8"/>
      <c r="BV648" s="8"/>
      <c r="BW648" s="8"/>
    </row>
    <row r="649" spans="1:75" ht="12" customHeight="1" x14ac:dyDescent="0.2">
      <c r="A649" s="49"/>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c r="BU649" s="8"/>
      <c r="BV649" s="8"/>
      <c r="BW649" s="8"/>
    </row>
    <row r="650" spans="1:75" ht="12" customHeight="1" x14ac:dyDescent="0.2">
      <c r="A650" s="49"/>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c r="BU650" s="8"/>
      <c r="BV650" s="8"/>
      <c r="BW650" s="8"/>
    </row>
    <row r="651" spans="1:75" ht="12" customHeight="1" x14ac:dyDescent="0.2">
      <c r="A651" s="49"/>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c r="BU651" s="8"/>
      <c r="BV651" s="8"/>
      <c r="BW651" s="8"/>
    </row>
    <row r="652" spans="1:75" ht="12" customHeight="1" x14ac:dyDescent="0.2">
      <c r="A652" s="49"/>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c r="BU652" s="8"/>
      <c r="BV652" s="8"/>
      <c r="BW652" s="8"/>
    </row>
    <row r="653" spans="1:75" ht="12" customHeight="1" x14ac:dyDescent="0.2">
      <c r="A653" s="49"/>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c r="BU653" s="8"/>
      <c r="BV653" s="8"/>
      <c r="BW653" s="8"/>
    </row>
    <row r="654" spans="1:75" ht="12" customHeight="1" x14ac:dyDescent="0.2">
      <c r="A654" s="49"/>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c r="BU654" s="8"/>
      <c r="BV654" s="8"/>
      <c r="BW654" s="8"/>
    </row>
    <row r="655" spans="1:75" ht="12" customHeight="1" x14ac:dyDescent="0.2">
      <c r="A655" s="49"/>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c r="BU655" s="8"/>
      <c r="BV655" s="8"/>
      <c r="BW655" s="8"/>
    </row>
    <row r="656" spans="1:75" ht="12" customHeight="1" x14ac:dyDescent="0.2">
      <c r="A656" s="49"/>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c r="BU656" s="8"/>
      <c r="BV656" s="8"/>
      <c r="BW656" s="8"/>
    </row>
    <row r="657" spans="1:75" ht="12" customHeight="1" x14ac:dyDescent="0.2">
      <c r="A657" s="49"/>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c r="BU657" s="8"/>
      <c r="BV657" s="8"/>
      <c r="BW657" s="8"/>
    </row>
    <row r="658" spans="1:75" ht="12" customHeight="1" x14ac:dyDescent="0.2">
      <c r="A658" s="49"/>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c r="BU658" s="8"/>
      <c r="BV658" s="8"/>
      <c r="BW658" s="8"/>
    </row>
    <row r="659" spans="1:75" ht="12" customHeight="1" x14ac:dyDescent="0.2">
      <c r="A659" s="49"/>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c r="BU659" s="8"/>
      <c r="BV659" s="8"/>
      <c r="BW659" s="8"/>
    </row>
    <row r="660" spans="1:75" ht="12" customHeight="1" x14ac:dyDescent="0.2">
      <c r="A660" s="49"/>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c r="BU660" s="8"/>
      <c r="BV660" s="8"/>
      <c r="BW660" s="8"/>
    </row>
    <row r="661" spans="1:75" ht="12" customHeight="1" x14ac:dyDescent="0.2">
      <c r="A661" s="49"/>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c r="BU661" s="8"/>
      <c r="BV661" s="8"/>
      <c r="BW661" s="8"/>
    </row>
    <row r="662" spans="1:75" ht="12" customHeight="1" x14ac:dyDescent="0.2">
      <c r="A662" s="49"/>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c r="BU662" s="8"/>
      <c r="BV662" s="8"/>
      <c r="BW662" s="8"/>
    </row>
    <row r="663" spans="1:75" ht="12" customHeight="1" x14ac:dyDescent="0.2">
      <c r="A663" s="49"/>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c r="BU663" s="8"/>
      <c r="BV663" s="8"/>
      <c r="BW663" s="8"/>
    </row>
    <row r="664" spans="1:75" ht="12" customHeight="1" x14ac:dyDescent="0.2">
      <c r="A664" s="49"/>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c r="BU664" s="8"/>
      <c r="BV664" s="8"/>
      <c r="BW664" s="8"/>
    </row>
    <row r="665" spans="1:75" ht="12" customHeight="1" x14ac:dyDescent="0.2">
      <c r="A665" s="49"/>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c r="BU665" s="8"/>
      <c r="BV665" s="8"/>
      <c r="BW665" s="8"/>
    </row>
    <row r="666" spans="1:75" ht="12" customHeight="1" x14ac:dyDescent="0.2">
      <c r="A666" s="49"/>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c r="BU666" s="8"/>
      <c r="BV666" s="8"/>
      <c r="BW666" s="8"/>
    </row>
    <row r="667" spans="1:75" ht="12" customHeight="1" x14ac:dyDescent="0.2">
      <c r="A667" s="49"/>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c r="BU667" s="8"/>
      <c r="BV667" s="8"/>
      <c r="BW667" s="8"/>
    </row>
    <row r="668" spans="1:75" ht="12" customHeight="1" x14ac:dyDescent="0.2">
      <c r="A668" s="49"/>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c r="BU668" s="8"/>
      <c r="BV668" s="8"/>
      <c r="BW668" s="8"/>
    </row>
    <row r="669" spans="1:75" ht="12" customHeight="1" x14ac:dyDescent="0.2">
      <c r="A669" s="49"/>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c r="BU669" s="8"/>
      <c r="BV669" s="8"/>
      <c r="BW669" s="8"/>
    </row>
    <row r="670" spans="1:75" ht="12" customHeight="1" x14ac:dyDescent="0.2">
      <c r="A670" s="49"/>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c r="BU670" s="8"/>
      <c r="BV670" s="8"/>
      <c r="BW670" s="8"/>
    </row>
    <row r="671" spans="1:75" ht="12" customHeight="1" x14ac:dyDescent="0.2">
      <c r="A671" s="49"/>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c r="BU671" s="8"/>
      <c r="BV671" s="8"/>
      <c r="BW671" s="8"/>
    </row>
    <row r="672" spans="1:75" ht="12" customHeight="1" x14ac:dyDescent="0.2">
      <c r="A672" s="49"/>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c r="BU672" s="8"/>
      <c r="BV672" s="8"/>
      <c r="BW672" s="8"/>
    </row>
    <row r="673" spans="1:75" ht="12" customHeight="1" x14ac:dyDescent="0.2">
      <c r="A673" s="49"/>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c r="BU673" s="8"/>
      <c r="BV673" s="8"/>
      <c r="BW673" s="8"/>
    </row>
    <row r="674" spans="1:75" ht="12" customHeight="1" x14ac:dyDescent="0.2">
      <c r="A674" s="49"/>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c r="BU674" s="8"/>
      <c r="BV674" s="8"/>
      <c r="BW674" s="8"/>
    </row>
    <row r="675" spans="1:75" ht="12" customHeight="1" x14ac:dyDescent="0.2">
      <c r="A675" s="49"/>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c r="BU675" s="8"/>
      <c r="BV675" s="8"/>
      <c r="BW675" s="8"/>
    </row>
    <row r="676" spans="1:75" ht="12" customHeight="1" x14ac:dyDescent="0.2">
      <c r="A676" s="49"/>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c r="BU676" s="8"/>
      <c r="BV676" s="8"/>
      <c r="BW676" s="8"/>
    </row>
    <row r="677" spans="1:75" ht="12" customHeight="1" x14ac:dyDescent="0.2">
      <c r="A677" s="49"/>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c r="BU677" s="8"/>
      <c r="BV677" s="8"/>
      <c r="BW677" s="8"/>
    </row>
    <row r="678" spans="1:75" ht="12" customHeight="1" x14ac:dyDescent="0.2">
      <c r="A678" s="49"/>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c r="BU678" s="8"/>
      <c r="BV678" s="8"/>
      <c r="BW678" s="8"/>
    </row>
    <row r="679" spans="1:75" ht="12" customHeight="1" x14ac:dyDescent="0.2">
      <c r="A679" s="49"/>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c r="BU679" s="8"/>
      <c r="BV679" s="8"/>
      <c r="BW679" s="8"/>
    </row>
    <row r="680" spans="1:75" ht="12" customHeight="1" x14ac:dyDescent="0.2">
      <c r="A680" s="49"/>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c r="BU680" s="8"/>
      <c r="BV680" s="8"/>
      <c r="BW680" s="8"/>
    </row>
    <row r="681" spans="1:75" ht="12" customHeight="1" x14ac:dyDescent="0.2">
      <c r="A681" s="49"/>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c r="BU681" s="8"/>
      <c r="BV681" s="8"/>
      <c r="BW681" s="8"/>
    </row>
    <row r="682" spans="1:75" ht="12" customHeight="1" x14ac:dyDescent="0.2">
      <c r="A682" s="49"/>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c r="BU682" s="8"/>
      <c r="BV682" s="8"/>
      <c r="BW682" s="8"/>
    </row>
    <row r="683" spans="1:75" ht="12" customHeight="1" x14ac:dyDescent="0.2">
      <c r="A683" s="49"/>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c r="BU683" s="8"/>
      <c r="BV683" s="8"/>
      <c r="BW683" s="8"/>
    </row>
    <row r="684" spans="1:75" ht="12" customHeight="1" x14ac:dyDescent="0.2">
      <c r="A684" s="49"/>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c r="BU684" s="8"/>
      <c r="BV684" s="8"/>
      <c r="BW684" s="8"/>
    </row>
    <row r="685" spans="1:75" ht="12" customHeight="1" x14ac:dyDescent="0.2">
      <c r="A685" s="49"/>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c r="BU685" s="8"/>
      <c r="BV685" s="8"/>
      <c r="BW685" s="8"/>
    </row>
    <row r="686" spans="1:75" ht="12" customHeight="1" x14ac:dyDescent="0.2">
      <c r="A686" s="49"/>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c r="BU686" s="8"/>
      <c r="BV686" s="8"/>
      <c r="BW686" s="8"/>
    </row>
    <row r="687" spans="1:75" ht="12" customHeight="1" x14ac:dyDescent="0.2">
      <c r="A687" s="49"/>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c r="BU687" s="8"/>
      <c r="BV687" s="8"/>
      <c r="BW687" s="8"/>
    </row>
    <row r="688" spans="1:75" ht="12" customHeight="1" x14ac:dyDescent="0.2">
      <c r="A688" s="49"/>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c r="BU688" s="8"/>
      <c r="BV688" s="8"/>
      <c r="BW688" s="8"/>
    </row>
    <row r="689" spans="1:75" ht="12" customHeight="1" x14ac:dyDescent="0.2">
      <c r="A689" s="49"/>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c r="BU689" s="8"/>
      <c r="BV689" s="8"/>
      <c r="BW689" s="8"/>
    </row>
    <row r="690" spans="1:75" ht="12" customHeight="1" x14ac:dyDescent="0.2">
      <c r="A690" s="49"/>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c r="BU690" s="8"/>
      <c r="BV690" s="8"/>
      <c r="BW690" s="8"/>
    </row>
    <row r="691" spans="1:75" ht="12" customHeight="1" x14ac:dyDescent="0.2">
      <c r="A691" s="49"/>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c r="BU691" s="8"/>
      <c r="BV691" s="8"/>
      <c r="BW691" s="8"/>
    </row>
    <row r="692" spans="1:75" ht="12" customHeight="1" x14ac:dyDescent="0.2">
      <c r="A692" s="49"/>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c r="BU692" s="8"/>
      <c r="BV692" s="8"/>
      <c r="BW692" s="8"/>
    </row>
    <row r="693" spans="1:75" ht="12" customHeight="1" x14ac:dyDescent="0.2">
      <c r="A693" s="49"/>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c r="BU693" s="8"/>
      <c r="BV693" s="8"/>
      <c r="BW693" s="8"/>
    </row>
    <row r="694" spans="1:75" ht="12" customHeight="1" x14ac:dyDescent="0.2">
      <c r="A694" s="49"/>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c r="BU694" s="8"/>
      <c r="BV694" s="8"/>
      <c r="BW694" s="8"/>
    </row>
    <row r="695" spans="1:75" ht="12" customHeight="1" x14ac:dyDescent="0.2">
      <c r="A695" s="49"/>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c r="BU695" s="8"/>
      <c r="BV695" s="8"/>
      <c r="BW695" s="8"/>
    </row>
    <row r="696" spans="1:75" ht="12" customHeight="1" x14ac:dyDescent="0.2">
      <c r="A696" s="49"/>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c r="BU696" s="8"/>
      <c r="BV696" s="8"/>
      <c r="BW696" s="8"/>
    </row>
    <row r="697" spans="1:75" ht="12" customHeight="1" x14ac:dyDescent="0.2">
      <c r="A697" s="49"/>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c r="BU697" s="8"/>
      <c r="BV697" s="8"/>
      <c r="BW697" s="8"/>
    </row>
    <row r="698" spans="1:75" ht="12" customHeight="1" x14ac:dyDescent="0.2">
      <c r="A698" s="49"/>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c r="BU698" s="8"/>
      <c r="BV698" s="8"/>
      <c r="BW698" s="8"/>
    </row>
    <row r="699" spans="1:75" ht="12" customHeight="1" x14ac:dyDescent="0.2">
      <c r="A699" s="49"/>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c r="BU699" s="8"/>
      <c r="BV699" s="8"/>
      <c r="BW699" s="8"/>
    </row>
    <row r="700" spans="1:75" ht="12" customHeight="1" x14ac:dyDescent="0.2">
      <c r="A700" s="49"/>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c r="BU700" s="8"/>
      <c r="BV700" s="8"/>
      <c r="BW700" s="8"/>
    </row>
    <row r="701" spans="1:75" ht="12" customHeight="1" x14ac:dyDescent="0.2">
      <c r="A701" s="49"/>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c r="BU701" s="8"/>
      <c r="BV701" s="8"/>
      <c r="BW701" s="8"/>
    </row>
    <row r="702" spans="1:75" ht="12" customHeight="1" x14ac:dyDescent="0.2">
      <c r="A702" s="49"/>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c r="BU702" s="8"/>
      <c r="BV702" s="8"/>
      <c r="BW702" s="8"/>
    </row>
    <row r="703" spans="1:75" ht="12" customHeight="1" x14ac:dyDescent="0.2">
      <c r="A703" s="49"/>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c r="BU703" s="8"/>
      <c r="BV703" s="8"/>
      <c r="BW703" s="8"/>
    </row>
    <row r="704" spans="1:75" ht="12" customHeight="1" x14ac:dyDescent="0.2">
      <c r="A704" s="49"/>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c r="BU704" s="8"/>
      <c r="BV704" s="8"/>
      <c r="BW704" s="8"/>
    </row>
    <row r="705" spans="1:75" ht="12" customHeight="1" x14ac:dyDescent="0.2">
      <c r="A705" s="49"/>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c r="BU705" s="8"/>
      <c r="BV705" s="8"/>
      <c r="BW705" s="8"/>
    </row>
    <row r="706" spans="1:75" ht="12" customHeight="1" x14ac:dyDescent="0.2">
      <c r="A706" s="49"/>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c r="BU706" s="8"/>
      <c r="BV706" s="8"/>
      <c r="BW706" s="8"/>
    </row>
    <row r="707" spans="1:75" ht="12" customHeight="1" x14ac:dyDescent="0.2">
      <c r="A707" s="49"/>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c r="BU707" s="8"/>
      <c r="BV707" s="8"/>
      <c r="BW707" s="8"/>
    </row>
    <row r="708" spans="1:75" ht="12" customHeight="1" x14ac:dyDescent="0.2">
      <c r="A708" s="49"/>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c r="BU708" s="8"/>
      <c r="BV708" s="8"/>
      <c r="BW708" s="8"/>
    </row>
    <row r="709" spans="1:75" ht="12" customHeight="1" x14ac:dyDescent="0.2">
      <c r="A709" s="49"/>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c r="BU709" s="8"/>
      <c r="BV709" s="8"/>
      <c r="BW709" s="8"/>
    </row>
    <row r="710" spans="1:75" ht="12" customHeight="1" x14ac:dyDescent="0.2">
      <c r="A710" s="49"/>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c r="BU710" s="8"/>
      <c r="BV710" s="8"/>
      <c r="BW710" s="8"/>
    </row>
    <row r="711" spans="1:75" ht="12" customHeight="1" x14ac:dyDescent="0.2">
      <c r="A711" s="49"/>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c r="BU711" s="8"/>
      <c r="BV711" s="8"/>
      <c r="BW711" s="8"/>
    </row>
    <row r="712" spans="1:75" ht="12" customHeight="1" x14ac:dyDescent="0.2">
      <c r="A712" s="49"/>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c r="BU712" s="8"/>
      <c r="BV712" s="8"/>
      <c r="BW712" s="8"/>
    </row>
    <row r="713" spans="1:75" ht="12" customHeight="1" x14ac:dyDescent="0.2">
      <c r="A713" s="49"/>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c r="BU713" s="8"/>
      <c r="BV713" s="8"/>
      <c r="BW713" s="8"/>
    </row>
    <row r="714" spans="1:75" ht="12" customHeight="1" x14ac:dyDescent="0.2">
      <c r="A714" s="49"/>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c r="BU714" s="8"/>
      <c r="BV714" s="8"/>
      <c r="BW714" s="8"/>
    </row>
    <row r="715" spans="1:75" ht="12" customHeight="1" x14ac:dyDescent="0.2">
      <c r="A715" s="49"/>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c r="BU715" s="8"/>
      <c r="BV715" s="8"/>
      <c r="BW715" s="8"/>
    </row>
    <row r="716" spans="1:75" ht="12" customHeight="1" x14ac:dyDescent="0.2">
      <c r="A716" s="49"/>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c r="BU716" s="8"/>
      <c r="BV716" s="8"/>
      <c r="BW716" s="8"/>
    </row>
    <row r="717" spans="1:75" ht="12" customHeight="1" x14ac:dyDescent="0.2">
      <c r="A717" s="49"/>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c r="BU717" s="8"/>
      <c r="BV717" s="8"/>
      <c r="BW717" s="8"/>
    </row>
    <row r="718" spans="1:75" ht="12" customHeight="1" x14ac:dyDescent="0.2">
      <c r="A718" s="49"/>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c r="BU718" s="8"/>
      <c r="BV718" s="8"/>
      <c r="BW718" s="8"/>
    </row>
    <row r="719" spans="1:75" ht="12" customHeight="1" x14ac:dyDescent="0.2">
      <c r="A719" s="49"/>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c r="BU719" s="8"/>
      <c r="BV719" s="8"/>
      <c r="BW719" s="8"/>
    </row>
    <row r="720" spans="1:75" ht="12" customHeight="1" x14ac:dyDescent="0.2">
      <c r="A720" s="49"/>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c r="BU720" s="8"/>
      <c r="BV720" s="8"/>
      <c r="BW720" s="8"/>
    </row>
    <row r="721" spans="1:75" ht="12" customHeight="1" x14ac:dyDescent="0.2">
      <c r="A721" s="49"/>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c r="BU721" s="8"/>
      <c r="BV721" s="8"/>
      <c r="BW721" s="8"/>
    </row>
    <row r="722" spans="1:75" ht="12" customHeight="1" x14ac:dyDescent="0.2">
      <c r="A722" s="49"/>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c r="BU722" s="8"/>
      <c r="BV722" s="8"/>
      <c r="BW722" s="8"/>
    </row>
    <row r="723" spans="1:75" ht="12" customHeight="1" x14ac:dyDescent="0.2">
      <c r="A723" s="49"/>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c r="BU723" s="8"/>
      <c r="BV723" s="8"/>
      <c r="BW723" s="8"/>
    </row>
    <row r="724" spans="1:75" ht="12" customHeight="1" x14ac:dyDescent="0.2">
      <c r="A724" s="49"/>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c r="BU724" s="8"/>
      <c r="BV724" s="8"/>
      <c r="BW724" s="8"/>
    </row>
    <row r="725" spans="1:75" ht="12" customHeight="1" x14ac:dyDescent="0.2">
      <c r="A725" s="49"/>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c r="BU725" s="8"/>
      <c r="BV725" s="8"/>
      <c r="BW725" s="8"/>
    </row>
    <row r="726" spans="1:75" ht="12" customHeight="1" x14ac:dyDescent="0.2">
      <c r="A726" s="49"/>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c r="BU726" s="8"/>
      <c r="BV726" s="8"/>
      <c r="BW726" s="8"/>
    </row>
    <row r="727" spans="1:75" ht="12" customHeight="1" x14ac:dyDescent="0.2">
      <c r="A727" s="49"/>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c r="BU727" s="8"/>
      <c r="BV727" s="8"/>
      <c r="BW727" s="8"/>
    </row>
    <row r="728" spans="1:75" ht="12" customHeight="1" x14ac:dyDescent="0.2">
      <c r="A728" s="49"/>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c r="BU728" s="8"/>
      <c r="BV728" s="8"/>
      <c r="BW728" s="8"/>
    </row>
    <row r="729" spans="1:75" ht="12" customHeight="1" x14ac:dyDescent="0.2">
      <c r="A729" s="49"/>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c r="BU729" s="8"/>
      <c r="BV729" s="8"/>
      <c r="BW729" s="8"/>
    </row>
    <row r="730" spans="1:75" ht="12" customHeight="1" x14ac:dyDescent="0.2">
      <c r="A730" s="49"/>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c r="BU730" s="8"/>
      <c r="BV730" s="8"/>
      <c r="BW730" s="8"/>
    </row>
    <row r="731" spans="1:75" ht="12" customHeight="1" x14ac:dyDescent="0.2">
      <c r="A731" s="49"/>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c r="BU731" s="8"/>
      <c r="BV731" s="8"/>
      <c r="BW731" s="8"/>
    </row>
    <row r="732" spans="1:75" ht="12" customHeight="1" x14ac:dyDescent="0.2">
      <c r="A732" s="49"/>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c r="BU732" s="8"/>
      <c r="BV732" s="8"/>
      <c r="BW732" s="8"/>
    </row>
    <row r="733" spans="1:75" ht="12" customHeight="1" x14ac:dyDescent="0.2">
      <c r="A733" s="49"/>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c r="BU733" s="8"/>
      <c r="BV733" s="8"/>
      <c r="BW733" s="8"/>
    </row>
    <row r="734" spans="1:75" ht="12" customHeight="1" x14ac:dyDescent="0.2">
      <c r="A734" s="49"/>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c r="BU734" s="8"/>
      <c r="BV734" s="8"/>
      <c r="BW734" s="8"/>
    </row>
    <row r="735" spans="1:75" ht="12" customHeight="1" x14ac:dyDescent="0.2">
      <c r="A735" s="49"/>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c r="BU735" s="8"/>
      <c r="BV735" s="8"/>
      <c r="BW735" s="8"/>
    </row>
    <row r="736" spans="1:75" ht="12" customHeight="1" x14ac:dyDescent="0.2">
      <c r="A736" s="49"/>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c r="BR736" s="8"/>
      <c r="BS736" s="8"/>
      <c r="BT736" s="8"/>
      <c r="BU736" s="8"/>
      <c r="BV736" s="8"/>
      <c r="BW736" s="8"/>
    </row>
    <row r="737" spans="1:75" ht="12" customHeight="1" x14ac:dyDescent="0.2">
      <c r="A737" s="49"/>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8"/>
      <c r="BT737" s="8"/>
      <c r="BU737" s="8"/>
      <c r="BV737" s="8"/>
      <c r="BW737" s="8"/>
    </row>
    <row r="738" spans="1:75" ht="12" customHeight="1" x14ac:dyDescent="0.2">
      <c r="A738" s="49"/>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c r="BR738" s="8"/>
      <c r="BS738" s="8"/>
      <c r="BT738" s="8"/>
      <c r="BU738" s="8"/>
      <c r="BV738" s="8"/>
      <c r="BW738" s="8"/>
    </row>
    <row r="739" spans="1:75" ht="12" customHeight="1" x14ac:dyDescent="0.2">
      <c r="A739" s="49"/>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8"/>
      <c r="BT739" s="8"/>
      <c r="BU739" s="8"/>
      <c r="BV739" s="8"/>
      <c r="BW739" s="8"/>
    </row>
    <row r="740" spans="1:75" ht="12" customHeight="1" x14ac:dyDescent="0.2">
      <c r="A740" s="49"/>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8"/>
      <c r="BT740" s="8"/>
      <c r="BU740" s="8"/>
      <c r="BV740" s="8"/>
      <c r="BW740" s="8"/>
    </row>
    <row r="741" spans="1:75" ht="12" customHeight="1" x14ac:dyDescent="0.2">
      <c r="A741" s="49"/>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8"/>
      <c r="BT741" s="8"/>
      <c r="BU741" s="8"/>
      <c r="BV741" s="8"/>
      <c r="BW741" s="8"/>
    </row>
    <row r="742" spans="1:75" ht="12" customHeight="1" x14ac:dyDescent="0.2">
      <c r="A742" s="49"/>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8"/>
      <c r="BT742" s="8"/>
      <c r="BU742" s="8"/>
      <c r="BV742" s="8"/>
      <c r="BW742" s="8"/>
    </row>
    <row r="743" spans="1:75" ht="12" customHeight="1" x14ac:dyDescent="0.2">
      <c r="A743" s="49"/>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8"/>
      <c r="BT743" s="8"/>
      <c r="BU743" s="8"/>
      <c r="BV743" s="8"/>
      <c r="BW743" s="8"/>
    </row>
    <row r="744" spans="1:75" ht="12" customHeight="1" x14ac:dyDescent="0.2">
      <c r="A744" s="49"/>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c r="BR744" s="8"/>
      <c r="BS744" s="8"/>
      <c r="BT744" s="8"/>
      <c r="BU744" s="8"/>
      <c r="BV744" s="8"/>
      <c r="BW744" s="8"/>
    </row>
    <row r="745" spans="1:75" ht="12" customHeight="1" x14ac:dyDescent="0.2">
      <c r="A745" s="49"/>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8"/>
      <c r="BT745" s="8"/>
      <c r="BU745" s="8"/>
      <c r="BV745" s="8"/>
      <c r="BW745" s="8"/>
    </row>
    <row r="746" spans="1:75" ht="12" customHeight="1" x14ac:dyDescent="0.2">
      <c r="A746" s="49"/>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c r="BR746" s="8"/>
      <c r="BS746" s="8"/>
      <c r="BT746" s="8"/>
      <c r="BU746" s="8"/>
      <c r="BV746" s="8"/>
      <c r="BW746" s="8"/>
    </row>
    <row r="747" spans="1:75" ht="12" customHeight="1" x14ac:dyDescent="0.2">
      <c r="A747" s="49"/>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8"/>
      <c r="BR747" s="8"/>
      <c r="BS747" s="8"/>
      <c r="BT747" s="8"/>
      <c r="BU747" s="8"/>
      <c r="BV747" s="8"/>
      <c r="BW747" s="8"/>
    </row>
    <row r="748" spans="1:75" ht="12" customHeight="1" x14ac:dyDescent="0.2">
      <c r="A748" s="49"/>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c r="BR748" s="8"/>
      <c r="BS748" s="8"/>
      <c r="BT748" s="8"/>
      <c r="BU748" s="8"/>
      <c r="BV748" s="8"/>
      <c r="BW748" s="8"/>
    </row>
    <row r="749" spans="1:75" ht="12" customHeight="1" x14ac:dyDescent="0.2">
      <c r="A749" s="49"/>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8"/>
      <c r="BR749" s="8"/>
      <c r="BS749" s="8"/>
      <c r="BT749" s="8"/>
      <c r="BU749" s="8"/>
      <c r="BV749" s="8"/>
      <c r="BW749" s="8"/>
    </row>
    <row r="750" spans="1:75" ht="12" customHeight="1" x14ac:dyDescent="0.2">
      <c r="A750" s="49"/>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c r="BR750" s="8"/>
      <c r="BS750" s="8"/>
      <c r="BT750" s="8"/>
      <c r="BU750" s="8"/>
      <c r="BV750" s="8"/>
      <c r="BW750" s="8"/>
    </row>
    <row r="751" spans="1:75" ht="12" customHeight="1" x14ac:dyDescent="0.2">
      <c r="A751" s="49"/>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8"/>
      <c r="BT751" s="8"/>
      <c r="BU751" s="8"/>
      <c r="BV751" s="8"/>
      <c r="BW751" s="8"/>
    </row>
    <row r="752" spans="1:75" ht="12" customHeight="1" x14ac:dyDescent="0.2">
      <c r="A752" s="49"/>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c r="BR752" s="8"/>
      <c r="BS752" s="8"/>
      <c r="BT752" s="8"/>
      <c r="BU752" s="8"/>
      <c r="BV752" s="8"/>
      <c r="BW752" s="8"/>
    </row>
    <row r="753" spans="1:75" ht="12" customHeight="1" x14ac:dyDescent="0.2">
      <c r="A753" s="49"/>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8"/>
      <c r="BR753" s="8"/>
      <c r="BS753" s="8"/>
      <c r="BT753" s="8"/>
      <c r="BU753" s="8"/>
      <c r="BV753" s="8"/>
      <c r="BW753" s="8"/>
    </row>
    <row r="754" spans="1:75" ht="12" customHeight="1" x14ac:dyDescent="0.2">
      <c r="A754" s="49"/>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8"/>
      <c r="BR754" s="8"/>
      <c r="BS754" s="8"/>
      <c r="BT754" s="8"/>
      <c r="BU754" s="8"/>
      <c r="BV754" s="8"/>
      <c r="BW754" s="8"/>
    </row>
    <row r="755" spans="1:75" ht="12" customHeight="1" x14ac:dyDescent="0.2">
      <c r="A755" s="49"/>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c r="BQ755" s="8"/>
      <c r="BR755" s="8"/>
      <c r="BS755" s="8"/>
      <c r="BT755" s="8"/>
      <c r="BU755" s="8"/>
      <c r="BV755" s="8"/>
      <c r="BW755" s="8"/>
    </row>
    <row r="756" spans="1:75" ht="12" customHeight="1" x14ac:dyDescent="0.2">
      <c r="A756" s="49"/>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c r="BQ756" s="8"/>
      <c r="BR756" s="8"/>
      <c r="BS756" s="8"/>
      <c r="BT756" s="8"/>
      <c r="BU756" s="8"/>
      <c r="BV756" s="8"/>
      <c r="BW756" s="8"/>
    </row>
    <row r="757" spans="1:75" ht="12" customHeight="1" x14ac:dyDescent="0.2">
      <c r="A757" s="49"/>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c r="BQ757" s="8"/>
      <c r="BR757" s="8"/>
      <c r="BS757" s="8"/>
      <c r="BT757" s="8"/>
      <c r="BU757" s="8"/>
      <c r="BV757" s="8"/>
      <c r="BW757" s="8"/>
    </row>
    <row r="758" spans="1:75" ht="12" customHeight="1" x14ac:dyDescent="0.2">
      <c r="A758" s="49"/>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c r="BQ758" s="8"/>
      <c r="BR758" s="8"/>
      <c r="BS758" s="8"/>
      <c r="BT758" s="8"/>
      <c r="BU758" s="8"/>
      <c r="BV758" s="8"/>
      <c r="BW758" s="8"/>
    </row>
    <row r="759" spans="1:75" ht="12" customHeight="1" x14ac:dyDescent="0.2">
      <c r="A759" s="49"/>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c r="BQ759" s="8"/>
      <c r="BR759" s="8"/>
      <c r="BS759" s="8"/>
      <c r="BT759" s="8"/>
      <c r="BU759" s="8"/>
      <c r="BV759" s="8"/>
      <c r="BW759" s="8"/>
    </row>
    <row r="760" spans="1:75" ht="12" customHeight="1" x14ac:dyDescent="0.2">
      <c r="A760" s="49"/>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c r="BQ760" s="8"/>
      <c r="BR760" s="8"/>
      <c r="BS760" s="8"/>
      <c r="BT760" s="8"/>
      <c r="BU760" s="8"/>
      <c r="BV760" s="8"/>
      <c r="BW760" s="8"/>
    </row>
    <row r="761" spans="1:75" ht="12" customHeight="1" x14ac:dyDescent="0.2">
      <c r="A761" s="49"/>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c r="BQ761" s="8"/>
      <c r="BR761" s="8"/>
      <c r="BS761" s="8"/>
      <c r="BT761" s="8"/>
      <c r="BU761" s="8"/>
      <c r="BV761" s="8"/>
      <c r="BW761" s="8"/>
    </row>
    <row r="762" spans="1:75" ht="12" customHeight="1" x14ac:dyDescent="0.2">
      <c r="A762" s="49"/>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c r="BQ762" s="8"/>
      <c r="BR762" s="8"/>
      <c r="BS762" s="8"/>
      <c r="BT762" s="8"/>
      <c r="BU762" s="8"/>
      <c r="BV762" s="8"/>
      <c r="BW762" s="8"/>
    </row>
    <row r="763" spans="1:75" ht="12" customHeight="1" x14ac:dyDescent="0.2">
      <c r="A763" s="49"/>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c r="BQ763" s="8"/>
      <c r="BR763" s="8"/>
      <c r="BS763" s="8"/>
      <c r="BT763" s="8"/>
      <c r="BU763" s="8"/>
      <c r="BV763" s="8"/>
      <c r="BW763" s="8"/>
    </row>
    <row r="764" spans="1:75" ht="12" customHeight="1" x14ac:dyDescent="0.2">
      <c r="A764" s="49"/>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c r="BQ764" s="8"/>
      <c r="BR764" s="8"/>
      <c r="BS764" s="8"/>
      <c r="BT764" s="8"/>
      <c r="BU764" s="8"/>
      <c r="BV764" s="8"/>
      <c r="BW764" s="8"/>
    </row>
    <row r="765" spans="1:75" ht="12" customHeight="1" x14ac:dyDescent="0.2">
      <c r="A765" s="49"/>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c r="BQ765" s="8"/>
      <c r="BR765" s="8"/>
      <c r="BS765" s="8"/>
      <c r="BT765" s="8"/>
      <c r="BU765" s="8"/>
      <c r="BV765" s="8"/>
      <c r="BW765" s="8"/>
    </row>
    <row r="766" spans="1:75" ht="12" customHeight="1" x14ac:dyDescent="0.2">
      <c r="A766" s="49"/>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c r="BQ766" s="8"/>
      <c r="BR766" s="8"/>
      <c r="BS766" s="8"/>
      <c r="BT766" s="8"/>
      <c r="BU766" s="8"/>
      <c r="BV766" s="8"/>
      <c r="BW766" s="8"/>
    </row>
    <row r="767" spans="1:75" ht="12" customHeight="1" x14ac:dyDescent="0.2">
      <c r="A767" s="49"/>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c r="BQ767" s="8"/>
      <c r="BR767" s="8"/>
      <c r="BS767" s="8"/>
      <c r="BT767" s="8"/>
      <c r="BU767" s="8"/>
      <c r="BV767" s="8"/>
      <c r="BW767" s="8"/>
    </row>
    <row r="768" spans="1:75" ht="12" customHeight="1" x14ac:dyDescent="0.2">
      <c r="A768" s="49"/>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c r="BQ768" s="8"/>
      <c r="BR768" s="8"/>
      <c r="BS768" s="8"/>
      <c r="BT768" s="8"/>
      <c r="BU768" s="8"/>
      <c r="BV768" s="8"/>
      <c r="BW768" s="8"/>
    </row>
    <row r="769" spans="1:75" ht="12" customHeight="1" x14ac:dyDescent="0.2">
      <c r="A769" s="49"/>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c r="BQ769" s="8"/>
      <c r="BR769" s="8"/>
      <c r="BS769" s="8"/>
      <c r="BT769" s="8"/>
      <c r="BU769" s="8"/>
      <c r="BV769" s="8"/>
      <c r="BW769" s="8"/>
    </row>
    <row r="770" spans="1:75" ht="12" customHeight="1" x14ac:dyDescent="0.2">
      <c r="A770" s="49"/>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c r="BQ770" s="8"/>
      <c r="BR770" s="8"/>
      <c r="BS770" s="8"/>
      <c r="BT770" s="8"/>
      <c r="BU770" s="8"/>
      <c r="BV770" s="8"/>
      <c r="BW770" s="8"/>
    </row>
    <row r="771" spans="1:75" ht="12" customHeight="1" x14ac:dyDescent="0.2">
      <c r="A771" s="49"/>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c r="BQ771" s="8"/>
      <c r="BR771" s="8"/>
      <c r="BS771" s="8"/>
      <c r="BT771" s="8"/>
      <c r="BU771" s="8"/>
      <c r="BV771" s="8"/>
      <c r="BW771" s="8"/>
    </row>
    <row r="772" spans="1:75" ht="12" customHeight="1" x14ac:dyDescent="0.2">
      <c r="A772" s="49"/>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c r="BQ772" s="8"/>
      <c r="BR772" s="8"/>
      <c r="BS772" s="8"/>
      <c r="BT772" s="8"/>
      <c r="BU772" s="8"/>
      <c r="BV772" s="8"/>
      <c r="BW772" s="8"/>
    </row>
    <row r="773" spans="1:75" ht="12" customHeight="1" x14ac:dyDescent="0.2">
      <c r="A773" s="49"/>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c r="BQ773" s="8"/>
      <c r="BR773" s="8"/>
      <c r="BS773" s="8"/>
      <c r="BT773" s="8"/>
      <c r="BU773" s="8"/>
      <c r="BV773" s="8"/>
      <c r="BW773" s="8"/>
    </row>
    <row r="774" spans="1:75" ht="12" customHeight="1" x14ac:dyDescent="0.2">
      <c r="A774" s="49"/>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c r="BQ774" s="8"/>
      <c r="BR774" s="8"/>
      <c r="BS774" s="8"/>
      <c r="BT774" s="8"/>
      <c r="BU774" s="8"/>
      <c r="BV774" s="8"/>
      <c r="BW774" s="8"/>
    </row>
    <row r="775" spans="1:75" ht="12" customHeight="1" x14ac:dyDescent="0.2">
      <c r="A775" s="49"/>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c r="BR775" s="8"/>
      <c r="BS775" s="8"/>
      <c r="BT775" s="8"/>
      <c r="BU775" s="8"/>
      <c r="BV775" s="8"/>
      <c r="BW775" s="8"/>
    </row>
    <row r="776" spans="1:75" ht="12" customHeight="1" x14ac:dyDescent="0.2">
      <c r="A776" s="49"/>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8"/>
      <c r="BR776" s="8"/>
      <c r="BS776" s="8"/>
      <c r="BT776" s="8"/>
      <c r="BU776" s="8"/>
      <c r="BV776" s="8"/>
      <c r="BW776" s="8"/>
    </row>
    <row r="777" spans="1:75" ht="12" customHeight="1" x14ac:dyDescent="0.2">
      <c r="A777" s="49"/>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c r="BQ777" s="8"/>
      <c r="BR777" s="8"/>
      <c r="BS777" s="8"/>
      <c r="BT777" s="8"/>
      <c r="BU777" s="8"/>
      <c r="BV777" s="8"/>
      <c r="BW777" s="8"/>
    </row>
    <row r="778" spans="1:75" ht="12" customHeight="1" x14ac:dyDescent="0.2">
      <c r="A778" s="49"/>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c r="BQ778" s="8"/>
      <c r="BR778" s="8"/>
      <c r="BS778" s="8"/>
      <c r="BT778" s="8"/>
      <c r="BU778" s="8"/>
      <c r="BV778" s="8"/>
      <c r="BW778" s="8"/>
    </row>
    <row r="779" spans="1:75" ht="12" customHeight="1" x14ac:dyDescent="0.2">
      <c r="A779" s="49"/>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c r="BQ779" s="8"/>
      <c r="BR779" s="8"/>
      <c r="BS779" s="8"/>
      <c r="BT779" s="8"/>
      <c r="BU779" s="8"/>
      <c r="BV779" s="8"/>
      <c r="BW779" s="8"/>
    </row>
    <row r="780" spans="1:75" ht="12" customHeight="1" x14ac:dyDescent="0.2">
      <c r="A780" s="49"/>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c r="BQ780" s="8"/>
      <c r="BR780" s="8"/>
      <c r="BS780" s="8"/>
      <c r="BT780" s="8"/>
      <c r="BU780" s="8"/>
      <c r="BV780" s="8"/>
      <c r="BW780" s="8"/>
    </row>
    <row r="781" spans="1:75" ht="12" customHeight="1" x14ac:dyDescent="0.2">
      <c r="A781" s="49"/>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c r="BQ781" s="8"/>
      <c r="BR781" s="8"/>
      <c r="BS781" s="8"/>
      <c r="BT781" s="8"/>
      <c r="BU781" s="8"/>
      <c r="BV781" s="8"/>
      <c r="BW781" s="8"/>
    </row>
    <row r="782" spans="1:75" ht="12" customHeight="1" x14ac:dyDescent="0.2">
      <c r="A782" s="49"/>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c r="BQ782" s="8"/>
      <c r="BR782" s="8"/>
      <c r="BS782" s="8"/>
      <c r="BT782" s="8"/>
      <c r="BU782" s="8"/>
      <c r="BV782" s="8"/>
      <c r="BW782" s="8"/>
    </row>
    <row r="783" spans="1:75" ht="12" customHeight="1" x14ac:dyDescent="0.2">
      <c r="A783" s="49"/>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8"/>
      <c r="BR783" s="8"/>
      <c r="BS783" s="8"/>
      <c r="BT783" s="8"/>
      <c r="BU783" s="8"/>
      <c r="BV783" s="8"/>
      <c r="BW783" s="8"/>
    </row>
    <row r="784" spans="1:75" ht="12" customHeight="1" x14ac:dyDescent="0.2">
      <c r="A784" s="49"/>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c r="BQ784" s="8"/>
      <c r="BR784" s="8"/>
      <c r="BS784" s="8"/>
      <c r="BT784" s="8"/>
      <c r="BU784" s="8"/>
      <c r="BV784" s="8"/>
      <c r="BW784" s="8"/>
    </row>
    <row r="785" spans="1:75" ht="12" customHeight="1" x14ac:dyDescent="0.2">
      <c r="A785" s="49"/>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c r="BQ785" s="8"/>
      <c r="BR785" s="8"/>
      <c r="BS785" s="8"/>
      <c r="BT785" s="8"/>
      <c r="BU785" s="8"/>
      <c r="BV785" s="8"/>
      <c r="BW785" s="8"/>
    </row>
    <row r="786" spans="1:75" ht="12" customHeight="1" x14ac:dyDescent="0.2">
      <c r="A786" s="49"/>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c r="BQ786" s="8"/>
      <c r="BR786" s="8"/>
      <c r="BS786" s="8"/>
      <c r="BT786" s="8"/>
      <c r="BU786" s="8"/>
      <c r="BV786" s="8"/>
      <c r="BW786" s="8"/>
    </row>
    <row r="787" spans="1:75" ht="12" customHeight="1" x14ac:dyDescent="0.2">
      <c r="A787" s="49"/>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8"/>
      <c r="BR787" s="8"/>
      <c r="BS787" s="8"/>
      <c r="BT787" s="8"/>
      <c r="BU787" s="8"/>
      <c r="BV787" s="8"/>
      <c r="BW787" s="8"/>
    </row>
    <row r="788" spans="1:75" ht="12" customHeight="1" x14ac:dyDescent="0.2">
      <c r="A788" s="49"/>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c r="BQ788" s="8"/>
      <c r="BR788" s="8"/>
      <c r="BS788" s="8"/>
      <c r="BT788" s="8"/>
      <c r="BU788" s="8"/>
      <c r="BV788" s="8"/>
      <c r="BW788" s="8"/>
    </row>
    <row r="789" spans="1:75" ht="12" customHeight="1" x14ac:dyDescent="0.2">
      <c r="A789" s="49"/>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c r="BQ789" s="8"/>
      <c r="BR789" s="8"/>
      <c r="BS789" s="8"/>
      <c r="BT789" s="8"/>
      <c r="BU789" s="8"/>
      <c r="BV789" s="8"/>
      <c r="BW789" s="8"/>
    </row>
    <row r="790" spans="1:75" ht="12" customHeight="1" x14ac:dyDescent="0.2">
      <c r="A790" s="49"/>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c r="BQ790" s="8"/>
      <c r="BR790" s="8"/>
      <c r="BS790" s="8"/>
      <c r="BT790" s="8"/>
      <c r="BU790" s="8"/>
      <c r="BV790" s="8"/>
      <c r="BW790" s="8"/>
    </row>
    <row r="791" spans="1:75" ht="12" customHeight="1" x14ac:dyDescent="0.2">
      <c r="A791" s="49"/>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c r="BQ791" s="8"/>
      <c r="BR791" s="8"/>
      <c r="BS791" s="8"/>
      <c r="BT791" s="8"/>
      <c r="BU791" s="8"/>
      <c r="BV791" s="8"/>
      <c r="BW791" s="8"/>
    </row>
    <row r="792" spans="1:75" ht="12" customHeight="1" x14ac:dyDescent="0.2">
      <c r="A792" s="49"/>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c r="BQ792" s="8"/>
      <c r="BR792" s="8"/>
      <c r="BS792" s="8"/>
      <c r="BT792" s="8"/>
      <c r="BU792" s="8"/>
      <c r="BV792" s="8"/>
      <c r="BW792" s="8"/>
    </row>
    <row r="793" spans="1:75" ht="12" customHeight="1" x14ac:dyDescent="0.2">
      <c r="A793" s="49"/>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c r="BQ793" s="8"/>
      <c r="BR793" s="8"/>
      <c r="BS793" s="8"/>
      <c r="BT793" s="8"/>
      <c r="BU793" s="8"/>
      <c r="BV793" s="8"/>
      <c r="BW793" s="8"/>
    </row>
    <row r="794" spans="1:75" ht="12" customHeight="1" x14ac:dyDescent="0.2">
      <c r="A794" s="49"/>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c r="BQ794" s="8"/>
      <c r="BR794" s="8"/>
      <c r="BS794" s="8"/>
      <c r="BT794" s="8"/>
      <c r="BU794" s="8"/>
      <c r="BV794" s="8"/>
      <c r="BW794" s="8"/>
    </row>
    <row r="795" spans="1:75" ht="12" customHeight="1" x14ac:dyDescent="0.2">
      <c r="A795" s="49"/>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c r="BQ795" s="8"/>
      <c r="BR795" s="8"/>
      <c r="BS795" s="8"/>
      <c r="BT795" s="8"/>
      <c r="BU795" s="8"/>
      <c r="BV795" s="8"/>
      <c r="BW795" s="8"/>
    </row>
    <row r="796" spans="1:75" ht="12" customHeight="1" x14ac:dyDescent="0.2">
      <c r="A796" s="49"/>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c r="BQ796" s="8"/>
      <c r="BR796" s="8"/>
      <c r="BS796" s="8"/>
      <c r="BT796" s="8"/>
      <c r="BU796" s="8"/>
      <c r="BV796" s="8"/>
      <c r="BW796" s="8"/>
    </row>
    <row r="797" spans="1:75" ht="12" customHeight="1" x14ac:dyDescent="0.2">
      <c r="A797" s="49"/>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c r="BQ797" s="8"/>
      <c r="BR797" s="8"/>
      <c r="BS797" s="8"/>
      <c r="BT797" s="8"/>
      <c r="BU797" s="8"/>
      <c r="BV797" s="8"/>
      <c r="BW797" s="8"/>
    </row>
    <row r="798" spans="1:75" ht="12" customHeight="1" x14ac:dyDescent="0.2">
      <c r="A798" s="49"/>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c r="BQ798" s="8"/>
      <c r="BR798" s="8"/>
      <c r="BS798" s="8"/>
      <c r="BT798" s="8"/>
      <c r="BU798" s="8"/>
      <c r="BV798" s="8"/>
      <c r="BW798" s="8"/>
    </row>
    <row r="799" spans="1:75" ht="12" customHeight="1" x14ac:dyDescent="0.2">
      <c r="A799" s="49"/>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c r="BQ799" s="8"/>
      <c r="BR799" s="8"/>
      <c r="BS799" s="8"/>
      <c r="BT799" s="8"/>
      <c r="BU799" s="8"/>
      <c r="BV799" s="8"/>
      <c r="BW799" s="8"/>
    </row>
    <row r="800" spans="1:75" ht="12" customHeight="1" x14ac:dyDescent="0.2">
      <c r="A800" s="49"/>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c r="BQ800" s="8"/>
      <c r="BR800" s="8"/>
      <c r="BS800" s="8"/>
      <c r="BT800" s="8"/>
      <c r="BU800" s="8"/>
      <c r="BV800" s="8"/>
      <c r="BW800" s="8"/>
    </row>
    <row r="801" spans="1:75" ht="12" customHeight="1" x14ac:dyDescent="0.2">
      <c r="A801" s="49"/>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c r="BQ801" s="8"/>
      <c r="BR801" s="8"/>
      <c r="BS801" s="8"/>
      <c r="BT801" s="8"/>
      <c r="BU801" s="8"/>
      <c r="BV801" s="8"/>
      <c r="BW801" s="8"/>
    </row>
    <row r="802" spans="1:75" ht="12" customHeight="1" x14ac:dyDescent="0.2">
      <c r="A802" s="49"/>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c r="BQ802" s="8"/>
      <c r="BR802" s="8"/>
      <c r="BS802" s="8"/>
      <c r="BT802" s="8"/>
      <c r="BU802" s="8"/>
      <c r="BV802" s="8"/>
      <c r="BW802" s="8"/>
    </row>
    <row r="803" spans="1:75" ht="12" customHeight="1" x14ac:dyDescent="0.2">
      <c r="A803" s="49"/>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c r="BQ803" s="8"/>
      <c r="BR803" s="8"/>
      <c r="BS803" s="8"/>
      <c r="BT803" s="8"/>
      <c r="BU803" s="8"/>
      <c r="BV803" s="8"/>
      <c r="BW803" s="8"/>
    </row>
    <row r="804" spans="1:75" ht="12" customHeight="1" x14ac:dyDescent="0.2">
      <c r="A804" s="49"/>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c r="BQ804" s="8"/>
      <c r="BR804" s="8"/>
      <c r="BS804" s="8"/>
      <c r="BT804" s="8"/>
      <c r="BU804" s="8"/>
      <c r="BV804" s="8"/>
      <c r="BW804" s="8"/>
    </row>
    <row r="805" spans="1:75" ht="12" customHeight="1" x14ac:dyDescent="0.2">
      <c r="A805" s="49"/>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c r="BQ805" s="8"/>
      <c r="BR805" s="8"/>
      <c r="BS805" s="8"/>
      <c r="BT805" s="8"/>
      <c r="BU805" s="8"/>
      <c r="BV805" s="8"/>
      <c r="BW805" s="8"/>
    </row>
    <row r="806" spans="1:75" ht="12" customHeight="1" x14ac:dyDescent="0.2">
      <c r="A806" s="49"/>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c r="BQ806" s="8"/>
      <c r="BR806" s="8"/>
      <c r="BS806" s="8"/>
      <c r="BT806" s="8"/>
      <c r="BU806" s="8"/>
      <c r="BV806" s="8"/>
      <c r="BW806" s="8"/>
    </row>
    <row r="807" spans="1:75" ht="12" customHeight="1" x14ac:dyDescent="0.2">
      <c r="A807" s="49"/>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c r="BQ807" s="8"/>
      <c r="BR807" s="8"/>
      <c r="BS807" s="8"/>
      <c r="BT807" s="8"/>
      <c r="BU807" s="8"/>
      <c r="BV807" s="8"/>
      <c r="BW807" s="8"/>
    </row>
    <row r="808" spans="1:75" ht="12" customHeight="1" x14ac:dyDescent="0.2">
      <c r="A808" s="49"/>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c r="BQ808" s="8"/>
      <c r="BR808" s="8"/>
      <c r="BS808" s="8"/>
      <c r="BT808" s="8"/>
      <c r="BU808" s="8"/>
      <c r="BV808" s="8"/>
      <c r="BW808" s="8"/>
    </row>
    <row r="809" spans="1:75" ht="12" customHeight="1" x14ac:dyDescent="0.2">
      <c r="A809" s="49"/>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c r="BQ809" s="8"/>
      <c r="BR809" s="8"/>
      <c r="BS809" s="8"/>
      <c r="BT809" s="8"/>
      <c r="BU809" s="8"/>
      <c r="BV809" s="8"/>
      <c r="BW809" s="8"/>
    </row>
    <row r="810" spans="1:75" ht="12" customHeight="1" x14ac:dyDescent="0.2">
      <c r="A810" s="49"/>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c r="BQ810" s="8"/>
      <c r="BR810" s="8"/>
      <c r="BS810" s="8"/>
      <c r="BT810" s="8"/>
      <c r="BU810" s="8"/>
      <c r="BV810" s="8"/>
      <c r="BW810" s="8"/>
    </row>
    <row r="811" spans="1:75" ht="12" customHeight="1" x14ac:dyDescent="0.2">
      <c r="A811" s="49"/>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c r="BQ811" s="8"/>
      <c r="BR811" s="8"/>
      <c r="BS811" s="8"/>
      <c r="BT811" s="8"/>
      <c r="BU811" s="8"/>
      <c r="BV811" s="8"/>
      <c r="BW811" s="8"/>
    </row>
    <row r="812" spans="1:75" ht="12" customHeight="1" x14ac:dyDescent="0.2">
      <c r="A812" s="49"/>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c r="BQ812" s="8"/>
      <c r="BR812" s="8"/>
      <c r="BS812" s="8"/>
      <c r="BT812" s="8"/>
      <c r="BU812" s="8"/>
      <c r="BV812" s="8"/>
      <c r="BW812" s="8"/>
    </row>
    <row r="813" spans="1:75" ht="12" customHeight="1" x14ac:dyDescent="0.2">
      <c r="A813" s="49"/>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c r="BQ813" s="8"/>
      <c r="BR813" s="8"/>
      <c r="BS813" s="8"/>
      <c r="BT813" s="8"/>
      <c r="BU813" s="8"/>
      <c r="BV813" s="8"/>
      <c r="BW813" s="8"/>
    </row>
    <row r="814" spans="1:75" ht="12" customHeight="1" x14ac:dyDescent="0.2">
      <c r="A814" s="49"/>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c r="BQ814" s="8"/>
      <c r="BR814" s="8"/>
      <c r="BS814" s="8"/>
      <c r="BT814" s="8"/>
      <c r="BU814" s="8"/>
      <c r="BV814" s="8"/>
      <c r="BW814" s="8"/>
    </row>
    <row r="815" spans="1:75" ht="12" customHeight="1" x14ac:dyDescent="0.2">
      <c r="A815" s="49"/>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c r="BQ815" s="8"/>
      <c r="BR815" s="8"/>
      <c r="BS815" s="8"/>
      <c r="BT815" s="8"/>
      <c r="BU815" s="8"/>
      <c r="BV815" s="8"/>
      <c r="BW815" s="8"/>
    </row>
    <row r="816" spans="1:75" ht="12" customHeight="1" x14ac:dyDescent="0.2">
      <c r="A816" s="49"/>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c r="BQ816" s="8"/>
      <c r="BR816" s="8"/>
      <c r="BS816" s="8"/>
      <c r="BT816" s="8"/>
      <c r="BU816" s="8"/>
      <c r="BV816" s="8"/>
      <c r="BW816" s="8"/>
    </row>
    <row r="817" spans="1:75" ht="12" customHeight="1" x14ac:dyDescent="0.2">
      <c r="A817" s="49"/>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c r="BQ817" s="8"/>
      <c r="BR817" s="8"/>
      <c r="BS817" s="8"/>
      <c r="BT817" s="8"/>
      <c r="BU817" s="8"/>
      <c r="BV817" s="8"/>
      <c r="BW817" s="8"/>
    </row>
    <row r="818" spans="1:75" ht="12" customHeight="1" x14ac:dyDescent="0.2">
      <c r="A818" s="49"/>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c r="BQ818" s="8"/>
      <c r="BR818" s="8"/>
      <c r="BS818" s="8"/>
      <c r="BT818" s="8"/>
      <c r="BU818" s="8"/>
      <c r="BV818" s="8"/>
      <c r="BW818" s="8"/>
    </row>
    <row r="819" spans="1:75" ht="12" customHeight="1" x14ac:dyDescent="0.2">
      <c r="A819" s="49"/>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c r="BQ819" s="8"/>
      <c r="BR819" s="8"/>
      <c r="BS819" s="8"/>
      <c r="BT819" s="8"/>
      <c r="BU819" s="8"/>
      <c r="BV819" s="8"/>
      <c r="BW819" s="8"/>
    </row>
    <row r="820" spans="1:75" ht="12" customHeight="1" x14ac:dyDescent="0.2">
      <c r="A820" s="49"/>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c r="BQ820" s="8"/>
      <c r="BR820" s="8"/>
      <c r="BS820" s="8"/>
      <c r="BT820" s="8"/>
      <c r="BU820" s="8"/>
      <c r="BV820" s="8"/>
      <c r="BW820" s="8"/>
    </row>
    <row r="821" spans="1:75" ht="12" customHeight="1" x14ac:dyDescent="0.2">
      <c r="A821" s="49"/>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c r="BQ821" s="8"/>
      <c r="BR821" s="8"/>
      <c r="BS821" s="8"/>
      <c r="BT821" s="8"/>
      <c r="BU821" s="8"/>
      <c r="BV821" s="8"/>
      <c r="BW821" s="8"/>
    </row>
    <row r="822" spans="1:75" ht="12" customHeight="1" x14ac:dyDescent="0.2">
      <c r="A822" s="49"/>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c r="BQ822" s="8"/>
      <c r="BR822" s="8"/>
      <c r="BS822" s="8"/>
      <c r="BT822" s="8"/>
      <c r="BU822" s="8"/>
      <c r="BV822" s="8"/>
      <c r="BW822" s="8"/>
    </row>
    <row r="823" spans="1:75" ht="12" customHeight="1" x14ac:dyDescent="0.2">
      <c r="A823" s="49"/>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c r="BQ823" s="8"/>
      <c r="BR823" s="8"/>
      <c r="BS823" s="8"/>
      <c r="BT823" s="8"/>
      <c r="BU823" s="8"/>
      <c r="BV823" s="8"/>
      <c r="BW823" s="8"/>
    </row>
    <row r="824" spans="1:75" ht="12" customHeight="1" x14ac:dyDescent="0.2">
      <c r="A824" s="49"/>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c r="BQ824" s="8"/>
      <c r="BR824" s="8"/>
      <c r="BS824" s="8"/>
      <c r="BT824" s="8"/>
      <c r="BU824" s="8"/>
      <c r="BV824" s="8"/>
      <c r="BW824" s="8"/>
    </row>
    <row r="825" spans="1:75" ht="12" customHeight="1" x14ac:dyDescent="0.2">
      <c r="A825" s="49"/>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c r="BQ825" s="8"/>
      <c r="BR825" s="8"/>
      <c r="BS825" s="8"/>
      <c r="BT825" s="8"/>
      <c r="BU825" s="8"/>
      <c r="BV825" s="8"/>
      <c r="BW825" s="8"/>
    </row>
    <row r="826" spans="1:75" ht="12" customHeight="1" x14ac:dyDescent="0.2">
      <c r="A826" s="49"/>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c r="BQ826" s="8"/>
      <c r="BR826" s="8"/>
      <c r="BS826" s="8"/>
      <c r="BT826" s="8"/>
      <c r="BU826" s="8"/>
      <c r="BV826" s="8"/>
      <c r="BW826" s="8"/>
    </row>
    <row r="827" spans="1:75" ht="12" customHeight="1" x14ac:dyDescent="0.2">
      <c r="A827" s="49"/>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c r="BQ827" s="8"/>
      <c r="BR827" s="8"/>
      <c r="BS827" s="8"/>
      <c r="BT827" s="8"/>
      <c r="BU827" s="8"/>
      <c r="BV827" s="8"/>
      <c r="BW827" s="8"/>
    </row>
    <row r="828" spans="1:75" ht="12" customHeight="1" x14ac:dyDescent="0.2">
      <c r="A828" s="49"/>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c r="BP828" s="8"/>
      <c r="BQ828" s="8"/>
      <c r="BR828" s="8"/>
      <c r="BS828" s="8"/>
      <c r="BT828" s="8"/>
      <c r="BU828" s="8"/>
      <c r="BV828" s="8"/>
      <c r="BW828" s="8"/>
    </row>
    <row r="829" spans="1:75" ht="12" customHeight="1" x14ac:dyDescent="0.2">
      <c r="A829" s="49"/>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c r="BQ829" s="8"/>
      <c r="BR829" s="8"/>
      <c r="BS829" s="8"/>
      <c r="BT829" s="8"/>
      <c r="BU829" s="8"/>
      <c r="BV829" s="8"/>
      <c r="BW829" s="8"/>
    </row>
    <row r="830" spans="1:75" ht="12" customHeight="1" x14ac:dyDescent="0.2">
      <c r="A830" s="49"/>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c r="BQ830" s="8"/>
      <c r="BR830" s="8"/>
      <c r="BS830" s="8"/>
      <c r="BT830" s="8"/>
      <c r="BU830" s="8"/>
      <c r="BV830" s="8"/>
      <c r="BW830" s="8"/>
    </row>
    <row r="831" spans="1:75" ht="12" customHeight="1" x14ac:dyDescent="0.2">
      <c r="A831" s="49"/>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c r="BQ831" s="8"/>
      <c r="BR831" s="8"/>
      <c r="BS831" s="8"/>
      <c r="BT831" s="8"/>
      <c r="BU831" s="8"/>
      <c r="BV831" s="8"/>
      <c r="BW831" s="8"/>
    </row>
    <row r="832" spans="1:75" ht="12" customHeight="1" x14ac:dyDescent="0.2">
      <c r="A832" s="49"/>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c r="BQ832" s="8"/>
      <c r="BR832" s="8"/>
      <c r="BS832" s="8"/>
      <c r="BT832" s="8"/>
      <c r="BU832" s="8"/>
      <c r="BV832" s="8"/>
      <c r="BW832" s="8"/>
    </row>
    <row r="833" spans="1:75" ht="12" customHeight="1" x14ac:dyDescent="0.2">
      <c r="A833" s="49"/>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c r="BQ833" s="8"/>
      <c r="BR833" s="8"/>
      <c r="BS833" s="8"/>
      <c r="BT833" s="8"/>
      <c r="BU833" s="8"/>
      <c r="BV833" s="8"/>
      <c r="BW833" s="8"/>
    </row>
    <row r="834" spans="1:75" ht="12" customHeight="1" x14ac:dyDescent="0.2">
      <c r="A834" s="49"/>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c r="BQ834" s="8"/>
      <c r="BR834" s="8"/>
      <c r="BS834" s="8"/>
      <c r="BT834" s="8"/>
      <c r="BU834" s="8"/>
      <c r="BV834" s="8"/>
      <c r="BW834" s="8"/>
    </row>
    <row r="835" spans="1:75" ht="12" customHeight="1" x14ac:dyDescent="0.2">
      <c r="A835" s="49"/>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c r="BQ835" s="8"/>
      <c r="BR835" s="8"/>
      <c r="BS835" s="8"/>
      <c r="BT835" s="8"/>
      <c r="BU835" s="8"/>
      <c r="BV835" s="8"/>
      <c r="BW835" s="8"/>
    </row>
    <row r="836" spans="1:75" ht="12" customHeight="1" x14ac:dyDescent="0.2">
      <c r="A836" s="49"/>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c r="BQ836" s="8"/>
      <c r="BR836" s="8"/>
      <c r="BS836" s="8"/>
      <c r="BT836" s="8"/>
      <c r="BU836" s="8"/>
      <c r="BV836" s="8"/>
      <c r="BW836" s="8"/>
    </row>
    <row r="837" spans="1:75" ht="12" customHeight="1" x14ac:dyDescent="0.2">
      <c r="A837" s="49"/>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c r="BP837" s="8"/>
      <c r="BQ837" s="8"/>
      <c r="BR837" s="8"/>
      <c r="BS837" s="8"/>
      <c r="BT837" s="8"/>
      <c r="BU837" s="8"/>
      <c r="BV837" s="8"/>
      <c r="BW837" s="8"/>
    </row>
    <row r="838" spans="1:75" ht="12" customHeight="1" x14ac:dyDescent="0.2">
      <c r="A838" s="49"/>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c r="BP838" s="8"/>
      <c r="BQ838" s="8"/>
      <c r="BR838" s="8"/>
      <c r="BS838" s="8"/>
      <c r="BT838" s="8"/>
      <c r="BU838" s="8"/>
      <c r="BV838" s="8"/>
      <c r="BW838" s="8"/>
    </row>
    <row r="839" spans="1:75" ht="12" customHeight="1" x14ac:dyDescent="0.2">
      <c r="A839" s="49"/>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c r="BQ839" s="8"/>
      <c r="BR839" s="8"/>
      <c r="BS839" s="8"/>
      <c r="BT839" s="8"/>
      <c r="BU839" s="8"/>
      <c r="BV839" s="8"/>
      <c r="BW839" s="8"/>
    </row>
    <row r="840" spans="1:75" ht="12" customHeight="1" x14ac:dyDescent="0.2">
      <c r="A840" s="49"/>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c r="BQ840" s="8"/>
      <c r="BR840" s="8"/>
      <c r="BS840" s="8"/>
      <c r="BT840" s="8"/>
      <c r="BU840" s="8"/>
      <c r="BV840" s="8"/>
      <c r="BW840" s="8"/>
    </row>
    <row r="841" spans="1:75" ht="12" customHeight="1" x14ac:dyDescent="0.2">
      <c r="A841" s="49"/>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c r="BQ841" s="8"/>
      <c r="BR841" s="8"/>
      <c r="BS841" s="8"/>
      <c r="BT841" s="8"/>
      <c r="BU841" s="8"/>
      <c r="BV841" s="8"/>
      <c r="BW841" s="8"/>
    </row>
    <row r="842" spans="1:75" ht="12" customHeight="1" x14ac:dyDescent="0.2">
      <c r="A842" s="49"/>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c r="BQ842" s="8"/>
      <c r="BR842" s="8"/>
      <c r="BS842" s="8"/>
      <c r="BT842" s="8"/>
      <c r="BU842" s="8"/>
      <c r="BV842" s="8"/>
      <c r="BW842" s="8"/>
    </row>
    <row r="843" spans="1:75" ht="12" customHeight="1" x14ac:dyDescent="0.2">
      <c r="A843" s="49"/>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c r="BP843" s="8"/>
      <c r="BQ843" s="8"/>
      <c r="BR843" s="8"/>
      <c r="BS843" s="8"/>
      <c r="BT843" s="8"/>
      <c r="BU843" s="8"/>
      <c r="BV843" s="8"/>
      <c r="BW843" s="8"/>
    </row>
    <row r="844" spans="1:75" ht="12" customHeight="1" x14ac:dyDescent="0.2">
      <c r="A844" s="49"/>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c r="BQ844" s="8"/>
      <c r="BR844" s="8"/>
      <c r="BS844" s="8"/>
      <c r="BT844" s="8"/>
      <c r="BU844" s="8"/>
      <c r="BV844" s="8"/>
      <c r="BW844" s="8"/>
    </row>
    <row r="845" spans="1:75" ht="12" customHeight="1" x14ac:dyDescent="0.2">
      <c r="A845" s="49"/>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c r="BQ845" s="8"/>
      <c r="BR845" s="8"/>
      <c r="BS845" s="8"/>
      <c r="BT845" s="8"/>
      <c r="BU845" s="8"/>
      <c r="BV845" s="8"/>
      <c r="BW845" s="8"/>
    </row>
    <row r="846" spans="1:75" ht="12" customHeight="1" x14ac:dyDescent="0.2">
      <c r="A846" s="49"/>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c r="BQ846" s="8"/>
      <c r="BR846" s="8"/>
      <c r="BS846" s="8"/>
      <c r="BT846" s="8"/>
      <c r="BU846" s="8"/>
      <c r="BV846" s="8"/>
      <c r="BW846" s="8"/>
    </row>
    <row r="847" spans="1:75" ht="12" customHeight="1" x14ac:dyDescent="0.2">
      <c r="A847" s="49"/>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c r="BQ847" s="8"/>
      <c r="BR847" s="8"/>
      <c r="BS847" s="8"/>
      <c r="BT847" s="8"/>
      <c r="BU847" s="8"/>
      <c r="BV847" s="8"/>
      <c r="BW847" s="8"/>
    </row>
    <row r="848" spans="1:75" ht="12" customHeight="1" x14ac:dyDescent="0.2">
      <c r="A848" s="49"/>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c r="BQ848" s="8"/>
      <c r="BR848" s="8"/>
      <c r="BS848" s="8"/>
      <c r="BT848" s="8"/>
      <c r="BU848" s="8"/>
      <c r="BV848" s="8"/>
      <c r="BW848" s="8"/>
    </row>
    <row r="849" spans="1:75" ht="12" customHeight="1" x14ac:dyDescent="0.2">
      <c r="A849" s="49"/>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c r="BQ849" s="8"/>
      <c r="BR849" s="8"/>
      <c r="BS849" s="8"/>
      <c r="BT849" s="8"/>
      <c r="BU849" s="8"/>
      <c r="BV849" s="8"/>
      <c r="BW849" s="8"/>
    </row>
    <row r="850" spans="1:75" ht="12" customHeight="1" x14ac:dyDescent="0.2">
      <c r="A850" s="49"/>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c r="BQ850" s="8"/>
      <c r="BR850" s="8"/>
      <c r="BS850" s="8"/>
      <c r="BT850" s="8"/>
      <c r="BU850" s="8"/>
      <c r="BV850" s="8"/>
      <c r="BW850" s="8"/>
    </row>
    <row r="851" spans="1:75" ht="12" customHeight="1" x14ac:dyDescent="0.2">
      <c r="A851" s="49"/>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c r="BQ851" s="8"/>
      <c r="BR851" s="8"/>
      <c r="BS851" s="8"/>
      <c r="BT851" s="8"/>
      <c r="BU851" s="8"/>
      <c r="BV851" s="8"/>
      <c r="BW851" s="8"/>
    </row>
    <row r="852" spans="1:75" ht="12" customHeight="1" x14ac:dyDescent="0.2">
      <c r="A852" s="49"/>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c r="BQ852" s="8"/>
      <c r="BR852" s="8"/>
      <c r="BS852" s="8"/>
      <c r="BT852" s="8"/>
      <c r="BU852" s="8"/>
      <c r="BV852" s="8"/>
      <c r="BW852" s="8"/>
    </row>
    <row r="853" spans="1:75" ht="12" customHeight="1" x14ac:dyDescent="0.2">
      <c r="A853" s="49"/>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c r="BQ853" s="8"/>
      <c r="BR853" s="8"/>
      <c r="BS853" s="8"/>
      <c r="BT853" s="8"/>
      <c r="BU853" s="8"/>
      <c r="BV853" s="8"/>
      <c r="BW853" s="8"/>
    </row>
    <row r="854" spans="1:75" ht="12" customHeight="1" x14ac:dyDescent="0.2">
      <c r="A854" s="49"/>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c r="BQ854" s="8"/>
      <c r="BR854" s="8"/>
      <c r="BS854" s="8"/>
      <c r="BT854" s="8"/>
      <c r="BU854" s="8"/>
      <c r="BV854" s="8"/>
      <c r="BW854" s="8"/>
    </row>
    <row r="855" spans="1:75" ht="12" customHeight="1" x14ac:dyDescent="0.2">
      <c r="A855" s="49"/>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c r="BQ855" s="8"/>
      <c r="BR855" s="8"/>
      <c r="BS855" s="8"/>
      <c r="BT855" s="8"/>
      <c r="BU855" s="8"/>
      <c r="BV855" s="8"/>
      <c r="BW855" s="8"/>
    </row>
    <row r="856" spans="1:75" ht="12" customHeight="1" x14ac:dyDescent="0.2">
      <c r="A856" s="49"/>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c r="BQ856" s="8"/>
      <c r="BR856" s="8"/>
      <c r="BS856" s="8"/>
      <c r="BT856" s="8"/>
      <c r="BU856" s="8"/>
      <c r="BV856" s="8"/>
      <c r="BW856" s="8"/>
    </row>
    <row r="857" spans="1:75" ht="12" customHeight="1" x14ac:dyDescent="0.2">
      <c r="A857" s="49"/>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c r="BQ857" s="8"/>
      <c r="BR857" s="8"/>
      <c r="BS857" s="8"/>
      <c r="BT857" s="8"/>
      <c r="BU857" s="8"/>
      <c r="BV857" s="8"/>
      <c r="BW857" s="8"/>
    </row>
    <row r="858" spans="1:75" ht="12" customHeight="1" x14ac:dyDescent="0.2">
      <c r="A858" s="49"/>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c r="BQ858" s="8"/>
      <c r="BR858" s="8"/>
      <c r="BS858" s="8"/>
      <c r="BT858" s="8"/>
      <c r="BU858" s="8"/>
      <c r="BV858" s="8"/>
      <c r="BW858" s="8"/>
    </row>
    <row r="859" spans="1:75" ht="12" customHeight="1" x14ac:dyDescent="0.2">
      <c r="A859" s="49"/>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c r="BQ859" s="8"/>
      <c r="BR859" s="8"/>
      <c r="BS859" s="8"/>
      <c r="BT859" s="8"/>
      <c r="BU859" s="8"/>
      <c r="BV859" s="8"/>
      <c r="BW859" s="8"/>
    </row>
    <row r="860" spans="1:75" ht="12" customHeight="1" x14ac:dyDescent="0.2">
      <c r="A860" s="49"/>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c r="BQ860" s="8"/>
      <c r="BR860" s="8"/>
      <c r="BS860" s="8"/>
      <c r="BT860" s="8"/>
      <c r="BU860" s="8"/>
      <c r="BV860" s="8"/>
      <c r="BW860" s="8"/>
    </row>
    <row r="861" spans="1:75" ht="12" customHeight="1" x14ac:dyDescent="0.2">
      <c r="A861" s="49"/>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c r="BQ861" s="8"/>
      <c r="BR861" s="8"/>
      <c r="BS861" s="8"/>
      <c r="BT861" s="8"/>
      <c r="BU861" s="8"/>
      <c r="BV861" s="8"/>
      <c r="BW861" s="8"/>
    </row>
    <row r="862" spans="1:75" ht="12" customHeight="1" x14ac:dyDescent="0.2">
      <c r="A862" s="49"/>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c r="BQ862" s="8"/>
      <c r="BR862" s="8"/>
      <c r="BS862" s="8"/>
      <c r="BT862" s="8"/>
      <c r="BU862" s="8"/>
      <c r="BV862" s="8"/>
      <c r="BW862" s="8"/>
    </row>
    <row r="863" spans="1:75" ht="12" customHeight="1" x14ac:dyDescent="0.2">
      <c r="A863" s="49"/>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c r="BQ863" s="8"/>
      <c r="BR863" s="8"/>
      <c r="BS863" s="8"/>
      <c r="BT863" s="8"/>
      <c r="BU863" s="8"/>
      <c r="BV863" s="8"/>
      <c r="BW863" s="8"/>
    </row>
    <row r="864" spans="1:75" ht="12" customHeight="1" x14ac:dyDescent="0.2">
      <c r="A864" s="49"/>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c r="BQ864" s="8"/>
      <c r="BR864" s="8"/>
      <c r="BS864" s="8"/>
      <c r="BT864" s="8"/>
      <c r="BU864" s="8"/>
      <c r="BV864" s="8"/>
      <c r="BW864" s="8"/>
    </row>
    <row r="865" spans="1:75" ht="12" customHeight="1" x14ac:dyDescent="0.2">
      <c r="A865" s="49"/>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c r="BQ865" s="8"/>
      <c r="BR865" s="8"/>
      <c r="BS865" s="8"/>
      <c r="BT865" s="8"/>
      <c r="BU865" s="8"/>
      <c r="BV865" s="8"/>
      <c r="BW865" s="8"/>
    </row>
    <row r="866" spans="1:75" ht="12" customHeight="1" x14ac:dyDescent="0.2">
      <c r="A866" s="49"/>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c r="BQ866" s="8"/>
      <c r="BR866" s="8"/>
      <c r="BS866" s="8"/>
      <c r="BT866" s="8"/>
      <c r="BU866" s="8"/>
      <c r="BV866" s="8"/>
      <c r="BW866" s="8"/>
    </row>
    <row r="867" spans="1:75" ht="12" customHeight="1" x14ac:dyDescent="0.2">
      <c r="A867" s="49"/>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c r="BQ867" s="8"/>
      <c r="BR867" s="8"/>
      <c r="BS867" s="8"/>
      <c r="BT867" s="8"/>
      <c r="BU867" s="8"/>
      <c r="BV867" s="8"/>
      <c r="BW867" s="8"/>
    </row>
    <row r="868" spans="1:75" ht="12" customHeight="1" x14ac:dyDescent="0.2">
      <c r="A868" s="49"/>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c r="BQ868" s="8"/>
      <c r="BR868" s="8"/>
      <c r="BS868" s="8"/>
      <c r="BT868" s="8"/>
      <c r="BU868" s="8"/>
      <c r="BV868" s="8"/>
      <c r="BW868" s="8"/>
    </row>
    <row r="869" spans="1:75" ht="12" customHeight="1" x14ac:dyDescent="0.2">
      <c r="A869" s="49"/>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c r="BQ869" s="8"/>
      <c r="BR869" s="8"/>
      <c r="BS869" s="8"/>
      <c r="BT869" s="8"/>
      <c r="BU869" s="8"/>
      <c r="BV869" s="8"/>
      <c r="BW869" s="8"/>
    </row>
    <row r="870" spans="1:75" ht="12" customHeight="1" x14ac:dyDescent="0.2">
      <c r="A870" s="49"/>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c r="BQ870" s="8"/>
      <c r="BR870" s="8"/>
      <c r="BS870" s="8"/>
      <c r="BT870" s="8"/>
      <c r="BU870" s="8"/>
      <c r="BV870" s="8"/>
      <c r="BW870" s="8"/>
    </row>
    <row r="871" spans="1:75" ht="12" customHeight="1" x14ac:dyDescent="0.2">
      <c r="A871" s="49"/>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c r="BQ871" s="8"/>
      <c r="BR871" s="8"/>
      <c r="BS871" s="8"/>
      <c r="BT871" s="8"/>
      <c r="BU871" s="8"/>
      <c r="BV871" s="8"/>
      <c r="BW871" s="8"/>
    </row>
    <row r="872" spans="1:75" ht="12" customHeight="1" x14ac:dyDescent="0.2">
      <c r="A872" s="49"/>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c r="BQ872" s="8"/>
      <c r="BR872" s="8"/>
      <c r="BS872" s="8"/>
      <c r="BT872" s="8"/>
      <c r="BU872" s="8"/>
      <c r="BV872" s="8"/>
      <c r="BW872" s="8"/>
    </row>
    <row r="873" spans="1:75" ht="12" customHeight="1" x14ac:dyDescent="0.2">
      <c r="A873" s="49"/>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c r="BQ873" s="8"/>
      <c r="BR873" s="8"/>
      <c r="BS873" s="8"/>
      <c r="BT873" s="8"/>
      <c r="BU873" s="8"/>
      <c r="BV873" s="8"/>
      <c r="BW873" s="8"/>
    </row>
    <row r="874" spans="1:75" ht="12" customHeight="1" x14ac:dyDescent="0.2">
      <c r="A874" s="49"/>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c r="BQ874" s="8"/>
      <c r="BR874" s="8"/>
      <c r="BS874" s="8"/>
      <c r="BT874" s="8"/>
      <c r="BU874" s="8"/>
      <c r="BV874" s="8"/>
      <c r="BW874" s="8"/>
    </row>
    <row r="875" spans="1:75" ht="12" customHeight="1" x14ac:dyDescent="0.2">
      <c r="A875" s="49"/>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c r="BQ875" s="8"/>
      <c r="BR875" s="8"/>
      <c r="BS875" s="8"/>
      <c r="BT875" s="8"/>
      <c r="BU875" s="8"/>
      <c r="BV875" s="8"/>
      <c r="BW875" s="8"/>
    </row>
    <row r="876" spans="1:75" ht="12" customHeight="1" x14ac:dyDescent="0.2">
      <c r="A876" s="49"/>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c r="BQ876" s="8"/>
      <c r="BR876" s="8"/>
      <c r="BS876" s="8"/>
      <c r="BT876" s="8"/>
      <c r="BU876" s="8"/>
      <c r="BV876" s="8"/>
      <c r="BW876" s="8"/>
    </row>
    <row r="877" spans="1:75" ht="12" customHeight="1" x14ac:dyDescent="0.2">
      <c r="A877" s="49"/>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c r="BQ877" s="8"/>
      <c r="BR877" s="8"/>
      <c r="BS877" s="8"/>
      <c r="BT877" s="8"/>
      <c r="BU877" s="8"/>
      <c r="BV877" s="8"/>
      <c r="BW877" s="8"/>
    </row>
    <row r="878" spans="1:75" ht="12" customHeight="1" x14ac:dyDescent="0.2">
      <c r="A878" s="49"/>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c r="BQ878" s="8"/>
      <c r="BR878" s="8"/>
      <c r="BS878" s="8"/>
      <c r="BT878" s="8"/>
      <c r="BU878" s="8"/>
      <c r="BV878" s="8"/>
      <c r="BW878" s="8"/>
    </row>
    <row r="879" spans="1:75" ht="12" customHeight="1" x14ac:dyDescent="0.2">
      <c r="A879" s="49"/>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c r="BQ879" s="8"/>
      <c r="BR879" s="8"/>
      <c r="BS879" s="8"/>
      <c r="BT879" s="8"/>
      <c r="BU879" s="8"/>
      <c r="BV879" s="8"/>
      <c r="BW879" s="8"/>
    </row>
    <row r="880" spans="1:75" ht="12" customHeight="1" x14ac:dyDescent="0.2">
      <c r="A880" s="49"/>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c r="BQ880" s="8"/>
      <c r="BR880" s="8"/>
      <c r="BS880" s="8"/>
      <c r="BT880" s="8"/>
      <c r="BU880" s="8"/>
      <c r="BV880" s="8"/>
      <c r="BW880" s="8"/>
    </row>
    <row r="881" spans="1:75" ht="12" customHeight="1" x14ac:dyDescent="0.2">
      <c r="A881" s="49"/>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c r="BQ881" s="8"/>
      <c r="BR881" s="8"/>
      <c r="BS881" s="8"/>
      <c r="BT881" s="8"/>
      <c r="BU881" s="8"/>
      <c r="BV881" s="8"/>
      <c r="BW881" s="8"/>
    </row>
    <row r="882" spans="1:75" ht="12" customHeight="1" x14ac:dyDescent="0.2">
      <c r="A882" s="49"/>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c r="BQ882" s="8"/>
      <c r="BR882" s="8"/>
      <c r="BS882" s="8"/>
      <c r="BT882" s="8"/>
      <c r="BU882" s="8"/>
      <c r="BV882" s="8"/>
      <c r="BW882" s="8"/>
    </row>
    <row r="883" spans="1:75" ht="12" customHeight="1" x14ac:dyDescent="0.2">
      <c r="A883" s="49"/>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c r="BQ883" s="8"/>
      <c r="BR883" s="8"/>
      <c r="BS883" s="8"/>
      <c r="BT883" s="8"/>
      <c r="BU883" s="8"/>
      <c r="BV883" s="8"/>
      <c r="BW883" s="8"/>
    </row>
    <row r="884" spans="1:75" ht="12" customHeight="1" x14ac:dyDescent="0.2">
      <c r="A884" s="49"/>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c r="BQ884" s="8"/>
      <c r="BR884" s="8"/>
      <c r="BS884" s="8"/>
      <c r="BT884" s="8"/>
      <c r="BU884" s="8"/>
      <c r="BV884" s="8"/>
      <c r="BW884" s="8"/>
    </row>
    <row r="885" spans="1:75" ht="12" customHeight="1" x14ac:dyDescent="0.2">
      <c r="A885" s="49"/>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c r="BQ885" s="8"/>
      <c r="BR885" s="8"/>
      <c r="BS885" s="8"/>
      <c r="BT885" s="8"/>
      <c r="BU885" s="8"/>
      <c r="BV885" s="8"/>
      <c r="BW885" s="8"/>
    </row>
    <row r="886" spans="1:75" ht="12" customHeight="1" x14ac:dyDescent="0.2">
      <c r="A886" s="49"/>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c r="BQ886" s="8"/>
      <c r="BR886" s="8"/>
      <c r="BS886" s="8"/>
      <c r="BT886" s="8"/>
      <c r="BU886" s="8"/>
      <c r="BV886" s="8"/>
      <c r="BW886" s="8"/>
    </row>
    <row r="887" spans="1:75" ht="12" customHeight="1" x14ac:dyDescent="0.2">
      <c r="A887" s="49"/>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c r="BQ887" s="8"/>
      <c r="BR887" s="8"/>
      <c r="BS887" s="8"/>
      <c r="BT887" s="8"/>
      <c r="BU887" s="8"/>
      <c r="BV887" s="8"/>
      <c r="BW887" s="8"/>
    </row>
    <row r="888" spans="1:75" ht="12" customHeight="1" x14ac:dyDescent="0.2">
      <c r="A888" s="49"/>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c r="BQ888" s="8"/>
      <c r="BR888" s="8"/>
      <c r="BS888" s="8"/>
      <c r="BT888" s="8"/>
      <c r="BU888" s="8"/>
      <c r="BV888" s="8"/>
      <c r="BW888" s="8"/>
    </row>
    <row r="889" spans="1:75" ht="12" customHeight="1" x14ac:dyDescent="0.2">
      <c r="A889" s="49"/>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c r="BQ889" s="8"/>
      <c r="BR889" s="8"/>
      <c r="BS889" s="8"/>
      <c r="BT889" s="8"/>
      <c r="BU889" s="8"/>
      <c r="BV889" s="8"/>
      <c r="BW889" s="8"/>
    </row>
    <row r="890" spans="1:75" ht="12" customHeight="1" x14ac:dyDescent="0.2">
      <c r="A890" s="49"/>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c r="BQ890" s="8"/>
      <c r="BR890" s="8"/>
      <c r="BS890" s="8"/>
      <c r="BT890" s="8"/>
      <c r="BU890" s="8"/>
      <c r="BV890" s="8"/>
      <c r="BW890" s="8"/>
    </row>
    <row r="891" spans="1:75" ht="12" customHeight="1" x14ac:dyDescent="0.2">
      <c r="A891" s="49"/>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c r="BQ891" s="8"/>
      <c r="BR891" s="8"/>
      <c r="BS891" s="8"/>
      <c r="BT891" s="8"/>
      <c r="BU891" s="8"/>
      <c r="BV891" s="8"/>
      <c r="BW891" s="8"/>
    </row>
    <row r="892" spans="1:75" ht="12" customHeight="1" x14ac:dyDescent="0.2">
      <c r="A892" s="49"/>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c r="BQ892" s="8"/>
      <c r="BR892" s="8"/>
      <c r="BS892" s="8"/>
      <c r="BT892" s="8"/>
      <c r="BU892" s="8"/>
      <c r="BV892" s="8"/>
      <c r="BW892" s="8"/>
    </row>
    <row r="893" spans="1:75" ht="12" customHeight="1" x14ac:dyDescent="0.2">
      <c r="A893" s="49"/>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c r="BQ893" s="8"/>
      <c r="BR893" s="8"/>
      <c r="BS893" s="8"/>
      <c r="BT893" s="8"/>
      <c r="BU893" s="8"/>
      <c r="BV893" s="8"/>
      <c r="BW893" s="8"/>
    </row>
    <row r="894" spans="1:75" ht="12" customHeight="1" x14ac:dyDescent="0.2">
      <c r="A894" s="49"/>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c r="BQ894" s="8"/>
      <c r="BR894" s="8"/>
      <c r="BS894" s="8"/>
      <c r="BT894" s="8"/>
      <c r="BU894" s="8"/>
      <c r="BV894" s="8"/>
      <c r="BW894" s="8"/>
    </row>
    <row r="895" spans="1:75" ht="12" customHeight="1" x14ac:dyDescent="0.2">
      <c r="A895" s="49"/>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c r="BQ895" s="8"/>
      <c r="BR895" s="8"/>
      <c r="BS895" s="8"/>
      <c r="BT895" s="8"/>
      <c r="BU895" s="8"/>
      <c r="BV895" s="8"/>
      <c r="BW895" s="8"/>
    </row>
    <row r="896" spans="1:75" ht="12" customHeight="1" x14ac:dyDescent="0.2">
      <c r="A896" s="49"/>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c r="BQ896" s="8"/>
      <c r="BR896" s="8"/>
      <c r="BS896" s="8"/>
      <c r="BT896" s="8"/>
      <c r="BU896" s="8"/>
      <c r="BV896" s="8"/>
      <c r="BW896" s="8"/>
    </row>
    <row r="897" spans="1:75" ht="12" customHeight="1" x14ac:dyDescent="0.2">
      <c r="A897" s="49"/>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c r="BQ897" s="8"/>
      <c r="BR897" s="8"/>
      <c r="BS897" s="8"/>
      <c r="BT897" s="8"/>
      <c r="BU897" s="8"/>
      <c r="BV897" s="8"/>
      <c r="BW897" s="8"/>
    </row>
    <row r="898" spans="1:75" ht="12" customHeight="1" x14ac:dyDescent="0.2">
      <c r="A898" s="49"/>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c r="BQ898" s="8"/>
      <c r="BR898" s="8"/>
      <c r="BS898" s="8"/>
      <c r="BT898" s="8"/>
      <c r="BU898" s="8"/>
      <c r="BV898" s="8"/>
      <c r="BW898" s="8"/>
    </row>
    <row r="899" spans="1:75" ht="12" customHeight="1" x14ac:dyDescent="0.2">
      <c r="A899" s="49"/>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c r="BQ899" s="8"/>
      <c r="BR899" s="8"/>
      <c r="BS899" s="8"/>
      <c r="BT899" s="8"/>
      <c r="BU899" s="8"/>
      <c r="BV899" s="8"/>
      <c r="BW899" s="8"/>
    </row>
    <row r="900" spans="1:75" ht="12" customHeight="1" x14ac:dyDescent="0.2">
      <c r="A900" s="49"/>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c r="BQ900" s="8"/>
      <c r="BR900" s="8"/>
      <c r="BS900" s="8"/>
      <c r="BT900" s="8"/>
      <c r="BU900" s="8"/>
      <c r="BV900" s="8"/>
      <c r="BW900" s="8"/>
    </row>
    <row r="901" spans="1:75" ht="12" customHeight="1" x14ac:dyDescent="0.2">
      <c r="A901" s="49"/>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c r="BQ901" s="8"/>
      <c r="BR901" s="8"/>
      <c r="BS901" s="8"/>
      <c r="BT901" s="8"/>
      <c r="BU901" s="8"/>
      <c r="BV901" s="8"/>
      <c r="BW901" s="8"/>
    </row>
    <row r="902" spans="1:75" ht="12" customHeight="1" x14ac:dyDescent="0.2">
      <c r="A902" s="49"/>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c r="BQ902" s="8"/>
      <c r="BR902" s="8"/>
      <c r="BS902" s="8"/>
      <c r="BT902" s="8"/>
      <c r="BU902" s="8"/>
      <c r="BV902" s="8"/>
      <c r="BW902" s="8"/>
    </row>
    <row r="903" spans="1:75" ht="12" customHeight="1" x14ac:dyDescent="0.2">
      <c r="A903" s="49"/>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c r="BQ903" s="8"/>
      <c r="BR903" s="8"/>
      <c r="BS903" s="8"/>
      <c r="BT903" s="8"/>
      <c r="BU903" s="8"/>
      <c r="BV903" s="8"/>
      <c r="BW903" s="8"/>
    </row>
    <row r="904" spans="1:75" ht="12" customHeight="1" x14ac:dyDescent="0.2">
      <c r="A904" s="49"/>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c r="BQ904" s="8"/>
      <c r="BR904" s="8"/>
      <c r="BS904" s="8"/>
      <c r="BT904" s="8"/>
      <c r="BU904" s="8"/>
      <c r="BV904" s="8"/>
      <c r="BW904" s="8"/>
    </row>
    <row r="905" spans="1:75" ht="12" customHeight="1" x14ac:dyDescent="0.2">
      <c r="A905" s="49"/>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c r="BQ905" s="8"/>
      <c r="BR905" s="8"/>
      <c r="BS905" s="8"/>
      <c r="BT905" s="8"/>
      <c r="BU905" s="8"/>
      <c r="BV905" s="8"/>
      <c r="BW905" s="8"/>
    </row>
    <row r="906" spans="1:75" ht="12" customHeight="1" x14ac:dyDescent="0.2">
      <c r="A906" s="49"/>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c r="BQ906" s="8"/>
      <c r="BR906" s="8"/>
      <c r="BS906" s="8"/>
      <c r="BT906" s="8"/>
      <c r="BU906" s="8"/>
      <c r="BV906" s="8"/>
      <c r="BW906" s="8"/>
    </row>
    <row r="907" spans="1:75" ht="12" customHeight="1" x14ac:dyDescent="0.2">
      <c r="A907" s="49"/>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c r="BQ907" s="8"/>
      <c r="BR907" s="8"/>
      <c r="BS907" s="8"/>
      <c r="BT907" s="8"/>
      <c r="BU907" s="8"/>
      <c r="BV907" s="8"/>
      <c r="BW907" s="8"/>
    </row>
    <row r="908" spans="1:75" ht="12" customHeight="1" x14ac:dyDescent="0.2">
      <c r="A908" s="49"/>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c r="BQ908" s="8"/>
      <c r="BR908" s="8"/>
      <c r="BS908" s="8"/>
      <c r="BT908" s="8"/>
      <c r="BU908" s="8"/>
      <c r="BV908" s="8"/>
      <c r="BW908" s="8"/>
    </row>
    <row r="909" spans="1:75" ht="12" customHeight="1" x14ac:dyDescent="0.2">
      <c r="A909" s="49"/>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c r="BQ909" s="8"/>
      <c r="BR909" s="8"/>
      <c r="BS909" s="8"/>
      <c r="BT909" s="8"/>
      <c r="BU909" s="8"/>
      <c r="BV909" s="8"/>
      <c r="BW909" s="8"/>
    </row>
    <row r="910" spans="1:75" ht="12" customHeight="1" x14ac:dyDescent="0.2">
      <c r="A910" s="49"/>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c r="BQ910" s="8"/>
      <c r="BR910" s="8"/>
      <c r="BS910" s="8"/>
      <c r="BT910" s="8"/>
      <c r="BU910" s="8"/>
      <c r="BV910" s="8"/>
      <c r="BW910" s="8"/>
    </row>
    <row r="911" spans="1:75" ht="12" customHeight="1" x14ac:dyDescent="0.2">
      <c r="A911" s="49"/>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c r="BQ911" s="8"/>
      <c r="BR911" s="8"/>
      <c r="BS911" s="8"/>
      <c r="BT911" s="8"/>
      <c r="BU911" s="8"/>
      <c r="BV911" s="8"/>
      <c r="BW911" s="8"/>
    </row>
    <row r="912" spans="1:75" ht="12" customHeight="1" x14ac:dyDescent="0.2">
      <c r="A912" s="49"/>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c r="BQ912" s="8"/>
      <c r="BR912" s="8"/>
      <c r="BS912" s="8"/>
      <c r="BT912" s="8"/>
      <c r="BU912" s="8"/>
      <c r="BV912" s="8"/>
      <c r="BW912" s="8"/>
    </row>
    <row r="913" spans="1:75" ht="12" customHeight="1" x14ac:dyDescent="0.2">
      <c r="A913" s="49"/>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c r="BQ913" s="8"/>
      <c r="BR913" s="8"/>
      <c r="BS913" s="8"/>
      <c r="BT913" s="8"/>
      <c r="BU913" s="8"/>
      <c r="BV913" s="8"/>
      <c r="BW913" s="8"/>
    </row>
    <row r="914" spans="1:75" ht="12" customHeight="1" x14ac:dyDescent="0.2">
      <c r="A914" s="49"/>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c r="BQ914" s="8"/>
      <c r="BR914" s="8"/>
      <c r="BS914" s="8"/>
      <c r="BT914" s="8"/>
      <c r="BU914" s="8"/>
      <c r="BV914" s="8"/>
      <c r="BW914" s="8"/>
    </row>
    <row r="915" spans="1:75" ht="12" customHeight="1" x14ac:dyDescent="0.2">
      <c r="A915" s="49"/>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c r="BQ915" s="8"/>
      <c r="BR915" s="8"/>
      <c r="BS915" s="8"/>
      <c r="BT915" s="8"/>
      <c r="BU915" s="8"/>
      <c r="BV915" s="8"/>
      <c r="BW915" s="8"/>
    </row>
    <row r="916" spans="1:75" ht="12" customHeight="1" x14ac:dyDescent="0.2">
      <c r="A916" s="49"/>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c r="BQ916" s="8"/>
      <c r="BR916" s="8"/>
      <c r="BS916" s="8"/>
      <c r="BT916" s="8"/>
      <c r="BU916" s="8"/>
      <c r="BV916" s="8"/>
      <c r="BW916" s="8"/>
    </row>
    <row r="917" spans="1:75" ht="12" customHeight="1" x14ac:dyDescent="0.2">
      <c r="A917" s="49"/>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c r="BQ917" s="8"/>
      <c r="BR917" s="8"/>
      <c r="BS917" s="8"/>
      <c r="BT917" s="8"/>
      <c r="BU917" s="8"/>
      <c r="BV917" s="8"/>
      <c r="BW917" s="8"/>
    </row>
    <row r="918" spans="1:75" ht="12" customHeight="1" x14ac:dyDescent="0.2">
      <c r="A918" s="49"/>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c r="BQ918" s="8"/>
      <c r="BR918" s="8"/>
      <c r="BS918" s="8"/>
      <c r="BT918" s="8"/>
      <c r="BU918" s="8"/>
      <c r="BV918" s="8"/>
      <c r="BW918" s="8"/>
    </row>
    <row r="919" spans="1:75" ht="12" customHeight="1" x14ac:dyDescent="0.2">
      <c r="A919" s="49"/>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c r="BQ919" s="8"/>
      <c r="BR919" s="8"/>
      <c r="BS919" s="8"/>
      <c r="BT919" s="8"/>
      <c r="BU919" s="8"/>
      <c r="BV919" s="8"/>
      <c r="BW919" s="8"/>
    </row>
    <row r="920" spans="1:75" ht="12" customHeight="1" x14ac:dyDescent="0.2">
      <c r="A920" s="49"/>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c r="BQ920" s="8"/>
      <c r="BR920" s="8"/>
      <c r="BS920" s="8"/>
      <c r="BT920" s="8"/>
      <c r="BU920" s="8"/>
      <c r="BV920" s="8"/>
      <c r="BW920" s="8"/>
    </row>
    <row r="921" spans="1:75" ht="12" customHeight="1" x14ac:dyDescent="0.2">
      <c r="A921" s="49"/>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c r="BQ921" s="8"/>
      <c r="BR921" s="8"/>
      <c r="BS921" s="8"/>
      <c r="BT921" s="8"/>
      <c r="BU921" s="8"/>
      <c r="BV921" s="8"/>
      <c r="BW921" s="8"/>
    </row>
    <row r="922" spans="1:75" ht="12" customHeight="1" x14ac:dyDescent="0.2">
      <c r="A922" s="49"/>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c r="BQ922" s="8"/>
      <c r="BR922" s="8"/>
      <c r="BS922" s="8"/>
      <c r="BT922" s="8"/>
      <c r="BU922" s="8"/>
      <c r="BV922" s="8"/>
      <c r="BW922" s="8"/>
    </row>
    <row r="923" spans="1:75" ht="12" customHeight="1" x14ac:dyDescent="0.2">
      <c r="A923" s="49"/>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c r="BQ923" s="8"/>
      <c r="BR923" s="8"/>
      <c r="BS923" s="8"/>
      <c r="BT923" s="8"/>
      <c r="BU923" s="8"/>
      <c r="BV923" s="8"/>
      <c r="BW923" s="8"/>
    </row>
    <row r="924" spans="1:75" ht="12" customHeight="1" x14ac:dyDescent="0.2">
      <c r="A924" s="49"/>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c r="BQ924" s="8"/>
      <c r="BR924" s="8"/>
      <c r="BS924" s="8"/>
      <c r="BT924" s="8"/>
      <c r="BU924" s="8"/>
      <c r="BV924" s="8"/>
      <c r="BW924" s="8"/>
    </row>
    <row r="925" spans="1:75" ht="12" customHeight="1" x14ac:dyDescent="0.2">
      <c r="A925" s="49"/>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c r="BQ925" s="8"/>
      <c r="BR925" s="8"/>
      <c r="BS925" s="8"/>
      <c r="BT925" s="8"/>
      <c r="BU925" s="8"/>
      <c r="BV925" s="8"/>
      <c r="BW925" s="8"/>
    </row>
    <row r="926" spans="1:75" ht="12" customHeight="1" x14ac:dyDescent="0.2">
      <c r="A926" s="49"/>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c r="BQ926" s="8"/>
      <c r="BR926" s="8"/>
      <c r="BS926" s="8"/>
      <c r="BT926" s="8"/>
      <c r="BU926" s="8"/>
      <c r="BV926" s="8"/>
      <c r="BW926" s="8"/>
    </row>
    <row r="927" spans="1:75" ht="12" customHeight="1" x14ac:dyDescent="0.2">
      <c r="A927" s="49"/>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8"/>
      <c r="BR927" s="8"/>
      <c r="BS927" s="8"/>
      <c r="BT927" s="8"/>
      <c r="BU927" s="8"/>
      <c r="BV927" s="8"/>
      <c r="BW927" s="8"/>
    </row>
    <row r="928" spans="1:75" ht="12" customHeight="1" x14ac:dyDescent="0.2">
      <c r="A928" s="49"/>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c r="BQ928" s="8"/>
      <c r="BR928" s="8"/>
      <c r="BS928" s="8"/>
      <c r="BT928" s="8"/>
      <c r="BU928" s="8"/>
      <c r="BV928" s="8"/>
      <c r="BW928" s="8"/>
    </row>
    <row r="929" spans="1:75" ht="12" customHeight="1" x14ac:dyDescent="0.2">
      <c r="A929" s="49"/>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c r="BQ929" s="8"/>
      <c r="BR929" s="8"/>
      <c r="BS929" s="8"/>
      <c r="BT929" s="8"/>
      <c r="BU929" s="8"/>
      <c r="BV929" s="8"/>
      <c r="BW929" s="8"/>
    </row>
    <row r="930" spans="1:75" ht="12" customHeight="1" x14ac:dyDescent="0.2">
      <c r="A930" s="49"/>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c r="BQ930" s="8"/>
      <c r="BR930" s="8"/>
      <c r="BS930" s="8"/>
      <c r="BT930" s="8"/>
      <c r="BU930" s="8"/>
      <c r="BV930" s="8"/>
      <c r="BW930" s="8"/>
    </row>
    <row r="931" spans="1:75" ht="12" customHeight="1" x14ac:dyDescent="0.2">
      <c r="A931" s="49"/>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c r="BQ931" s="8"/>
      <c r="BR931" s="8"/>
      <c r="BS931" s="8"/>
      <c r="BT931" s="8"/>
      <c r="BU931" s="8"/>
      <c r="BV931" s="8"/>
      <c r="BW931" s="8"/>
    </row>
    <row r="932" spans="1:75" ht="12" customHeight="1" x14ac:dyDescent="0.2">
      <c r="A932" s="49"/>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c r="BQ932" s="8"/>
      <c r="BR932" s="8"/>
      <c r="BS932" s="8"/>
      <c r="BT932" s="8"/>
      <c r="BU932" s="8"/>
      <c r="BV932" s="8"/>
      <c r="BW932" s="8"/>
    </row>
    <row r="933" spans="1:75" ht="12" customHeight="1" x14ac:dyDescent="0.2">
      <c r="A933" s="49"/>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c r="BQ933" s="8"/>
      <c r="BR933" s="8"/>
      <c r="BS933" s="8"/>
      <c r="BT933" s="8"/>
      <c r="BU933" s="8"/>
      <c r="BV933" s="8"/>
      <c r="BW933" s="8"/>
    </row>
    <row r="934" spans="1:75" ht="12" customHeight="1" x14ac:dyDescent="0.2">
      <c r="A934" s="49"/>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c r="BQ934" s="8"/>
      <c r="BR934" s="8"/>
      <c r="BS934" s="8"/>
      <c r="BT934" s="8"/>
      <c r="BU934" s="8"/>
      <c r="BV934" s="8"/>
      <c r="BW934" s="8"/>
    </row>
    <row r="935" spans="1:75" ht="12" customHeight="1" x14ac:dyDescent="0.2">
      <c r="A935" s="49"/>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c r="BQ935" s="8"/>
      <c r="BR935" s="8"/>
      <c r="BS935" s="8"/>
      <c r="BT935" s="8"/>
      <c r="BU935" s="8"/>
      <c r="BV935" s="8"/>
      <c r="BW935" s="8"/>
    </row>
    <row r="936" spans="1:75" ht="12" customHeight="1" x14ac:dyDescent="0.2">
      <c r="A936" s="49"/>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c r="BQ936" s="8"/>
      <c r="BR936" s="8"/>
      <c r="BS936" s="8"/>
      <c r="BT936" s="8"/>
      <c r="BU936" s="8"/>
      <c r="BV936" s="8"/>
      <c r="BW936" s="8"/>
    </row>
    <row r="937" spans="1:75" ht="12" customHeight="1" x14ac:dyDescent="0.2">
      <c r="A937" s="49"/>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c r="BQ937" s="8"/>
      <c r="BR937" s="8"/>
      <c r="BS937" s="8"/>
      <c r="BT937" s="8"/>
      <c r="BU937" s="8"/>
      <c r="BV937" s="8"/>
      <c r="BW937" s="8"/>
    </row>
    <row r="938" spans="1:75" ht="12" customHeight="1" x14ac:dyDescent="0.2">
      <c r="A938" s="49"/>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c r="BQ938" s="8"/>
      <c r="BR938" s="8"/>
      <c r="BS938" s="8"/>
      <c r="BT938" s="8"/>
      <c r="BU938" s="8"/>
      <c r="BV938" s="8"/>
      <c r="BW938" s="8"/>
    </row>
    <row r="939" spans="1:75" ht="12" customHeight="1" x14ac:dyDescent="0.2">
      <c r="A939" s="49"/>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c r="BQ939" s="8"/>
      <c r="BR939" s="8"/>
      <c r="BS939" s="8"/>
      <c r="BT939" s="8"/>
      <c r="BU939" s="8"/>
      <c r="BV939" s="8"/>
      <c r="BW939" s="8"/>
    </row>
    <row r="940" spans="1:75" ht="12" customHeight="1" x14ac:dyDescent="0.2">
      <c r="A940" s="49"/>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c r="BQ940" s="8"/>
      <c r="BR940" s="8"/>
      <c r="BS940" s="8"/>
      <c r="BT940" s="8"/>
      <c r="BU940" s="8"/>
      <c r="BV940" s="8"/>
      <c r="BW940" s="8"/>
    </row>
    <row r="941" spans="1:75" ht="12" customHeight="1" x14ac:dyDescent="0.2">
      <c r="A941" s="49"/>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c r="BQ941" s="8"/>
      <c r="BR941" s="8"/>
      <c r="BS941" s="8"/>
      <c r="BT941" s="8"/>
      <c r="BU941" s="8"/>
      <c r="BV941" s="8"/>
      <c r="BW941" s="8"/>
    </row>
    <row r="942" spans="1:75" ht="12" customHeight="1" x14ac:dyDescent="0.2">
      <c r="A942" s="49"/>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c r="BQ942" s="8"/>
      <c r="BR942" s="8"/>
      <c r="BS942" s="8"/>
      <c r="BT942" s="8"/>
      <c r="BU942" s="8"/>
      <c r="BV942" s="8"/>
      <c r="BW942" s="8"/>
    </row>
    <row r="943" spans="1:75" ht="12" customHeight="1" x14ac:dyDescent="0.2">
      <c r="A943" s="49"/>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c r="BQ943" s="8"/>
      <c r="BR943" s="8"/>
      <c r="BS943" s="8"/>
      <c r="BT943" s="8"/>
      <c r="BU943" s="8"/>
      <c r="BV943" s="8"/>
      <c r="BW943" s="8"/>
    </row>
    <row r="944" spans="1:75" ht="12" customHeight="1" x14ac:dyDescent="0.2">
      <c r="A944" s="49"/>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c r="BQ944" s="8"/>
      <c r="BR944" s="8"/>
      <c r="BS944" s="8"/>
      <c r="BT944" s="8"/>
      <c r="BU944" s="8"/>
      <c r="BV944" s="8"/>
      <c r="BW944" s="8"/>
    </row>
    <row r="945" spans="1:75" ht="12" customHeight="1" x14ac:dyDescent="0.2">
      <c r="A945" s="49"/>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c r="BQ945" s="8"/>
      <c r="BR945" s="8"/>
      <c r="BS945" s="8"/>
      <c r="BT945" s="8"/>
      <c r="BU945" s="8"/>
      <c r="BV945" s="8"/>
      <c r="BW945" s="8"/>
    </row>
    <row r="946" spans="1:75" ht="12" customHeight="1" x14ac:dyDescent="0.2">
      <c r="A946" s="49"/>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c r="BQ946" s="8"/>
      <c r="BR946" s="8"/>
      <c r="BS946" s="8"/>
      <c r="BT946" s="8"/>
      <c r="BU946" s="8"/>
      <c r="BV946" s="8"/>
      <c r="BW946" s="8"/>
    </row>
    <row r="947" spans="1:75" ht="12" customHeight="1" x14ac:dyDescent="0.2">
      <c r="A947" s="49"/>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c r="BQ947" s="8"/>
      <c r="BR947" s="8"/>
      <c r="BS947" s="8"/>
      <c r="BT947" s="8"/>
      <c r="BU947" s="8"/>
      <c r="BV947" s="8"/>
      <c r="BW947" s="8"/>
    </row>
    <row r="948" spans="1:75" ht="12" customHeight="1" x14ac:dyDescent="0.2">
      <c r="A948" s="49"/>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c r="BQ948" s="8"/>
      <c r="BR948" s="8"/>
      <c r="BS948" s="8"/>
      <c r="BT948" s="8"/>
      <c r="BU948" s="8"/>
      <c r="BV948" s="8"/>
      <c r="BW948" s="8"/>
    </row>
    <row r="949" spans="1:75" ht="12" customHeight="1" x14ac:dyDescent="0.2">
      <c r="A949" s="49"/>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c r="BQ949" s="8"/>
      <c r="BR949" s="8"/>
      <c r="BS949" s="8"/>
      <c r="BT949" s="8"/>
      <c r="BU949" s="8"/>
      <c r="BV949" s="8"/>
      <c r="BW949" s="8"/>
    </row>
    <row r="950" spans="1:75" ht="12" customHeight="1" x14ac:dyDescent="0.2">
      <c r="A950" s="49"/>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c r="BQ950" s="8"/>
      <c r="BR950" s="8"/>
      <c r="BS950" s="8"/>
      <c r="BT950" s="8"/>
      <c r="BU950" s="8"/>
      <c r="BV950" s="8"/>
      <c r="BW950" s="8"/>
    </row>
    <row r="951" spans="1:75" ht="12" customHeight="1" x14ac:dyDescent="0.2">
      <c r="A951" s="49"/>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c r="BP951" s="8"/>
      <c r="BQ951" s="8"/>
      <c r="BR951" s="8"/>
      <c r="BS951" s="8"/>
      <c r="BT951" s="8"/>
      <c r="BU951" s="8"/>
      <c r="BV951" s="8"/>
      <c r="BW951" s="8"/>
    </row>
    <row r="952" spans="1:75" ht="12" customHeight="1" x14ac:dyDescent="0.2">
      <c r="A952" s="49"/>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c r="BP952" s="8"/>
      <c r="BQ952" s="8"/>
      <c r="BR952" s="8"/>
      <c r="BS952" s="8"/>
      <c r="BT952" s="8"/>
      <c r="BU952" s="8"/>
      <c r="BV952" s="8"/>
      <c r="BW952" s="8"/>
    </row>
    <row r="953" spans="1:75" ht="12" customHeight="1" x14ac:dyDescent="0.2">
      <c r="A953" s="49"/>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c r="BP953" s="8"/>
      <c r="BQ953" s="8"/>
      <c r="BR953" s="8"/>
      <c r="BS953" s="8"/>
      <c r="BT953" s="8"/>
      <c r="BU953" s="8"/>
      <c r="BV953" s="8"/>
      <c r="BW953" s="8"/>
    </row>
    <row r="954" spans="1:75" ht="12" customHeight="1" x14ac:dyDescent="0.2">
      <c r="A954" s="49"/>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c r="BP954" s="8"/>
      <c r="BQ954" s="8"/>
      <c r="BR954" s="8"/>
      <c r="BS954" s="8"/>
      <c r="BT954" s="8"/>
      <c r="BU954" s="8"/>
      <c r="BV954" s="8"/>
      <c r="BW954" s="8"/>
    </row>
    <row r="955" spans="1:75" ht="12" customHeight="1" x14ac:dyDescent="0.2">
      <c r="A955" s="49"/>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c r="BP955" s="8"/>
      <c r="BQ955" s="8"/>
      <c r="BR955" s="8"/>
      <c r="BS955" s="8"/>
      <c r="BT955" s="8"/>
      <c r="BU955" s="8"/>
      <c r="BV955" s="8"/>
      <c r="BW955" s="8"/>
    </row>
    <row r="956" spans="1:75" ht="12" customHeight="1" x14ac:dyDescent="0.2">
      <c r="A956" s="49"/>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c r="BP956" s="8"/>
      <c r="BQ956" s="8"/>
      <c r="BR956" s="8"/>
      <c r="BS956" s="8"/>
      <c r="BT956" s="8"/>
      <c r="BU956" s="8"/>
      <c r="BV956" s="8"/>
      <c r="BW956" s="8"/>
    </row>
    <row r="957" spans="1:75" ht="12" customHeight="1" x14ac:dyDescent="0.2">
      <c r="A957" s="49"/>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c r="BQ957" s="8"/>
      <c r="BR957" s="8"/>
      <c r="BS957" s="8"/>
      <c r="BT957" s="8"/>
      <c r="BU957" s="8"/>
      <c r="BV957" s="8"/>
      <c r="BW957" s="8"/>
    </row>
    <row r="958" spans="1:75" ht="12" customHeight="1" x14ac:dyDescent="0.2">
      <c r="A958" s="49"/>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c r="BQ958" s="8"/>
      <c r="BR958" s="8"/>
      <c r="BS958" s="8"/>
      <c r="BT958" s="8"/>
      <c r="BU958" s="8"/>
      <c r="BV958" s="8"/>
      <c r="BW958" s="8"/>
    </row>
    <row r="959" spans="1:75" ht="12" customHeight="1" x14ac:dyDescent="0.2">
      <c r="A959" s="49"/>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c r="BQ959" s="8"/>
      <c r="BR959" s="8"/>
      <c r="BS959" s="8"/>
      <c r="BT959" s="8"/>
      <c r="BU959" s="8"/>
      <c r="BV959" s="8"/>
      <c r="BW959" s="8"/>
    </row>
    <row r="960" spans="1:75" ht="12" customHeight="1" x14ac:dyDescent="0.2">
      <c r="A960" s="49"/>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c r="BP960" s="8"/>
      <c r="BQ960" s="8"/>
      <c r="BR960" s="8"/>
      <c r="BS960" s="8"/>
      <c r="BT960" s="8"/>
      <c r="BU960" s="8"/>
      <c r="BV960" s="8"/>
      <c r="BW960" s="8"/>
    </row>
    <row r="961" spans="1:75" ht="12" customHeight="1" x14ac:dyDescent="0.2">
      <c r="A961" s="49"/>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c r="BQ961" s="8"/>
      <c r="BR961" s="8"/>
      <c r="BS961" s="8"/>
      <c r="BT961" s="8"/>
      <c r="BU961" s="8"/>
      <c r="BV961" s="8"/>
      <c r="BW961" s="8"/>
    </row>
    <row r="962" spans="1:75" ht="12" customHeight="1" x14ac:dyDescent="0.2">
      <c r="A962" s="49"/>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c r="BP962" s="8"/>
      <c r="BQ962" s="8"/>
      <c r="BR962" s="8"/>
      <c r="BS962" s="8"/>
      <c r="BT962" s="8"/>
      <c r="BU962" s="8"/>
      <c r="BV962" s="8"/>
      <c r="BW962" s="8"/>
    </row>
    <row r="963" spans="1:75" ht="12" customHeight="1" x14ac:dyDescent="0.2">
      <c r="A963" s="49"/>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c r="BP963" s="8"/>
      <c r="BQ963" s="8"/>
      <c r="BR963" s="8"/>
      <c r="BS963" s="8"/>
      <c r="BT963" s="8"/>
      <c r="BU963" s="8"/>
      <c r="BV963" s="8"/>
      <c r="BW963" s="8"/>
    </row>
    <row r="964" spans="1:75" ht="12" customHeight="1" x14ac:dyDescent="0.2">
      <c r="A964" s="49"/>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c r="BQ964" s="8"/>
      <c r="BR964" s="8"/>
      <c r="BS964" s="8"/>
      <c r="BT964" s="8"/>
      <c r="BU964" s="8"/>
      <c r="BV964" s="8"/>
      <c r="BW964" s="8"/>
    </row>
    <row r="965" spans="1:75" ht="12" customHeight="1" x14ac:dyDescent="0.2">
      <c r="A965" s="49"/>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c r="BQ965" s="8"/>
      <c r="BR965" s="8"/>
      <c r="BS965" s="8"/>
      <c r="BT965" s="8"/>
      <c r="BU965" s="8"/>
      <c r="BV965" s="8"/>
      <c r="BW965" s="8"/>
    </row>
    <row r="966" spans="1:75" ht="12" customHeight="1" x14ac:dyDescent="0.2">
      <c r="A966" s="49"/>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c r="BQ966" s="8"/>
      <c r="BR966" s="8"/>
      <c r="BS966" s="8"/>
      <c r="BT966" s="8"/>
      <c r="BU966" s="8"/>
      <c r="BV966" s="8"/>
      <c r="BW966" s="8"/>
    </row>
    <row r="967" spans="1:75" ht="12" customHeight="1" x14ac:dyDescent="0.2">
      <c r="A967" s="49"/>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c r="BP967" s="8"/>
      <c r="BQ967" s="8"/>
      <c r="BR967" s="8"/>
      <c r="BS967" s="8"/>
      <c r="BT967" s="8"/>
      <c r="BU967" s="8"/>
      <c r="BV967" s="8"/>
      <c r="BW967" s="8"/>
    </row>
    <row r="968" spans="1:75" ht="12" customHeight="1" x14ac:dyDescent="0.2">
      <c r="A968" s="49"/>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c r="BP968" s="8"/>
      <c r="BQ968" s="8"/>
      <c r="BR968" s="8"/>
      <c r="BS968" s="8"/>
      <c r="BT968" s="8"/>
      <c r="BU968" s="8"/>
      <c r="BV968" s="8"/>
      <c r="BW968" s="8"/>
    </row>
    <row r="969" spans="1:75" ht="12" customHeight="1" x14ac:dyDescent="0.2">
      <c r="A969" s="49"/>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c r="BP969" s="8"/>
      <c r="BQ969" s="8"/>
      <c r="BR969" s="8"/>
      <c r="BS969" s="8"/>
      <c r="BT969" s="8"/>
      <c r="BU969" s="8"/>
      <c r="BV969" s="8"/>
      <c r="BW969" s="8"/>
    </row>
    <row r="970" spans="1:75" ht="12" customHeight="1" x14ac:dyDescent="0.2">
      <c r="A970" s="49"/>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c r="BQ970" s="8"/>
      <c r="BR970" s="8"/>
      <c r="BS970" s="8"/>
      <c r="BT970" s="8"/>
      <c r="BU970" s="8"/>
      <c r="BV970" s="8"/>
      <c r="BW970" s="8"/>
    </row>
    <row r="971" spans="1:75" ht="12" customHeight="1" x14ac:dyDescent="0.2">
      <c r="A971" s="49"/>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c r="BQ971" s="8"/>
      <c r="BR971" s="8"/>
      <c r="BS971" s="8"/>
      <c r="BT971" s="8"/>
      <c r="BU971" s="8"/>
      <c r="BV971" s="8"/>
      <c r="BW971" s="8"/>
    </row>
    <row r="972" spans="1:75" ht="12" customHeight="1" x14ac:dyDescent="0.2">
      <c r="A972" s="49"/>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c r="BP972" s="8"/>
      <c r="BQ972" s="8"/>
      <c r="BR972" s="8"/>
      <c r="BS972" s="8"/>
      <c r="BT972" s="8"/>
      <c r="BU972" s="8"/>
      <c r="BV972" s="8"/>
      <c r="BW972" s="8"/>
    </row>
    <row r="973" spans="1:75" ht="12" customHeight="1" x14ac:dyDescent="0.2">
      <c r="A973" s="49"/>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c r="BP973" s="8"/>
      <c r="BQ973" s="8"/>
      <c r="BR973" s="8"/>
      <c r="BS973" s="8"/>
      <c r="BT973" s="8"/>
      <c r="BU973" s="8"/>
      <c r="BV973" s="8"/>
      <c r="BW973" s="8"/>
    </row>
    <row r="974" spans="1:75" ht="12" customHeight="1" x14ac:dyDescent="0.2">
      <c r="A974" s="49"/>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c r="BQ974" s="8"/>
      <c r="BR974" s="8"/>
      <c r="BS974" s="8"/>
      <c r="BT974" s="8"/>
      <c r="BU974" s="8"/>
      <c r="BV974" s="8"/>
      <c r="BW974" s="8"/>
    </row>
    <row r="975" spans="1:75" ht="12" customHeight="1" x14ac:dyDescent="0.2">
      <c r="A975" s="49"/>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c r="BQ975" s="8"/>
      <c r="BR975" s="8"/>
      <c r="BS975" s="8"/>
      <c r="BT975" s="8"/>
      <c r="BU975" s="8"/>
      <c r="BV975" s="8"/>
      <c r="BW975" s="8"/>
    </row>
    <row r="976" spans="1:75" ht="12" customHeight="1" x14ac:dyDescent="0.2">
      <c r="A976" s="49"/>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c r="BQ976" s="8"/>
      <c r="BR976" s="8"/>
      <c r="BS976" s="8"/>
      <c r="BT976" s="8"/>
      <c r="BU976" s="8"/>
      <c r="BV976" s="8"/>
      <c r="BW976" s="8"/>
    </row>
    <row r="977" spans="1:75" ht="12" customHeight="1" x14ac:dyDescent="0.2">
      <c r="A977" s="49"/>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c r="BP977" s="8"/>
      <c r="BQ977" s="8"/>
      <c r="BR977" s="8"/>
      <c r="BS977" s="8"/>
      <c r="BT977" s="8"/>
      <c r="BU977" s="8"/>
      <c r="BV977" s="8"/>
      <c r="BW977" s="8"/>
    </row>
    <row r="978" spans="1:75" ht="12" customHeight="1" x14ac:dyDescent="0.2">
      <c r="A978" s="49"/>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c r="BQ978" s="8"/>
      <c r="BR978" s="8"/>
      <c r="BS978" s="8"/>
      <c r="BT978" s="8"/>
      <c r="BU978" s="8"/>
      <c r="BV978" s="8"/>
      <c r="BW978" s="8"/>
    </row>
    <row r="979" spans="1:75" ht="12" customHeight="1" x14ac:dyDescent="0.2">
      <c r="A979" s="49"/>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c r="BP979" s="8"/>
      <c r="BQ979" s="8"/>
      <c r="BR979" s="8"/>
      <c r="BS979" s="8"/>
      <c r="BT979" s="8"/>
      <c r="BU979" s="8"/>
      <c r="BV979" s="8"/>
      <c r="BW979" s="8"/>
    </row>
    <row r="980" spans="1:75" ht="12" customHeight="1" x14ac:dyDescent="0.2">
      <c r="A980" s="49"/>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c r="BP980" s="8"/>
      <c r="BQ980" s="8"/>
      <c r="BR980" s="8"/>
      <c r="BS980" s="8"/>
      <c r="BT980" s="8"/>
      <c r="BU980" s="8"/>
      <c r="BV980" s="8"/>
      <c r="BW980" s="8"/>
    </row>
    <row r="981" spans="1:75" ht="12" customHeight="1" x14ac:dyDescent="0.2">
      <c r="A981" s="49"/>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c r="BQ981" s="8"/>
      <c r="BR981" s="8"/>
      <c r="BS981" s="8"/>
      <c r="BT981" s="8"/>
      <c r="BU981" s="8"/>
      <c r="BV981" s="8"/>
      <c r="BW981" s="8"/>
    </row>
    <row r="982" spans="1:75" ht="12" customHeight="1" x14ac:dyDescent="0.2">
      <c r="A982" s="49"/>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c r="BP982" s="8"/>
      <c r="BQ982" s="8"/>
      <c r="BR982" s="8"/>
      <c r="BS982" s="8"/>
      <c r="BT982" s="8"/>
      <c r="BU982" s="8"/>
      <c r="BV982" s="8"/>
      <c r="BW982" s="8"/>
    </row>
    <row r="983" spans="1:75" ht="12" customHeight="1" x14ac:dyDescent="0.2">
      <c r="A983" s="49"/>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c r="BQ983" s="8"/>
      <c r="BR983" s="8"/>
      <c r="BS983" s="8"/>
      <c r="BT983" s="8"/>
      <c r="BU983" s="8"/>
      <c r="BV983" s="8"/>
      <c r="BW983" s="8"/>
    </row>
    <row r="984" spans="1:75" ht="12" customHeight="1" x14ac:dyDescent="0.2">
      <c r="A984" s="49"/>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c r="BP984" s="8"/>
      <c r="BQ984" s="8"/>
      <c r="BR984" s="8"/>
      <c r="BS984" s="8"/>
      <c r="BT984" s="8"/>
      <c r="BU984" s="8"/>
      <c r="BV984" s="8"/>
      <c r="BW984" s="8"/>
    </row>
    <row r="985" spans="1:75" ht="12" customHeight="1" x14ac:dyDescent="0.2">
      <c r="A985" s="49"/>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8"/>
      <c r="BO985" s="8"/>
      <c r="BP985" s="8"/>
      <c r="BQ985" s="8"/>
      <c r="BR985" s="8"/>
      <c r="BS985" s="8"/>
      <c r="BT985" s="8"/>
      <c r="BU985" s="8"/>
      <c r="BV985" s="8"/>
      <c r="BW985" s="8"/>
    </row>
    <row r="986" spans="1:75" ht="12" customHeight="1" x14ac:dyDescent="0.2">
      <c r="A986" s="49"/>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c r="BP986" s="8"/>
      <c r="BQ986" s="8"/>
      <c r="BR986" s="8"/>
      <c r="BS986" s="8"/>
      <c r="BT986" s="8"/>
      <c r="BU986" s="8"/>
      <c r="BV986" s="8"/>
      <c r="BW986" s="8"/>
    </row>
    <row r="987" spans="1:75" ht="12" customHeight="1" x14ac:dyDescent="0.2">
      <c r="A987" s="49"/>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c r="BP987" s="8"/>
      <c r="BQ987" s="8"/>
      <c r="BR987" s="8"/>
      <c r="BS987" s="8"/>
      <c r="BT987" s="8"/>
      <c r="BU987" s="8"/>
      <c r="BV987" s="8"/>
      <c r="BW987" s="8"/>
    </row>
    <row r="988" spans="1:75" ht="12" customHeight="1" x14ac:dyDescent="0.2">
      <c r="A988" s="49"/>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8"/>
      <c r="BO988" s="8"/>
      <c r="BP988" s="8"/>
      <c r="BQ988" s="8"/>
      <c r="BR988" s="8"/>
      <c r="BS988" s="8"/>
      <c r="BT988" s="8"/>
      <c r="BU988" s="8"/>
      <c r="BV988" s="8"/>
      <c r="BW988" s="8"/>
    </row>
    <row r="989" spans="1:75" ht="12" customHeight="1" x14ac:dyDescent="0.2">
      <c r="A989" s="49"/>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c r="BO989" s="8"/>
      <c r="BP989" s="8"/>
      <c r="BQ989" s="8"/>
      <c r="BR989" s="8"/>
      <c r="BS989" s="8"/>
      <c r="BT989" s="8"/>
      <c r="BU989" s="8"/>
      <c r="BV989" s="8"/>
      <c r="BW989" s="8"/>
    </row>
    <row r="990" spans="1:75" ht="12" customHeight="1" x14ac:dyDescent="0.2">
      <c r="A990" s="49"/>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c r="BP990" s="8"/>
      <c r="BQ990" s="8"/>
      <c r="BR990" s="8"/>
      <c r="BS990" s="8"/>
      <c r="BT990" s="8"/>
      <c r="BU990" s="8"/>
      <c r="BV990" s="8"/>
      <c r="BW990" s="8"/>
    </row>
    <row r="991" spans="1:75" ht="12" customHeight="1" x14ac:dyDescent="0.2">
      <c r="A991" s="49"/>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c r="BP991" s="8"/>
      <c r="BQ991" s="8"/>
      <c r="BR991" s="8"/>
      <c r="BS991" s="8"/>
      <c r="BT991" s="8"/>
      <c r="BU991" s="8"/>
      <c r="BV991" s="8"/>
      <c r="BW991" s="8"/>
    </row>
    <row r="992" spans="1:75" ht="12" customHeight="1" x14ac:dyDescent="0.2">
      <c r="A992" s="49"/>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8"/>
      <c r="BO992" s="8"/>
      <c r="BP992" s="8"/>
      <c r="BQ992" s="8"/>
      <c r="BR992" s="8"/>
      <c r="BS992" s="8"/>
      <c r="BT992" s="8"/>
      <c r="BU992" s="8"/>
      <c r="BV992" s="8"/>
      <c r="BW992" s="8"/>
    </row>
    <row r="993" spans="1:75" ht="12" customHeight="1" x14ac:dyDescent="0.2">
      <c r="A993" s="49"/>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8"/>
      <c r="BO993" s="8"/>
      <c r="BP993" s="8"/>
      <c r="BQ993" s="8"/>
      <c r="BR993" s="8"/>
      <c r="BS993" s="8"/>
      <c r="BT993" s="8"/>
      <c r="BU993" s="8"/>
      <c r="BV993" s="8"/>
      <c r="BW993" s="8"/>
    </row>
    <row r="994" spans="1:75" ht="12" customHeight="1" x14ac:dyDescent="0.2">
      <c r="A994" s="49"/>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8"/>
      <c r="BO994" s="8"/>
      <c r="BP994" s="8"/>
      <c r="BQ994" s="8"/>
      <c r="BR994" s="8"/>
      <c r="BS994" s="8"/>
      <c r="BT994" s="8"/>
      <c r="BU994" s="8"/>
      <c r="BV994" s="8"/>
      <c r="BW994" s="8"/>
    </row>
    <row r="995" spans="1:75" ht="12" customHeight="1" x14ac:dyDescent="0.2">
      <c r="A995" s="49"/>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c r="BN995" s="8"/>
      <c r="BO995" s="8"/>
      <c r="BP995" s="8"/>
      <c r="BQ995" s="8"/>
      <c r="BR995" s="8"/>
      <c r="BS995" s="8"/>
      <c r="BT995" s="8"/>
      <c r="BU995" s="8"/>
      <c r="BV995" s="8"/>
      <c r="BW995" s="8"/>
    </row>
    <row r="996" spans="1:75" ht="12" customHeight="1" x14ac:dyDescent="0.2">
      <c r="A996" s="49"/>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c r="BN996" s="8"/>
      <c r="BO996" s="8"/>
      <c r="BP996" s="8"/>
      <c r="BQ996" s="8"/>
      <c r="BR996" s="8"/>
      <c r="BS996" s="8"/>
      <c r="BT996" s="8"/>
      <c r="BU996" s="8"/>
      <c r="BV996" s="8"/>
      <c r="BW996" s="8"/>
    </row>
    <row r="997" spans="1:75" ht="12" customHeight="1" x14ac:dyDescent="0.2">
      <c r="A997" s="49"/>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8"/>
      <c r="BO997" s="8"/>
      <c r="BP997" s="8"/>
      <c r="BQ997" s="8"/>
      <c r="BR997" s="8"/>
      <c r="BS997" s="8"/>
      <c r="BT997" s="8"/>
      <c r="BU997" s="8"/>
      <c r="BV997" s="8"/>
      <c r="BW997" s="8"/>
    </row>
    <row r="998" spans="1:75" ht="12" customHeight="1" x14ac:dyDescent="0.2">
      <c r="A998" s="49"/>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8"/>
      <c r="BO998" s="8"/>
      <c r="BP998" s="8"/>
      <c r="BQ998" s="8"/>
      <c r="BR998" s="8"/>
      <c r="BS998" s="8"/>
      <c r="BT998" s="8"/>
      <c r="BU998" s="8"/>
      <c r="BV998" s="8"/>
      <c r="BW998" s="8"/>
    </row>
    <row r="999" spans="1:75" ht="12" customHeight="1" x14ac:dyDescent="0.2">
      <c r="A999" s="49"/>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8"/>
      <c r="BO999" s="8"/>
      <c r="BP999" s="8"/>
      <c r="BQ999" s="8"/>
      <c r="BR999" s="8"/>
      <c r="BS999" s="8"/>
      <c r="BT999" s="8"/>
      <c r="BU999" s="8"/>
      <c r="BV999" s="8"/>
      <c r="BW999" s="8"/>
    </row>
    <row r="1000" spans="1:75" ht="12" customHeight="1" x14ac:dyDescent="0.2">
      <c r="A1000" s="49"/>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8"/>
      <c r="BO1000" s="8"/>
      <c r="BP1000" s="8"/>
      <c r="BQ1000" s="8"/>
      <c r="BR1000" s="8"/>
      <c r="BS1000" s="8"/>
      <c r="BT1000" s="8"/>
      <c r="BU1000" s="8"/>
      <c r="BV1000" s="8"/>
      <c r="BW1000" s="8"/>
    </row>
  </sheetData>
  <sheetProtection formatColumns="0" formatRows="0" selectLockedCells="1" selectUnlockedCells="1"/>
  <pageMargins left="0.7" right="0.7" top="0.75" bottom="0.75" header="0" footer="0"/>
  <pageSetup paperSize="9" orientation="portrait"/>
  <ignoredErrors>
    <ignoredError sqref="AR36:AX36 AS30:AX35 AO28:AX29 AO2:AX5 AO21:AX26 AP27:AX27 AQ6:AX20 AL32:AQ36 AG1 AJ32:AJ34 AG2:AG35 J36:J37 J32 J29 J25 J22 J18 J15 J11 J8 J4 P4 P8 P11 P15 P18 P22 P25 R25:T25 R22:T22 R18:T18 R15:T15 R11:T11 R8:T8 R4:T4 R29 U4 U8 U11 U15 U18 U22 U25 AI31 AF31 J2:AF3 J33:J35 J31 AH31 AJ31:AK31 J26:AF26 Y25 J23:AF24 Y22 J19:AF19 Y18 J16:AF17 Y15 J12:AF12 Y11 J9:AF10 X8:AA8 J5:AF5 Y4 J30 Q25 Q22 Q18 Q15 Q11 Q8 Q4 AH2:AK3 AJ35:AK35 AH26:AK26 AJ25 AH23:AK24 AJ22 AH19:AK19 AJ18 AH16:AK17 AJ15 AH12:AK12 AJ11 AH9:AK10 AJ8 AH5:AK5 AJ4 AJ30:AK30 AJ29 AK33:AK34 AJ36:AJ37 N15 Y33:Y35 Y31 Y30 Y29:AA29 Y32 Y36:Y37 AG36:AG37 Q33:Q35 Q31 Q30 Q29 Q32 Q36:Q37 B53:I53 K53:P53 R53:X53 Z53:AF53 J53:J56 J7 J6 AK7 AK6 J14 J13 AK14 AK13 J28 J27 AK28 AK27 Q6 Q7 Q13 Q14 Q27 Q28 Y6 Y7 Y13 Y14 Y27 Y28 J21 J20 AK21 AK20 Q20 Q21 Y20 Y21" formula="1"/>
    <ignoredError sqref="B32:C33 E32:H36 D32:D36 I25 I22 I18 I15 I11 I8 I4 I29:I37 AH25:AI25 AH22:AI22 AH18:AI18 AH15:AI15 AH11:AI11 AH8:AI8 AH4:AI4 AF32:AF37 AF29:AF30 AB25:AF25 AB22:AF22 AB18:AF18 AB15:AF15 AB11:AF11 AB8:AF8 AB4:AF4 V4:X4 V11:X11 V18:X18 V22:X22 V25:X25 AA15 T29:T37 Z30:AA37 Z25:AA25 Z22:AA22 Z18:AA18 V15:X15 Z11:AA11 V8:W8 Z4:AA4 R30:S37 S29 K25 K22 K18 K15 K11 K8 K4 K29:K37 L29:P37 AB29:AE37 U29:X37 AK4 AK8 AK11 AK15 AK18 AK22 AK25 O15 L4:O4 L8:O8 L11:O11 L15:M15 L18:O18 L22:O22 L25:O25 AH29:AI30 AH32:AI37 AK36:AK37 AK32 AK29 C34" evalError="1" formula="1"/>
    <ignoredError sqref="B35:C36 G37:H37 G4:H4 G8:H8 G11:H11 G15:H15 G18:H18 G22:H22 G25:H25 G29:H31 E29:F31 E25:F25 E22:F22 E18:F18 E15:F15 E11:F11 E8:F8 E4:F4 E37:F37 B37:D37 B4:D4 B8:D8 B11:D11 B15:D15 B18:D18 B22:D22 B25:D25 B29:D31"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8932E-DB9B-944D-AC0B-B847258F7757}">
  <sheetPr>
    <tabColor rgb="FF92D050"/>
  </sheetPr>
  <dimension ref="A3:AD92"/>
  <sheetViews>
    <sheetView showGridLines="0" topLeftCell="O1" zoomScale="230" zoomScaleNormal="230" workbookViewId="0">
      <selection activeCell="K7" sqref="K7"/>
    </sheetView>
  </sheetViews>
  <sheetFormatPr baseColWidth="10" defaultRowHeight="15" x14ac:dyDescent="0.2"/>
  <cols>
    <col min="1" max="1" width="9.1640625" style="99" customWidth="1"/>
    <col min="2" max="2" width="20.83203125" style="99" customWidth="1"/>
    <col min="3" max="5" width="13.5" style="99" customWidth="1"/>
    <col min="6" max="6" width="15.83203125" style="99" customWidth="1"/>
    <col min="7" max="9" width="13.5" style="99" customWidth="1"/>
    <col min="10" max="10" width="19.33203125" style="99" customWidth="1"/>
    <col min="11" max="16" width="13.5" style="99" customWidth="1"/>
    <col min="17" max="17" width="10.83203125" style="99"/>
    <col min="18" max="18" width="17.1640625" style="99" customWidth="1"/>
    <col min="19" max="19" width="13.33203125" style="99" customWidth="1"/>
    <col min="20" max="20" width="16.5" style="99" customWidth="1"/>
    <col min="21" max="21" width="13.83203125" style="99" customWidth="1"/>
    <col min="22" max="22" width="13.83203125" style="200" customWidth="1"/>
    <col min="23" max="23" width="10.83203125" style="99"/>
    <col min="24" max="24" width="17.83203125" style="99" bestFit="1" customWidth="1"/>
    <col min="25" max="25" width="15" style="99" customWidth="1"/>
    <col min="26" max="26" width="10.83203125" style="99"/>
    <col min="27" max="27" width="13.6640625" style="99" bestFit="1" customWidth="1"/>
    <col min="28" max="28" width="14.33203125" style="99" customWidth="1"/>
    <col min="29" max="29" width="6.6640625" style="99" bestFit="1" customWidth="1"/>
    <col min="30" max="16384" width="10.83203125" style="99"/>
  </cols>
  <sheetData>
    <row r="3" spans="2:30" ht="31" customHeight="1" x14ac:dyDescent="0.35">
      <c r="B3" s="199" t="s">
        <v>22</v>
      </c>
      <c r="D3" s="493" t="s">
        <v>99</v>
      </c>
      <c r="E3" s="493"/>
      <c r="F3" s="493"/>
      <c r="J3" s="199" t="s">
        <v>6</v>
      </c>
      <c r="R3" s="199" t="s">
        <v>96</v>
      </c>
      <c r="X3" s="199" t="s">
        <v>95</v>
      </c>
      <c r="Y3" s="253"/>
      <c r="Z3" s="253"/>
      <c r="AA3" s="253"/>
      <c r="AC3" s="202"/>
    </row>
    <row r="4" spans="2:30" x14ac:dyDescent="0.2">
      <c r="C4" s="432">
        <v>1</v>
      </c>
    </row>
    <row r="5" spans="2:30" s="202" customFormat="1" ht="25" thickBot="1" x14ac:dyDescent="0.35">
      <c r="B5" s="201" t="s">
        <v>28</v>
      </c>
      <c r="C5" s="201" t="s">
        <v>77</v>
      </c>
      <c r="D5" s="201" t="s">
        <v>91</v>
      </c>
      <c r="E5" s="201" t="s">
        <v>86</v>
      </c>
      <c r="F5" s="201" t="s">
        <v>92</v>
      </c>
      <c r="J5" s="201" t="s">
        <v>28</v>
      </c>
      <c r="K5" s="203" t="s">
        <v>29</v>
      </c>
      <c r="L5" s="203" t="s">
        <v>30</v>
      </c>
      <c r="M5" s="203" t="s">
        <v>32</v>
      </c>
      <c r="N5" s="203" t="s">
        <v>31</v>
      </c>
      <c r="P5" s="204"/>
      <c r="R5" s="201" t="s">
        <v>28</v>
      </c>
      <c r="S5" s="201" t="s">
        <v>33</v>
      </c>
      <c r="T5" s="201" t="s">
        <v>97</v>
      </c>
      <c r="U5" s="201" t="s">
        <v>98</v>
      </c>
      <c r="V5" s="205"/>
      <c r="X5" s="203"/>
      <c r="Y5" s="201" t="s">
        <v>77</v>
      </c>
      <c r="Z5" s="201" t="s">
        <v>91</v>
      </c>
      <c r="AA5" s="201" t="s">
        <v>86</v>
      </c>
      <c r="AB5" s="201" t="s">
        <v>92</v>
      </c>
      <c r="AC5" s="434">
        <f ca="1">+DAY(TODAY()-1)</f>
        <v>11</v>
      </c>
    </row>
    <row r="6" spans="2:30" s="202" customFormat="1" ht="25" x14ac:dyDescent="0.3">
      <c r="B6" s="206" t="s">
        <v>34</v>
      </c>
      <c r="C6" s="80">
        <f>+HLOOKUP($D$3,UPSTREAM!$A$1:$AK$37,5,0)*$C$4</f>
        <v>4350</v>
      </c>
      <c r="D6" s="80">
        <f>+HLOOKUP($D$3,UPSTREAM!$A$1:$AK$37,6,0)</f>
        <v>5210.8590000000004</v>
      </c>
      <c r="E6" s="207">
        <f>+D6-C6</f>
        <v>860.85900000000038</v>
      </c>
      <c r="F6" s="208">
        <f>+D6/C6</f>
        <v>1.1978986206896554</v>
      </c>
      <c r="J6" s="210" t="s">
        <v>34</v>
      </c>
      <c r="K6" s="80">
        <f>+HLOOKUP($D$3,UPSTREAM!$A$1:$AK$37,5,0)*UPSTREAM!$A$40*C4</f>
        <v>939.6</v>
      </c>
      <c r="L6" s="80">
        <f>+HLOOKUP($D$3,UPSTREAM!$A$1:$AK$37,7,0)</f>
        <v>1110.3800000000001</v>
      </c>
      <c r="M6" s="207">
        <f>+L6-K6</f>
        <v>170.78000000000009</v>
      </c>
      <c r="N6" s="211">
        <f>+L6/K6</f>
        <v>1.1817581949765859</v>
      </c>
      <c r="P6" s="209"/>
      <c r="R6" s="210" t="s">
        <v>34</v>
      </c>
      <c r="S6" s="93">
        <f>+UPSTREAM!A40</f>
        <v>0.216</v>
      </c>
      <c r="T6" s="84">
        <f>+HLOOKUP($D$3,UPSTREAM!$A$1:$AK$37,8,0)</f>
        <v>0.21308962687341954</v>
      </c>
      <c r="U6" s="213">
        <f>+T6-S6</f>
        <v>-2.9103731265804622E-3</v>
      </c>
      <c r="V6" s="205"/>
      <c r="X6" s="244" t="s">
        <v>43</v>
      </c>
      <c r="Y6" s="80">
        <f>+HLOOKUP($D$3,UPSTREAM!$A$1:$BD$60,53,0)</f>
        <v>720</v>
      </c>
      <c r="Z6" s="80">
        <f>+HLOOKUP($D$3,UPSTREAM!$A$1:$BD$60,54,0)</f>
        <v>803.01400000000001</v>
      </c>
      <c r="AA6" s="207">
        <f>+Z6-Y6</f>
        <v>83.01400000000001</v>
      </c>
      <c r="AB6" s="208">
        <f>+Z6/Y6</f>
        <v>1.1152972222222222</v>
      </c>
      <c r="AC6" s="316">
        <f ca="1">+Z6/AC5</f>
        <v>73.001272727272735</v>
      </c>
      <c r="AD6" s="315" t="s">
        <v>160</v>
      </c>
    </row>
    <row r="7" spans="2:30" s="202" customFormat="1" ht="25" x14ac:dyDescent="0.3">
      <c r="B7" s="214" t="s">
        <v>35</v>
      </c>
      <c r="C7" s="79">
        <f>+HLOOKUP($D$3,UPSTREAM!$A$1:$AK$37,12,0)*C4</f>
        <v>1100</v>
      </c>
      <c r="D7" s="79">
        <f>+HLOOKUP($D$3,UPSTREAM!$A$1:$AK$37,13,0)</f>
        <v>1419.81</v>
      </c>
      <c r="E7" s="209">
        <f>+D7-C7</f>
        <v>319.80999999999995</v>
      </c>
      <c r="F7" s="215">
        <f>+D7/C7</f>
        <v>1.2907363636363636</v>
      </c>
      <c r="J7" s="216" t="s">
        <v>35</v>
      </c>
      <c r="K7" s="79">
        <f>+HLOOKUP($D$3,UPSTREAM!$A$1:$AK$37,12,0)*UPSTREAM!$A$41*C4</f>
        <v>204.6</v>
      </c>
      <c r="L7" s="79">
        <f>+HLOOKUP($D$3,UPSTREAM!$A$1:$AK$37,14,0)</f>
        <v>261.76100000000002</v>
      </c>
      <c r="M7" s="209">
        <f>+L7-K7</f>
        <v>57.16100000000003</v>
      </c>
      <c r="N7" s="217">
        <f>+L7/K7</f>
        <v>1.2793792766373413</v>
      </c>
      <c r="P7" s="209"/>
      <c r="R7" s="216" t="s">
        <v>35</v>
      </c>
      <c r="S7" s="94">
        <f>+UPSTREAM!A41</f>
        <v>0.186</v>
      </c>
      <c r="T7" s="83">
        <f>+HLOOKUP($D$3,UPSTREAM!$A$1:$AK$37,15,0)</f>
        <v>0.18436340073671831</v>
      </c>
      <c r="U7" s="219">
        <f>+T7-S7</f>
        <v>-1.6365992632816906E-3</v>
      </c>
      <c r="V7" s="205"/>
      <c r="X7" s="245" t="s">
        <v>44</v>
      </c>
      <c r="Y7" s="79">
        <f>+Y6*Y8</f>
        <v>295.2</v>
      </c>
      <c r="Z7" s="79">
        <f>+HLOOKUP($D$3,UPSTREAM!$A$1:$BD$60,55,0)</f>
        <v>329.54399999999998</v>
      </c>
      <c r="AA7" s="209">
        <f>+Z7-Y7</f>
        <v>34.343999999999994</v>
      </c>
      <c r="AB7" s="215">
        <f>+Z7/Y7</f>
        <v>1.116341463414634</v>
      </c>
      <c r="AC7" s="99"/>
    </row>
    <row r="8" spans="2:30" s="202" customFormat="1" ht="27" customHeight="1" thickBot="1" x14ac:dyDescent="0.35">
      <c r="B8" s="214" t="s">
        <v>36</v>
      </c>
      <c r="C8" s="79">
        <f>+HLOOKUP($D$3,UPSTREAM!$A$1:$AK$37,26,0)*C4</f>
        <v>5450</v>
      </c>
      <c r="D8" s="79">
        <f>+HLOOKUP($D$3,UPSTREAM!$A$1:$AK$37,27,0)</f>
        <v>4783.8509999999997</v>
      </c>
      <c r="E8" s="209">
        <f>+D8-C8</f>
        <v>-666.14900000000034</v>
      </c>
      <c r="F8" s="215">
        <f>+D8/C8</f>
        <v>0.8777708256880733</v>
      </c>
      <c r="J8" s="216" t="s">
        <v>36</v>
      </c>
      <c r="K8" s="79">
        <f>+HLOOKUP($D$3,UPSTREAM!$A$1:$AK$37,26,0)*UPSTREAM!$A$42*C4</f>
        <v>1280.75</v>
      </c>
      <c r="L8" s="79">
        <f>+HLOOKUP($D$3,UPSTREAM!$A$1:$AK$37,28,0)</f>
        <v>1121.7109999999998</v>
      </c>
      <c r="M8" s="209">
        <f>+L8-K8</f>
        <v>-159.03900000000021</v>
      </c>
      <c r="N8" s="217">
        <f>+L8/K8</f>
        <v>0.87582354089400727</v>
      </c>
      <c r="P8" s="209"/>
      <c r="R8" s="216" t="s">
        <v>36</v>
      </c>
      <c r="S8" s="94">
        <f>+UPSTREAM!A42</f>
        <v>0.23499999999999999</v>
      </c>
      <c r="T8" s="83">
        <f>+HLOOKUP($D$3,UPSTREAM!$A$1:$AK$37,29,0)</f>
        <v>0.23447866582801175</v>
      </c>
      <c r="U8" s="219">
        <f>+T8-S8</f>
        <v>-5.2133417198824139E-4</v>
      </c>
      <c r="V8" s="220"/>
      <c r="W8" s="221"/>
      <c r="X8" s="249" t="s">
        <v>45</v>
      </c>
      <c r="Y8" s="87">
        <f>+UPSTREAM!AN51</f>
        <v>0.41</v>
      </c>
      <c r="Z8" s="87">
        <f>+Z7/Z6</f>
        <v>0.41038387873685883</v>
      </c>
      <c r="AA8" s="227">
        <f>+Z8-Y8</f>
        <v>3.8387873685885587E-4</v>
      </c>
      <c r="AB8" s="224">
        <f>+Z8/Y8</f>
        <v>1.0009362896020948</v>
      </c>
      <c r="AC8" s="99"/>
    </row>
    <row r="9" spans="2:30" s="202" customFormat="1" ht="26" thickBot="1" x14ac:dyDescent="0.35">
      <c r="B9" s="222" t="s">
        <v>37</v>
      </c>
      <c r="C9" s="81">
        <f>+HLOOKUP($D$3,UPSTREAM!$A$1:$AK$37,19,0)*C4</f>
        <v>1300</v>
      </c>
      <c r="D9" s="81">
        <f>+HLOOKUP($D$3,UPSTREAM!$A$1:$AK$37,20,0)</f>
        <v>1566</v>
      </c>
      <c r="E9" s="223">
        <f>+D9-C9</f>
        <v>266</v>
      </c>
      <c r="F9" s="224">
        <f>+IFERROR(D9/C9,0)</f>
        <v>1.2046153846153846</v>
      </c>
      <c r="H9" s="209"/>
      <c r="J9" s="225" t="s">
        <v>37</v>
      </c>
      <c r="K9" s="81">
        <f>+HLOOKUP($D$3,UPSTREAM!$A$1:$AK$37,19,0)*UPSTREAM!$A$43*C4</f>
        <v>286</v>
      </c>
      <c r="L9" s="81">
        <f>+HLOOKUP($D$3,UPSTREAM!$A$1:$AK$37,21,0)</f>
        <v>303.24</v>
      </c>
      <c r="M9" s="223">
        <f>+L9-K9</f>
        <v>17.240000000000009</v>
      </c>
      <c r="N9" s="226">
        <f>+L9/K9</f>
        <v>1.0602797202797203</v>
      </c>
      <c r="P9" s="209"/>
      <c r="R9" s="225" t="s">
        <v>37</v>
      </c>
      <c r="S9" s="95">
        <f>+UPSTREAM!A43</f>
        <v>0.22</v>
      </c>
      <c r="T9" s="85">
        <f>+HLOOKUP($D$3,UPSTREAM!$A$1:$AK$37,22,0)</f>
        <v>0.19363984674329501</v>
      </c>
      <c r="U9" s="228">
        <f>+T9-S9</f>
        <v>-2.6360153256704988E-2</v>
      </c>
      <c r="V9" s="205"/>
      <c r="X9" s="99"/>
      <c r="Y9" s="99"/>
      <c r="Z9" s="99"/>
      <c r="AA9" s="99"/>
      <c r="AB9" s="200"/>
      <c r="AC9" s="99"/>
    </row>
    <row r="10" spans="2:30" s="202" customFormat="1" ht="10" customHeight="1" x14ac:dyDescent="0.3">
      <c r="B10" s="229"/>
      <c r="C10" s="209"/>
      <c r="D10" s="209"/>
      <c r="E10" s="209"/>
      <c r="F10" s="230"/>
      <c r="H10" s="209"/>
      <c r="J10" s="201"/>
      <c r="K10" s="209"/>
      <c r="L10" s="209"/>
      <c r="M10" s="209"/>
      <c r="N10" s="231"/>
      <c r="P10" s="209"/>
      <c r="R10" s="201"/>
      <c r="S10" s="232"/>
      <c r="T10" s="218"/>
      <c r="U10" s="233"/>
      <c r="V10" s="205"/>
      <c r="Z10" s="253"/>
      <c r="AA10" s="253"/>
      <c r="AB10" s="200"/>
      <c r="AC10" s="99"/>
    </row>
    <row r="11" spans="2:30" s="202" customFormat="1" ht="24" x14ac:dyDescent="0.3">
      <c r="B11" s="234" t="s">
        <v>38</v>
      </c>
      <c r="C11" s="235">
        <f>+SUM(C6:C9)</f>
        <v>12200</v>
      </c>
      <c r="D11" s="235">
        <f>+SUM(D6:D9)</f>
        <v>12980.52</v>
      </c>
      <c r="E11" s="235">
        <f>+D11-C11</f>
        <v>780.52000000000044</v>
      </c>
      <c r="F11" s="236">
        <f>+D11/C11</f>
        <v>1.063977049180328</v>
      </c>
      <c r="H11" s="237"/>
      <c r="J11" s="238" t="s">
        <v>38</v>
      </c>
      <c r="K11" s="235">
        <f>+SUM(K6:K9)</f>
        <v>2710.95</v>
      </c>
      <c r="L11" s="235">
        <f>+SUM(L6:L9)</f>
        <v>2797.0919999999996</v>
      </c>
      <c r="M11" s="235">
        <f>+L11-K11</f>
        <v>86.141999999999825</v>
      </c>
      <c r="N11" s="236">
        <f>+L11/K11</f>
        <v>1.0317755768273114</v>
      </c>
      <c r="P11" s="237"/>
      <c r="R11" s="238" t="s">
        <v>38</v>
      </c>
      <c r="S11" s="239">
        <f>+K11/C11</f>
        <v>0.22220901639344262</v>
      </c>
      <c r="T11" s="239">
        <f>+L11/D11</f>
        <v>0.21548381728929192</v>
      </c>
      <c r="U11" s="239">
        <f>+T11-S11</f>
        <v>-6.7251991041507031E-3</v>
      </c>
      <c r="V11" s="205"/>
      <c r="AC11" s="99"/>
    </row>
    <row r="12" spans="2:30" s="202" customFormat="1" ht="24" x14ac:dyDescent="0.3">
      <c r="R12" s="416"/>
      <c r="S12" s="416"/>
      <c r="T12" s="417"/>
      <c r="V12" s="205"/>
      <c r="AC12" s="99"/>
    </row>
    <row r="13" spans="2:30" s="202" customFormat="1" ht="25" hidden="1" thickBot="1" x14ac:dyDescent="0.35">
      <c r="B13" s="201" t="s">
        <v>28</v>
      </c>
      <c r="C13" s="201" t="s">
        <v>77</v>
      </c>
      <c r="D13" s="201" t="s">
        <v>91</v>
      </c>
      <c r="E13" s="201" t="s">
        <v>86</v>
      </c>
      <c r="F13" s="201" t="s">
        <v>92</v>
      </c>
      <c r="H13" s="201"/>
      <c r="J13" s="203" t="s">
        <v>28</v>
      </c>
      <c r="K13" s="201" t="s">
        <v>77</v>
      </c>
      <c r="L13" s="201" t="s">
        <v>91</v>
      </c>
      <c r="M13" s="201" t="s">
        <v>86</v>
      </c>
      <c r="N13" s="201" t="s">
        <v>92</v>
      </c>
      <c r="P13" s="201"/>
      <c r="S13" s="99"/>
      <c r="T13" s="99"/>
      <c r="U13" s="99"/>
      <c r="V13" s="200"/>
      <c r="AC13" s="99"/>
    </row>
    <row r="14" spans="2:30" s="202" customFormat="1" ht="51" hidden="1" thickBot="1" x14ac:dyDescent="0.35">
      <c r="B14" s="240" t="s">
        <v>93</v>
      </c>
      <c r="C14" s="241">
        <f>+C6+C7+C8</f>
        <v>10900</v>
      </c>
      <c r="D14" s="241">
        <f>+D6+D7+D8</f>
        <v>11414.52</v>
      </c>
      <c r="E14" s="241">
        <f>+D14-C14</f>
        <v>514.52000000000044</v>
      </c>
      <c r="F14" s="242">
        <f>+D14/C14</f>
        <v>1.0472036697247706</v>
      </c>
      <c r="H14" s="209"/>
      <c r="J14" s="240" t="s">
        <v>94</v>
      </c>
      <c r="K14" s="241">
        <f>+K6+K7+K8</f>
        <v>2424.9499999999998</v>
      </c>
      <c r="L14" s="241">
        <f>+L6+L7+L8</f>
        <v>2493.8519999999999</v>
      </c>
      <c r="M14" s="241">
        <f>+L14-K14</f>
        <v>68.902000000000044</v>
      </c>
      <c r="N14" s="242">
        <f>+L14/K14</f>
        <v>1.0284137817274583</v>
      </c>
      <c r="P14" s="209"/>
      <c r="S14" s="99"/>
      <c r="T14" s="99"/>
      <c r="U14" s="99"/>
      <c r="V14" s="200"/>
      <c r="AC14" s="99"/>
    </row>
    <row r="15" spans="2:30" s="202" customFormat="1" ht="24" x14ac:dyDescent="0.3">
      <c r="B15" s="429"/>
      <c r="C15" s="209"/>
      <c r="D15" s="209"/>
      <c r="E15" s="209"/>
      <c r="F15" s="230"/>
      <c r="H15" s="209"/>
      <c r="J15" s="429"/>
      <c r="K15" s="209"/>
      <c r="L15" s="209"/>
      <c r="M15" s="209"/>
      <c r="N15" s="230"/>
      <c r="P15" s="209"/>
      <c r="S15" s="99"/>
      <c r="T15" s="99"/>
      <c r="U15" s="99"/>
      <c r="V15" s="200"/>
      <c r="AC15" s="99"/>
    </row>
    <row r="16" spans="2:30" s="202" customFormat="1" ht="24" x14ac:dyDescent="0.3">
      <c r="B16" s="429"/>
      <c r="C16" s="209"/>
      <c r="D16" s="209"/>
      <c r="E16" s="209"/>
      <c r="F16" s="230"/>
      <c r="H16" s="209"/>
      <c r="J16" s="429"/>
      <c r="K16" s="209"/>
      <c r="L16" s="209"/>
      <c r="M16" s="209"/>
      <c r="N16" s="230"/>
      <c r="P16" s="209"/>
      <c r="S16" s="99"/>
      <c r="T16" s="99"/>
      <c r="U16" s="99"/>
      <c r="V16" s="200"/>
      <c r="AC16" s="99"/>
    </row>
    <row r="17" spans="2:28" x14ac:dyDescent="0.2">
      <c r="C17" s="446"/>
      <c r="E17" s="281"/>
      <c r="L17" s="243"/>
    </row>
    <row r="18" spans="2:28" ht="21" customHeight="1" x14ac:dyDescent="0.2">
      <c r="X18" s="494" t="s">
        <v>113</v>
      </c>
      <c r="Y18" s="494"/>
      <c r="Z18" s="494"/>
      <c r="AA18" s="494"/>
      <c r="AB18" s="200"/>
    </row>
    <row r="19" spans="2:28" ht="26" customHeight="1" thickBot="1" x14ac:dyDescent="0.4">
      <c r="C19" s="297" t="s">
        <v>203</v>
      </c>
      <c r="E19" s="281"/>
      <c r="J19" s="199" t="s">
        <v>109</v>
      </c>
      <c r="X19" s="202"/>
      <c r="Y19" s="202"/>
      <c r="Z19" s="202"/>
      <c r="AA19" s="202"/>
      <c r="AB19" s="202"/>
    </row>
    <row r="20" spans="2:28" ht="22" customHeight="1" thickBot="1" x14ac:dyDescent="0.35">
      <c r="B20" s="206" t="s">
        <v>34</v>
      </c>
      <c r="C20" s="418">
        <v>0</v>
      </c>
      <c r="K20" s="433">
        <f ca="1">+TODAY()-1</f>
        <v>46002</v>
      </c>
      <c r="L20" s="435"/>
      <c r="X20" s="256" t="s">
        <v>28</v>
      </c>
      <c r="Y20" s="256" t="s">
        <v>104</v>
      </c>
      <c r="Z20" s="256" t="s">
        <v>105</v>
      </c>
      <c r="AA20" s="256" t="s">
        <v>31</v>
      </c>
      <c r="AB20" s="256" t="s">
        <v>32</v>
      </c>
    </row>
    <row r="21" spans="2:28" ht="24" customHeight="1" thickBot="1" x14ac:dyDescent="0.35">
      <c r="B21" s="214" t="s">
        <v>35</v>
      </c>
      <c r="C21" s="419">
        <v>0</v>
      </c>
      <c r="J21" s="201" t="s">
        <v>28</v>
      </c>
      <c r="K21" s="201" t="s">
        <v>83</v>
      </c>
      <c r="X21" s="246" t="s">
        <v>34</v>
      </c>
      <c r="Y21" s="212">
        <v>5.5E-2</v>
      </c>
      <c r="Z21" s="212">
        <v>6.1400000000000003E-2</v>
      </c>
      <c r="AA21" s="258">
        <f>+Z21/Y21</f>
        <v>1.1163636363636364</v>
      </c>
      <c r="AB21" s="213">
        <f>+Z21-Y21</f>
        <v>6.4000000000000029E-3</v>
      </c>
    </row>
    <row r="22" spans="2:28" ht="24" customHeight="1" x14ac:dyDescent="0.3">
      <c r="B22" s="214" t="s">
        <v>36</v>
      </c>
      <c r="C22" s="419">
        <v>0</v>
      </c>
      <c r="J22" s="210" t="s">
        <v>34</v>
      </c>
      <c r="K22" s="251">
        <f ca="1">+VLOOKUP(K20,'[4]Base de Datos'!$A$5:$EI$35,40,0)/1000</f>
        <v>575.73599999999999</v>
      </c>
      <c r="X22" s="260" t="s">
        <v>35</v>
      </c>
      <c r="Y22" s="218">
        <v>0.05</v>
      </c>
      <c r="Z22" s="218">
        <v>6.0999999999999999E-2</v>
      </c>
      <c r="AA22" s="231">
        <f>+Z22/Y22</f>
        <v>1.22</v>
      </c>
      <c r="AB22" s="219">
        <f>+Z22-Y22</f>
        <v>1.0999999999999996E-2</v>
      </c>
    </row>
    <row r="23" spans="2:28" ht="24" customHeight="1" thickBot="1" x14ac:dyDescent="0.35">
      <c r="B23" s="222" t="s">
        <v>37</v>
      </c>
      <c r="C23" s="420">
        <v>0</v>
      </c>
      <c r="J23" s="216" t="s">
        <v>35</v>
      </c>
      <c r="K23" s="252">
        <f ca="1">+VLOOKUP(K20,'[4]Base de Datos'!$A$5:$EI$35,11,0)/1000</f>
        <v>88.635999999999996</v>
      </c>
      <c r="X23" s="261" t="s">
        <v>36</v>
      </c>
      <c r="Y23" s="227">
        <v>0.05</v>
      </c>
      <c r="Z23" s="227">
        <v>4.3799999999999999E-2</v>
      </c>
      <c r="AA23" s="262">
        <f>+Z23/Y23</f>
        <v>0.87599999999999989</v>
      </c>
      <c r="AB23" s="228">
        <f>+Z23-Y23</f>
        <v>-6.2000000000000041E-3</v>
      </c>
    </row>
    <row r="24" spans="2:28" ht="24" customHeight="1" x14ac:dyDescent="0.2">
      <c r="J24" s="216" t="s">
        <v>36</v>
      </c>
      <c r="K24" s="252">
        <f ca="1">+VLOOKUP(K20,'[4]Base de Datos'!$A$5:$EI$35,25,0)/1000</f>
        <v>174.25700000000001</v>
      </c>
    </row>
    <row r="25" spans="2:28" ht="24" customHeight="1" thickBot="1" x14ac:dyDescent="0.25">
      <c r="J25" s="225" t="s">
        <v>37</v>
      </c>
      <c r="K25" s="255">
        <f ca="1">+VLOOKUP(K20,'[4]BD Sinu'!$A$5:$EI$35,11,0)/1000</f>
        <v>121.605</v>
      </c>
      <c r="Y25" s="253"/>
      <c r="Z25" s="253"/>
      <c r="AA25" s="253"/>
      <c r="AB25" s="263"/>
    </row>
    <row r="26" spans="2:28" ht="8" customHeight="1" x14ac:dyDescent="0.2">
      <c r="K26" s="209"/>
      <c r="X26" s="253"/>
      <c r="Y26" s="253"/>
      <c r="Z26" s="253"/>
      <c r="AA26" s="253"/>
      <c r="AB26" s="263"/>
    </row>
    <row r="27" spans="2:28" ht="24" x14ac:dyDescent="0.2">
      <c r="J27" s="276" t="s">
        <v>38</v>
      </c>
      <c r="K27" s="277">
        <f ca="1">+SUM(K22:K25)</f>
        <v>960.23399999999992</v>
      </c>
      <c r="X27" s="494" t="s">
        <v>114</v>
      </c>
      <c r="Y27" s="494"/>
      <c r="Z27" s="266"/>
      <c r="AA27" s="267"/>
      <c r="AB27" s="200"/>
    </row>
    <row r="28" spans="2:28" ht="8" customHeight="1" x14ac:dyDescent="0.2">
      <c r="G28" s="201"/>
      <c r="H28" s="201"/>
      <c r="AB28" s="200"/>
    </row>
    <row r="29" spans="2:28" ht="32" thickBot="1" x14ac:dyDescent="0.4">
      <c r="G29" s="209"/>
      <c r="H29" s="209"/>
      <c r="J29" s="199" t="s">
        <v>110</v>
      </c>
      <c r="X29" s="256" t="s">
        <v>28</v>
      </c>
      <c r="Y29" s="256" t="s">
        <v>83</v>
      </c>
      <c r="AB29" s="200"/>
    </row>
    <row r="30" spans="2:28" ht="25" thickBot="1" x14ac:dyDescent="0.25">
      <c r="X30" s="210" t="s">
        <v>34</v>
      </c>
      <c r="Y30" s="251">
        <v>235</v>
      </c>
      <c r="AB30" s="200"/>
    </row>
    <row r="31" spans="2:28" ht="24" x14ac:dyDescent="0.2">
      <c r="J31" s="246" t="s">
        <v>111</v>
      </c>
      <c r="K31" s="247" t="s">
        <v>112</v>
      </c>
      <c r="L31" s="247" t="s">
        <v>91</v>
      </c>
      <c r="M31" s="247" t="s">
        <v>86</v>
      </c>
      <c r="N31" s="248" t="s">
        <v>92</v>
      </c>
      <c r="X31" s="216" t="s">
        <v>35</v>
      </c>
      <c r="Y31" s="252">
        <v>0.5</v>
      </c>
      <c r="AB31" s="200"/>
    </row>
    <row r="32" spans="2:28" ht="26" thickBot="1" x14ac:dyDescent="0.25">
      <c r="J32" s="250" t="s">
        <v>209</v>
      </c>
      <c r="K32" s="209">
        <v>0</v>
      </c>
      <c r="L32" s="209">
        <v>0</v>
      </c>
      <c r="M32" s="209">
        <f>+K32-L32</f>
        <v>0</v>
      </c>
      <c r="N32" s="215" t="str">
        <f t="shared" ref="N32:N37" si="0">+IFERROR(L32/K32,"")</f>
        <v/>
      </c>
      <c r="X32" s="216" t="s">
        <v>36</v>
      </c>
      <c r="Y32" s="252">
        <v>60</v>
      </c>
      <c r="AB32" s="200"/>
    </row>
    <row r="33" spans="1:28" ht="50" x14ac:dyDescent="0.2">
      <c r="J33" s="250" t="s">
        <v>141</v>
      </c>
      <c r="K33" s="209">
        <v>0</v>
      </c>
      <c r="L33" s="209">
        <v>0</v>
      </c>
      <c r="M33" s="209">
        <f>+K33-L33</f>
        <v>0</v>
      </c>
      <c r="N33" s="215" t="str">
        <f t="shared" si="0"/>
        <v/>
      </c>
      <c r="X33" s="210" t="s">
        <v>108</v>
      </c>
      <c r="Y33" s="251">
        <v>400</v>
      </c>
      <c r="AB33" s="200"/>
    </row>
    <row r="34" spans="1:28" ht="25" x14ac:dyDescent="0.2">
      <c r="J34" s="250" t="s">
        <v>128</v>
      </c>
      <c r="K34" s="209">
        <v>0</v>
      </c>
      <c r="L34" s="209">
        <v>0</v>
      </c>
      <c r="M34" s="209">
        <f>+K34-L34</f>
        <v>0</v>
      </c>
      <c r="N34" s="215" t="str">
        <f t="shared" si="0"/>
        <v/>
      </c>
      <c r="X34" s="216" t="s">
        <v>125</v>
      </c>
      <c r="Y34" s="252">
        <v>83</v>
      </c>
      <c r="AB34" s="200"/>
    </row>
    <row r="35" spans="1:28" ht="51" thickBot="1" x14ac:dyDescent="0.25">
      <c r="A35" s="270"/>
      <c r="B35" s="270"/>
      <c r="C35" s="270"/>
      <c r="J35" s="254" t="s">
        <v>129</v>
      </c>
      <c r="K35" s="223">
        <v>0</v>
      </c>
      <c r="L35" s="223">
        <v>0</v>
      </c>
      <c r="M35" s="223">
        <f>+K35-L35</f>
        <v>0</v>
      </c>
      <c r="N35" s="224" t="str">
        <f t="shared" si="0"/>
        <v/>
      </c>
      <c r="X35" s="225" t="s">
        <v>126</v>
      </c>
      <c r="Y35" s="255">
        <v>157</v>
      </c>
    </row>
    <row r="36" spans="1:28" ht="19" customHeight="1" x14ac:dyDescent="0.2">
      <c r="A36" s="270"/>
      <c r="C36" s="270"/>
      <c r="J36" s="257"/>
      <c r="K36" s="209"/>
      <c r="L36" s="209"/>
      <c r="M36" s="209"/>
      <c r="N36" s="230" t="str">
        <f t="shared" si="0"/>
        <v/>
      </c>
      <c r="X36" s="99" t="s">
        <v>127</v>
      </c>
    </row>
    <row r="37" spans="1:28" ht="25" x14ac:dyDescent="0.2">
      <c r="A37" s="270"/>
      <c r="C37" s="270"/>
      <c r="J37" s="257" t="s">
        <v>38</v>
      </c>
      <c r="K37" s="259">
        <f>+SUM(K32:K35)</f>
        <v>0</v>
      </c>
      <c r="L37" s="259">
        <f>+SUM(L32:L35)</f>
        <v>0</v>
      </c>
      <c r="M37" s="259">
        <f>+SUM(M32:M35)</f>
        <v>0</v>
      </c>
      <c r="N37" s="230" t="str">
        <f t="shared" si="0"/>
        <v/>
      </c>
    </row>
    <row r="38" spans="1:28" x14ac:dyDescent="0.2">
      <c r="A38" s="270"/>
      <c r="C38" s="270"/>
    </row>
    <row r="39" spans="1:28" x14ac:dyDescent="0.2">
      <c r="A39" s="270"/>
      <c r="C39" s="270"/>
    </row>
    <row r="40" spans="1:28" x14ac:dyDescent="0.2">
      <c r="A40" s="270"/>
      <c r="C40" s="270"/>
    </row>
    <row r="41" spans="1:28" x14ac:dyDescent="0.2">
      <c r="A41" s="270"/>
      <c r="B41" s="270"/>
      <c r="C41" s="270"/>
    </row>
    <row r="42" spans="1:28" ht="31" hidden="1" x14ac:dyDescent="0.35">
      <c r="A42" s="270"/>
      <c r="B42" s="270"/>
      <c r="C42" s="270"/>
      <c r="J42" s="199" t="s">
        <v>119</v>
      </c>
    </row>
    <row r="43" spans="1:28" ht="32" hidden="1" thickBot="1" x14ac:dyDescent="0.4">
      <c r="A43" s="270"/>
      <c r="B43" s="270"/>
      <c r="C43" s="270"/>
      <c r="J43" s="199"/>
      <c r="K43" s="272" t="s">
        <v>77</v>
      </c>
      <c r="L43" s="272" t="s">
        <v>78</v>
      </c>
    </row>
    <row r="44" spans="1:28" ht="25" hidden="1" x14ac:dyDescent="0.2">
      <c r="A44" s="270"/>
      <c r="B44" s="270"/>
      <c r="C44" s="270"/>
      <c r="J44" s="264" t="s">
        <v>106</v>
      </c>
      <c r="K44" s="265">
        <v>0</v>
      </c>
      <c r="L44" s="265">
        <v>0</v>
      </c>
    </row>
    <row r="45" spans="1:28" ht="51" hidden="1" thickBot="1" x14ac:dyDescent="0.25">
      <c r="A45" s="270"/>
      <c r="B45" s="270"/>
      <c r="C45" s="270"/>
      <c r="J45" s="268" t="s">
        <v>107</v>
      </c>
      <c r="K45" s="269">
        <v>700</v>
      </c>
      <c r="L45" s="269">
        <v>0</v>
      </c>
    </row>
    <row r="46" spans="1:28" x14ac:dyDescent="0.2">
      <c r="A46" s="270"/>
      <c r="B46" s="270"/>
      <c r="C46" s="270"/>
    </row>
    <row r="47" spans="1:28" x14ac:dyDescent="0.2">
      <c r="A47" s="270"/>
      <c r="B47" s="270"/>
      <c r="C47" s="270"/>
    </row>
    <row r="48" spans="1:28" x14ac:dyDescent="0.2">
      <c r="A48" s="270"/>
      <c r="B48" s="270"/>
      <c r="C48" s="270"/>
    </row>
    <row r="49" spans="1:3" x14ac:dyDescent="0.2">
      <c r="A49" s="270"/>
      <c r="B49" s="270"/>
      <c r="C49" s="270"/>
    </row>
    <row r="50" spans="1:3" x14ac:dyDescent="0.2">
      <c r="A50" s="270"/>
      <c r="B50" s="270"/>
      <c r="C50" s="270"/>
    </row>
    <row r="51" spans="1:3" x14ac:dyDescent="0.2">
      <c r="A51" s="270"/>
      <c r="B51" s="270"/>
      <c r="C51" s="270"/>
    </row>
    <row r="52" spans="1:3" x14ac:dyDescent="0.2">
      <c r="A52" s="270"/>
      <c r="B52" s="270"/>
      <c r="C52" s="270"/>
    </row>
    <row r="53" spans="1:3" x14ac:dyDescent="0.2">
      <c r="A53" s="270"/>
      <c r="B53" s="270"/>
      <c r="C53" s="270"/>
    </row>
    <row r="54" spans="1:3" x14ac:dyDescent="0.2">
      <c r="A54" s="270"/>
      <c r="B54" s="270"/>
      <c r="C54" s="270"/>
    </row>
    <row r="55" spans="1:3" x14ac:dyDescent="0.2">
      <c r="A55" s="270"/>
      <c r="B55" s="270"/>
      <c r="C55" s="270"/>
    </row>
    <row r="56" spans="1:3" x14ac:dyDescent="0.2">
      <c r="A56" s="270"/>
      <c r="B56" s="270"/>
      <c r="C56" s="270"/>
    </row>
    <row r="57" spans="1:3" x14ac:dyDescent="0.2">
      <c r="A57" s="270"/>
      <c r="B57" s="270"/>
      <c r="C57" s="270"/>
    </row>
    <row r="58" spans="1:3" x14ac:dyDescent="0.2">
      <c r="A58" s="270"/>
      <c r="B58" s="270"/>
      <c r="C58" s="270"/>
    </row>
    <row r="59" spans="1:3" x14ac:dyDescent="0.2">
      <c r="A59" s="270"/>
      <c r="B59" s="270"/>
      <c r="C59" s="270"/>
    </row>
    <row r="60" spans="1:3" x14ac:dyDescent="0.2">
      <c r="A60" s="270"/>
      <c r="B60" s="270"/>
      <c r="C60" s="270"/>
    </row>
    <row r="61" spans="1:3" x14ac:dyDescent="0.2">
      <c r="A61" s="270"/>
      <c r="B61" s="270"/>
      <c r="C61" s="270"/>
    </row>
    <row r="62" spans="1:3" x14ac:dyDescent="0.2">
      <c r="A62" s="270"/>
      <c r="B62" s="270"/>
      <c r="C62" s="270"/>
    </row>
    <row r="63" spans="1:3" x14ac:dyDescent="0.2">
      <c r="A63" s="270"/>
      <c r="B63" s="270"/>
      <c r="C63" s="270"/>
    </row>
    <row r="64" spans="1:3" x14ac:dyDescent="0.2">
      <c r="A64" s="270"/>
      <c r="B64" s="270"/>
      <c r="C64" s="270"/>
    </row>
    <row r="65" spans="1:3" x14ac:dyDescent="0.2">
      <c r="A65" s="270"/>
      <c r="B65" s="270"/>
      <c r="C65" s="270"/>
    </row>
    <row r="66" spans="1:3" x14ac:dyDescent="0.2">
      <c r="A66" s="270"/>
      <c r="B66" s="270"/>
      <c r="C66" s="270"/>
    </row>
    <row r="67" spans="1:3" x14ac:dyDescent="0.2">
      <c r="A67" s="270"/>
      <c r="B67" s="270"/>
      <c r="C67" s="270"/>
    </row>
    <row r="68" spans="1:3" x14ac:dyDescent="0.2">
      <c r="A68" s="270"/>
      <c r="B68" s="270"/>
      <c r="C68" s="270"/>
    </row>
    <row r="69" spans="1:3" x14ac:dyDescent="0.2">
      <c r="A69" s="270"/>
      <c r="B69" s="270"/>
      <c r="C69" s="270"/>
    </row>
    <row r="70" spans="1:3" x14ac:dyDescent="0.2">
      <c r="A70" s="270"/>
      <c r="B70" s="270"/>
      <c r="C70" s="270"/>
    </row>
    <row r="71" spans="1:3" x14ac:dyDescent="0.2">
      <c r="A71" s="270"/>
      <c r="B71" s="270"/>
      <c r="C71" s="270"/>
    </row>
    <row r="72" spans="1:3" x14ac:dyDescent="0.2">
      <c r="A72" s="270"/>
      <c r="B72" s="270"/>
      <c r="C72" s="270"/>
    </row>
    <row r="73" spans="1:3" x14ac:dyDescent="0.2">
      <c r="A73" s="270"/>
      <c r="B73" s="270"/>
      <c r="C73" s="270"/>
    </row>
    <row r="74" spans="1:3" x14ac:dyDescent="0.2">
      <c r="A74" s="270"/>
      <c r="B74" s="270"/>
      <c r="C74" s="270"/>
    </row>
    <row r="75" spans="1:3" x14ac:dyDescent="0.2">
      <c r="A75" s="270"/>
      <c r="B75" s="270"/>
      <c r="C75" s="270"/>
    </row>
    <row r="76" spans="1:3" x14ac:dyDescent="0.2">
      <c r="A76" s="270"/>
      <c r="B76" s="270"/>
      <c r="C76" s="270"/>
    </row>
    <row r="77" spans="1:3" x14ac:dyDescent="0.2">
      <c r="A77" s="270"/>
      <c r="B77" s="270"/>
      <c r="C77" s="270"/>
    </row>
    <row r="78" spans="1:3" x14ac:dyDescent="0.2">
      <c r="A78" s="270"/>
      <c r="B78" s="270"/>
      <c r="C78" s="270"/>
    </row>
    <row r="79" spans="1:3" x14ac:dyDescent="0.2">
      <c r="A79" s="270"/>
      <c r="B79" s="270"/>
      <c r="C79" s="270"/>
    </row>
    <row r="80" spans="1:3" x14ac:dyDescent="0.2">
      <c r="A80" s="270"/>
      <c r="B80" s="270"/>
      <c r="C80" s="270"/>
    </row>
    <row r="81" spans="1:3" x14ac:dyDescent="0.2">
      <c r="A81" s="270"/>
      <c r="B81" s="270"/>
      <c r="C81" s="270"/>
    </row>
    <row r="82" spans="1:3" x14ac:dyDescent="0.2">
      <c r="A82" s="270"/>
      <c r="B82" s="270"/>
      <c r="C82" s="270"/>
    </row>
    <row r="83" spans="1:3" x14ac:dyDescent="0.2">
      <c r="A83" s="270"/>
      <c r="B83" s="270"/>
      <c r="C83" s="270"/>
    </row>
    <row r="84" spans="1:3" x14ac:dyDescent="0.2">
      <c r="A84" s="270"/>
      <c r="B84" s="270"/>
      <c r="C84" s="270"/>
    </row>
    <row r="85" spans="1:3" x14ac:dyDescent="0.2">
      <c r="A85" s="270"/>
      <c r="B85" s="270"/>
      <c r="C85" s="270"/>
    </row>
    <row r="86" spans="1:3" x14ac:dyDescent="0.2">
      <c r="A86" s="270"/>
      <c r="B86" s="270"/>
      <c r="C86" s="270"/>
    </row>
    <row r="87" spans="1:3" x14ac:dyDescent="0.2">
      <c r="A87" s="270"/>
      <c r="B87" s="270"/>
      <c r="C87" s="270"/>
    </row>
    <row r="88" spans="1:3" x14ac:dyDescent="0.2">
      <c r="A88" s="270"/>
      <c r="B88" s="270"/>
      <c r="C88" s="270"/>
    </row>
    <row r="89" spans="1:3" x14ac:dyDescent="0.2">
      <c r="A89" s="270"/>
      <c r="B89" s="270"/>
      <c r="C89" s="270"/>
    </row>
    <row r="90" spans="1:3" x14ac:dyDescent="0.2">
      <c r="A90" s="270"/>
      <c r="B90" s="270"/>
      <c r="C90" s="270"/>
    </row>
    <row r="91" spans="1:3" x14ac:dyDescent="0.2">
      <c r="A91" s="270"/>
      <c r="B91" s="270"/>
      <c r="C91" s="270"/>
    </row>
    <row r="92" spans="1:3" x14ac:dyDescent="0.2">
      <c r="A92" s="270"/>
      <c r="B92" s="270"/>
      <c r="C92" s="270"/>
    </row>
  </sheetData>
  <mergeCells count="3">
    <mergeCell ref="D3:F3"/>
    <mergeCell ref="X18:AA18"/>
    <mergeCell ref="X27:Y27"/>
  </mergeCells>
  <phoneticPr fontId="28" type="noConversion"/>
  <conditionalFormatting sqref="F6:F9 F11 F14:F16">
    <cfRule type="iconSet" priority="8">
      <iconSet>
        <cfvo type="percent" val="0"/>
        <cfvo type="num" val="0.95" gte="0"/>
        <cfvo type="num" val="0.98"/>
      </iconSet>
    </cfRule>
  </conditionalFormatting>
  <conditionalFormatting sqref="N6:N9 N11 N14:N16">
    <cfRule type="iconSet" priority="7">
      <iconSet>
        <cfvo type="percent" val="0"/>
        <cfvo type="num" val="0.95"/>
        <cfvo type="num" val="0.98"/>
      </iconSet>
    </cfRule>
  </conditionalFormatting>
  <conditionalFormatting sqref="N32:N37">
    <cfRule type="iconSet" priority="3">
      <iconSet>
        <cfvo type="percent" val="0"/>
        <cfvo type="num" val="0.95" gte="0"/>
        <cfvo type="num" val="0.98"/>
      </iconSet>
    </cfRule>
  </conditionalFormatting>
  <conditionalFormatting sqref="U6:U9 U11">
    <cfRule type="iconSet" priority="6">
      <iconSet>
        <cfvo type="percent" val="0"/>
        <cfvo type="num" val="-3.0000000000000001E-3"/>
        <cfvo type="num" val="-2E-3"/>
      </iconSet>
    </cfRule>
  </conditionalFormatting>
  <conditionalFormatting sqref="AB6:AB8">
    <cfRule type="iconSet" priority="5">
      <iconSet>
        <cfvo type="percent" val="0"/>
        <cfvo type="num" val="0.95"/>
        <cfvo type="num" val="0.98"/>
      </iconSet>
    </cfRule>
  </conditionalFormatting>
  <conditionalFormatting sqref="AB21:AB23">
    <cfRule type="iconSet" priority="4">
      <iconSet>
        <cfvo type="percent" val="0"/>
        <cfvo type="num" val="-2E-3"/>
        <cfvo type="num" val="0"/>
      </iconSet>
    </cfRule>
  </conditionalFormatting>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5A6CA585-09CA-AE42-919A-A80B4D0FF4CA}">
          <x14:formula1>
            <xm:f>Lista!$C$13:$C$17</xm:f>
          </x14:formula1>
          <xm:sqref>D3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484B-0B9C-EE45-8105-85B3A996965F}">
  <sheetPr>
    <outlinePr summaryBelow="0"/>
  </sheetPr>
  <dimension ref="A1:AW1002"/>
  <sheetViews>
    <sheetView showGridLines="0" zoomScale="230" zoomScaleNormal="230" workbookViewId="0">
      <pane xSplit="1" ySplit="1" topLeftCell="D2" activePane="bottomRight" state="frozen"/>
      <selection pane="topRight" activeCell="B1" sqref="B1"/>
      <selection pane="bottomLeft" activeCell="A2" sqref="A2"/>
      <selection pane="bottomRight" activeCell="H4" sqref="H4"/>
    </sheetView>
  </sheetViews>
  <sheetFormatPr baseColWidth="10" defaultColWidth="14.5" defaultRowHeight="15" customHeight="1" outlineLevelRow="1" x14ac:dyDescent="0.2"/>
  <cols>
    <col min="1" max="1" width="20.1640625" style="99" customWidth="1"/>
    <col min="2" max="2" width="12" style="99" customWidth="1"/>
    <col min="3" max="3" width="11.33203125" style="99" customWidth="1"/>
    <col min="4" max="4" width="11" style="99" customWidth="1"/>
    <col min="5" max="5" width="11.33203125" style="99" customWidth="1"/>
    <col min="6" max="7" width="12.5" style="99" customWidth="1"/>
    <col min="8" max="8" width="11.5" style="99" customWidth="1"/>
    <col min="9" max="11" width="11.33203125" style="99" customWidth="1"/>
    <col min="12" max="14" width="11" style="99" customWidth="1"/>
    <col min="15" max="18" width="11.5" style="99" customWidth="1"/>
    <col min="19" max="19" width="12.33203125" style="99" customWidth="1"/>
    <col min="20" max="20" width="14.5" style="99" customWidth="1"/>
    <col min="21" max="23" width="11.33203125" style="99" customWidth="1"/>
    <col min="24" max="28" width="10.5" style="99" customWidth="1"/>
    <col min="29" max="31" width="10.6640625" style="99" customWidth="1"/>
    <col min="32" max="33" width="12" style="99" customWidth="1"/>
    <col min="34" max="34" width="14.5" style="99" customWidth="1"/>
    <col min="35" max="36" width="10.5" style="99" customWidth="1"/>
    <col min="37" max="37" width="14.5" style="99" bestFit="1" customWidth="1"/>
    <col min="38" max="40" width="10.5" style="99" customWidth="1"/>
    <col min="41" max="41" width="13.6640625" style="99" customWidth="1"/>
    <col min="42" max="16384" width="14.5" style="99"/>
  </cols>
  <sheetData>
    <row r="1" spans="1:37" ht="12" customHeight="1" thickBot="1" x14ac:dyDescent="0.25">
      <c r="A1" s="450" t="s">
        <v>0</v>
      </c>
      <c r="B1" s="451">
        <v>45992</v>
      </c>
      <c r="C1" s="451">
        <f t="shared" ref="C1:H1" si="0">+B1+1</f>
        <v>45993</v>
      </c>
      <c r="D1" s="451">
        <f t="shared" si="0"/>
        <v>45994</v>
      </c>
      <c r="E1" s="451">
        <f>+D1+1</f>
        <v>45995</v>
      </c>
      <c r="F1" s="451">
        <f t="shared" si="0"/>
        <v>45996</v>
      </c>
      <c r="G1" s="451">
        <f>+F1+1</f>
        <v>45997</v>
      </c>
      <c r="H1" s="451">
        <f t="shared" si="0"/>
        <v>45998</v>
      </c>
      <c r="I1" s="451">
        <f>+H1+1</f>
        <v>45999</v>
      </c>
      <c r="J1" s="451" t="s">
        <v>99</v>
      </c>
      <c r="K1" s="451">
        <f>+I1+1</f>
        <v>46000</v>
      </c>
      <c r="L1" s="451">
        <f>+K1+1</f>
        <v>46001</v>
      </c>
      <c r="M1" s="451">
        <f>+L1+1</f>
        <v>46002</v>
      </c>
      <c r="N1" s="451">
        <f>+M1+1</f>
        <v>46003</v>
      </c>
      <c r="O1" s="451">
        <f>+N1+1</f>
        <v>46004</v>
      </c>
      <c r="P1" s="451">
        <f>+O1+1</f>
        <v>46005</v>
      </c>
      <c r="Q1" s="451" t="s">
        <v>100</v>
      </c>
      <c r="R1" s="451">
        <f>+P1+1</f>
        <v>46006</v>
      </c>
      <c r="S1" s="451">
        <f t="shared" ref="S1:X1" si="1">+R1+1</f>
        <v>46007</v>
      </c>
      <c r="T1" s="451">
        <f t="shared" si="1"/>
        <v>46008</v>
      </c>
      <c r="U1" s="451">
        <f t="shared" si="1"/>
        <v>46009</v>
      </c>
      <c r="V1" s="452">
        <f t="shared" si="1"/>
        <v>46010</v>
      </c>
      <c r="W1" s="452">
        <f t="shared" si="1"/>
        <v>46011</v>
      </c>
      <c r="X1" s="452">
        <f t="shared" si="1"/>
        <v>46012</v>
      </c>
      <c r="Y1" s="451" t="s">
        <v>101</v>
      </c>
      <c r="Z1" s="452">
        <f>+X1+1</f>
        <v>46013</v>
      </c>
      <c r="AA1" s="451">
        <f>+Z1+1</f>
        <v>46014</v>
      </c>
      <c r="AB1" s="451">
        <f>+AA1+1</f>
        <v>46015</v>
      </c>
      <c r="AC1" s="451">
        <f>+AB7+1</f>
        <v>46016</v>
      </c>
      <c r="AD1" s="451">
        <f>+AC1+1</f>
        <v>46017</v>
      </c>
      <c r="AE1" s="451">
        <f>+AD1+1</f>
        <v>46018</v>
      </c>
      <c r="AF1" s="451">
        <f>+AE1+1</f>
        <v>46019</v>
      </c>
      <c r="AG1" s="451" t="s">
        <v>102</v>
      </c>
      <c r="AH1" s="451">
        <f>+AF1+1</f>
        <v>46020</v>
      </c>
      <c r="AI1" s="451">
        <f>+AH1+1</f>
        <v>46021</v>
      </c>
      <c r="AJ1" s="451">
        <f>+AI1+1</f>
        <v>46022</v>
      </c>
      <c r="AK1" s="453" t="s">
        <v>220</v>
      </c>
    </row>
    <row r="2" spans="1:37" ht="12" customHeight="1" x14ac:dyDescent="0.2">
      <c r="A2" s="454" t="s">
        <v>49</v>
      </c>
      <c r="B2" s="105">
        <f>+HLOOKUP(B$1,'[6]Proyección Diaria'!$C$7:$AH$155,36,0)/1000</f>
        <v>355</v>
      </c>
      <c r="C2" s="105">
        <f>+HLOOKUP(C$1,'[6]Proyección Diaria'!$C$7:$AH$155,36,0)/1000</f>
        <v>355</v>
      </c>
      <c r="D2" s="105">
        <f>+HLOOKUP(D$1,'[6]Proyección Diaria'!$C$7:$AH$155,36,0)/1000</f>
        <v>355</v>
      </c>
      <c r="E2" s="105">
        <f>+HLOOKUP(E$1,'[6]Proyección Diaria'!$C$7:$AH$155,36,0)/1000</f>
        <v>355</v>
      </c>
      <c r="F2" s="105">
        <f>+HLOOKUP(F$1,'[6]Proyección Diaria'!$C$7:$AH$155,36,0)/1000</f>
        <v>355</v>
      </c>
      <c r="G2" s="105">
        <f>+HLOOKUP(G$1,'[6]Proyección Diaria'!$C$7:$AH$155,36,0)/1000</f>
        <v>355</v>
      </c>
      <c r="H2" s="105">
        <f>+HLOOKUP(H$1,'[6]Proyección Diaria'!$C$7:$AH$155,36,0)/1000</f>
        <v>280</v>
      </c>
      <c r="I2" s="105">
        <f>+HLOOKUP(I$1,'[6]Proyección Diaria'!$C$7:$AH$155,36,0)/1000</f>
        <v>355</v>
      </c>
      <c r="J2" s="112">
        <f>+SUM(B2:I2)</f>
        <v>2765</v>
      </c>
      <c r="K2" s="105">
        <f>+HLOOKUP(K$1,'[6]Proyección Diaria'!$C$7:$AH$155,36,0)/1000</f>
        <v>355</v>
      </c>
      <c r="L2" s="105">
        <f>+HLOOKUP(L$1,'[6]Proyección Diaria'!$C$7:$AH$155,36,0)/1000</f>
        <v>355</v>
      </c>
      <c r="M2" s="105">
        <f>+HLOOKUP(M$1,'[6]Proyección Diaria'!$C$7:$AH$155,36,0)/1000</f>
        <v>355</v>
      </c>
      <c r="N2" s="105">
        <f>+HLOOKUP(N$1,'[6]Proyección Diaria'!$C$7:$AH$155,36,0)/1000</f>
        <v>355</v>
      </c>
      <c r="O2" s="105">
        <f>+HLOOKUP(O$1,'[6]Proyección Diaria'!$C$7:$AH$155,36,0)/1000</f>
        <v>355</v>
      </c>
      <c r="P2" s="105">
        <f>+HLOOKUP(P$1,'[6]Proyección Diaria'!$C$7:$AH$155,36,0)/1000</f>
        <v>280</v>
      </c>
      <c r="Q2" s="112">
        <f>+SUM(K2:P2)+J2</f>
        <v>4820</v>
      </c>
      <c r="R2" s="105">
        <f>+HLOOKUP(R$1,'[6]Proyección Diaria'!$C$7:$AH$155,36,0)/1000</f>
        <v>355</v>
      </c>
      <c r="S2" s="105">
        <f>+HLOOKUP(S$1,'[6]Proyección Diaria'!$C$7:$AH$155,36,0)/1000</f>
        <v>355</v>
      </c>
      <c r="T2" s="105">
        <f>+HLOOKUP(T$1,'[6]Proyección Diaria'!$C$7:$AH$155,36,0)/1000</f>
        <v>355</v>
      </c>
      <c r="U2" s="105">
        <f>+HLOOKUP(U$1,'[6]Proyección Diaria'!$C$7:$AH$155,36,0)/1000</f>
        <v>355</v>
      </c>
      <c r="V2" s="105">
        <f>+HLOOKUP(V$1,'[6]Proyección Diaria'!$C$7:$AH$155,36,0)/1000</f>
        <v>355</v>
      </c>
      <c r="W2" s="105">
        <f>+HLOOKUP(W$1,'[6]Proyección Diaria'!$C$7:$AH$155,36,0)/1000</f>
        <v>355</v>
      </c>
      <c r="X2" s="105">
        <f>+HLOOKUP(X$1,'[6]Proyección Diaria'!$C$7:$AH$155,36,0)/1000</f>
        <v>280</v>
      </c>
      <c r="Y2" s="112">
        <f>+Q2+SUM(R2:X2)</f>
        <v>7230</v>
      </c>
      <c r="Z2" s="105">
        <f>+HLOOKUP(Z$1,'[6]Proyección Diaria'!$C$7:$AH$155,36,0)/1000</f>
        <v>355</v>
      </c>
      <c r="AA2" s="105">
        <f>+HLOOKUP(AA$1,'[6]Proyección Diaria'!$C$7:$AH$155,36,0)/1000</f>
        <v>355</v>
      </c>
      <c r="AB2" s="105">
        <f>+HLOOKUP(AB$1,'[6]Proyección Diaria'!$C$7:$AH$155,36,0)/1000</f>
        <v>355</v>
      </c>
      <c r="AC2" s="105">
        <f>+HLOOKUP(AC$1,'[6]Proyección Diaria'!$C$7:$AH$155,36,0)/1000</f>
        <v>355</v>
      </c>
      <c r="AD2" s="105">
        <f>+HLOOKUP(AD$1,'[6]Proyección Diaria'!$C$7:$AH$155,36,0)/1000</f>
        <v>355</v>
      </c>
      <c r="AE2" s="105">
        <f>+HLOOKUP(AE$1,'[6]Proyección Diaria'!$C$7:$AH$155,36,0)/1000</f>
        <v>355</v>
      </c>
      <c r="AF2" s="105">
        <f>+HLOOKUP(AF$1,'[6]Proyección Diaria'!$C$7:$AH$155,36,0)/1000</f>
        <v>280</v>
      </c>
      <c r="AG2" s="112">
        <f>+Y2+SUM(Z2:AF2)</f>
        <v>9640</v>
      </c>
      <c r="AH2" s="105">
        <f>+HLOOKUP(AH$1,'[6]Proyección Diaria'!$C$7:$AH$155,36,0)/1000</f>
        <v>355</v>
      </c>
      <c r="AI2" s="105">
        <f>+HLOOKUP(AI$1,'[6]Proyección Diaria'!$C$7:$AH$155,36,0)/1000</f>
        <v>355</v>
      </c>
      <c r="AJ2" s="105">
        <f>+HLOOKUP(AJ$1,'[6]Proyección Diaria'!$C$7:$AH$155,36,0)/1000</f>
        <v>100</v>
      </c>
      <c r="AK2" s="455">
        <f>+AG2+SUM(AH2:AJ2)</f>
        <v>10450</v>
      </c>
    </row>
    <row r="3" spans="1:37" ht="12" customHeight="1" x14ac:dyDescent="0.2">
      <c r="A3" s="456" t="s">
        <v>50</v>
      </c>
      <c r="B3" s="111">
        <v>362.46600000000001</v>
      </c>
      <c r="C3" s="111">
        <v>362.46600000000001</v>
      </c>
      <c r="D3" s="111">
        <v>259.68799999999999</v>
      </c>
      <c r="E3" s="111">
        <v>352.78300000000002</v>
      </c>
      <c r="F3" s="111">
        <v>326.92099999999999</v>
      </c>
      <c r="G3" s="111">
        <v>353.60599999999999</v>
      </c>
      <c r="H3" s="111">
        <v>354</v>
      </c>
      <c r="I3" s="111">
        <v>341.32</v>
      </c>
      <c r="J3" s="112">
        <f>+SUM(B3:I3)</f>
        <v>2713.2500000000005</v>
      </c>
      <c r="K3" s="111"/>
      <c r="L3" s="111"/>
      <c r="M3" s="111"/>
      <c r="N3" s="111"/>
      <c r="O3" s="111"/>
      <c r="P3" s="111"/>
      <c r="Q3" s="112">
        <f>+SUM(K3:P3)+J3</f>
        <v>2713.2500000000005</v>
      </c>
      <c r="R3" s="111"/>
      <c r="S3" s="111"/>
      <c r="T3" s="111"/>
      <c r="U3" s="111"/>
      <c r="V3" s="111"/>
      <c r="W3" s="111"/>
      <c r="X3" s="111"/>
      <c r="Y3" s="112">
        <f>+Q3+SUM(R3:X3)</f>
        <v>2713.2500000000005</v>
      </c>
      <c r="Z3" s="111"/>
      <c r="AA3" s="111"/>
      <c r="AB3" s="111"/>
      <c r="AC3" s="111"/>
      <c r="AD3" s="111"/>
      <c r="AE3" s="111"/>
      <c r="AF3" s="111"/>
      <c r="AG3" s="112">
        <f>+Y3+SUM(Z3:AF3)</f>
        <v>2713.2500000000005</v>
      </c>
      <c r="AH3" s="111"/>
      <c r="AI3" s="111"/>
      <c r="AJ3" s="111"/>
      <c r="AK3" s="455">
        <f>+AG3+SUM(AH3:AJ3)</f>
        <v>2713.2500000000005</v>
      </c>
    </row>
    <row r="4" spans="1:37" ht="16" thickBot="1" x14ac:dyDescent="0.25">
      <c r="A4" s="457" t="s">
        <v>3</v>
      </c>
      <c r="B4" s="114">
        <f>IFERROR(B3/B2,0)</f>
        <v>1.0210309859154929</v>
      </c>
      <c r="C4" s="114">
        <f>IFERROR(C3/C2,0)</f>
        <v>1.0210309859154929</v>
      </c>
      <c r="D4" s="114">
        <f t="shared" ref="D4:AI4" si="2">IFERROR(D3/D2,0)</f>
        <v>0.73151549295774643</v>
      </c>
      <c r="E4" s="114">
        <f t="shared" si="2"/>
        <v>0.99375492957746481</v>
      </c>
      <c r="F4" s="114">
        <f t="shared" si="2"/>
        <v>0.92090422535211269</v>
      </c>
      <c r="G4" s="114">
        <f t="shared" si="2"/>
        <v>0.99607323943661974</v>
      </c>
      <c r="H4" s="114">
        <f t="shared" si="2"/>
        <v>1.2642857142857142</v>
      </c>
      <c r="I4" s="114">
        <f t="shared" si="2"/>
        <v>0.96146478873239438</v>
      </c>
      <c r="J4" s="115">
        <f>IFERROR(J3/J2,0)</f>
        <v>0.98128390596745041</v>
      </c>
      <c r="K4" s="114">
        <f t="shared" ref="K4:U4" si="3">IFERROR(K3/K2,0)</f>
        <v>0</v>
      </c>
      <c r="L4" s="114">
        <f t="shared" si="3"/>
        <v>0</v>
      </c>
      <c r="M4" s="114">
        <f t="shared" si="3"/>
        <v>0</v>
      </c>
      <c r="N4" s="114">
        <f t="shared" si="3"/>
        <v>0</v>
      </c>
      <c r="O4" s="114">
        <f t="shared" si="3"/>
        <v>0</v>
      </c>
      <c r="P4" s="114">
        <f>IFERROR(P3/P2,0)</f>
        <v>0</v>
      </c>
      <c r="Q4" s="115">
        <f>IFERROR(Q3/Q2,0)</f>
        <v>0.56291493775933621</v>
      </c>
      <c r="R4" s="114">
        <f>IFERROR(R3/R2,0)</f>
        <v>0</v>
      </c>
      <c r="S4" s="114">
        <f>IFERROR(S3/S2,0)</f>
        <v>0</v>
      </c>
      <c r="T4" s="114">
        <f>IFERROR(T3/T2,0)</f>
        <v>0</v>
      </c>
      <c r="U4" s="114">
        <f t="shared" si="3"/>
        <v>0</v>
      </c>
      <c r="V4" s="114">
        <f t="shared" si="2"/>
        <v>0</v>
      </c>
      <c r="W4" s="114">
        <f t="shared" si="2"/>
        <v>0</v>
      </c>
      <c r="X4" s="114">
        <f t="shared" si="2"/>
        <v>0</v>
      </c>
      <c r="Y4" s="115">
        <f>IFERROR(Y3/Y2,0)</f>
        <v>0.37527662517289079</v>
      </c>
      <c r="Z4" s="114">
        <f t="shared" si="2"/>
        <v>0</v>
      </c>
      <c r="AA4" s="114">
        <f t="shared" si="2"/>
        <v>0</v>
      </c>
      <c r="AB4" s="114">
        <f t="shared" si="2"/>
        <v>0</v>
      </c>
      <c r="AC4" s="114">
        <f t="shared" si="2"/>
        <v>0</v>
      </c>
      <c r="AD4" s="114">
        <f t="shared" si="2"/>
        <v>0</v>
      </c>
      <c r="AE4" s="114">
        <f t="shared" si="2"/>
        <v>0</v>
      </c>
      <c r="AF4" s="114">
        <f t="shared" si="2"/>
        <v>0</v>
      </c>
      <c r="AG4" s="115">
        <f>IFERROR(AG3/AG2,0)</f>
        <v>0.2814574688796681</v>
      </c>
      <c r="AH4" s="114">
        <f t="shared" si="2"/>
        <v>0</v>
      </c>
      <c r="AI4" s="114">
        <f t="shared" si="2"/>
        <v>0</v>
      </c>
      <c r="AJ4" s="114">
        <f>IFERROR(AJ3/AJ2,0)</f>
        <v>0</v>
      </c>
      <c r="AK4" s="458">
        <f>IFERROR(AK3/AK2,0)</f>
        <v>0.25964114832535889</v>
      </c>
    </row>
    <row r="5" spans="1:37" ht="16" hidden="1" thickBot="1" x14ac:dyDescent="0.25">
      <c r="A5" s="456" t="s">
        <v>51</v>
      </c>
      <c r="B5" s="116"/>
      <c r="C5" s="116"/>
      <c r="D5" s="116"/>
      <c r="E5" s="116"/>
      <c r="F5" s="116"/>
      <c r="G5" s="116"/>
      <c r="H5" s="116"/>
      <c r="I5" s="116"/>
      <c r="J5" s="117"/>
      <c r="K5" s="116"/>
      <c r="L5" s="116"/>
      <c r="M5" s="116"/>
      <c r="N5" s="116"/>
      <c r="O5" s="116"/>
      <c r="P5" s="116"/>
      <c r="Q5" s="117"/>
      <c r="R5" s="116"/>
      <c r="S5" s="116"/>
      <c r="T5" s="116"/>
      <c r="U5" s="116"/>
      <c r="V5" s="116"/>
      <c r="W5" s="116"/>
      <c r="X5" s="116"/>
      <c r="Y5" s="117"/>
      <c r="Z5" s="116"/>
      <c r="AA5" s="116"/>
      <c r="AB5" s="116"/>
      <c r="AC5" s="116"/>
      <c r="AD5" s="116"/>
      <c r="AE5" s="116"/>
      <c r="AF5" s="116"/>
      <c r="AG5" s="117"/>
      <c r="AH5" s="116"/>
      <c r="AI5" s="116"/>
      <c r="AJ5" s="116"/>
      <c r="AK5" s="459"/>
    </row>
    <row r="6" spans="1:37" ht="16" hidden="1" thickBot="1" x14ac:dyDescent="0.25">
      <c r="A6" s="456" t="s">
        <v>52</v>
      </c>
      <c r="B6" s="118"/>
      <c r="C6" s="118"/>
      <c r="D6" s="118"/>
      <c r="E6" s="118"/>
      <c r="F6" s="118"/>
      <c r="G6" s="118"/>
      <c r="H6" s="118"/>
      <c r="I6" s="118"/>
      <c r="J6" s="119"/>
      <c r="K6" s="118"/>
      <c r="L6" s="118"/>
      <c r="M6" s="118"/>
      <c r="N6" s="118"/>
      <c r="O6" s="118"/>
      <c r="P6" s="118"/>
      <c r="Q6" s="119"/>
      <c r="R6" s="118"/>
      <c r="S6" s="118"/>
      <c r="T6" s="118"/>
      <c r="U6" s="118"/>
      <c r="V6" s="118"/>
      <c r="W6" s="118"/>
      <c r="X6" s="118"/>
      <c r="Y6" s="119"/>
      <c r="Z6" s="118"/>
      <c r="AA6" s="118"/>
      <c r="AB6" s="118"/>
      <c r="AC6" s="118"/>
      <c r="AD6" s="118"/>
      <c r="AE6" s="118"/>
      <c r="AF6" s="118"/>
      <c r="AG6" s="119"/>
      <c r="AH6" s="118"/>
      <c r="AI6" s="118"/>
      <c r="AJ6" s="118"/>
      <c r="AK6" s="460"/>
    </row>
    <row r="7" spans="1:37" ht="16" hidden="1" thickBot="1" x14ac:dyDescent="0.25">
      <c r="A7" s="456" t="s">
        <v>53</v>
      </c>
      <c r="B7" s="120"/>
      <c r="C7" s="120"/>
      <c r="D7" s="120"/>
      <c r="E7" s="120"/>
      <c r="F7" s="120"/>
      <c r="G7" s="120"/>
      <c r="H7" s="120"/>
      <c r="I7" s="120"/>
      <c r="J7" s="119"/>
      <c r="K7" s="120"/>
      <c r="L7" s="120"/>
      <c r="M7" s="120"/>
      <c r="N7" s="120"/>
      <c r="O7" s="120"/>
      <c r="P7" s="120"/>
      <c r="Q7" s="119"/>
      <c r="R7" s="120"/>
      <c r="S7" s="120"/>
      <c r="T7" s="120"/>
      <c r="U7" s="120"/>
      <c r="V7" s="120"/>
      <c r="W7" s="120"/>
      <c r="X7" s="120"/>
      <c r="Y7" s="119"/>
      <c r="Z7" s="120"/>
      <c r="AA7" s="120"/>
      <c r="AB7" s="120">
        <f>+AA1+1</f>
        <v>46015</v>
      </c>
      <c r="AC7" s="120"/>
      <c r="AD7" s="120"/>
      <c r="AE7" s="120"/>
      <c r="AF7" s="120"/>
      <c r="AG7" s="119"/>
      <c r="AH7" s="120"/>
      <c r="AI7" s="120"/>
      <c r="AJ7" s="120"/>
      <c r="AK7" s="460"/>
    </row>
    <row r="8" spans="1:37" ht="16" hidden="1" thickBot="1" x14ac:dyDescent="0.25">
      <c r="A8" s="456" t="s">
        <v>54</v>
      </c>
      <c r="B8" s="120"/>
      <c r="C8" s="120"/>
      <c r="D8" s="120"/>
      <c r="E8" s="120"/>
      <c r="F8" s="120"/>
      <c r="G8" s="120"/>
      <c r="H8" s="120"/>
      <c r="I8" s="120"/>
      <c r="J8" s="119"/>
      <c r="K8" s="120"/>
      <c r="L8" s="120"/>
      <c r="M8" s="120"/>
      <c r="N8" s="120"/>
      <c r="O8" s="120"/>
      <c r="P8" s="120"/>
      <c r="Q8" s="119"/>
      <c r="R8" s="120"/>
      <c r="S8" s="120"/>
      <c r="T8" s="120"/>
      <c r="U8" s="120"/>
      <c r="V8" s="120"/>
      <c r="W8" s="120"/>
      <c r="X8" s="120"/>
      <c r="Y8" s="119"/>
      <c r="Z8" s="120"/>
      <c r="AA8" s="120"/>
      <c r="AB8" s="120">
        <v>360</v>
      </c>
      <c r="AC8" s="120"/>
      <c r="AD8" s="120"/>
      <c r="AE8" s="120"/>
      <c r="AF8" s="120"/>
      <c r="AG8" s="119"/>
      <c r="AH8" s="120"/>
      <c r="AI8" s="120"/>
      <c r="AJ8" s="120"/>
      <c r="AK8" s="460"/>
    </row>
    <row r="9" spans="1:37" ht="16" hidden="1" thickBot="1" x14ac:dyDescent="0.25">
      <c r="A9" s="461" t="s">
        <v>55</v>
      </c>
      <c r="B9" s="122"/>
      <c r="C9" s="122"/>
      <c r="D9" s="122"/>
      <c r="E9" s="122"/>
      <c r="F9" s="122"/>
      <c r="G9" s="122"/>
      <c r="H9" s="122"/>
      <c r="I9" s="122"/>
      <c r="J9" s="123"/>
      <c r="K9" s="122"/>
      <c r="L9" s="122"/>
      <c r="M9" s="122"/>
      <c r="N9" s="122"/>
      <c r="O9" s="122"/>
      <c r="P9" s="122"/>
      <c r="Q9" s="123"/>
      <c r="R9" s="122"/>
      <c r="S9" s="122"/>
      <c r="T9" s="122"/>
      <c r="U9" s="122"/>
      <c r="V9" s="122"/>
      <c r="W9" s="122"/>
      <c r="X9" s="122"/>
      <c r="Y9" s="123"/>
      <c r="Z9" s="122"/>
      <c r="AA9" s="122"/>
      <c r="AB9" s="122"/>
      <c r="AC9" s="122"/>
      <c r="AD9" s="122"/>
      <c r="AE9" s="122"/>
      <c r="AF9" s="122"/>
      <c r="AG9" s="123"/>
      <c r="AH9" s="122"/>
      <c r="AI9" s="122"/>
      <c r="AJ9" s="122"/>
      <c r="AK9" s="462"/>
    </row>
    <row r="10" spans="1:37" x14ac:dyDescent="0.2">
      <c r="A10" s="463" t="s">
        <v>56</v>
      </c>
      <c r="B10" s="105">
        <f>+HLOOKUP(B$1,'[6]Proyección Diaria'!$C$7:$AH$155,37,0)/1000+HLOOKUP(B$1,'[6]Proyección Diaria'!$C$7:$AH$155,73,0)/1000</f>
        <v>30</v>
      </c>
      <c r="C10" s="105">
        <f>+HLOOKUP(C$1,'[6]Proyección Diaria'!$C$7:$AH$155,37,0)/1000+HLOOKUP(C$1,'[6]Proyección Diaria'!$C$7:$AH$155,73,0)/1000</f>
        <v>0</v>
      </c>
      <c r="D10" s="105">
        <f>+HLOOKUP(D$1,'[6]Proyección Diaria'!$C$7:$AH$155,37,0)/1000+HLOOKUP(D$1,'[6]Proyección Diaria'!$C$7:$AH$155,73,0)/1000</f>
        <v>35</v>
      </c>
      <c r="E10" s="105">
        <f>+HLOOKUP(E$1,'[6]Proyección Diaria'!$C$7:$AH$155,37,0)/1000+HLOOKUP(E$1,'[6]Proyección Diaria'!$C$7:$AH$155,73,0)/1000</f>
        <v>35</v>
      </c>
      <c r="F10" s="105">
        <f>+HLOOKUP(F$1,'[6]Proyección Diaria'!$C$7:$AH$155,37,0)/1000+HLOOKUP(F$1,'[6]Proyección Diaria'!$C$7:$AH$155,73,0)/1000</f>
        <v>35</v>
      </c>
      <c r="G10" s="105">
        <f>+HLOOKUP(G$1,'[6]Proyección Diaria'!$C$7:$AH$155,37,0)/1000+HLOOKUP(G$1,'[6]Proyección Diaria'!$C$7:$AH$155,73,0)/1000</f>
        <v>35</v>
      </c>
      <c r="H10" s="105">
        <f>+HLOOKUP(H$1,'[6]Proyección Diaria'!$C$7:$AH$155,37,0)/1000+HLOOKUP(H$1,'[6]Proyección Diaria'!$C$7:$AH$155,73,0)/1000</f>
        <v>0</v>
      </c>
      <c r="I10" s="105">
        <f>+HLOOKUP(I$1,'[6]Proyección Diaria'!$C$7:$AH$155,37,0)/1000+HLOOKUP(I$1,'[6]Proyección Diaria'!$C$7:$AH$155,73,0)/1000</f>
        <v>35</v>
      </c>
      <c r="J10" s="112">
        <f>+SUM(B10:I10)</f>
        <v>205</v>
      </c>
      <c r="K10" s="105">
        <f>+HLOOKUP(K$1,'[6]Proyección Diaria'!$C$7:$AH$155,37,0)/1000+HLOOKUP(K$1,'[6]Proyección Diaria'!$C$7:$AH$155,73,0)/1000</f>
        <v>15</v>
      </c>
      <c r="L10" s="105">
        <f>+HLOOKUP(L$1,'[6]Proyección Diaria'!$C$7:$AH$155,37,0)/1000+HLOOKUP(L$1,'[6]Proyección Diaria'!$C$7:$AH$155,73,0)/1000</f>
        <v>37</v>
      </c>
      <c r="M10" s="105">
        <f>+HLOOKUP(M$1,'[6]Proyección Diaria'!$C$7:$AH$155,37,0)/1000+HLOOKUP(M$1,'[6]Proyección Diaria'!$C$7:$AH$155,73,0)/1000</f>
        <v>37</v>
      </c>
      <c r="N10" s="105">
        <f>+HLOOKUP(N$1,'[6]Proyección Diaria'!$C$7:$AH$155,37,0)/1000+HLOOKUP(N$1,'[6]Proyección Diaria'!$C$7:$AH$155,73,0)/1000</f>
        <v>37</v>
      </c>
      <c r="O10" s="105">
        <f>+HLOOKUP(O$1,'[6]Proyección Diaria'!$C$7:$AH$155,37,0)/1000+HLOOKUP(O$1,'[6]Proyección Diaria'!$C$7:$AH$155,73,0)/1000</f>
        <v>37</v>
      </c>
      <c r="P10" s="105">
        <f>+HLOOKUP(P$1,'[6]Proyección Diaria'!$C$7:$AH$155,37,0)/1000+HLOOKUP(P$1,'[6]Proyección Diaria'!$C$7:$AH$155,73,0)/1000</f>
        <v>37</v>
      </c>
      <c r="Q10" s="112">
        <f>+SUM(K10:P10)+J10</f>
        <v>405</v>
      </c>
      <c r="R10" s="105">
        <f>+HLOOKUP(R$1,'[6]Proyección Diaria'!$C$7:$AH$155,37,0)/1000+HLOOKUP(R$1,'[6]Proyección Diaria'!$C$7:$AH$155,73,0)/1000</f>
        <v>37</v>
      </c>
      <c r="S10" s="105">
        <f>+HLOOKUP(S$1,'[6]Proyección Diaria'!$C$7:$AH$155,37,0)/1000+HLOOKUP(S$1,'[6]Proyección Diaria'!$C$7:$AH$155,73,0)/1000</f>
        <v>37</v>
      </c>
      <c r="T10" s="105">
        <f>+HLOOKUP(T$1,'[6]Proyección Diaria'!$C$7:$AH$155,37,0)/1000+HLOOKUP(T$1,'[6]Proyección Diaria'!$C$7:$AH$155,73,0)/1000</f>
        <v>37</v>
      </c>
      <c r="U10" s="105">
        <f>+HLOOKUP(U$1,'[6]Proyección Diaria'!$C$7:$AH$155,37,0)/1000+HLOOKUP(U$1,'[6]Proyección Diaria'!$C$7:$AH$155,73,0)/1000</f>
        <v>37</v>
      </c>
      <c r="V10" s="105">
        <f>+HLOOKUP(V$1,'[6]Proyección Diaria'!$C$7:$AH$155,37,0)/1000+HLOOKUP(V$1,'[6]Proyección Diaria'!$C$7:$AH$155,73,0)/1000</f>
        <v>25</v>
      </c>
      <c r="W10" s="105">
        <f>+HLOOKUP(W$1,'[6]Proyección Diaria'!$C$7:$AH$155,37,0)/1000+HLOOKUP(W$1,'[6]Proyección Diaria'!$C$7:$AH$155,73,0)/1000</f>
        <v>10</v>
      </c>
      <c r="X10" s="105">
        <f>+HLOOKUP(X$1,'[6]Proyección Diaria'!$C$7:$AH$155,37,0)/1000+HLOOKUP(X$1,'[6]Proyección Diaria'!$C$7:$AH$155,73,0)/1000</f>
        <v>30</v>
      </c>
      <c r="Y10" s="112">
        <f>+Q10+SUM(R10:X10)</f>
        <v>618</v>
      </c>
      <c r="Z10" s="105">
        <f>+HLOOKUP(Z$1,'[6]Proyección Diaria'!$C$7:$AH$155,37,0)/1000+HLOOKUP(Z$1,'[6]Proyección Diaria'!$C$7:$AH$155,73,0)/1000</f>
        <v>30</v>
      </c>
      <c r="AA10" s="105">
        <f>+HLOOKUP(AA$1,'[6]Proyección Diaria'!$C$7:$AH$155,37,0)/1000+HLOOKUP(AA$1,'[6]Proyección Diaria'!$C$7:$AH$155,73,0)/1000</f>
        <v>30</v>
      </c>
      <c r="AB10" s="105">
        <f>+HLOOKUP(AB$1,'[6]Proyección Diaria'!$C$7:$AH$155,37,0)/1000+HLOOKUP(AB$1,'[6]Proyección Diaria'!$C$7:$AH$155,73,0)/1000</f>
        <v>30</v>
      </c>
      <c r="AC10" s="105">
        <f>+HLOOKUP(AC$1,'[6]Proyección Diaria'!$C$7:$AH$155,37,0)/1000+HLOOKUP(AC$1,'[6]Proyección Diaria'!$C$7:$AH$155,73,0)/1000</f>
        <v>30</v>
      </c>
      <c r="AD10" s="105">
        <f>+HLOOKUP(AD$1,'[6]Proyección Diaria'!$C$7:$AH$155,37,0)/1000+HLOOKUP(AD$1,'[6]Proyección Diaria'!$C$7:$AH$155,73,0)/1000</f>
        <v>30</v>
      </c>
      <c r="AE10" s="105">
        <f>+HLOOKUP(AE$1,'[6]Proyección Diaria'!$C$7:$AH$155,37,0)/1000+HLOOKUP(AE$1,'[6]Proyección Diaria'!$C$7:$AH$155,73,0)/1000</f>
        <v>30</v>
      </c>
      <c r="AF10" s="105">
        <f>+HLOOKUP(AF$1,'[6]Proyección Diaria'!$C$7:$AH$155,37,0)/1000+HLOOKUP(AF$1,'[6]Proyección Diaria'!$C$7:$AH$155,73,0)/1000</f>
        <v>30</v>
      </c>
      <c r="AG10" s="112">
        <f>+Y10+SUM(Z10:AF10)</f>
        <v>828</v>
      </c>
      <c r="AH10" s="105">
        <f>+HLOOKUP(AH$1,'[6]Proyección Diaria'!$C$7:$AH$155,37,0)/1000+HLOOKUP(AH$1,'[6]Proyección Diaria'!$C$7:$AH$155,73,0)/1000</f>
        <v>30</v>
      </c>
      <c r="AI10" s="105">
        <f>+HLOOKUP(AI$1,'[6]Proyección Diaria'!$C$7:$AH$155,37,0)/1000+HLOOKUP(AI$1,'[6]Proyección Diaria'!$C$7:$AH$155,73,0)/1000</f>
        <v>30</v>
      </c>
      <c r="AJ10" s="105">
        <f>+HLOOKUP(AJ$1,'[6]Proyección Diaria'!$C$7:$AH$155,37,0)/1000+HLOOKUP(AJ$1,'[6]Proyección Diaria'!$C$7:$AH$155,73,0)/1000</f>
        <v>10</v>
      </c>
      <c r="AK10" s="455">
        <f>+AG10+SUM(AH10:AJ10)</f>
        <v>898</v>
      </c>
    </row>
    <row r="11" spans="1:37" ht="12" customHeight="1" x14ac:dyDescent="0.2">
      <c r="A11" s="464" t="s">
        <v>57</v>
      </c>
      <c r="B11" s="111">
        <f>+SUM(B12:B13)</f>
        <v>30.13</v>
      </c>
      <c r="C11" s="111">
        <f>+SUM(C12:C13)</f>
        <v>30.13</v>
      </c>
      <c r="D11" s="111">
        <f t="shared" ref="D11:I11" si="4">+SUM(D12:D13)</f>
        <v>31.052</v>
      </c>
      <c r="E11" s="111">
        <f t="shared" si="4"/>
        <v>29.081</v>
      </c>
      <c r="F11" s="111">
        <f t="shared" si="4"/>
        <v>40.847000000000001</v>
      </c>
      <c r="G11" s="111">
        <f t="shared" si="4"/>
        <v>23.286999999999999</v>
      </c>
      <c r="H11" s="111">
        <f t="shared" si="4"/>
        <v>21</v>
      </c>
      <c r="I11" s="111">
        <f t="shared" si="4"/>
        <v>30.346</v>
      </c>
      <c r="J11" s="112">
        <f>+SUM(B11:I11)</f>
        <v>235.87300000000002</v>
      </c>
      <c r="K11" s="111">
        <f>+SUM(K12:K13)</f>
        <v>0</v>
      </c>
      <c r="L11" s="111">
        <f t="shared" ref="L11:S11" si="5">+SUM(L12:L13)</f>
        <v>0</v>
      </c>
      <c r="M11" s="111">
        <f t="shared" si="5"/>
        <v>0</v>
      </c>
      <c r="N11" s="111">
        <f t="shared" si="5"/>
        <v>0</v>
      </c>
      <c r="O11" s="111">
        <f t="shared" si="5"/>
        <v>0</v>
      </c>
      <c r="P11" s="111">
        <f t="shared" si="5"/>
        <v>0</v>
      </c>
      <c r="Q11" s="112">
        <f>+SUM(K11:P11)+J11</f>
        <v>235.87300000000002</v>
      </c>
      <c r="R11" s="111">
        <f t="shared" si="5"/>
        <v>0</v>
      </c>
      <c r="S11" s="111">
        <f t="shared" si="5"/>
        <v>0</v>
      </c>
      <c r="T11" s="111">
        <f>+SUM(T12:T13)</f>
        <v>0</v>
      </c>
      <c r="U11" s="111">
        <f t="shared" ref="U11:AA11" si="6">+SUM(U12:U13)</f>
        <v>0</v>
      </c>
      <c r="V11" s="111">
        <f t="shared" si="6"/>
        <v>0</v>
      </c>
      <c r="W11" s="111">
        <f t="shared" si="6"/>
        <v>0</v>
      </c>
      <c r="X11" s="111">
        <f t="shared" si="6"/>
        <v>0</v>
      </c>
      <c r="Y11" s="112">
        <f>+Q11+SUM(R11:X11)</f>
        <v>235.87300000000002</v>
      </c>
      <c r="Z11" s="111">
        <f t="shared" si="6"/>
        <v>0</v>
      </c>
      <c r="AA11" s="111">
        <f t="shared" si="6"/>
        <v>0</v>
      </c>
      <c r="AB11" s="111">
        <f t="shared" ref="AB11:AI11" si="7">+SUM(AB12:AB13)</f>
        <v>0</v>
      </c>
      <c r="AC11" s="111">
        <f t="shared" si="7"/>
        <v>0</v>
      </c>
      <c r="AD11" s="111">
        <f t="shared" si="7"/>
        <v>0</v>
      </c>
      <c r="AE11" s="111">
        <f t="shared" si="7"/>
        <v>0</v>
      </c>
      <c r="AF11" s="111">
        <f t="shared" si="7"/>
        <v>0</v>
      </c>
      <c r="AG11" s="112">
        <f>+Y11+SUM(Z11:AF11)</f>
        <v>235.87300000000002</v>
      </c>
      <c r="AH11" s="111">
        <f t="shared" si="7"/>
        <v>0</v>
      </c>
      <c r="AI11" s="111">
        <f t="shared" si="7"/>
        <v>0</v>
      </c>
      <c r="AJ11" s="111">
        <f>+SUM(AJ12:AJ13)</f>
        <v>0</v>
      </c>
      <c r="AK11" s="455">
        <f>+AG11+SUM(AH11:AJ11)</f>
        <v>235.87300000000002</v>
      </c>
    </row>
    <row r="12" spans="1:37" ht="12" customHeight="1" outlineLevel="1" x14ac:dyDescent="0.2">
      <c r="A12" s="464" t="s">
        <v>117</v>
      </c>
      <c r="B12" s="111">
        <v>30.13</v>
      </c>
      <c r="C12" s="111">
        <v>30.13</v>
      </c>
      <c r="D12" s="111"/>
      <c r="E12" s="111"/>
      <c r="F12" s="111"/>
      <c r="G12" s="111"/>
      <c r="H12" s="111">
        <v>21</v>
      </c>
      <c r="I12" s="111">
        <v>30.346</v>
      </c>
      <c r="J12" s="112">
        <f>+SUM(B12:I12)</f>
        <v>111.60599999999999</v>
      </c>
      <c r="K12" s="111"/>
      <c r="L12" s="111"/>
      <c r="M12" s="111"/>
      <c r="N12" s="111"/>
      <c r="O12" s="111"/>
      <c r="P12" s="111"/>
      <c r="Q12" s="112">
        <f>+SUM(K12:P12)+J12</f>
        <v>111.60599999999999</v>
      </c>
      <c r="R12" s="111"/>
      <c r="S12" s="111"/>
      <c r="T12" s="111"/>
      <c r="U12" s="111"/>
      <c r="V12" s="111"/>
      <c r="W12" s="111"/>
      <c r="X12" s="111"/>
      <c r="Y12" s="112">
        <f>+Q12+SUM(R12:X12)</f>
        <v>111.60599999999999</v>
      </c>
      <c r="Z12" s="111"/>
      <c r="AA12" s="111"/>
      <c r="AB12" s="111"/>
      <c r="AC12" s="111"/>
      <c r="AD12" s="111"/>
      <c r="AE12" s="111"/>
      <c r="AF12" s="111"/>
      <c r="AG12" s="112">
        <f>+Y12+SUM(Z12:AF12)</f>
        <v>111.60599999999999</v>
      </c>
      <c r="AH12" s="111"/>
      <c r="AI12" s="111"/>
      <c r="AJ12" s="111"/>
      <c r="AK12" s="455">
        <f>+AG12+SUM(AH12:AJ12)</f>
        <v>111.60599999999999</v>
      </c>
    </row>
    <row r="13" spans="1:37" ht="12" customHeight="1" outlineLevel="1" x14ac:dyDescent="0.2">
      <c r="A13" s="464" t="s">
        <v>157</v>
      </c>
      <c r="B13" s="111"/>
      <c r="C13" s="111"/>
      <c r="D13" s="111">
        <v>31.052</v>
      </c>
      <c r="E13" s="111">
        <v>29.081</v>
      </c>
      <c r="F13" s="111">
        <v>40.847000000000001</v>
      </c>
      <c r="G13" s="111">
        <v>23.286999999999999</v>
      </c>
      <c r="H13" s="111"/>
      <c r="I13" s="111"/>
      <c r="J13" s="112">
        <f>+SUM(B13:I13)</f>
        <v>124.267</v>
      </c>
      <c r="K13" s="111"/>
      <c r="L13" s="111"/>
      <c r="M13" s="111"/>
      <c r="N13" s="111"/>
      <c r="O13" s="111"/>
      <c r="P13" s="111"/>
      <c r="Q13" s="112">
        <f>+SUM(K13:P13)+J13</f>
        <v>124.267</v>
      </c>
      <c r="R13" s="111"/>
      <c r="S13" s="111"/>
      <c r="T13" s="111"/>
      <c r="U13" s="111"/>
      <c r="V13" s="111"/>
      <c r="W13" s="111"/>
      <c r="X13" s="111"/>
      <c r="Y13" s="112">
        <f>+Q13+SUM(R13:X13)</f>
        <v>124.267</v>
      </c>
      <c r="Z13" s="111"/>
      <c r="AA13" s="111"/>
      <c r="AB13" s="111"/>
      <c r="AC13" s="111"/>
      <c r="AD13" s="111"/>
      <c r="AE13" s="111"/>
      <c r="AF13" s="111"/>
      <c r="AG13" s="112">
        <f>+Y13+SUM(Z13:AF13)</f>
        <v>124.267</v>
      </c>
      <c r="AH13" s="111"/>
      <c r="AI13" s="111"/>
      <c r="AJ13" s="111"/>
      <c r="AK13" s="455">
        <f>+AG13+SUM(AH13:AJ13)</f>
        <v>124.267</v>
      </c>
    </row>
    <row r="14" spans="1:37" ht="16" thickBot="1" x14ac:dyDescent="0.25">
      <c r="A14" s="465" t="s">
        <v>3</v>
      </c>
      <c r="B14" s="114">
        <f>IFERROR(+B11/B10,0)</f>
        <v>1.0043333333333333</v>
      </c>
      <c r="C14" s="114">
        <f>IFERROR(+C11/C10,0)</f>
        <v>0</v>
      </c>
      <c r="D14" s="114">
        <f t="shared" ref="D14:AI14" si="8">IFERROR(+D11/D10,0)</f>
        <v>0.88719999999999999</v>
      </c>
      <c r="E14" s="114">
        <f t="shared" si="8"/>
        <v>0.83088571428571423</v>
      </c>
      <c r="F14" s="114">
        <f t="shared" si="8"/>
        <v>1.1670571428571428</v>
      </c>
      <c r="G14" s="114">
        <f t="shared" si="8"/>
        <v>0.66534285714285712</v>
      </c>
      <c r="H14" s="114">
        <f t="shared" si="8"/>
        <v>0</v>
      </c>
      <c r="I14" s="114">
        <f t="shared" si="8"/>
        <v>0.86702857142857148</v>
      </c>
      <c r="J14" s="115">
        <f t="shared" ref="J14:O14" si="9">IFERROR(+J11/J10,0)</f>
        <v>1.1506000000000001</v>
      </c>
      <c r="K14" s="114">
        <f t="shared" si="9"/>
        <v>0</v>
      </c>
      <c r="L14" s="114">
        <f t="shared" si="9"/>
        <v>0</v>
      </c>
      <c r="M14" s="114">
        <f t="shared" si="9"/>
        <v>0</v>
      </c>
      <c r="N14" s="114">
        <f t="shared" si="9"/>
        <v>0</v>
      </c>
      <c r="O14" s="114">
        <f t="shared" si="9"/>
        <v>0</v>
      </c>
      <c r="P14" s="114">
        <f t="shared" ref="P14:U14" si="10">IFERROR(+P11/P10,0)</f>
        <v>0</v>
      </c>
      <c r="Q14" s="115">
        <f>IFERROR(+Q11/Q10,0)</f>
        <v>0.58240246913580251</v>
      </c>
      <c r="R14" s="114">
        <f t="shared" si="10"/>
        <v>0</v>
      </c>
      <c r="S14" s="114">
        <f t="shared" si="10"/>
        <v>0</v>
      </c>
      <c r="T14" s="114">
        <f>IFERROR(+T11/T10,0)</f>
        <v>0</v>
      </c>
      <c r="U14" s="114">
        <f t="shared" si="10"/>
        <v>0</v>
      </c>
      <c r="V14" s="114">
        <f t="shared" si="8"/>
        <v>0</v>
      </c>
      <c r="W14" s="114">
        <f t="shared" si="8"/>
        <v>0</v>
      </c>
      <c r="X14" s="114">
        <f t="shared" si="8"/>
        <v>0</v>
      </c>
      <c r="Y14" s="115">
        <f>IFERROR(+Y11/Y10,0)</f>
        <v>0.38167152103559876</v>
      </c>
      <c r="Z14" s="114">
        <f t="shared" si="8"/>
        <v>0</v>
      </c>
      <c r="AA14" s="114">
        <f t="shared" si="8"/>
        <v>0</v>
      </c>
      <c r="AB14" s="114">
        <f t="shared" si="8"/>
        <v>0</v>
      </c>
      <c r="AC14" s="114">
        <f t="shared" si="8"/>
        <v>0</v>
      </c>
      <c r="AD14" s="114">
        <f t="shared" si="8"/>
        <v>0</v>
      </c>
      <c r="AE14" s="114">
        <f t="shared" si="8"/>
        <v>0</v>
      </c>
      <c r="AF14" s="114">
        <f t="shared" si="8"/>
        <v>0</v>
      </c>
      <c r="AG14" s="115">
        <f>IFERROR(+AG11/AG10,0)</f>
        <v>0.28487077294685992</v>
      </c>
      <c r="AH14" s="114">
        <f t="shared" si="8"/>
        <v>0</v>
      </c>
      <c r="AI14" s="114">
        <f t="shared" si="8"/>
        <v>0</v>
      </c>
      <c r="AJ14" s="114">
        <f>IFERROR(+AJ11/AJ10,0)</f>
        <v>0</v>
      </c>
      <c r="AK14" s="458">
        <f>IFERROR(+AK11/AK10,0)</f>
        <v>0.26266481069042319</v>
      </c>
    </row>
    <row r="15" spans="1:37" ht="16" hidden="1" thickBot="1" x14ac:dyDescent="0.25">
      <c r="A15" s="464" t="s">
        <v>58</v>
      </c>
      <c r="B15" s="116"/>
      <c r="C15" s="116"/>
      <c r="D15" s="116"/>
      <c r="E15" s="116"/>
      <c r="F15" s="116"/>
      <c r="G15" s="116"/>
      <c r="H15" s="116"/>
      <c r="I15" s="116"/>
      <c r="J15" s="117"/>
      <c r="K15" s="116"/>
      <c r="L15" s="116"/>
      <c r="M15" s="116"/>
      <c r="N15" s="116"/>
      <c r="O15" s="116"/>
      <c r="P15" s="116"/>
      <c r="Q15" s="117"/>
      <c r="R15" s="116"/>
      <c r="S15" s="116"/>
      <c r="T15" s="116"/>
      <c r="U15" s="116"/>
      <c r="V15" s="116"/>
      <c r="W15" s="116"/>
      <c r="X15" s="116"/>
      <c r="Y15" s="117"/>
      <c r="Z15" s="116"/>
      <c r="AA15" s="116"/>
      <c r="AB15" s="116"/>
      <c r="AC15" s="116"/>
      <c r="AD15" s="116"/>
      <c r="AE15" s="116"/>
      <c r="AF15" s="116"/>
      <c r="AG15" s="117"/>
      <c r="AH15" s="116"/>
      <c r="AI15" s="116"/>
      <c r="AJ15" s="116"/>
      <c r="AK15" s="459"/>
    </row>
    <row r="16" spans="1:37" ht="16" hidden="1" thickBot="1" x14ac:dyDescent="0.25">
      <c r="A16" s="464" t="s">
        <v>53</v>
      </c>
      <c r="B16" s="120"/>
      <c r="C16" s="120"/>
      <c r="D16" s="120"/>
      <c r="E16" s="120"/>
      <c r="F16" s="120"/>
      <c r="G16" s="120"/>
      <c r="H16" s="120"/>
      <c r="I16" s="120"/>
      <c r="J16" s="127"/>
      <c r="K16" s="120"/>
      <c r="L16" s="120"/>
      <c r="M16" s="120"/>
      <c r="N16" s="120"/>
      <c r="O16" s="120"/>
      <c r="P16" s="120"/>
      <c r="Q16" s="127"/>
      <c r="R16" s="120"/>
      <c r="S16" s="120"/>
      <c r="T16" s="120"/>
      <c r="U16" s="120"/>
      <c r="V16" s="120"/>
      <c r="W16" s="120"/>
      <c r="X16" s="120"/>
      <c r="Y16" s="127"/>
      <c r="Z16" s="120"/>
      <c r="AA16" s="120"/>
      <c r="AB16" s="120"/>
      <c r="AC16" s="120"/>
      <c r="AD16" s="120"/>
      <c r="AE16" s="120"/>
      <c r="AF16" s="120"/>
      <c r="AG16" s="127"/>
      <c r="AH16" s="120"/>
      <c r="AI16" s="120"/>
      <c r="AJ16" s="120"/>
      <c r="AK16" s="466"/>
    </row>
    <row r="17" spans="1:37" ht="16" hidden="1" thickBot="1" x14ac:dyDescent="0.25">
      <c r="A17" s="464" t="s">
        <v>54</v>
      </c>
      <c r="B17" s="120"/>
      <c r="C17" s="120"/>
      <c r="D17" s="120"/>
      <c r="E17" s="120"/>
      <c r="F17" s="120"/>
      <c r="G17" s="120"/>
      <c r="H17" s="120"/>
      <c r="I17" s="120"/>
      <c r="J17" s="127"/>
      <c r="K17" s="120"/>
      <c r="L17" s="120"/>
      <c r="M17" s="120"/>
      <c r="N17" s="120"/>
      <c r="O17" s="120"/>
      <c r="P17" s="120"/>
      <c r="Q17" s="127"/>
      <c r="R17" s="120"/>
      <c r="S17" s="120"/>
      <c r="T17" s="120"/>
      <c r="U17" s="120"/>
      <c r="V17" s="120"/>
      <c r="W17" s="120"/>
      <c r="X17" s="120"/>
      <c r="Y17" s="127"/>
      <c r="Z17" s="120"/>
      <c r="AA17" s="120"/>
      <c r="AB17" s="120"/>
      <c r="AC17" s="120"/>
      <c r="AD17" s="120"/>
      <c r="AE17" s="120"/>
      <c r="AF17" s="120"/>
      <c r="AG17" s="127"/>
      <c r="AH17" s="120"/>
      <c r="AI17" s="120"/>
      <c r="AJ17" s="120"/>
      <c r="AK17" s="466"/>
    </row>
    <row r="18" spans="1:37" ht="16" hidden="1" thickBot="1" x14ac:dyDescent="0.25">
      <c r="A18" s="467" t="s">
        <v>55</v>
      </c>
      <c r="B18" s="129"/>
      <c r="C18" s="129"/>
      <c r="D18" s="129"/>
      <c r="E18" s="129"/>
      <c r="F18" s="129"/>
      <c r="G18" s="129"/>
      <c r="H18" s="129"/>
      <c r="I18" s="129"/>
      <c r="J18" s="130"/>
      <c r="K18" s="129"/>
      <c r="L18" s="129"/>
      <c r="M18" s="129"/>
      <c r="N18" s="129"/>
      <c r="O18" s="129"/>
      <c r="P18" s="129"/>
      <c r="Q18" s="130"/>
      <c r="R18" s="129"/>
      <c r="S18" s="129"/>
      <c r="T18" s="129"/>
      <c r="U18" s="129"/>
      <c r="V18" s="129"/>
      <c r="W18" s="129"/>
      <c r="X18" s="129"/>
      <c r="Y18" s="130"/>
      <c r="Z18" s="129"/>
      <c r="AA18" s="129"/>
      <c r="AB18" s="129">
        <v>36</v>
      </c>
      <c r="AC18" s="129"/>
      <c r="AD18" s="129"/>
      <c r="AE18" s="129"/>
      <c r="AF18" s="129"/>
      <c r="AG18" s="130"/>
      <c r="AH18" s="129"/>
      <c r="AI18" s="129"/>
      <c r="AJ18" s="129"/>
      <c r="AK18" s="468"/>
    </row>
    <row r="19" spans="1:37" x14ac:dyDescent="0.2">
      <c r="A19" s="469" t="s">
        <v>59</v>
      </c>
      <c r="B19" s="105">
        <f>+HLOOKUP(B$1,'[6]Proyección Diaria'!$C$7:$AH$155,82,0)/1000</f>
        <v>92</v>
      </c>
      <c r="C19" s="105">
        <f>+HLOOKUP(C$1,'[6]Proyección Diaria'!$C$7:$AH$155,82,0)/1000</f>
        <v>92</v>
      </c>
      <c r="D19" s="105">
        <f>+HLOOKUP(D$1,'[6]Proyección Diaria'!$C$7:$AH$155,82,0)/1000</f>
        <v>92</v>
      </c>
      <c r="E19" s="105">
        <f>+HLOOKUP(E$1,'[6]Proyección Diaria'!$C$7:$AH$155,82,0)/1000</f>
        <v>92</v>
      </c>
      <c r="F19" s="105">
        <f>+HLOOKUP(F$1,'[6]Proyección Diaria'!$C$7:$AH$155,82,0)/1000</f>
        <v>92</v>
      </c>
      <c r="G19" s="105">
        <f>+HLOOKUP(G$1,'[6]Proyección Diaria'!$C$7:$AH$155,82,0)/1000</f>
        <v>92</v>
      </c>
      <c r="H19" s="105">
        <f>+HLOOKUP(H$1,'[6]Proyección Diaria'!$C$7:$AH$155,82,0)/1000</f>
        <v>92</v>
      </c>
      <c r="I19" s="105">
        <f>+HLOOKUP(I$1,'[6]Proyección Diaria'!$C$7:$AH$155,82,0)/1000</f>
        <v>92</v>
      </c>
      <c r="J19" s="112">
        <f>+SUM(B19:I19)</f>
        <v>736</v>
      </c>
      <c r="K19" s="105">
        <f>+HLOOKUP(K$1,'[6]Proyección Diaria'!$C$7:$AH$155,82,0)/1000</f>
        <v>92</v>
      </c>
      <c r="L19" s="105">
        <f>+HLOOKUP(L$1,'[6]Proyección Diaria'!$C$7:$AH$155,82,0)/1000</f>
        <v>92</v>
      </c>
      <c r="M19" s="105">
        <f>+HLOOKUP(M$1,'[6]Proyección Diaria'!$C$7:$AH$155,82,0)/1000</f>
        <v>92</v>
      </c>
      <c r="N19" s="105">
        <f>+HLOOKUP(N$1,'[6]Proyección Diaria'!$C$7:$AH$155,82,0)/1000</f>
        <v>92</v>
      </c>
      <c r="O19" s="105">
        <f>+HLOOKUP(O$1,'[6]Proyección Diaria'!$C$7:$AH$155,82,0)/1000</f>
        <v>92</v>
      </c>
      <c r="P19" s="105">
        <f>+HLOOKUP(P$1,'[6]Proyección Diaria'!$C$7:$AH$155,82,0)/1000</f>
        <v>92</v>
      </c>
      <c r="Q19" s="112">
        <f>+SUM(K19:P19)+J19</f>
        <v>1288</v>
      </c>
      <c r="R19" s="105">
        <f>+HLOOKUP(R$1,'[6]Proyección Diaria'!$C$7:$AH$155,82,0)/1000</f>
        <v>92</v>
      </c>
      <c r="S19" s="105">
        <f>+HLOOKUP(S$1,'[6]Proyección Diaria'!$C$7:$AH$155,82,0)/1000</f>
        <v>92</v>
      </c>
      <c r="T19" s="105">
        <f>+HLOOKUP(T$1,'[6]Proyección Diaria'!$C$7:$AH$155,82,0)/1000</f>
        <v>92</v>
      </c>
      <c r="U19" s="105">
        <f>+HLOOKUP(U$1,'[6]Proyección Diaria'!$C$7:$AH$155,82,0)/1000</f>
        <v>92</v>
      </c>
      <c r="V19" s="105">
        <f>+HLOOKUP(V$1,'[6]Proyección Diaria'!$C$7:$AH$155,82,0)/1000</f>
        <v>92</v>
      </c>
      <c r="W19" s="105">
        <f>+HLOOKUP(W$1,'[6]Proyección Diaria'!$C$7:$AH$155,82,0)/1000</f>
        <v>92</v>
      </c>
      <c r="X19" s="105">
        <f>+HLOOKUP(X$1,'[6]Proyección Diaria'!$C$7:$AH$155,82,0)/1000</f>
        <v>92</v>
      </c>
      <c r="Y19" s="112">
        <f>+Q19+SUM(R19:X19)</f>
        <v>1932</v>
      </c>
      <c r="Z19" s="105">
        <f>+HLOOKUP(Z$1,'[6]Proyección Diaria'!$C$7:$AH$155,82,0)/1000</f>
        <v>92</v>
      </c>
      <c r="AA19" s="105">
        <f>+HLOOKUP(AA$1,'[6]Proyección Diaria'!$C$7:$AH$155,82,0)/1000</f>
        <v>92</v>
      </c>
      <c r="AB19" s="105">
        <f>+HLOOKUP(AB$1,'[6]Proyección Diaria'!$C$7:$AH$155,82,0)/1000</f>
        <v>92</v>
      </c>
      <c r="AC19" s="105">
        <f>+HLOOKUP(AC$1,'[6]Proyección Diaria'!$C$7:$AH$155,82,0)/1000</f>
        <v>92</v>
      </c>
      <c r="AD19" s="105">
        <f>+HLOOKUP(AD$1,'[6]Proyección Diaria'!$C$7:$AH$155,82,0)/1000</f>
        <v>92</v>
      </c>
      <c r="AE19" s="105">
        <f>+HLOOKUP(AE$1,'[6]Proyección Diaria'!$C$7:$AH$155,82,0)/1000</f>
        <v>92</v>
      </c>
      <c r="AF19" s="105">
        <f>+HLOOKUP(AF$1,'[6]Proyección Diaria'!$C$7:$AH$155,82,0)/1000</f>
        <v>92</v>
      </c>
      <c r="AG19" s="112">
        <f>+Y19+SUM(Z19:AF19)</f>
        <v>2576</v>
      </c>
      <c r="AH19" s="105">
        <f>+HLOOKUP(AH$1,'[6]Proyección Diaria'!$C$7:$AH$155,82,0)/1000</f>
        <v>92</v>
      </c>
      <c r="AI19" s="105">
        <f>+HLOOKUP(AI$1,'[6]Proyección Diaria'!$C$7:$AH$155,82,0)/1000</f>
        <v>92</v>
      </c>
      <c r="AJ19" s="105">
        <f>+HLOOKUP(AJ$1,'[6]Proyección Diaria'!$C$7:$AH$155,82,0)/1000</f>
        <v>50</v>
      </c>
      <c r="AK19" s="455">
        <f>+AG19+SUM(AH19:AJ19)</f>
        <v>2810</v>
      </c>
    </row>
    <row r="20" spans="1:37" ht="12" customHeight="1" x14ac:dyDescent="0.2">
      <c r="A20" s="470" t="s">
        <v>60</v>
      </c>
      <c r="B20" s="111">
        <v>100.85</v>
      </c>
      <c r="C20" s="111">
        <v>100.85</v>
      </c>
      <c r="D20" s="111">
        <v>80.010000000000005</v>
      </c>
      <c r="E20" s="111">
        <v>102</v>
      </c>
      <c r="F20" s="111">
        <v>88.59</v>
      </c>
      <c r="G20" s="111">
        <v>95.2</v>
      </c>
      <c r="H20" s="111">
        <v>81</v>
      </c>
      <c r="I20" s="111">
        <v>94.5</v>
      </c>
      <c r="J20" s="112">
        <f>+SUM(B20:I20)</f>
        <v>743</v>
      </c>
      <c r="K20" s="111"/>
      <c r="L20" s="111"/>
      <c r="M20" s="111"/>
      <c r="N20" s="111"/>
      <c r="O20" s="111"/>
      <c r="P20" s="111"/>
      <c r="Q20" s="112">
        <f>+SUM(K20:P20)+J20</f>
        <v>743</v>
      </c>
      <c r="R20" s="111"/>
      <c r="S20" s="111"/>
      <c r="T20" s="111"/>
      <c r="U20" s="111"/>
      <c r="V20" s="111"/>
      <c r="W20" s="111"/>
      <c r="X20" s="111"/>
      <c r="Y20" s="112">
        <f>+Q20+SUM(R20:X20)</f>
        <v>743</v>
      </c>
      <c r="Z20" s="111"/>
      <c r="AA20" s="111"/>
      <c r="AB20" s="111"/>
      <c r="AC20" s="111"/>
      <c r="AD20" s="111"/>
      <c r="AE20" s="111"/>
      <c r="AF20" s="111"/>
      <c r="AG20" s="112">
        <f>+Y20+SUM(Z20:AF20)</f>
        <v>743</v>
      </c>
      <c r="AH20" s="111"/>
      <c r="AI20" s="111"/>
      <c r="AJ20" s="111"/>
      <c r="AK20" s="455">
        <f>+AG20+SUM(AH20:AJ20)</f>
        <v>743</v>
      </c>
    </row>
    <row r="21" spans="1:37" ht="16" thickBot="1" x14ac:dyDescent="0.25">
      <c r="A21" s="471" t="s">
        <v>3</v>
      </c>
      <c r="B21" s="114">
        <f>IFERROR(+B20/B19,0)</f>
        <v>1.0961956521739129</v>
      </c>
      <c r="C21" s="114">
        <f>IFERROR(+C20/C19,0)</f>
        <v>1.0961956521739129</v>
      </c>
      <c r="D21" s="114">
        <f t="shared" ref="D21:AI21" si="11">IFERROR(+D20/D19,0)</f>
        <v>0.8696739130434783</v>
      </c>
      <c r="E21" s="114">
        <f t="shared" si="11"/>
        <v>1.1086956521739131</v>
      </c>
      <c r="F21" s="114">
        <f t="shared" si="11"/>
        <v>0.96293478260869569</v>
      </c>
      <c r="G21" s="114">
        <f t="shared" si="11"/>
        <v>1.0347826086956522</v>
      </c>
      <c r="H21" s="114">
        <f t="shared" si="11"/>
        <v>0.88043478260869568</v>
      </c>
      <c r="I21" s="114">
        <f t="shared" si="11"/>
        <v>1.0271739130434783</v>
      </c>
      <c r="J21" s="115">
        <f t="shared" ref="J21:O21" si="12">IFERROR(+J20/J19,0)</f>
        <v>1.0095108695652173</v>
      </c>
      <c r="K21" s="114">
        <f t="shared" si="12"/>
        <v>0</v>
      </c>
      <c r="L21" s="114">
        <f t="shared" si="12"/>
        <v>0</v>
      </c>
      <c r="M21" s="114">
        <f t="shared" si="12"/>
        <v>0</v>
      </c>
      <c r="N21" s="114">
        <f t="shared" si="12"/>
        <v>0</v>
      </c>
      <c r="O21" s="114">
        <f t="shared" si="12"/>
        <v>0</v>
      </c>
      <c r="P21" s="114">
        <f t="shared" ref="P21:U21" si="13">IFERROR(+P20/P19,0)</f>
        <v>0</v>
      </c>
      <c r="Q21" s="115">
        <f>IFERROR(+Q20/Q19,0)</f>
        <v>0.57686335403726707</v>
      </c>
      <c r="R21" s="114">
        <f t="shared" si="13"/>
        <v>0</v>
      </c>
      <c r="S21" s="114">
        <f t="shared" si="13"/>
        <v>0</v>
      </c>
      <c r="T21" s="114">
        <f>IFERROR(+T20/T19,0)</f>
        <v>0</v>
      </c>
      <c r="U21" s="114">
        <f t="shared" si="13"/>
        <v>0</v>
      </c>
      <c r="V21" s="114">
        <f t="shared" si="11"/>
        <v>0</v>
      </c>
      <c r="W21" s="114">
        <f t="shared" si="11"/>
        <v>0</v>
      </c>
      <c r="X21" s="114">
        <f t="shared" si="11"/>
        <v>0</v>
      </c>
      <c r="Y21" s="115">
        <f>IFERROR(+Y20/Y19,0)</f>
        <v>0.38457556935817805</v>
      </c>
      <c r="Z21" s="114">
        <f t="shared" si="11"/>
        <v>0</v>
      </c>
      <c r="AA21" s="114">
        <f t="shared" si="11"/>
        <v>0</v>
      </c>
      <c r="AB21" s="114">
        <f t="shared" si="11"/>
        <v>0</v>
      </c>
      <c r="AC21" s="114">
        <f t="shared" si="11"/>
        <v>0</v>
      </c>
      <c r="AD21" s="114">
        <f t="shared" si="11"/>
        <v>0</v>
      </c>
      <c r="AE21" s="114">
        <f t="shared" si="11"/>
        <v>0</v>
      </c>
      <c r="AF21" s="114">
        <f t="shared" si="11"/>
        <v>0</v>
      </c>
      <c r="AG21" s="115">
        <f>IFERROR(+AG20/AG19,0)</f>
        <v>0.28843167701863354</v>
      </c>
      <c r="AH21" s="114">
        <f t="shared" si="11"/>
        <v>0</v>
      </c>
      <c r="AI21" s="114">
        <f t="shared" si="11"/>
        <v>0</v>
      </c>
      <c r="AJ21" s="114">
        <f>IFERROR(+AJ20/AJ19,0)</f>
        <v>0</v>
      </c>
      <c r="AK21" s="458">
        <f>IFERROR(+AK20/AK19,0)</f>
        <v>0.26441281138790035</v>
      </c>
    </row>
    <row r="22" spans="1:37" ht="16" hidden="1" thickBot="1" x14ac:dyDescent="0.25">
      <c r="A22" s="470" t="s">
        <v>61</v>
      </c>
      <c r="B22" s="116"/>
      <c r="C22" s="116"/>
      <c r="D22" s="116"/>
      <c r="E22" s="116"/>
      <c r="F22" s="116"/>
      <c r="G22" s="116"/>
      <c r="H22" s="116"/>
      <c r="I22" s="116"/>
      <c r="J22" s="117"/>
      <c r="K22" s="116"/>
      <c r="L22" s="116"/>
      <c r="M22" s="116"/>
      <c r="N22" s="116"/>
      <c r="O22" s="116"/>
      <c r="P22" s="116"/>
      <c r="Q22" s="117"/>
      <c r="R22" s="116"/>
      <c r="S22" s="116"/>
      <c r="T22" s="116"/>
      <c r="U22" s="116"/>
      <c r="V22" s="116"/>
      <c r="W22" s="116"/>
      <c r="X22" s="116"/>
      <c r="Y22" s="117"/>
      <c r="Z22" s="116"/>
      <c r="AA22" s="116"/>
      <c r="AB22" s="116"/>
      <c r="AC22" s="116"/>
      <c r="AD22" s="116"/>
      <c r="AE22" s="116"/>
      <c r="AF22" s="116"/>
      <c r="AG22" s="117"/>
      <c r="AH22" s="116"/>
      <c r="AI22" s="116"/>
      <c r="AJ22" s="116"/>
      <c r="AK22" s="459"/>
    </row>
    <row r="23" spans="1:37" ht="16" hidden="1" thickBot="1" x14ac:dyDescent="0.25">
      <c r="A23" s="470" t="s">
        <v>53</v>
      </c>
      <c r="B23" s="111"/>
      <c r="C23" s="111"/>
      <c r="D23" s="111"/>
      <c r="E23" s="111"/>
      <c r="F23" s="111"/>
      <c r="G23" s="111"/>
      <c r="H23" s="111"/>
      <c r="I23" s="111"/>
      <c r="J23" s="112"/>
      <c r="K23" s="111"/>
      <c r="L23" s="111"/>
      <c r="M23" s="111"/>
      <c r="N23" s="111"/>
      <c r="O23" s="111"/>
      <c r="P23" s="111"/>
      <c r="Q23" s="112"/>
      <c r="R23" s="111"/>
      <c r="S23" s="111"/>
      <c r="T23" s="111"/>
      <c r="U23" s="111"/>
      <c r="V23" s="111"/>
      <c r="W23" s="111"/>
      <c r="X23" s="111"/>
      <c r="Y23" s="112"/>
      <c r="Z23" s="111"/>
      <c r="AA23" s="111"/>
      <c r="AB23" s="111"/>
      <c r="AC23" s="111"/>
      <c r="AD23" s="111"/>
      <c r="AE23" s="111"/>
      <c r="AF23" s="111"/>
      <c r="AG23" s="112"/>
      <c r="AH23" s="111"/>
      <c r="AI23" s="111"/>
      <c r="AJ23" s="111"/>
      <c r="AK23" s="455"/>
    </row>
    <row r="24" spans="1:37" ht="16" hidden="1" thickBot="1" x14ac:dyDescent="0.25">
      <c r="A24" s="470" t="s">
        <v>54</v>
      </c>
      <c r="B24" s="111"/>
      <c r="C24" s="111"/>
      <c r="D24" s="111"/>
      <c r="E24" s="111"/>
      <c r="F24" s="111"/>
      <c r="G24" s="111"/>
      <c r="H24" s="111"/>
      <c r="I24" s="111"/>
      <c r="J24" s="112"/>
      <c r="K24" s="111"/>
      <c r="L24" s="111"/>
      <c r="M24" s="111"/>
      <c r="N24" s="111"/>
      <c r="O24" s="111"/>
      <c r="P24" s="111"/>
      <c r="Q24" s="112"/>
      <c r="R24" s="111"/>
      <c r="S24" s="111"/>
      <c r="T24" s="111"/>
      <c r="U24" s="111"/>
      <c r="V24" s="111"/>
      <c r="W24" s="111"/>
      <c r="X24" s="111"/>
      <c r="Y24" s="112"/>
      <c r="Z24" s="111"/>
      <c r="AA24" s="111"/>
      <c r="AB24" s="111"/>
      <c r="AC24" s="111"/>
      <c r="AD24" s="111"/>
      <c r="AE24" s="111"/>
      <c r="AF24" s="111"/>
      <c r="AG24" s="112"/>
      <c r="AH24" s="111"/>
      <c r="AI24" s="111"/>
      <c r="AJ24" s="111"/>
      <c r="AK24" s="455"/>
    </row>
    <row r="25" spans="1:37" x14ac:dyDescent="0.2">
      <c r="A25" s="472" t="s">
        <v>62</v>
      </c>
      <c r="B25" s="105">
        <f>+HLOOKUP(B$1,'[6]Proyección Diaria'!$C$7:$AH$155,83,0)/1000</f>
        <v>117</v>
      </c>
      <c r="C25" s="105">
        <f>+HLOOKUP(C$1,'[6]Proyección Diaria'!$C$7:$AH$155,83,0)/1000</f>
        <v>117</v>
      </c>
      <c r="D25" s="105">
        <f>+HLOOKUP(D$1,'[6]Proyección Diaria'!$C$7:$AH$155,83,0)/1000</f>
        <v>117</v>
      </c>
      <c r="E25" s="105">
        <f>+HLOOKUP(E$1,'[6]Proyección Diaria'!$C$7:$AH$155,83,0)/1000</f>
        <v>117</v>
      </c>
      <c r="F25" s="105">
        <f>+HLOOKUP(F$1,'[6]Proyección Diaria'!$C$7:$AH$155,83,0)/1000</f>
        <v>117</v>
      </c>
      <c r="G25" s="105">
        <f>+HLOOKUP(G$1,'[6]Proyección Diaria'!$C$7:$AH$155,83,0)/1000</f>
        <v>117</v>
      </c>
      <c r="H25" s="105">
        <f>+HLOOKUP(H$1,'[6]Proyección Diaria'!$C$7:$AH$155,83,0)/1000</f>
        <v>117</v>
      </c>
      <c r="I25" s="105">
        <f>+HLOOKUP(I$1,'[6]Proyección Diaria'!$C$7:$AH$155,83,0)/1000</f>
        <v>117</v>
      </c>
      <c r="J25" s="112">
        <f>+SUM(B25:I25)</f>
        <v>936</v>
      </c>
      <c r="K25" s="105">
        <f>+HLOOKUP(K$1,'[6]Proyección Diaria'!$C$7:$AH$155,83,0)/1000</f>
        <v>117</v>
      </c>
      <c r="L25" s="105">
        <f>+HLOOKUP(L$1,'[6]Proyección Diaria'!$C$7:$AH$155,83,0)/1000</f>
        <v>117</v>
      </c>
      <c r="M25" s="105">
        <f>+HLOOKUP(M$1,'[6]Proyección Diaria'!$C$7:$AH$155,83,0)/1000</f>
        <v>117</v>
      </c>
      <c r="N25" s="105">
        <f>+HLOOKUP(N$1,'[6]Proyección Diaria'!$C$7:$AH$155,83,0)/1000</f>
        <v>117</v>
      </c>
      <c r="O25" s="105">
        <f>+HLOOKUP(O$1,'[6]Proyección Diaria'!$C$7:$AH$155,83,0)/1000</f>
        <v>117</v>
      </c>
      <c r="P25" s="105">
        <f>+HLOOKUP(P$1,'[6]Proyección Diaria'!$C$7:$AH$155,83,0)/1000</f>
        <v>117</v>
      </c>
      <c r="Q25" s="112">
        <f>+SUM(K25:P25)+J25</f>
        <v>1638</v>
      </c>
      <c r="R25" s="105">
        <f>+HLOOKUP(R$1,'[6]Proyección Diaria'!$C$7:$AH$155,83,0)/1000</f>
        <v>117</v>
      </c>
      <c r="S25" s="105">
        <f>+HLOOKUP(S$1,'[6]Proyección Diaria'!$C$7:$AH$155,83,0)/1000</f>
        <v>117</v>
      </c>
      <c r="T25" s="105">
        <f>+HLOOKUP(T$1,'[6]Proyección Diaria'!$C$7:$AH$155,83,0)/1000</f>
        <v>117</v>
      </c>
      <c r="U25" s="105">
        <f>+HLOOKUP(U$1,'[6]Proyección Diaria'!$C$7:$AH$155,83,0)/1000</f>
        <v>117</v>
      </c>
      <c r="V25" s="105">
        <f>+HLOOKUP(V$1,'[6]Proyección Diaria'!$C$7:$AH$155,83,0)/1000</f>
        <v>117</v>
      </c>
      <c r="W25" s="105">
        <f>+HLOOKUP(W$1,'[6]Proyección Diaria'!$C$7:$AH$155,83,0)/1000</f>
        <v>117</v>
      </c>
      <c r="X25" s="105">
        <f>+HLOOKUP(X$1,'[6]Proyección Diaria'!$C$7:$AH$155,83,0)/1000</f>
        <v>117</v>
      </c>
      <c r="Y25" s="112">
        <f>+Q25+SUM(R25:X25)</f>
        <v>2457</v>
      </c>
      <c r="Z25" s="105">
        <f>+HLOOKUP(Z$1,'[6]Proyección Diaria'!$C$7:$AH$155,83,0)/1000</f>
        <v>117</v>
      </c>
      <c r="AA25" s="105">
        <f>+HLOOKUP(AA$1,'[6]Proyección Diaria'!$C$7:$AH$155,83,0)/1000</f>
        <v>117</v>
      </c>
      <c r="AB25" s="105">
        <f>+HLOOKUP(AB$1,'[6]Proyección Diaria'!$C$7:$AH$155,83,0)/1000</f>
        <v>117</v>
      </c>
      <c r="AC25" s="105">
        <f>+HLOOKUP(AC$1,'[6]Proyección Diaria'!$C$7:$AH$155,83,0)/1000</f>
        <v>117</v>
      </c>
      <c r="AD25" s="105">
        <f>+HLOOKUP(AD$1,'[6]Proyección Diaria'!$C$7:$AH$155,83,0)/1000</f>
        <v>117</v>
      </c>
      <c r="AE25" s="105">
        <f>+HLOOKUP(AE$1,'[6]Proyección Diaria'!$C$7:$AH$155,83,0)/1000</f>
        <v>117</v>
      </c>
      <c r="AF25" s="105">
        <f>+HLOOKUP(AF$1,'[6]Proyección Diaria'!$C$7:$AH$155,83,0)/1000</f>
        <v>117</v>
      </c>
      <c r="AG25" s="112">
        <f>+Y25+SUM(Z25:AF25)</f>
        <v>3276</v>
      </c>
      <c r="AH25" s="105">
        <f>+HLOOKUP(AH$1,'[6]Proyección Diaria'!$C$7:$AH$155,83,0)/1000</f>
        <v>117</v>
      </c>
      <c r="AI25" s="105">
        <f>+HLOOKUP(AI$1,'[6]Proyección Diaria'!$C$7:$AH$155,83,0)/1000</f>
        <v>117</v>
      </c>
      <c r="AJ25" s="105">
        <f>+HLOOKUP(AJ$1,'[6]Proyección Diaria'!$C$7:$AH$155,83,0)/1000</f>
        <v>50</v>
      </c>
      <c r="AK25" s="455">
        <f>+AG25+SUM(AH25:AJ25)</f>
        <v>3560</v>
      </c>
    </row>
    <row r="26" spans="1:37" ht="12" customHeight="1" x14ac:dyDescent="0.2">
      <c r="A26" s="473" t="s">
        <v>63</v>
      </c>
      <c r="B26" s="111">
        <v>109.03</v>
      </c>
      <c r="C26" s="111">
        <v>109.03</v>
      </c>
      <c r="D26" s="111">
        <v>100.87</v>
      </c>
      <c r="E26" s="111">
        <v>108.22</v>
      </c>
      <c r="F26" s="111">
        <v>108.33</v>
      </c>
      <c r="G26" s="111">
        <v>109.24</v>
      </c>
      <c r="H26" s="111">
        <v>108.26</v>
      </c>
      <c r="I26" s="111">
        <v>110.63500000000001</v>
      </c>
      <c r="J26" s="112">
        <f>+SUM(B26:I26)</f>
        <v>863.61500000000001</v>
      </c>
      <c r="K26" s="111"/>
      <c r="L26" s="111"/>
      <c r="M26" s="111"/>
      <c r="N26" s="111"/>
      <c r="O26" s="111"/>
      <c r="P26" s="111"/>
      <c r="Q26" s="112">
        <f>+SUM(K26:P26)+J26</f>
        <v>863.61500000000001</v>
      </c>
      <c r="R26" s="111"/>
      <c r="S26" s="111"/>
      <c r="T26" s="111"/>
      <c r="U26" s="111"/>
      <c r="V26" s="111"/>
      <c r="W26" s="111"/>
      <c r="X26" s="111"/>
      <c r="Y26" s="112">
        <f>+Q26+SUM(R26:X26)</f>
        <v>863.61500000000001</v>
      </c>
      <c r="Z26" s="111"/>
      <c r="AA26" s="111"/>
      <c r="AB26" s="111"/>
      <c r="AC26" s="111"/>
      <c r="AD26" s="111"/>
      <c r="AE26" s="111"/>
      <c r="AF26" s="111"/>
      <c r="AG26" s="112">
        <f>+Y26+SUM(Z26:AF26)</f>
        <v>863.61500000000001</v>
      </c>
      <c r="AH26" s="111"/>
      <c r="AI26" s="111"/>
      <c r="AJ26" s="111"/>
      <c r="AK26" s="455">
        <f>+AG26+SUM(AH26:AJ26)</f>
        <v>863.61500000000001</v>
      </c>
    </row>
    <row r="27" spans="1:37" ht="16" thickBot="1" x14ac:dyDescent="0.25">
      <c r="A27" s="474" t="s">
        <v>3</v>
      </c>
      <c r="B27" s="114">
        <f t="shared" ref="B27:AI27" si="14">IFERROR(+B26/B25,0)</f>
        <v>0.93188034188034186</v>
      </c>
      <c r="C27" s="114">
        <f t="shared" si="14"/>
        <v>0.93188034188034186</v>
      </c>
      <c r="D27" s="114">
        <f t="shared" si="14"/>
        <v>0.86213675213675223</v>
      </c>
      <c r="E27" s="114">
        <f t="shared" si="14"/>
        <v>0.92495726495726494</v>
      </c>
      <c r="F27" s="114">
        <f t="shared" si="14"/>
        <v>0.92589743589743589</v>
      </c>
      <c r="G27" s="114">
        <f t="shared" si="14"/>
        <v>0.93367521367521367</v>
      </c>
      <c r="H27" s="114">
        <f t="shared" si="14"/>
        <v>0.92529914529914536</v>
      </c>
      <c r="I27" s="114">
        <f t="shared" si="14"/>
        <v>0.94559829059829059</v>
      </c>
      <c r="J27" s="115">
        <f t="shared" ref="J27:O27" si="15">IFERROR(+J26/J25,0)</f>
        <v>0.92266559829059835</v>
      </c>
      <c r="K27" s="114">
        <f t="shared" si="15"/>
        <v>0</v>
      </c>
      <c r="L27" s="114">
        <f t="shared" si="15"/>
        <v>0</v>
      </c>
      <c r="M27" s="114">
        <f t="shared" si="15"/>
        <v>0</v>
      </c>
      <c r="N27" s="114">
        <f t="shared" si="15"/>
        <v>0</v>
      </c>
      <c r="O27" s="114">
        <f t="shared" si="15"/>
        <v>0</v>
      </c>
      <c r="P27" s="114">
        <f t="shared" ref="P27:U27" si="16">IFERROR(+P26/P25,0)</f>
        <v>0</v>
      </c>
      <c r="Q27" s="115">
        <f>IFERROR(+Q26/Q25,0)</f>
        <v>0.52723748473748477</v>
      </c>
      <c r="R27" s="114">
        <f t="shared" si="16"/>
        <v>0</v>
      </c>
      <c r="S27" s="114">
        <f t="shared" si="16"/>
        <v>0</v>
      </c>
      <c r="T27" s="114">
        <f>IFERROR(+T26/T25,0)</f>
        <v>0</v>
      </c>
      <c r="U27" s="114">
        <f t="shared" si="16"/>
        <v>0</v>
      </c>
      <c r="V27" s="114">
        <f t="shared" si="14"/>
        <v>0</v>
      </c>
      <c r="W27" s="114">
        <f t="shared" si="14"/>
        <v>0</v>
      </c>
      <c r="X27" s="114">
        <f t="shared" si="14"/>
        <v>0</v>
      </c>
      <c r="Y27" s="115">
        <f>IFERROR(+Y26/Y25,0)</f>
        <v>0.35149165649165648</v>
      </c>
      <c r="Z27" s="114">
        <f t="shared" si="14"/>
        <v>0</v>
      </c>
      <c r="AA27" s="114">
        <f t="shared" si="14"/>
        <v>0</v>
      </c>
      <c r="AB27" s="114">
        <f t="shared" si="14"/>
        <v>0</v>
      </c>
      <c r="AC27" s="114">
        <f t="shared" si="14"/>
        <v>0</v>
      </c>
      <c r="AD27" s="114">
        <f t="shared" si="14"/>
        <v>0</v>
      </c>
      <c r="AE27" s="114">
        <f t="shared" si="14"/>
        <v>0</v>
      </c>
      <c r="AF27" s="114">
        <f t="shared" si="14"/>
        <v>0</v>
      </c>
      <c r="AG27" s="115">
        <f>IFERROR(+AG26/AG25,0)</f>
        <v>0.26361874236874239</v>
      </c>
      <c r="AH27" s="114">
        <f t="shared" si="14"/>
        <v>0</v>
      </c>
      <c r="AI27" s="114">
        <f t="shared" si="14"/>
        <v>0</v>
      </c>
      <c r="AJ27" s="114">
        <f>IFERROR(+AJ26/AJ25,0)</f>
        <v>0</v>
      </c>
      <c r="AK27" s="458">
        <f>IFERROR(+AK26/AK25,0)</f>
        <v>0.24258848314606743</v>
      </c>
    </row>
    <row r="28" spans="1:37" ht="16" hidden="1" thickBot="1" x14ac:dyDescent="0.25">
      <c r="A28" s="473" t="s">
        <v>64</v>
      </c>
      <c r="B28" s="116"/>
      <c r="C28" s="116"/>
      <c r="D28" s="116"/>
      <c r="E28" s="116"/>
      <c r="F28" s="116"/>
      <c r="G28" s="116"/>
      <c r="H28" s="116"/>
      <c r="I28" s="116"/>
      <c r="J28" s="117"/>
      <c r="K28" s="116"/>
      <c r="L28" s="116"/>
      <c r="M28" s="116"/>
      <c r="N28" s="116"/>
      <c r="O28" s="116"/>
      <c r="P28" s="116"/>
      <c r="Q28" s="117"/>
      <c r="R28" s="116"/>
      <c r="S28" s="116"/>
      <c r="T28" s="116"/>
      <c r="U28" s="116"/>
      <c r="V28" s="116"/>
      <c r="W28" s="116"/>
      <c r="X28" s="116"/>
      <c r="Y28" s="117"/>
      <c r="Z28" s="116"/>
      <c r="AA28" s="116"/>
      <c r="AB28" s="116"/>
      <c r="AC28" s="116"/>
      <c r="AD28" s="116"/>
      <c r="AE28" s="116"/>
      <c r="AF28" s="116"/>
      <c r="AG28" s="117"/>
      <c r="AH28" s="116"/>
      <c r="AI28" s="116"/>
      <c r="AJ28" s="116"/>
      <c r="AK28" s="459"/>
    </row>
    <row r="29" spans="1:37" ht="16" hidden="1" thickBot="1" x14ac:dyDescent="0.25">
      <c r="A29" s="473" t="s">
        <v>65</v>
      </c>
      <c r="B29" s="111"/>
      <c r="C29" s="111"/>
      <c r="D29" s="111"/>
      <c r="E29" s="111"/>
      <c r="F29" s="111"/>
      <c r="G29" s="111"/>
      <c r="H29" s="111"/>
      <c r="I29" s="111"/>
      <c r="J29" s="112"/>
      <c r="K29" s="111"/>
      <c r="L29" s="111"/>
      <c r="M29" s="111"/>
      <c r="N29" s="111"/>
      <c r="O29" s="111"/>
      <c r="P29" s="111"/>
      <c r="Q29" s="112"/>
      <c r="R29" s="111"/>
      <c r="S29" s="111"/>
      <c r="T29" s="111"/>
      <c r="U29" s="111"/>
      <c r="V29" s="111"/>
      <c r="W29" s="111"/>
      <c r="X29" s="111"/>
      <c r="Y29" s="112"/>
      <c r="Z29" s="111"/>
      <c r="AA29" s="111"/>
      <c r="AB29" s="111"/>
      <c r="AC29" s="111"/>
      <c r="AD29" s="111"/>
      <c r="AE29" s="111"/>
      <c r="AF29" s="111"/>
      <c r="AG29" s="112"/>
      <c r="AH29" s="111"/>
      <c r="AI29" s="111"/>
      <c r="AJ29" s="111"/>
      <c r="AK29" s="455"/>
    </row>
    <row r="30" spans="1:37" ht="16" hidden="1" thickBot="1" x14ac:dyDescent="0.25">
      <c r="A30" s="473" t="s">
        <v>66</v>
      </c>
      <c r="B30" s="120"/>
      <c r="C30" s="120"/>
      <c r="D30" s="120"/>
      <c r="E30" s="120"/>
      <c r="F30" s="120"/>
      <c r="G30" s="120"/>
      <c r="H30" s="120"/>
      <c r="I30" s="120"/>
      <c r="J30" s="127"/>
      <c r="K30" s="120"/>
      <c r="L30" s="120"/>
      <c r="M30" s="120"/>
      <c r="N30" s="120"/>
      <c r="O30" s="120"/>
      <c r="P30" s="120"/>
      <c r="Q30" s="127"/>
      <c r="R30" s="120"/>
      <c r="S30" s="120"/>
      <c r="T30" s="120"/>
      <c r="U30" s="120"/>
      <c r="V30" s="120"/>
      <c r="W30" s="120"/>
      <c r="X30" s="120"/>
      <c r="Y30" s="127"/>
      <c r="Z30" s="120"/>
      <c r="AA30" s="120"/>
      <c r="AB30" s="120"/>
      <c r="AC30" s="120"/>
      <c r="AD30" s="120"/>
      <c r="AE30" s="120"/>
      <c r="AF30" s="120"/>
      <c r="AG30" s="127"/>
      <c r="AH30" s="120"/>
      <c r="AI30" s="120"/>
      <c r="AJ30" s="120"/>
      <c r="AK30" s="466"/>
    </row>
    <row r="31" spans="1:37" ht="16" hidden="1" thickBot="1" x14ac:dyDescent="0.25">
      <c r="A31" s="475" t="s">
        <v>55</v>
      </c>
      <c r="B31" s="129"/>
      <c r="C31" s="129"/>
      <c r="D31" s="129"/>
      <c r="E31" s="129"/>
      <c r="F31" s="129"/>
      <c r="G31" s="129"/>
      <c r="H31" s="129"/>
      <c r="I31" s="129"/>
      <c r="J31" s="130"/>
      <c r="K31" s="129"/>
      <c r="L31" s="129"/>
      <c r="M31" s="129"/>
      <c r="N31" s="129"/>
      <c r="O31" s="129"/>
      <c r="P31" s="129"/>
      <c r="Q31" s="130"/>
      <c r="R31" s="129"/>
      <c r="S31" s="129"/>
      <c r="T31" s="129"/>
      <c r="U31" s="129"/>
      <c r="V31" s="129"/>
      <c r="W31" s="129"/>
      <c r="X31" s="129"/>
      <c r="Y31" s="130"/>
      <c r="Z31" s="129"/>
      <c r="AA31" s="129"/>
      <c r="AB31" s="129">
        <v>125</v>
      </c>
      <c r="AC31" s="129"/>
      <c r="AD31" s="129"/>
      <c r="AE31" s="129"/>
      <c r="AF31" s="129"/>
      <c r="AG31" s="130"/>
      <c r="AH31" s="129"/>
      <c r="AI31" s="129"/>
      <c r="AJ31" s="129"/>
      <c r="AK31" s="468"/>
    </row>
    <row r="32" spans="1:37" x14ac:dyDescent="0.2">
      <c r="A32" s="469" t="s">
        <v>67</v>
      </c>
      <c r="B32" s="105">
        <f>+HLOOKUP(B$1,'[7]Programa Diario CODAZZI'!$F$8:$AL$44,37,0)/1000</f>
        <v>63</v>
      </c>
      <c r="C32" s="105">
        <f>+HLOOKUP(C$1,'[7]Programa Diario CODAZZI'!$F$8:$AL$44,37,0)/1000</f>
        <v>63</v>
      </c>
      <c r="D32" s="105">
        <f>+HLOOKUP(D$1,'[7]Programa Diario CODAZZI'!$F$8:$AL$44,37,0)/1000</f>
        <v>63</v>
      </c>
      <c r="E32" s="105">
        <f>+HLOOKUP(E$1,'[7]Programa Diario CODAZZI'!$F$8:$AL$44,37,0)/1000</f>
        <v>63</v>
      </c>
      <c r="F32" s="105">
        <f>+HLOOKUP(F$1,'[7]Programa Diario CODAZZI'!$F$8:$AL$44,37,0)/1000</f>
        <v>63</v>
      </c>
      <c r="G32" s="105">
        <f>+HLOOKUP(G$1,'[7]Programa Diario CODAZZI'!$F$8:$AL$44,37,0)/1000</f>
        <v>63</v>
      </c>
      <c r="H32" s="105">
        <f>+HLOOKUP(H$1,'[7]Programa Diario CODAZZI'!$F$8:$AL$44,37,0)/1000</f>
        <v>63</v>
      </c>
      <c r="I32" s="105">
        <f>+HLOOKUP(I$1,'[7]Programa Diario CODAZZI'!$F$8:$AL$44,37,0)/1000</f>
        <v>59.85</v>
      </c>
      <c r="J32" s="112">
        <f>+SUM(B32:I32)</f>
        <v>500.85</v>
      </c>
      <c r="K32" s="105">
        <f>+HLOOKUP(K$1,'[7]Programa Diario CODAZZI'!$F$8:$AL$44,37,0)/1000</f>
        <v>63</v>
      </c>
      <c r="L32" s="105">
        <f>+HLOOKUP(L$1,'[7]Programa Diario CODAZZI'!$F$8:$AL$44,37,0)/1000</f>
        <v>63</v>
      </c>
      <c r="M32" s="105">
        <f>+HLOOKUP(M$1,'[7]Programa Diario CODAZZI'!$F$8:$AL$44,37,0)/1000</f>
        <v>63</v>
      </c>
      <c r="N32" s="105">
        <f>+HLOOKUP(N$1,'[7]Programa Diario CODAZZI'!$F$8:$AL$44,37,0)/1000</f>
        <v>63</v>
      </c>
      <c r="O32" s="105">
        <f>+HLOOKUP(O$1,'[7]Programa Diario CODAZZI'!$F$8:$AL$44,37,0)/1000</f>
        <v>63</v>
      </c>
      <c r="P32" s="105">
        <f>+HLOOKUP(P$1,'[7]Programa Diario CODAZZI'!$F$8:$AL$44,37,0)/1000</f>
        <v>59.85</v>
      </c>
      <c r="Q32" s="112">
        <f>+SUM(K32:P32)+J32</f>
        <v>875.7</v>
      </c>
      <c r="R32" s="105">
        <f>+HLOOKUP(R$1,'[7]Programa Diario CODAZZI'!$F$8:$AL$44,37,0)/1000</f>
        <v>63</v>
      </c>
      <c r="S32" s="105">
        <f>+HLOOKUP(S$1,'[7]Programa Diario CODAZZI'!$F$8:$AL$44,37,0)/1000</f>
        <v>63</v>
      </c>
      <c r="T32" s="105">
        <f>+HLOOKUP(T$1,'[7]Programa Diario CODAZZI'!$F$8:$AL$44,37,0)/1000</f>
        <v>63</v>
      </c>
      <c r="U32" s="105">
        <f>+HLOOKUP(U$1,'[7]Programa Diario CODAZZI'!$F$8:$AL$44,37,0)/1000</f>
        <v>63</v>
      </c>
      <c r="V32" s="105">
        <f>+HLOOKUP(V$1,'[7]Programa Diario CODAZZI'!$F$8:$AL$44,37,0)/1000</f>
        <v>63</v>
      </c>
      <c r="W32" s="105">
        <f>+HLOOKUP(W$1,'[7]Programa Diario CODAZZI'!$F$8:$AL$44,37,0)/1000</f>
        <v>63</v>
      </c>
      <c r="X32" s="105">
        <f>+HLOOKUP(X$1,'[7]Programa Diario CODAZZI'!$F$8:$AL$44,37,0)/1000</f>
        <v>63</v>
      </c>
      <c r="Y32" s="112">
        <f>+Q32+SUM(R32:X32)</f>
        <v>1316.7</v>
      </c>
      <c r="Z32" s="105">
        <f>+HLOOKUP(Z$1,'[7]Programa Diario CODAZZI'!$F$8:$AL$44,37,0)/1000</f>
        <v>63</v>
      </c>
      <c r="AA32" s="105">
        <f>+HLOOKUP(AA$1,'[7]Programa Diario CODAZZI'!$F$8:$AL$44,37,0)/1000</f>
        <v>63</v>
      </c>
      <c r="AB32" s="105">
        <f>+HLOOKUP(AB$1,'[7]Programa Diario CODAZZI'!$F$8:$AL$44,37,0)/1000</f>
        <v>63</v>
      </c>
      <c r="AC32" s="105">
        <f>+HLOOKUP(AC$1,'[7]Programa Diario CODAZZI'!$F$8:$AL$44,37,0)/1000</f>
        <v>0</v>
      </c>
      <c r="AD32" s="105">
        <f>+HLOOKUP(AD$1,'[7]Programa Diario CODAZZI'!$F$8:$AL$44,37,0)/1000</f>
        <v>50.4</v>
      </c>
      <c r="AE32" s="105">
        <f>+HLOOKUP(AE$1,'[7]Programa Diario CODAZZI'!$F$8:$AL$44,37,0)/1000</f>
        <v>0</v>
      </c>
      <c r="AF32" s="105">
        <f>+HLOOKUP(AF$1,'[7]Programa Diario CODAZZI'!$F$8:$AL$44,37,0)/1000</f>
        <v>0</v>
      </c>
      <c r="AG32" s="112">
        <f>+Y32+SUM(Z32:AF32)</f>
        <v>1556.1000000000001</v>
      </c>
      <c r="AH32" s="105">
        <f>+HLOOKUP(AH$1,'[7]Programa Diario CODAZZI'!$F$8:$AL$44,37,0)/1000</f>
        <v>0</v>
      </c>
      <c r="AI32" s="105">
        <f>+HLOOKUP(AI$1,'[7]Programa Diario CODAZZI'!$F$8:$AL$44,37,0)/1000</f>
        <v>0</v>
      </c>
      <c r="AJ32" s="105">
        <f>+HLOOKUP(AJ$1,'[7]Programa Diario CODAZZI'!$F$8:$AL$44,37,0)/1000</f>
        <v>0</v>
      </c>
      <c r="AK32" s="455">
        <f>+AG32+SUM(AH32:AJ32)</f>
        <v>1556.1000000000001</v>
      </c>
    </row>
    <row r="33" spans="1:49" ht="12" customHeight="1" x14ac:dyDescent="0.2">
      <c r="A33" s="470" t="s">
        <v>68</v>
      </c>
      <c r="B33" s="111">
        <f>+IFERROR(VLOOKUP(B1,'[8]Hoja 1'!$A$2:$B$388,2,0)/1000,0)</f>
        <v>0</v>
      </c>
      <c r="C33" s="111">
        <f>+IFERROR(VLOOKUP(C1,'[8]Hoja 1'!$A$2:$B$388,2,0)/1000,0)</f>
        <v>53.55</v>
      </c>
      <c r="D33" s="111">
        <v>53.55</v>
      </c>
      <c r="E33" s="111">
        <v>69.3</v>
      </c>
      <c r="F33" s="111">
        <v>40.950000000000003</v>
      </c>
      <c r="G33" s="111">
        <v>72.45</v>
      </c>
      <c r="H33" s="111">
        <v>63</v>
      </c>
      <c r="I33" s="111">
        <v>56.7</v>
      </c>
      <c r="J33" s="112">
        <f>+SUM(B33:I33)</f>
        <v>409.49999999999994</v>
      </c>
      <c r="K33" s="111">
        <f>+IFERROR(VLOOKUP(K1,'[8]Hoja 1'!$A$2:$B$388,2,0)/1000,0)</f>
        <v>0</v>
      </c>
      <c r="L33" s="111">
        <f>+IFERROR(VLOOKUP(L1,'[8]Hoja 1'!$A$2:$B$388,2,0)/1000,0)</f>
        <v>0</v>
      </c>
      <c r="M33" s="111">
        <f>+IFERROR(VLOOKUP(M1,'[8]Hoja 1'!$A$2:$B$388,2,0)/1000,0)</f>
        <v>40.950000000000003</v>
      </c>
      <c r="N33" s="111">
        <f>+IFERROR(VLOOKUP(N1,'[8]Hoja 1'!$A$2:$B$388,2,0)/1000,0)</f>
        <v>0</v>
      </c>
      <c r="O33" s="111">
        <f>+IFERROR(VLOOKUP(O1,'[8]Hoja 1'!$A$2:$B$388,2,0)/1000,0)</f>
        <v>0</v>
      </c>
      <c r="P33" s="111">
        <f>+IFERROR(VLOOKUP(P1,'[8]Hoja 1'!$A$2:$B$388,2,0)/1000,0)</f>
        <v>0</v>
      </c>
      <c r="Q33" s="112">
        <f>+SUM(K33:P33)+J33</f>
        <v>450.44999999999993</v>
      </c>
      <c r="R33" s="111">
        <f>+IFERROR(VLOOKUP(R1,'[8]Hoja 1'!$A$2:$B$388,2,0)/1000,0)</f>
        <v>0</v>
      </c>
      <c r="S33" s="111">
        <f>+IFERROR(VLOOKUP(S1,'[8]Hoja 1'!$A$2:$B$388,2,0)/1000,0)</f>
        <v>0</v>
      </c>
      <c r="T33" s="111">
        <f>+IFERROR(VLOOKUP(T1,'[8]Hoja 1'!$A$2:$B$388,2,0)/1000,0)</f>
        <v>0</v>
      </c>
      <c r="U33" s="111">
        <f>+IFERROR(VLOOKUP(U1,'[8]Hoja 1'!$A$2:$B$388,2,0)/1000,0)</f>
        <v>0</v>
      </c>
      <c r="V33" s="111">
        <f>+IFERROR(VLOOKUP(V1,'[8]Hoja 1'!$A$2:$B$388,2,0)/1000,0)</f>
        <v>0</v>
      </c>
      <c r="W33" s="111">
        <f>+IFERROR(VLOOKUP(W1,'[8]Hoja 1'!$A$2:$B$388,2,0)/1000,0)</f>
        <v>0</v>
      </c>
      <c r="X33" s="111">
        <f>+IFERROR(VLOOKUP(X1,'[8]Hoja 1'!$A$2:$B$388,2,0)/1000,0)</f>
        <v>0</v>
      </c>
      <c r="Y33" s="112">
        <f>+Q33+SUM(R33:X33)</f>
        <v>450.44999999999993</v>
      </c>
      <c r="Z33" s="111">
        <f>+IFERROR(VLOOKUP(Z1,'[8]Hoja 1'!$A$2:$B$388,2,0)/1000,0)</f>
        <v>0</v>
      </c>
      <c r="AA33" s="111">
        <f>+IFERROR(VLOOKUP(AA1,'[8]Hoja 1'!$A$2:$B$388,2,0)/1000,0)</f>
        <v>0</v>
      </c>
      <c r="AB33" s="111">
        <f>+IFERROR(VLOOKUP(AB1,'[8]Hoja 1'!$A$2:$B$388,2,0)/1000,0)</f>
        <v>0</v>
      </c>
      <c r="AC33" s="111">
        <f>+IFERROR(VLOOKUP(AC1,'[8]Hoja 1'!$A$2:$B$388,2,0)/1000,0)</f>
        <v>0</v>
      </c>
      <c r="AD33" s="111">
        <f>+IFERROR(VLOOKUP(AD1,'[8]Hoja 1'!$A$2:$B$388,2,0)/1000,0)</f>
        <v>0</v>
      </c>
      <c r="AE33" s="111">
        <f>+IFERROR(VLOOKUP(AE1,'[8]Hoja 1'!$A$2:$B$388,2,0)/1000,0)</f>
        <v>0</v>
      </c>
      <c r="AF33" s="111">
        <f>+IFERROR(VLOOKUP(AF1,'[8]Hoja 1'!$A$2:$B$388,2,0)/1000,0)</f>
        <v>0</v>
      </c>
      <c r="AG33" s="112">
        <f>+Y33+SUM(Z33:AF33)</f>
        <v>450.44999999999993</v>
      </c>
      <c r="AH33" s="111">
        <f>+IFERROR(VLOOKUP(AH1,'[8]Hoja 1'!$A$2:$B$388,2,0)/1000,0)</f>
        <v>0</v>
      </c>
      <c r="AI33" s="111">
        <f>+IFERROR(VLOOKUP(AI1,'[8]Hoja 1'!$A$2:$B$388,2,0)/1000,0)</f>
        <v>0</v>
      </c>
      <c r="AJ33" s="111">
        <f>+IFERROR(VLOOKUP(AJ1,'[8]Hoja 1'!$A$2:$B$388,2,0)/1000,0)</f>
        <v>0</v>
      </c>
      <c r="AK33" s="455">
        <f>+AG33+SUM(AH33:AJ33)</f>
        <v>450.44999999999993</v>
      </c>
    </row>
    <row r="34" spans="1:49" ht="12" customHeight="1" thickBot="1" x14ac:dyDescent="0.25">
      <c r="A34" s="471" t="s">
        <v>3</v>
      </c>
      <c r="B34" s="114">
        <f>IFERROR(B33/B32,0)</f>
        <v>0</v>
      </c>
      <c r="C34" s="114">
        <f>IFERROR(C33/C32,0)</f>
        <v>0.85</v>
      </c>
      <c r="D34" s="114">
        <f t="shared" ref="D34:AI34" si="17">IFERROR(D33/D32,0)</f>
        <v>0.85</v>
      </c>
      <c r="E34" s="114">
        <f t="shared" si="17"/>
        <v>1.0999999999999999</v>
      </c>
      <c r="F34" s="114">
        <f t="shared" si="17"/>
        <v>0.65</v>
      </c>
      <c r="G34" s="114">
        <f t="shared" si="17"/>
        <v>1.1500000000000001</v>
      </c>
      <c r="H34" s="114">
        <f t="shared" si="17"/>
        <v>1</v>
      </c>
      <c r="I34" s="114">
        <f t="shared" si="17"/>
        <v>0.94736842105263164</v>
      </c>
      <c r="J34" s="115">
        <f>IFERROR(J33/J32,0)</f>
        <v>0.81761006289308158</v>
      </c>
      <c r="K34" s="114">
        <f t="shared" ref="K34:U34" si="18">IFERROR(K33/K32,0)</f>
        <v>0</v>
      </c>
      <c r="L34" s="114">
        <f t="shared" si="18"/>
        <v>0</v>
      </c>
      <c r="M34" s="114">
        <f t="shared" si="18"/>
        <v>0.65</v>
      </c>
      <c r="N34" s="114">
        <f t="shared" si="18"/>
        <v>0</v>
      </c>
      <c r="O34" s="114">
        <f t="shared" si="18"/>
        <v>0</v>
      </c>
      <c r="P34" s="114">
        <f>IFERROR(P33/P32,0)</f>
        <v>0</v>
      </c>
      <c r="Q34" s="115">
        <f>IFERROR(Q33/Q32,0)</f>
        <v>0.514388489208633</v>
      </c>
      <c r="R34" s="114">
        <f>IFERROR(R33/R32,0)</f>
        <v>0</v>
      </c>
      <c r="S34" s="114">
        <f>IFERROR(S33/S32,0)</f>
        <v>0</v>
      </c>
      <c r="T34" s="114">
        <f>IFERROR(T33/T32,0)</f>
        <v>0</v>
      </c>
      <c r="U34" s="114">
        <f t="shared" si="18"/>
        <v>0</v>
      </c>
      <c r="V34" s="114">
        <f t="shared" si="17"/>
        <v>0</v>
      </c>
      <c r="W34" s="114">
        <f t="shared" si="17"/>
        <v>0</v>
      </c>
      <c r="X34" s="114">
        <f t="shared" si="17"/>
        <v>0</v>
      </c>
      <c r="Y34" s="115">
        <f>IFERROR(Y33/Y32,0)</f>
        <v>0.34210526315789469</v>
      </c>
      <c r="Z34" s="114">
        <f t="shared" si="17"/>
        <v>0</v>
      </c>
      <c r="AA34" s="114">
        <f t="shared" si="17"/>
        <v>0</v>
      </c>
      <c r="AB34" s="114">
        <f t="shared" si="17"/>
        <v>0</v>
      </c>
      <c r="AC34" s="114">
        <f t="shared" si="17"/>
        <v>0</v>
      </c>
      <c r="AD34" s="114">
        <f t="shared" si="17"/>
        <v>0</v>
      </c>
      <c r="AE34" s="114">
        <f t="shared" si="17"/>
        <v>0</v>
      </c>
      <c r="AF34" s="114">
        <f t="shared" si="17"/>
        <v>0</v>
      </c>
      <c r="AG34" s="115">
        <f>IFERROR(AG33/AG32,0)</f>
        <v>0.28947368421052627</v>
      </c>
      <c r="AH34" s="114">
        <f t="shared" si="17"/>
        <v>0</v>
      </c>
      <c r="AI34" s="114">
        <f t="shared" si="17"/>
        <v>0</v>
      </c>
      <c r="AJ34" s="114">
        <f>IFERROR(AJ33/AJ32,0)</f>
        <v>0</v>
      </c>
      <c r="AK34" s="458">
        <f>IFERROR(AK33/AK32,0)</f>
        <v>0.28947368421052627</v>
      </c>
    </row>
    <row r="35" spans="1:49" ht="12" customHeight="1" x14ac:dyDescent="0.2">
      <c r="A35" s="476" t="s">
        <v>69</v>
      </c>
      <c r="B35" s="139">
        <f t="shared" ref="B35:E36" si="19">+B2</f>
        <v>355</v>
      </c>
      <c r="C35" s="139">
        <f t="shared" si="19"/>
        <v>355</v>
      </c>
      <c r="D35" s="139">
        <f t="shared" si="19"/>
        <v>355</v>
      </c>
      <c r="E35" s="139">
        <f t="shared" si="19"/>
        <v>355</v>
      </c>
      <c r="F35" s="139">
        <f>+F3</f>
        <v>326.92099999999999</v>
      </c>
      <c r="G35" s="139">
        <f t="shared" ref="G35:AA35" si="20">+G2</f>
        <v>355</v>
      </c>
      <c r="H35" s="139">
        <f t="shared" si="20"/>
        <v>280</v>
      </c>
      <c r="I35" s="139">
        <f t="shared" si="20"/>
        <v>355</v>
      </c>
      <c r="J35" s="140">
        <f>+J2</f>
        <v>2765</v>
      </c>
      <c r="K35" s="139">
        <f t="shared" si="20"/>
        <v>355</v>
      </c>
      <c r="L35" s="139">
        <f t="shared" si="20"/>
        <v>355</v>
      </c>
      <c r="M35" s="139">
        <f t="shared" si="20"/>
        <v>355</v>
      </c>
      <c r="N35" s="139">
        <f>+N2</f>
        <v>355</v>
      </c>
      <c r="O35" s="139">
        <f>+O2</f>
        <v>355</v>
      </c>
      <c r="P35" s="139">
        <f t="shared" ref="P35:S36" si="21">+P2</f>
        <v>280</v>
      </c>
      <c r="Q35" s="140">
        <f>+Q2</f>
        <v>4820</v>
      </c>
      <c r="R35" s="139">
        <f t="shared" si="21"/>
        <v>355</v>
      </c>
      <c r="S35" s="139">
        <f t="shared" si="21"/>
        <v>355</v>
      </c>
      <c r="T35" s="139">
        <f>+T2</f>
        <v>355</v>
      </c>
      <c r="U35" s="139">
        <f>+U2</f>
        <v>355</v>
      </c>
      <c r="V35" s="139">
        <f t="shared" si="20"/>
        <v>355</v>
      </c>
      <c r="W35" s="139">
        <f t="shared" si="20"/>
        <v>355</v>
      </c>
      <c r="X35" s="139">
        <f t="shared" si="20"/>
        <v>280</v>
      </c>
      <c r="Y35" s="140">
        <f>+Y2</f>
        <v>7230</v>
      </c>
      <c r="Z35" s="139">
        <f t="shared" si="20"/>
        <v>355</v>
      </c>
      <c r="AA35" s="139">
        <f t="shared" si="20"/>
        <v>355</v>
      </c>
      <c r="AB35" s="139">
        <f>+AB2</f>
        <v>355</v>
      </c>
      <c r="AC35" s="139">
        <f t="shared" ref="AC35:AI36" si="22">+AC2</f>
        <v>355</v>
      </c>
      <c r="AD35" s="139">
        <f t="shared" si="22"/>
        <v>355</v>
      </c>
      <c r="AE35" s="139">
        <f t="shared" si="22"/>
        <v>355</v>
      </c>
      <c r="AF35" s="139">
        <f t="shared" si="22"/>
        <v>280</v>
      </c>
      <c r="AG35" s="140">
        <f>+AG2</f>
        <v>9640</v>
      </c>
      <c r="AH35" s="139">
        <f t="shared" si="22"/>
        <v>355</v>
      </c>
      <c r="AI35" s="139">
        <f t="shared" si="22"/>
        <v>355</v>
      </c>
      <c r="AJ35" s="139">
        <f>+AJ2</f>
        <v>100</v>
      </c>
      <c r="AK35" s="477">
        <f>+AK2</f>
        <v>10450</v>
      </c>
    </row>
    <row r="36" spans="1:49" ht="12" customHeight="1" x14ac:dyDescent="0.2">
      <c r="A36" s="478" t="s">
        <v>70</v>
      </c>
      <c r="B36" s="142">
        <f t="shared" si="19"/>
        <v>362.46600000000001</v>
      </c>
      <c r="C36" s="142">
        <f t="shared" si="19"/>
        <v>362.46600000000001</v>
      </c>
      <c r="D36" s="142">
        <f t="shared" si="19"/>
        <v>259.68799999999999</v>
      </c>
      <c r="E36" s="142">
        <f t="shared" si="19"/>
        <v>352.78300000000002</v>
      </c>
      <c r="F36" s="142">
        <f>+F3</f>
        <v>326.92099999999999</v>
      </c>
      <c r="G36" s="142">
        <f t="shared" ref="G36:AA36" si="23">+G3</f>
        <v>353.60599999999999</v>
      </c>
      <c r="H36" s="142">
        <f t="shared" si="23"/>
        <v>354</v>
      </c>
      <c r="I36" s="142">
        <f t="shared" si="23"/>
        <v>341.32</v>
      </c>
      <c r="J36" s="143">
        <f>+J3</f>
        <v>2713.2500000000005</v>
      </c>
      <c r="K36" s="142">
        <f t="shared" si="23"/>
        <v>0</v>
      </c>
      <c r="L36" s="142">
        <f t="shared" si="23"/>
        <v>0</v>
      </c>
      <c r="M36" s="142">
        <f t="shared" si="23"/>
        <v>0</v>
      </c>
      <c r="N36" s="142">
        <f>+N3</f>
        <v>0</v>
      </c>
      <c r="O36" s="142">
        <f>+O3</f>
        <v>0</v>
      </c>
      <c r="P36" s="142">
        <f t="shared" si="21"/>
        <v>0</v>
      </c>
      <c r="Q36" s="143">
        <f>+Q3</f>
        <v>2713.2500000000005</v>
      </c>
      <c r="R36" s="142">
        <f t="shared" si="21"/>
        <v>0</v>
      </c>
      <c r="S36" s="142">
        <f t="shared" si="21"/>
        <v>0</v>
      </c>
      <c r="T36" s="142">
        <f>+T3</f>
        <v>0</v>
      </c>
      <c r="U36" s="142">
        <f>+U3</f>
        <v>0</v>
      </c>
      <c r="V36" s="142">
        <f t="shared" si="23"/>
        <v>0</v>
      </c>
      <c r="W36" s="142">
        <f t="shared" si="23"/>
        <v>0</v>
      </c>
      <c r="X36" s="142">
        <f t="shared" si="23"/>
        <v>0</v>
      </c>
      <c r="Y36" s="143">
        <f>+Y3</f>
        <v>2713.2500000000005</v>
      </c>
      <c r="Z36" s="142">
        <f t="shared" si="23"/>
        <v>0</v>
      </c>
      <c r="AA36" s="142">
        <f t="shared" si="23"/>
        <v>0</v>
      </c>
      <c r="AB36" s="142">
        <f>+AB3</f>
        <v>0</v>
      </c>
      <c r="AC36" s="142">
        <f t="shared" si="22"/>
        <v>0</v>
      </c>
      <c r="AD36" s="142">
        <f t="shared" si="22"/>
        <v>0</v>
      </c>
      <c r="AE36" s="142">
        <f t="shared" si="22"/>
        <v>0</v>
      </c>
      <c r="AF36" s="142">
        <f t="shared" si="22"/>
        <v>0</v>
      </c>
      <c r="AG36" s="143">
        <f>+AG3</f>
        <v>2713.2500000000005</v>
      </c>
      <c r="AH36" s="142">
        <f t="shared" si="22"/>
        <v>0</v>
      </c>
      <c r="AI36" s="142">
        <f t="shared" si="22"/>
        <v>0</v>
      </c>
      <c r="AJ36" s="142">
        <f>+AJ3</f>
        <v>0</v>
      </c>
      <c r="AK36" s="479">
        <f>+AK3</f>
        <v>2713.2500000000005</v>
      </c>
    </row>
    <row r="37" spans="1:49" ht="12" customHeight="1" thickBot="1" x14ac:dyDescent="0.25">
      <c r="A37" s="480" t="s">
        <v>3</v>
      </c>
      <c r="B37" s="145">
        <f>IFERROR(+B36/B35,0)</f>
        <v>1.0210309859154929</v>
      </c>
      <c r="C37" s="145">
        <f>IFERROR(+C36/C35,0)</f>
        <v>1.0210309859154929</v>
      </c>
      <c r="D37" s="145">
        <f t="shared" ref="D37:AB37" si="24">IFERROR(+D36/D35,0)</f>
        <v>0.73151549295774643</v>
      </c>
      <c r="E37" s="145">
        <f t="shared" si="24"/>
        <v>0.99375492957746481</v>
      </c>
      <c r="F37" s="145">
        <f t="shared" si="24"/>
        <v>1</v>
      </c>
      <c r="G37" s="145">
        <f t="shared" si="24"/>
        <v>0.99607323943661974</v>
      </c>
      <c r="H37" s="145">
        <f t="shared" si="24"/>
        <v>1.2642857142857142</v>
      </c>
      <c r="I37" s="145">
        <f t="shared" si="24"/>
        <v>0.96146478873239438</v>
      </c>
      <c r="J37" s="146">
        <f>IFERROR(+J36/J35,0)</f>
        <v>0.98128390596745041</v>
      </c>
      <c r="K37" s="145">
        <f t="shared" si="24"/>
        <v>0</v>
      </c>
      <c r="L37" s="145">
        <f t="shared" si="24"/>
        <v>0</v>
      </c>
      <c r="M37" s="145">
        <f t="shared" si="24"/>
        <v>0</v>
      </c>
      <c r="N37" s="145">
        <f>IFERROR(+N36/N35,0)</f>
        <v>0</v>
      </c>
      <c r="O37" s="145">
        <f>IFERROR(+O36/O35,0)</f>
        <v>0</v>
      </c>
      <c r="P37" s="145">
        <f t="shared" ref="P37:U37" si="25">IFERROR(+P36/P35,0)</f>
        <v>0</v>
      </c>
      <c r="Q37" s="146">
        <f>IFERROR(+Q36/Q35,0)</f>
        <v>0.56291493775933621</v>
      </c>
      <c r="R37" s="145">
        <f t="shared" si="25"/>
        <v>0</v>
      </c>
      <c r="S37" s="145">
        <f t="shared" si="25"/>
        <v>0</v>
      </c>
      <c r="T37" s="145">
        <f t="shared" si="25"/>
        <v>0</v>
      </c>
      <c r="U37" s="145">
        <f t="shared" si="25"/>
        <v>0</v>
      </c>
      <c r="V37" s="145">
        <f t="shared" si="24"/>
        <v>0</v>
      </c>
      <c r="W37" s="145">
        <f t="shared" si="24"/>
        <v>0</v>
      </c>
      <c r="X37" s="145">
        <f t="shared" si="24"/>
        <v>0</v>
      </c>
      <c r="Y37" s="146">
        <f>IFERROR(+Y36/Y35,0)</f>
        <v>0.37527662517289079</v>
      </c>
      <c r="Z37" s="145">
        <f t="shared" si="24"/>
        <v>0</v>
      </c>
      <c r="AA37" s="145">
        <f t="shared" si="24"/>
        <v>0</v>
      </c>
      <c r="AB37" s="145">
        <f t="shared" si="24"/>
        <v>0</v>
      </c>
      <c r="AC37" s="145">
        <f t="shared" ref="AC37:AI37" si="26">IFERROR(+AC36/AC35,0)</f>
        <v>0</v>
      </c>
      <c r="AD37" s="145">
        <f t="shared" si="26"/>
        <v>0</v>
      </c>
      <c r="AE37" s="145">
        <f t="shared" si="26"/>
        <v>0</v>
      </c>
      <c r="AF37" s="145">
        <f t="shared" si="26"/>
        <v>0</v>
      </c>
      <c r="AG37" s="146">
        <f>IFERROR(+AG36/AG35,0)</f>
        <v>0.2814574688796681</v>
      </c>
      <c r="AH37" s="145">
        <f t="shared" si="26"/>
        <v>0</v>
      </c>
      <c r="AI37" s="145">
        <f t="shared" si="26"/>
        <v>0</v>
      </c>
      <c r="AJ37" s="145">
        <f>IFERROR(+AJ36/AJ35,0)</f>
        <v>0</v>
      </c>
      <c r="AK37" s="481">
        <f>IFERROR(+AK36/AK35,0)</f>
        <v>0.25964114832535889</v>
      </c>
    </row>
    <row r="38" spans="1:49" ht="12" customHeight="1" x14ac:dyDescent="0.2">
      <c r="A38" s="476" t="s">
        <v>71</v>
      </c>
      <c r="B38" s="139">
        <f t="shared" ref="B38:AA38" si="27">+B10</f>
        <v>30</v>
      </c>
      <c r="C38" s="139">
        <f t="shared" si="27"/>
        <v>0</v>
      </c>
      <c r="D38" s="139">
        <f t="shared" si="27"/>
        <v>35</v>
      </c>
      <c r="E38" s="139">
        <f t="shared" si="27"/>
        <v>35</v>
      </c>
      <c r="F38" s="139">
        <f t="shared" si="27"/>
        <v>35</v>
      </c>
      <c r="G38" s="139">
        <f t="shared" si="27"/>
        <v>35</v>
      </c>
      <c r="H38" s="139">
        <f t="shared" si="27"/>
        <v>0</v>
      </c>
      <c r="I38" s="139">
        <f t="shared" si="27"/>
        <v>35</v>
      </c>
      <c r="J38" s="140">
        <f>+J10</f>
        <v>205</v>
      </c>
      <c r="K38" s="139">
        <f t="shared" ref="K38:M39" si="28">+K10</f>
        <v>15</v>
      </c>
      <c r="L38" s="139">
        <f t="shared" si="28"/>
        <v>37</v>
      </c>
      <c r="M38" s="139">
        <f t="shared" si="28"/>
        <v>37</v>
      </c>
      <c r="N38" s="139">
        <f>+N10</f>
        <v>37</v>
      </c>
      <c r="O38" s="139">
        <f>+O10</f>
        <v>37</v>
      </c>
      <c r="P38" s="139">
        <f t="shared" ref="P38:S39" si="29">+P10</f>
        <v>37</v>
      </c>
      <c r="Q38" s="140">
        <f>+Q10</f>
        <v>405</v>
      </c>
      <c r="R38" s="139">
        <f t="shared" si="29"/>
        <v>37</v>
      </c>
      <c r="S38" s="139">
        <f t="shared" si="29"/>
        <v>37</v>
      </c>
      <c r="T38" s="139">
        <f>+T10</f>
        <v>37</v>
      </c>
      <c r="U38" s="139">
        <f>+U10</f>
        <v>37</v>
      </c>
      <c r="V38" s="139">
        <f t="shared" si="27"/>
        <v>25</v>
      </c>
      <c r="W38" s="139">
        <f t="shared" si="27"/>
        <v>10</v>
      </c>
      <c r="X38" s="139">
        <f t="shared" si="27"/>
        <v>30</v>
      </c>
      <c r="Y38" s="140">
        <f>+Y10</f>
        <v>618</v>
      </c>
      <c r="Z38" s="139">
        <f t="shared" si="27"/>
        <v>30</v>
      </c>
      <c r="AA38" s="139">
        <f t="shared" si="27"/>
        <v>30</v>
      </c>
      <c r="AB38" s="139">
        <f>+AB10</f>
        <v>30</v>
      </c>
      <c r="AC38" s="139">
        <f t="shared" ref="AC38:AI39" si="30">+AC10</f>
        <v>30</v>
      </c>
      <c r="AD38" s="139">
        <f t="shared" si="30"/>
        <v>30</v>
      </c>
      <c r="AE38" s="139">
        <f t="shared" si="30"/>
        <v>30</v>
      </c>
      <c r="AF38" s="139">
        <f t="shared" si="30"/>
        <v>30</v>
      </c>
      <c r="AG38" s="140">
        <f>+AG10</f>
        <v>828</v>
      </c>
      <c r="AH38" s="139">
        <f t="shared" si="30"/>
        <v>30</v>
      </c>
      <c r="AI38" s="139">
        <f t="shared" si="30"/>
        <v>30</v>
      </c>
      <c r="AJ38" s="139">
        <f>+AJ10</f>
        <v>10</v>
      </c>
      <c r="AK38" s="477">
        <f>+AK10</f>
        <v>898</v>
      </c>
    </row>
    <row r="39" spans="1:49" ht="12" customHeight="1" x14ac:dyDescent="0.2">
      <c r="A39" s="478" t="s">
        <v>72</v>
      </c>
      <c r="B39" s="142">
        <f t="shared" ref="B39:AA39" si="31">+B11</f>
        <v>30.13</v>
      </c>
      <c r="C39" s="142">
        <f t="shared" si="31"/>
        <v>30.13</v>
      </c>
      <c r="D39" s="142">
        <f t="shared" si="31"/>
        <v>31.052</v>
      </c>
      <c r="E39" s="142">
        <f t="shared" si="31"/>
        <v>29.081</v>
      </c>
      <c r="F39" s="142">
        <f t="shared" si="31"/>
        <v>40.847000000000001</v>
      </c>
      <c r="G39" s="142">
        <f t="shared" si="31"/>
        <v>23.286999999999999</v>
      </c>
      <c r="H39" s="142">
        <f t="shared" si="31"/>
        <v>21</v>
      </c>
      <c r="I39" s="142">
        <f t="shared" si="31"/>
        <v>30.346</v>
      </c>
      <c r="J39" s="143">
        <f>+J11</f>
        <v>235.87300000000002</v>
      </c>
      <c r="K39" s="142">
        <f t="shared" si="28"/>
        <v>0</v>
      </c>
      <c r="L39" s="142">
        <f t="shared" si="28"/>
        <v>0</v>
      </c>
      <c r="M39" s="142">
        <f t="shared" si="28"/>
        <v>0</v>
      </c>
      <c r="N39" s="142">
        <f>+N11</f>
        <v>0</v>
      </c>
      <c r="O39" s="142">
        <f>+O11</f>
        <v>0</v>
      </c>
      <c r="P39" s="142">
        <f t="shared" si="29"/>
        <v>0</v>
      </c>
      <c r="Q39" s="143">
        <f>+Q11</f>
        <v>235.87300000000002</v>
      </c>
      <c r="R39" s="142">
        <f t="shared" si="29"/>
        <v>0</v>
      </c>
      <c r="S39" s="142">
        <f t="shared" si="29"/>
        <v>0</v>
      </c>
      <c r="T39" s="142">
        <f>+T11</f>
        <v>0</v>
      </c>
      <c r="U39" s="142">
        <f>+U11</f>
        <v>0</v>
      </c>
      <c r="V39" s="142">
        <f t="shared" si="31"/>
        <v>0</v>
      </c>
      <c r="W39" s="142">
        <f t="shared" si="31"/>
        <v>0</v>
      </c>
      <c r="X39" s="142">
        <f t="shared" si="31"/>
        <v>0</v>
      </c>
      <c r="Y39" s="143">
        <f>+Y11</f>
        <v>235.87300000000002</v>
      </c>
      <c r="Z39" s="142">
        <f t="shared" si="31"/>
        <v>0</v>
      </c>
      <c r="AA39" s="142">
        <f t="shared" si="31"/>
        <v>0</v>
      </c>
      <c r="AB39" s="142">
        <f>+AB11</f>
        <v>0</v>
      </c>
      <c r="AC39" s="142">
        <f t="shared" si="30"/>
        <v>0</v>
      </c>
      <c r="AD39" s="142">
        <f t="shared" si="30"/>
        <v>0</v>
      </c>
      <c r="AE39" s="142">
        <f t="shared" si="30"/>
        <v>0</v>
      </c>
      <c r="AF39" s="142">
        <f t="shared" si="30"/>
        <v>0</v>
      </c>
      <c r="AG39" s="143">
        <f>+AG11</f>
        <v>235.87300000000002</v>
      </c>
      <c r="AH39" s="142">
        <f t="shared" si="30"/>
        <v>0</v>
      </c>
      <c r="AI39" s="142">
        <f t="shared" si="30"/>
        <v>0</v>
      </c>
      <c r="AJ39" s="142">
        <f>+AJ11</f>
        <v>0</v>
      </c>
      <c r="AK39" s="479">
        <f>+AK11</f>
        <v>235.87300000000002</v>
      </c>
    </row>
    <row r="40" spans="1:49" ht="12" customHeight="1" thickBot="1" x14ac:dyDescent="0.25">
      <c r="A40" s="480" t="s">
        <v>3</v>
      </c>
      <c r="B40" s="145">
        <f t="shared" ref="B40:M40" si="32">IFERROR(+B39/B38,0)</f>
        <v>1.0043333333333333</v>
      </c>
      <c r="C40" s="145">
        <f t="shared" si="32"/>
        <v>0</v>
      </c>
      <c r="D40" s="145">
        <f t="shared" si="32"/>
        <v>0.88719999999999999</v>
      </c>
      <c r="E40" s="145">
        <f t="shared" si="32"/>
        <v>0.83088571428571423</v>
      </c>
      <c r="F40" s="145">
        <f t="shared" si="32"/>
        <v>1.1670571428571428</v>
      </c>
      <c r="G40" s="145">
        <f t="shared" si="32"/>
        <v>0.66534285714285712</v>
      </c>
      <c r="H40" s="145">
        <f t="shared" si="32"/>
        <v>0</v>
      </c>
      <c r="I40" s="145">
        <f t="shared" si="32"/>
        <v>0.86702857142857148</v>
      </c>
      <c r="J40" s="146">
        <f>IFERROR(+J39/J38,0)</f>
        <v>1.1506000000000001</v>
      </c>
      <c r="K40" s="145">
        <f t="shared" si="32"/>
        <v>0</v>
      </c>
      <c r="L40" s="145">
        <f t="shared" si="32"/>
        <v>0</v>
      </c>
      <c r="M40" s="145">
        <f t="shared" si="32"/>
        <v>0</v>
      </c>
      <c r="N40" s="145">
        <f t="shared" ref="N40:T40" si="33">IFERROR(+N39/N38,0)</f>
        <v>0</v>
      </c>
      <c r="O40" s="145">
        <f t="shared" si="33"/>
        <v>0</v>
      </c>
      <c r="P40" s="145">
        <f t="shared" si="33"/>
        <v>0</v>
      </c>
      <c r="Q40" s="146">
        <f>IFERROR(+Q39/Q38,0)</f>
        <v>0.58240246913580251</v>
      </c>
      <c r="R40" s="145">
        <f t="shared" si="33"/>
        <v>0</v>
      </c>
      <c r="S40" s="145">
        <f t="shared" si="33"/>
        <v>0</v>
      </c>
      <c r="T40" s="145">
        <f t="shared" si="33"/>
        <v>0</v>
      </c>
      <c r="U40" s="145">
        <f t="shared" ref="U40:AA40" si="34">IFERROR(+U39/U38,0)</f>
        <v>0</v>
      </c>
      <c r="V40" s="145">
        <f t="shared" si="34"/>
        <v>0</v>
      </c>
      <c r="W40" s="145">
        <f t="shared" si="34"/>
        <v>0</v>
      </c>
      <c r="X40" s="145">
        <f t="shared" si="34"/>
        <v>0</v>
      </c>
      <c r="Y40" s="146">
        <f>IFERROR(+Y39/Y38,0)</f>
        <v>0.38167152103559876</v>
      </c>
      <c r="Z40" s="145">
        <f t="shared" si="34"/>
        <v>0</v>
      </c>
      <c r="AA40" s="145">
        <f t="shared" si="34"/>
        <v>0</v>
      </c>
      <c r="AB40" s="145">
        <f>IFERROR(AB39/AB38,0)</f>
        <v>0</v>
      </c>
      <c r="AC40" s="145">
        <f t="shared" ref="AC40:AI40" si="35">IFERROR(+AC39/AC38,0)</f>
        <v>0</v>
      </c>
      <c r="AD40" s="145">
        <f t="shared" si="35"/>
        <v>0</v>
      </c>
      <c r="AE40" s="145">
        <f t="shared" si="35"/>
        <v>0</v>
      </c>
      <c r="AF40" s="145">
        <f t="shared" si="35"/>
        <v>0</v>
      </c>
      <c r="AG40" s="146">
        <f>IFERROR(+AG39/AG38,0)</f>
        <v>0.28487077294685992</v>
      </c>
      <c r="AH40" s="145">
        <f t="shared" si="35"/>
        <v>0</v>
      </c>
      <c r="AI40" s="145">
        <f t="shared" si="35"/>
        <v>0</v>
      </c>
      <c r="AJ40" s="145">
        <f>IFERROR(+AJ39/AJ38,0)</f>
        <v>0</v>
      </c>
      <c r="AK40" s="481">
        <f>IFERROR(+AK39/AK38,0)</f>
        <v>0.26266481069042319</v>
      </c>
    </row>
    <row r="41" spans="1:49" ht="12" customHeight="1" x14ac:dyDescent="0.2">
      <c r="A41" s="476" t="s">
        <v>73</v>
      </c>
      <c r="B41" s="139">
        <f t="shared" ref="B41:AA41" si="36">+B19+B25</f>
        <v>209</v>
      </c>
      <c r="C41" s="139">
        <f t="shared" si="36"/>
        <v>209</v>
      </c>
      <c r="D41" s="139">
        <f t="shared" si="36"/>
        <v>209</v>
      </c>
      <c r="E41" s="139">
        <f t="shared" si="36"/>
        <v>209</v>
      </c>
      <c r="F41" s="139">
        <f t="shared" si="36"/>
        <v>209</v>
      </c>
      <c r="G41" s="139">
        <f t="shared" si="36"/>
        <v>209</v>
      </c>
      <c r="H41" s="139">
        <f t="shared" si="36"/>
        <v>209</v>
      </c>
      <c r="I41" s="139">
        <f t="shared" si="36"/>
        <v>209</v>
      </c>
      <c r="J41" s="140">
        <f>+J19+J25</f>
        <v>1672</v>
      </c>
      <c r="K41" s="139">
        <f t="shared" ref="K41:M42" si="37">+K19+K25</f>
        <v>209</v>
      </c>
      <c r="L41" s="139">
        <f t="shared" si="37"/>
        <v>209</v>
      </c>
      <c r="M41" s="139">
        <f t="shared" si="37"/>
        <v>209</v>
      </c>
      <c r="N41" s="139">
        <f>+N19+N25</f>
        <v>209</v>
      </c>
      <c r="O41" s="139">
        <f>+O19+O25</f>
        <v>209</v>
      </c>
      <c r="P41" s="139">
        <f t="shared" ref="P41:S42" si="38">+P19+P25</f>
        <v>209</v>
      </c>
      <c r="Q41" s="140">
        <f>+Q19+Q25</f>
        <v>2926</v>
      </c>
      <c r="R41" s="139">
        <f t="shared" si="38"/>
        <v>209</v>
      </c>
      <c r="S41" s="139">
        <f t="shared" si="38"/>
        <v>209</v>
      </c>
      <c r="T41" s="139">
        <f>+T19+T25</f>
        <v>209</v>
      </c>
      <c r="U41" s="139">
        <f>+U19+U25</f>
        <v>209</v>
      </c>
      <c r="V41" s="139">
        <f t="shared" si="36"/>
        <v>209</v>
      </c>
      <c r="W41" s="139">
        <f t="shared" si="36"/>
        <v>209</v>
      </c>
      <c r="X41" s="139">
        <f t="shared" si="36"/>
        <v>209</v>
      </c>
      <c r="Y41" s="140">
        <f>+Y19+Y25</f>
        <v>4389</v>
      </c>
      <c r="Z41" s="139">
        <f t="shared" si="36"/>
        <v>209</v>
      </c>
      <c r="AA41" s="139">
        <f t="shared" si="36"/>
        <v>209</v>
      </c>
      <c r="AB41" s="139">
        <f>+AB19+AB25</f>
        <v>209</v>
      </c>
      <c r="AC41" s="139">
        <f t="shared" ref="AC41:AF42" si="39">+AC19+AC25</f>
        <v>209</v>
      </c>
      <c r="AD41" s="139">
        <f t="shared" si="39"/>
        <v>209</v>
      </c>
      <c r="AE41" s="139">
        <f t="shared" si="39"/>
        <v>209</v>
      </c>
      <c r="AF41" s="139">
        <f t="shared" si="39"/>
        <v>209</v>
      </c>
      <c r="AG41" s="140">
        <f>+AG19+AG25</f>
        <v>5852</v>
      </c>
      <c r="AH41" s="139">
        <f t="shared" ref="AH41:AK42" si="40">+AH19+AH25</f>
        <v>209</v>
      </c>
      <c r="AI41" s="139">
        <f t="shared" si="40"/>
        <v>209</v>
      </c>
      <c r="AJ41" s="139">
        <f>+AJ19+AJ25</f>
        <v>100</v>
      </c>
      <c r="AK41" s="477">
        <f t="shared" si="40"/>
        <v>6370</v>
      </c>
    </row>
    <row r="42" spans="1:49" ht="12" customHeight="1" x14ac:dyDescent="0.2">
      <c r="A42" s="478" t="s">
        <v>74</v>
      </c>
      <c r="B42" s="142">
        <f t="shared" ref="B42:AA42" si="41">+B20+B26</f>
        <v>209.88</v>
      </c>
      <c r="C42" s="142">
        <f t="shared" si="41"/>
        <v>209.88</v>
      </c>
      <c r="D42" s="142">
        <f t="shared" si="41"/>
        <v>180.88</v>
      </c>
      <c r="E42" s="142">
        <f t="shared" si="41"/>
        <v>210.22</v>
      </c>
      <c r="F42" s="142">
        <f t="shared" si="41"/>
        <v>196.92000000000002</v>
      </c>
      <c r="G42" s="142">
        <f t="shared" si="41"/>
        <v>204.44</v>
      </c>
      <c r="H42" s="142">
        <f t="shared" si="41"/>
        <v>189.26</v>
      </c>
      <c r="I42" s="142">
        <f t="shared" si="41"/>
        <v>205.13499999999999</v>
      </c>
      <c r="J42" s="143">
        <f>+J20+J26</f>
        <v>1606.615</v>
      </c>
      <c r="K42" s="142">
        <f t="shared" si="37"/>
        <v>0</v>
      </c>
      <c r="L42" s="142">
        <f t="shared" si="37"/>
        <v>0</v>
      </c>
      <c r="M42" s="142">
        <f t="shared" si="37"/>
        <v>0</v>
      </c>
      <c r="N42" s="142">
        <f>+N20+N26</f>
        <v>0</v>
      </c>
      <c r="O42" s="142">
        <f>+O20+O26</f>
        <v>0</v>
      </c>
      <c r="P42" s="142">
        <f t="shared" si="38"/>
        <v>0</v>
      </c>
      <c r="Q42" s="143">
        <f>+Q20+Q26</f>
        <v>1606.615</v>
      </c>
      <c r="R42" s="142">
        <f t="shared" si="38"/>
        <v>0</v>
      </c>
      <c r="S42" s="142">
        <f t="shared" si="38"/>
        <v>0</v>
      </c>
      <c r="T42" s="142">
        <f>+T20+T26</f>
        <v>0</v>
      </c>
      <c r="U42" s="142">
        <f>+U20+U26</f>
        <v>0</v>
      </c>
      <c r="V42" s="142">
        <f t="shared" si="41"/>
        <v>0</v>
      </c>
      <c r="W42" s="142">
        <f t="shared" si="41"/>
        <v>0</v>
      </c>
      <c r="X42" s="142">
        <f t="shared" si="41"/>
        <v>0</v>
      </c>
      <c r="Y42" s="143">
        <f>+Y20+Y26</f>
        <v>1606.615</v>
      </c>
      <c r="Z42" s="142">
        <f t="shared" si="41"/>
        <v>0</v>
      </c>
      <c r="AA42" s="142">
        <f t="shared" si="41"/>
        <v>0</v>
      </c>
      <c r="AB42" s="142">
        <f>+AB20+AB26</f>
        <v>0</v>
      </c>
      <c r="AC42" s="142">
        <f t="shared" si="39"/>
        <v>0</v>
      </c>
      <c r="AD42" s="142">
        <f t="shared" si="39"/>
        <v>0</v>
      </c>
      <c r="AE42" s="142">
        <f t="shared" si="39"/>
        <v>0</v>
      </c>
      <c r="AF42" s="142">
        <f t="shared" si="39"/>
        <v>0</v>
      </c>
      <c r="AG42" s="143">
        <f>+AG20+AG26</f>
        <v>1606.615</v>
      </c>
      <c r="AH42" s="142">
        <f t="shared" si="40"/>
        <v>0</v>
      </c>
      <c r="AI42" s="142">
        <f t="shared" si="40"/>
        <v>0</v>
      </c>
      <c r="AJ42" s="142">
        <f>+AJ20+AJ26</f>
        <v>0</v>
      </c>
      <c r="AK42" s="479">
        <f t="shared" si="40"/>
        <v>1606.615</v>
      </c>
    </row>
    <row r="43" spans="1:49" ht="12" customHeight="1" thickBot="1" x14ac:dyDescent="0.25">
      <c r="A43" s="482" t="s">
        <v>3</v>
      </c>
      <c r="B43" s="148">
        <f>IFERROR(+B42/B41,0)</f>
        <v>1.0042105263157894</v>
      </c>
      <c r="C43" s="148">
        <f>IFERROR(+C42/C41,0)</f>
        <v>1.0042105263157894</v>
      </c>
      <c r="D43" s="148">
        <f t="shared" ref="D43:AI43" si="42">IFERROR(+D42/D41,0)</f>
        <v>0.86545454545454548</v>
      </c>
      <c r="E43" s="148">
        <f t="shared" si="42"/>
        <v>1.0058373205741626</v>
      </c>
      <c r="F43" s="148">
        <f t="shared" si="42"/>
        <v>0.94220095693779915</v>
      </c>
      <c r="G43" s="148">
        <f t="shared" si="42"/>
        <v>0.97818181818181815</v>
      </c>
      <c r="H43" s="148">
        <f t="shared" si="42"/>
        <v>0.90555023923444977</v>
      </c>
      <c r="I43" s="148">
        <f t="shared" si="42"/>
        <v>0.98150717703349277</v>
      </c>
      <c r="J43" s="149">
        <f t="shared" ref="J43:O43" si="43">IFERROR(+J42/J41,0)</f>
        <v>0.96089413875598084</v>
      </c>
      <c r="K43" s="148">
        <f t="shared" si="43"/>
        <v>0</v>
      </c>
      <c r="L43" s="148">
        <f t="shared" si="43"/>
        <v>0</v>
      </c>
      <c r="M43" s="148">
        <f t="shared" si="43"/>
        <v>0</v>
      </c>
      <c r="N43" s="148">
        <f t="shared" si="43"/>
        <v>0</v>
      </c>
      <c r="O43" s="148">
        <f t="shared" si="43"/>
        <v>0</v>
      </c>
      <c r="P43" s="148">
        <f t="shared" ref="P43:U43" si="44">IFERROR(+P42/P41,0)</f>
        <v>0</v>
      </c>
      <c r="Q43" s="149">
        <f>IFERROR(+Q42/Q41,0)</f>
        <v>0.54908236500341767</v>
      </c>
      <c r="R43" s="148">
        <f t="shared" si="44"/>
        <v>0</v>
      </c>
      <c r="S43" s="148">
        <f t="shared" si="44"/>
        <v>0</v>
      </c>
      <c r="T43" s="148">
        <f t="shared" si="44"/>
        <v>0</v>
      </c>
      <c r="U43" s="148">
        <f t="shared" si="44"/>
        <v>0</v>
      </c>
      <c r="V43" s="148">
        <f t="shared" si="42"/>
        <v>0</v>
      </c>
      <c r="W43" s="148">
        <f t="shared" si="42"/>
        <v>0</v>
      </c>
      <c r="X43" s="148">
        <f t="shared" si="42"/>
        <v>0</v>
      </c>
      <c r="Y43" s="149">
        <f>IFERROR(+Y42/Y41,0)</f>
        <v>0.36605491000227841</v>
      </c>
      <c r="Z43" s="148">
        <f t="shared" si="42"/>
        <v>0</v>
      </c>
      <c r="AA43" s="148">
        <f t="shared" si="42"/>
        <v>0</v>
      </c>
      <c r="AB43" s="148">
        <f t="shared" si="42"/>
        <v>0</v>
      </c>
      <c r="AC43" s="148">
        <f t="shared" si="42"/>
        <v>0</v>
      </c>
      <c r="AD43" s="148">
        <f t="shared" si="42"/>
        <v>0</v>
      </c>
      <c r="AE43" s="148">
        <f t="shared" si="42"/>
        <v>0</v>
      </c>
      <c r="AF43" s="148">
        <f t="shared" si="42"/>
        <v>0</v>
      </c>
      <c r="AG43" s="149">
        <f>IFERROR(+AG42/AG41,0)</f>
        <v>0.27454118250170884</v>
      </c>
      <c r="AH43" s="148">
        <f t="shared" si="42"/>
        <v>0</v>
      </c>
      <c r="AI43" s="148">
        <f t="shared" si="42"/>
        <v>0</v>
      </c>
      <c r="AJ43" s="148">
        <f>IFERROR(+AJ42/AJ41,0)</f>
        <v>0</v>
      </c>
      <c r="AK43" s="483">
        <f>IFERROR(+AK42/AK41,0)</f>
        <v>0.25221585557299842</v>
      </c>
    </row>
    <row r="44" spans="1:49" ht="12" customHeight="1" x14ac:dyDescent="0.2">
      <c r="A44" s="476" t="s">
        <v>75</v>
      </c>
      <c r="B44" s="139">
        <f t="shared" ref="B44:AA44" si="45">+B32</f>
        <v>63</v>
      </c>
      <c r="C44" s="139">
        <f t="shared" si="45"/>
        <v>63</v>
      </c>
      <c r="D44" s="139">
        <f t="shared" si="45"/>
        <v>63</v>
      </c>
      <c r="E44" s="139">
        <f t="shared" si="45"/>
        <v>63</v>
      </c>
      <c r="F44" s="139">
        <f t="shared" si="45"/>
        <v>63</v>
      </c>
      <c r="G44" s="139">
        <f t="shared" si="45"/>
        <v>63</v>
      </c>
      <c r="H44" s="139">
        <f t="shared" si="45"/>
        <v>63</v>
      </c>
      <c r="I44" s="139">
        <f t="shared" si="45"/>
        <v>59.85</v>
      </c>
      <c r="J44" s="140">
        <f>+J32</f>
        <v>500.85</v>
      </c>
      <c r="K44" s="139">
        <f t="shared" ref="K44:M45" si="46">+K32</f>
        <v>63</v>
      </c>
      <c r="L44" s="139">
        <f t="shared" si="46"/>
        <v>63</v>
      </c>
      <c r="M44" s="139">
        <f t="shared" si="46"/>
        <v>63</v>
      </c>
      <c r="N44" s="139">
        <f>+N32</f>
        <v>63</v>
      </c>
      <c r="O44" s="139">
        <f>+O32</f>
        <v>63</v>
      </c>
      <c r="P44" s="139">
        <f t="shared" ref="P44:S45" si="47">+P32</f>
        <v>59.85</v>
      </c>
      <c r="Q44" s="140">
        <f>+Q32</f>
        <v>875.7</v>
      </c>
      <c r="R44" s="139">
        <f t="shared" si="47"/>
        <v>63</v>
      </c>
      <c r="S44" s="139">
        <f t="shared" si="47"/>
        <v>63</v>
      </c>
      <c r="T44" s="139">
        <f>+T32</f>
        <v>63</v>
      </c>
      <c r="U44" s="139">
        <f>+U32</f>
        <v>63</v>
      </c>
      <c r="V44" s="139">
        <f t="shared" si="45"/>
        <v>63</v>
      </c>
      <c r="W44" s="139">
        <f t="shared" si="45"/>
        <v>63</v>
      </c>
      <c r="X44" s="139">
        <f t="shared" si="45"/>
        <v>63</v>
      </c>
      <c r="Y44" s="140">
        <f>+Y32</f>
        <v>1316.7</v>
      </c>
      <c r="Z44" s="139">
        <f t="shared" si="45"/>
        <v>63</v>
      </c>
      <c r="AA44" s="139">
        <f t="shared" si="45"/>
        <v>63</v>
      </c>
      <c r="AB44" s="139">
        <f>+AB32</f>
        <v>63</v>
      </c>
      <c r="AC44" s="139">
        <f t="shared" ref="AC44:AF45" si="48">+AC32</f>
        <v>0</v>
      </c>
      <c r="AD44" s="139">
        <f t="shared" si="48"/>
        <v>50.4</v>
      </c>
      <c r="AE44" s="139">
        <f t="shared" si="48"/>
        <v>0</v>
      </c>
      <c r="AF44" s="139">
        <f t="shared" si="48"/>
        <v>0</v>
      </c>
      <c r="AG44" s="140">
        <f>+AG32</f>
        <v>1556.1000000000001</v>
      </c>
      <c r="AH44" s="139">
        <f t="shared" ref="AH44:AK45" si="49">+AH32</f>
        <v>0</v>
      </c>
      <c r="AI44" s="139">
        <f t="shared" si="49"/>
        <v>0</v>
      </c>
      <c r="AJ44" s="139">
        <f>+AJ32</f>
        <v>0</v>
      </c>
      <c r="AK44" s="477">
        <f t="shared" si="49"/>
        <v>1556.1000000000001</v>
      </c>
    </row>
    <row r="45" spans="1:49" ht="12" customHeight="1" x14ac:dyDescent="0.2">
      <c r="A45" s="478" t="s">
        <v>76</v>
      </c>
      <c r="B45" s="142">
        <f t="shared" ref="B45:AA45" si="50">+B33</f>
        <v>0</v>
      </c>
      <c r="C45" s="142">
        <f t="shared" si="50"/>
        <v>53.55</v>
      </c>
      <c r="D45" s="142">
        <f t="shared" si="50"/>
        <v>53.55</v>
      </c>
      <c r="E45" s="142">
        <f t="shared" si="50"/>
        <v>69.3</v>
      </c>
      <c r="F45" s="142">
        <f t="shared" si="50"/>
        <v>40.950000000000003</v>
      </c>
      <c r="G45" s="142">
        <f t="shared" si="50"/>
        <v>72.45</v>
      </c>
      <c r="H45" s="142">
        <f t="shared" si="50"/>
        <v>63</v>
      </c>
      <c r="I45" s="142">
        <f t="shared" si="50"/>
        <v>56.7</v>
      </c>
      <c r="J45" s="143">
        <f>+J33</f>
        <v>409.49999999999994</v>
      </c>
      <c r="K45" s="142">
        <f t="shared" si="46"/>
        <v>0</v>
      </c>
      <c r="L45" s="142">
        <f t="shared" si="46"/>
        <v>0</v>
      </c>
      <c r="M45" s="142">
        <f t="shared" si="46"/>
        <v>40.950000000000003</v>
      </c>
      <c r="N45" s="142">
        <f>+N33</f>
        <v>0</v>
      </c>
      <c r="O45" s="142">
        <f>+O33</f>
        <v>0</v>
      </c>
      <c r="P45" s="142">
        <f t="shared" si="47"/>
        <v>0</v>
      </c>
      <c r="Q45" s="143">
        <f>+Q33</f>
        <v>450.44999999999993</v>
      </c>
      <c r="R45" s="142">
        <f t="shared" si="47"/>
        <v>0</v>
      </c>
      <c r="S45" s="142">
        <f t="shared" si="47"/>
        <v>0</v>
      </c>
      <c r="T45" s="142">
        <f>+T33</f>
        <v>0</v>
      </c>
      <c r="U45" s="142">
        <f>+U33</f>
        <v>0</v>
      </c>
      <c r="V45" s="142">
        <f t="shared" si="50"/>
        <v>0</v>
      </c>
      <c r="W45" s="142">
        <f t="shared" si="50"/>
        <v>0</v>
      </c>
      <c r="X45" s="142">
        <f t="shared" si="50"/>
        <v>0</v>
      </c>
      <c r="Y45" s="143">
        <f>+Y33</f>
        <v>450.44999999999993</v>
      </c>
      <c r="Z45" s="142">
        <f t="shared" si="50"/>
        <v>0</v>
      </c>
      <c r="AA45" s="142">
        <f t="shared" si="50"/>
        <v>0</v>
      </c>
      <c r="AB45" s="142">
        <f>+AB33</f>
        <v>0</v>
      </c>
      <c r="AC45" s="142">
        <f t="shared" si="48"/>
        <v>0</v>
      </c>
      <c r="AD45" s="142">
        <f t="shared" si="48"/>
        <v>0</v>
      </c>
      <c r="AE45" s="142">
        <f t="shared" si="48"/>
        <v>0</v>
      </c>
      <c r="AF45" s="142">
        <f t="shared" si="48"/>
        <v>0</v>
      </c>
      <c r="AG45" s="143">
        <f>+AG33</f>
        <v>450.44999999999993</v>
      </c>
      <c r="AH45" s="142">
        <f t="shared" si="49"/>
        <v>0</v>
      </c>
      <c r="AI45" s="142">
        <f t="shared" si="49"/>
        <v>0</v>
      </c>
      <c r="AJ45" s="142">
        <f>+AJ33</f>
        <v>0</v>
      </c>
      <c r="AK45" s="479">
        <f t="shared" si="49"/>
        <v>450.44999999999993</v>
      </c>
    </row>
    <row r="46" spans="1:49" ht="12" customHeight="1" thickBot="1" x14ac:dyDescent="0.25">
      <c r="A46" s="484" t="s">
        <v>3</v>
      </c>
      <c r="B46" s="485">
        <f>IFERROR(+B45/B44,0)</f>
        <v>0</v>
      </c>
      <c r="C46" s="485">
        <f>IFERROR(+C45/C44,0)</f>
        <v>0.85</v>
      </c>
      <c r="D46" s="485">
        <f t="shared" ref="D46:AI46" si="51">IFERROR(+D45/D44,0)</f>
        <v>0.85</v>
      </c>
      <c r="E46" s="485">
        <f t="shared" si="51"/>
        <v>1.0999999999999999</v>
      </c>
      <c r="F46" s="485">
        <f t="shared" si="51"/>
        <v>0.65</v>
      </c>
      <c r="G46" s="485">
        <f t="shared" si="51"/>
        <v>1.1500000000000001</v>
      </c>
      <c r="H46" s="485">
        <f t="shared" si="51"/>
        <v>1</v>
      </c>
      <c r="I46" s="485">
        <f t="shared" si="51"/>
        <v>0.94736842105263164</v>
      </c>
      <c r="J46" s="486">
        <f t="shared" ref="J46:O46" si="52">IFERROR(+J45/J44,0)</f>
        <v>0.81761006289308158</v>
      </c>
      <c r="K46" s="485">
        <f t="shared" si="52"/>
        <v>0</v>
      </c>
      <c r="L46" s="485">
        <f t="shared" si="52"/>
        <v>0</v>
      </c>
      <c r="M46" s="485">
        <f t="shared" si="52"/>
        <v>0.65</v>
      </c>
      <c r="N46" s="485">
        <f t="shared" si="52"/>
        <v>0</v>
      </c>
      <c r="O46" s="485">
        <f t="shared" si="52"/>
        <v>0</v>
      </c>
      <c r="P46" s="485">
        <f t="shared" ref="P46:U46" si="53">IFERROR(+P45/P44,0)</f>
        <v>0</v>
      </c>
      <c r="Q46" s="486">
        <f>IFERROR(+Q45/Q44,0)</f>
        <v>0.514388489208633</v>
      </c>
      <c r="R46" s="485">
        <f t="shared" si="53"/>
        <v>0</v>
      </c>
      <c r="S46" s="485">
        <f t="shared" si="53"/>
        <v>0</v>
      </c>
      <c r="T46" s="485">
        <f t="shared" si="53"/>
        <v>0</v>
      </c>
      <c r="U46" s="485">
        <f t="shared" si="53"/>
        <v>0</v>
      </c>
      <c r="V46" s="485">
        <f t="shared" si="51"/>
        <v>0</v>
      </c>
      <c r="W46" s="485">
        <f t="shared" si="51"/>
        <v>0</v>
      </c>
      <c r="X46" s="485">
        <f t="shared" si="51"/>
        <v>0</v>
      </c>
      <c r="Y46" s="486">
        <f>IFERROR(+Y45/Y44,0)</f>
        <v>0.34210526315789469</v>
      </c>
      <c r="Z46" s="485">
        <f t="shared" si="51"/>
        <v>0</v>
      </c>
      <c r="AA46" s="485">
        <f t="shared" si="51"/>
        <v>0</v>
      </c>
      <c r="AB46" s="485">
        <f t="shared" si="51"/>
        <v>0</v>
      </c>
      <c r="AC46" s="485">
        <f t="shared" si="51"/>
        <v>0</v>
      </c>
      <c r="AD46" s="485">
        <f t="shared" si="51"/>
        <v>0</v>
      </c>
      <c r="AE46" s="485">
        <f t="shared" si="51"/>
        <v>0</v>
      </c>
      <c r="AF46" s="485">
        <f t="shared" si="51"/>
        <v>0</v>
      </c>
      <c r="AG46" s="486">
        <f>IFERROR(+AG45/AG44,0)</f>
        <v>0.28947368421052627</v>
      </c>
      <c r="AH46" s="485">
        <f t="shared" si="51"/>
        <v>0</v>
      </c>
      <c r="AI46" s="485">
        <f t="shared" si="51"/>
        <v>0</v>
      </c>
      <c r="AJ46" s="485">
        <f>IFERROR(+AJ45/AJ44,0)</f>
        <v>0</v>
      </c>
      <c r="AK46" s="487">
        <f>IFERROR(+AK45/AK44,0)</f>
        <v>0.28947368421052627</v>
      </c>
    </row>
    <row r="47" spans="1:49" ht="35.25" customHeight="1" thickBot="1" x14ac:dyDescent="0.25">
      <c r="A47" s="108"/>
      <c r="H47" s="386" t="s">
        <v>28</v>
      </c>
      <c r="I47" s="387" t="s">
        <v>77</v>
      </c>
      <c r="J47" s="150" t="s">
        <v>78</v>
      </c>
      <c r="K47" s="152" t="s">
        <v>31</v>
      </c>
      <c r="L47" s="152" t="s">
        <v>32</v>
      </c>
      <c r="Q47" s="386" t="s">
        <v>28</v>
      </c>
      <c r="R47" s="387" t="s">
        <v>77</v>
      </c>
      <c r="S47" s="150" t="s">
        <v>78</v>
      </c>
      <c r="T47" s="152" t="s">
        <v>31</v>
      </c>
      <c r="U47" s="152" t="s">
        <v>32</v>
      </c>
      <c r="X47" s="386" t="s">
        <v>28</v>
      </c>
      <c r="Y47" s="387" t="s">
        <v>77</v>
      </c>
      <c r="Z47" s="150" t="s">
        <v>78</v>
      </c>
      <c r="AA47" s="152" t="s">
        <v>31</v>
      </c>
      <c r="AB47" s="152" t="s">
        <v>32</v>
      </c>
      <c r="AF47" s="386" t="s">
        <v>28</v>
      </c>
      <c r="AG47" s="279" t="s">
        <v>77</v>
      </c>
      <c r="AH47" s="150" t="s">
        <v>78</v>
      </c>
      <c r="AI47" s="152" t="s">
        <v>31</v>
      </c>
      <c r="AJ47" s="152" t="s">
        <v>32</v>
      </c>
      <c r="AL47" s="386" t="s">
        <v>28</v>
      </c>
      <c r="AM47" s="415" t="s">
        <v>77</v>
      </c>
      <c r="AN47" s="157" t="s">
        <v>78</v>
      </c>
      <c r="AO47" s="152" t="s">
        <v>31</v>
      </c>
      <c r="AP47" s="152" t="s">
        <v>32</v>
      </c>
      <c r="AS47" s="155" t="s">
        <v>28</v>
      </c>
      <c r="AT47" s="156" t="s">
        <v>77</v>
      </c>
      <c r="AU47" s="157" t="s">
        <v>78</v>
      </c>
      <c r="AV47" s="152" t="s">
        <v>31</v>
      </c>
      <c r="AW47" s="152" t="s">
        <v>32</v>
      </c>
    </row>
    <row r="48" spans="1:49" ht="35.25" customHeight="1" x14ac:dyDescent="0.2">
      <c r="A48" s="152"/>
      <c r="H48" s="163" t="s">
        <v>79</v>
      </c>
      <c r="I48" s="159">
        <f>+J35</f>
        <v>2765</v>
      </c>
      <c r="J48" s="160">
        <f>+J36</f>
        <v>2713.2500000000005</v>
      </c>
      <c r="K48" s="161">
        <f>IFERROR(J48/I48,0)</f>
        <v>0.98128390596745041</v>
      </c>
      <c r="L48" s="154">
        <f>+J48-I48</f>
        <v>-51.749999999999545</v>
      </c>
      <c r="Q48" s="163" t="s">
        <v>79</v>
      </c>
      <c r="R48" s="159">
        <f>+Q35</f>
        <v>4820</v>
      </c>
      <c r="S48" s="160">
        <f>+Q36</f>
        <v>2713.2500000000005</v>
      </c>
      <c r="T48" s="161">
        <f>IFERROR(S48/R48,0)</f>
        <v>0.56291493775933621</v>
      </c>
      <c r="U48" s="154">
        <f>+S48-R48</f>
        <v>-2106.7499999999995</v>
      </c>
      <c r="X48" s="163" t="s">
        <v>79</v>
      </c>
      <c r="Y48" s="159">
        <f>+Y35</f>
        <v>7230</v>
      </c>
      <c r="Z48" s="160">
        <f>+Y36</f>
        <v>2713.2500000000005</v>
      </c>
      <c r="AA48" s="161">
        <f>IFERROR(Z48/Y48,0)</f>
        <v>0.37527662517289079</v>
      </c>
      <c r="AB48" s="154">
        <f>+Z48-Y48</f>
        <v>-4516.75</v>
      </c>
      <c r="AF48" s="163" t="s">
        <v>79</v>
      </c>
      <c r="AG48" s="162">
        <f>+AG35</f>
        <v>9640</v>
      </c>
      <c r="AH48" s="160">
        <f>+AG36</f>
        <v>2713.2500000000005</v>
      </c>
      <c r="AI48" s="161">
        <f>IFERROR(AH48/AG48,0)</f>
        <v>0.2814574688796681</v>
      </c>
      <c r="AJ48" s="154">
        <f>+AH48-AG48</f>
        <v>-6926.75</v>
      </c>
      <c r="AL48" s="163" t="s">
        <v>79</v>
      </c>
      <c r="AM48" s="164">
        <f>+AK35</f>
        <v>10450</v>
      </c>
      <c r="AN48" s="165">
        <f>+AK36</f>
        <v>2713.2500000000005</v>
      </c>
      <c r="AO48" s="161">
        <f>IFERROR(AN48/AM48,0)</f>
        <v>0.25964114832535889</v>
      </c>
      <c r="AP48" s="154">
        <f>+AN48-AM48</f>
        <v>-7736.75</v>
      </c>
      <c r="AS48" s="163" t="s">
        <v>79</v>
      </c>
      <c r="AT48" s="164">
        <f>+AK35</f>
        <v>10450</v>
      </c>
      <c r="AU48" s="165">
        <f>+AK36</f>
        <v>2713.2500000000005</v>
      </c>
      <c r="AV48" s="161">
        <f>IFERROR(AU48/AT48,0)</f>
        <v>0.25964114832535889</v>
      </c>
      <c r="AW48" s="154">
        <f>+AU48-AT48</f>
        <v>-7736.75</v>
      </c>
    </row>
    <row r="49" spans="1:49" ht="35.25" customHeight="1" x14ac:dyDescent="0.2">
      <c r="A49" s="166"/>
      <c r="H49" s="163" t="s">
        <v>80</v>
      </c>
      <c r="I49" s="167">
        <f>+J38</f>
        <v>205</v>
      </c>
      <c r="J49" s="165">
        <f>+J39</f>
        <v>235.87300000000002</v>
      </c>
      <c r="K49" s="161">
        <f>IFERROR(J49/I49,0)</f>
        <v>1.1506000000000001</v>
      </c>
      <c r="L49" s="154">
        <f>+J49-I49</f>
        <v>30.873000000000019</v>
      </c>
      <c r="Q49" s="163" t="s">
        <v>80</v>
      </c>
      <c r="R49" s="167">
        <f>+Q38</f>
        <v>405</v>
      </c>
      <c r="S49" s="165">
        <f>+Q39</f>
        <v>235.87300000000002</v>
      </c>
      <c r="T49" s="161">
        <f>IFERROR(S49/R49,0)</f>
        <v>0.58240246913580251</v>
      </c>
      <c r="U49" s="154">
        <f>+S49-R49</f>
        <v>-169.12699999999998</v>
      </c>
      <c r="X49" s="163" t="s">
        <v>80</v>
      </c>
      <c r="Y49" s="167">
        <f>+Y38</f>
        <v>618</v>
      </c>
      <c r="Z49" s="165">
        <f>+Y39</f>
        <v>235.87300000000002</v>
      </c>
      <c r="AA49" s="161">
        <f>IFERROR(Z49/Y49,0)</f>
        <v>0.38167152103559876</v>
      </c>
      <c r="AB49" s="154">
        <f>+Z49-Y49</f>
        <v>-382.12699999999995</v>
      </c>
      <c r="AF49" s="163" t="s">
        <v>80</v>
      </c>
      <c r="AG49" s="164">
        <f>+AG38</f>
        <v>828</v>
      </c>
      <c r="AH49" s="165">
        <f>+AG39</f>
        <v>235.87300000000002</v>
      </c>
      <c r="AI49" s="161">
        <f>IFERROR(AH49/AG49,0)</f>
        <v>0.28487077294685992</v>
      </c>
      <c r="AJ49" s="154">
        <f>+AH49-AG49</f>
        <v>-592.12699999999995</v>
      </c>
      <c r="AL49" s="163" t="s">
        <v>80</v>
      </c>
      <c r="AM49" s="164">
        <f>+AK38</f>
        <v>898</v>
      </c>
      <c r="AN49" s="165">
        <f>+AK39</f>
        <v>235.87300000000002</v>
      </c>
      <c r="AO49" s="161">
        <f>IFERROR(AN49/AM49,0)</f>
        <v>0.26266481069042319</v>
      </c>
      <c r="AP49" s="154">
        <f>+AN49-AM49</f>
        <v>-662.12699999999995</v>
      </c>
      <c r="AS49" s="163" t="s">
        <v>80</v>
      </c>
      <c r="AT49" s="164">
        <f>+AK38</f>
        <v>898</v>
      </c>
      <c r="AU49" s="165">
        <f>+AK39</f>
        <v>235.87300000000002</v>
      </c>
      <c r="AV49" s="161">
        <f>IFERROR(AU49/AT49,0)</f>
        <v>0.26266481069042319</v>
      </c>
      <c r="AW49" s="154">
        <f>+AU49-AT49</f>
        <v>-662.12699999999995</v>
      </c>
    </row>
    <row r="50" spans="1:49" ht="35.25" customHeight="1" x14ac:dyDescent="0.2">
      <c r="A50" s="166"/>
      <c r="H50" s="163" t="s">
        <v>81</v>
      </c>
      <c r="I50" s="167">
        <f>+J41</f>
        <v>1672</v>
      </c>
      <c r="J50" s="165">
        <f>+J42</f>
        <v>1606.615</v>
      </c>
      <c r="K50" s="161">
        <f>IFERROR(J50/I50,0)</f>
        <v>0.96089413875598084</v>
      </c>
      <c r="L50" s="154">
        <f>+J50-I50</f>
        <v>-65.384999999999991</v>
      </c>
      <c r="Q50" s="163" t="s">
        <v>81</v>
      </c>
      <c r="R50" s="167">
        <f>+Q41</f>
        <v>2926</v>
      </c>
      <c r="S50" s="165">
        <f>+Q42</f>
        <v>1606.615</v>
      </c>
      <c r="T50" s="161">
        <f>IFERROR(S50/R50,0)</f>
        <v>0.54908236500341767</v>
      </c>
      <c r="U50" s="154">
        <f>+S50-R50</f>
        <v>-1319.385</v>
      </c>
      <c r="X50" s="163" t="s">
        <v>81</v>
      </c>
      <c r="Y50" s="167">
        <f>+Y41</f>
        <v>4389</v>
      </c>
      <c r="Z50" s="165">
        <f>+Y42</f>
        <v>1606.615</v>
      </c>
      <c r="AA50" s="161">
        <f>IFERROR(Z50/Y50,0)</f>
        <v>0.36605491000227841</v>
      </c>
      <c r="AB50" s="154">
        <f>+Z50-Y50</f>
        <v>-2782.3850000000002</v>
      </c>
      <c r="AF50" s="163" t="s">
        <v>81</v>
      </c>
      <c r="AG50" s="154">
        <f>+AG41</f>
        <v>5852</v>
      </c>
      <c r="AH50" s="165">
        <f>+AG42</f>
        <v>1606.615</v>
      </c>
      <c r="AI50" s="161">
        <f>IFERROR(AH50/AG50,0)</f>
        <v>0.27454118250170884</v>
      </c>
      <c r="AJ50" s="154">
        <f>+AH50-AG50</f>
        <v>-4245.3850000000002</v>
      </c>
      <c r="AL50" s="163" t="s">
        <v>81</v>
      </c>
      <c r="AM50" s="154">
        <f>+AK41</f>
        <v>6370</v>
      </c>
      <c r="AN50" s="165">
        <f>+AK42</f>
        <v>1606.615</v>
      </c>
      <c r="AO50" s="161">
        <f>IFERROR(AN50/AM50,0)</f>
        <v>0.25221585557299842</v>
      </c>
      <c r="AP50" s="154">
        <f>+AN50-AM50</f>
        <v>-4763.3850000000002</v>
      </c>
      <c r="AS50" s="163" t="s">
        <v>81</v>
      </c>
      <c r="AT50" s="154">
        <f>+AK41</f>
        <v>6370</v>
      </c>
      <c r="AU50" s="165">
        <f>+AK42</f>
        <v>1606.615</v>
      </c>
      <c r="AV50" s="161">
        <f>IFERROR(AU50/AT50,0)</f>
        <v>0.25221585557299842</v>
      </c>
      <c r="AW50" s="154">
        <f>+AU50-AT50</f>
        <v>-4763.3850000000002</v>
      </c>
    </row>
    <row r="51" spans="1:49" ht="35.25" customHeight="1" thickBot="1" x14ac:dyDescent="0.25">
      <c r="A51" s="166"/>
      <c r="H51" s="168" t="s">
        <v>82</v>
      </c>
      <c r="I51" s="169">
        <f>+J44</f>
        <v>500.85</v>
      </c>
      <c r="J51" s="170">
        <f>+J45</f>
        <v>409.49999999999994</v>
      </c>
      <c r="K51" s="161">
        <f>IFERROR(J51/I51,0)</f>
        <v>0.81761006289308158</v>
      </c>
      <c r="L51" s="154">
        <f>+J51-I51</f>
        <v>-91.35000000000008</v>
      </c>
      <c r="Q51" s="168" t="s">
        <v>82</v>
      </c>
      <c r="R51" s="169">
        <f>+Q44</f>
        <v>875.7</v>
      </c>
      <c r="S51" s="170">
        <f>+Q45</f>
        <v>450.44999999999993</v>
      </c>
      <c r="T51" s="161">
        <f>IFERROR(S51/R51,0)</f>
        <v>0.514388489208633</v>
      </c>
      <c r="U51" s="154">
        <f>+S51-R51</f>
        <v>-425.25000000000011</v>
      </c>
      <c r="X51" s="168" t="s">
        <v>82</v>
      </c>
      <c r="Y51" s="169">
        <f>+Y44</f>
        <v>1316.7</v>
      </c>
      <c r="Z51" s="170">
        <f>+Y45</f>
        <v>450.44999999999993</v>
      </c>
      <c r="AA51" s="161">
        <f>IFERROR(Z51/Y51,0)</f>
        <v>0.34210526315789469</v>
      </c>
      <c r="AB51" s="154">
        <f>+Z51-Y51</f>
        <v>-866.25000000000011</v>
      </c>
      <c r="AF51" s="168" t="s">
        <v>82</v>
      </c>
      <c r="AG51" s="171">
        <f>+AG44</f>
        <v>1556.1000000000001</v>
      </c>
      <c r="AH51" s="170">
        <f>+AG45</f>
        <v>450.44999999999993</v>
      </c>
      <c r="AI51" s="161">
        <f>IFERROR(AH51/AG51,0)</f>
        <v>0.28947368421052627</v>
      </c>
      <c r="AJ51" s="154">
        <f>+AH51-AG51</f>
        <v>-1105.6500000000001</v>
      </c>
      <c r="AL51" s="168" t="s">
        <v>82</v>
      </c>
      <c r="AM51" s="171">
        <f>+AK44</f>
        <v>1556.1000000000001</v>
      </c>
      <c r="AN51" s="170">
        <f>+AK45</f>
        <v>450.44999999999993</v>
      </c>
      <c r="AO51" s="161">
        <f>IFERROR(AN51/AM51,0)</f>
        <v>0.28947368421052627</v>
      </c>
      <c r="AP51" s="154">
        <f>+AN51-AM51</f>
        <v>-1105.6500000000001</v>
      </c>
      <c r="AS51" s="168" t="s">
        <v>82</v>
      </c>
      <c r="AT51" s="171">
        <f>+AK44</f>
        <v>1556.1000000000001</v>
      </c>
      <c r="AU51" s="170">
        <f>+AK45</f>
        <v>450.44999999999993</v>
      </c>
      <c r="AV51" s="161">
        <f>IFERROR(AU51/AT51,0)</f>
        <v>0.28947368421052627</v>
      </c>
      <c r="AW51" s="154">
        <f>+AU51-AT51</f>
        <v>-1105.6500000000001</v>
      </c>
    </row>
    <row r="52" spans="1:49" ht="35.25" customHeight="1" thickBot="1" x14ac:dyDescent="0.25">
      <c r="A52" s="166"/>
      <c r="H52" s="172" t="s">
        <v>38</v>
      </c>
      <c r="I52" s="173">
        <f>SUM(I48:I51)</f>
        <v>5142.8500000000004</v>
      </c>
      <c r="J52" s="174">
        <f>SUM(J48:J51)</f>
        <v>4965.2380000000003</v>
      </c>
      <c r="K52" s="175">
        <f>IFERROR(J52/I52,0)</f>
        <v>0.96546428536706297</v>
      </c>
      <c r="L52" s="176">
        <f>+J52-I52</f>
        <v>-177.61200000000008</v>
      </c>
      <c r="Q52" s="172" t="s">
        <v>38</v>
      </c>
      <c r="R52" s="173">
        <f>SUM(R48:R51)</f>
        <v>9026.7000000000007</v>
      </c>
      <c r="S52" s="174">
        <f>SUM(S48:S51)</f>
        <v>5006.1880000000001</v>
      </c>
      <c r="T52" s="175">
        <f>IFERROR(S52/R52,0)</f>
        <v>0.55459780429171235</v>
      </c>
      <c r="U52" s="176">
        <f>+S52-R52</f>
        <v>-4020.5120000000006</v>
      </c>
      <c r="X52" s="172" t="s">
        <v>38</v>
      </c>
      <c r="Y52" s="173">
        <f>SUM(Y48:Y51)</f>
        <v>13553.7</v>
      </c>
      <c r="Z52" s="174">
        <f>SUM(Z48:Z51)</f>
        <v>5006.1880000000001</v>
      </c>
      <c r="AA52" s="175">
        <f>IFERROR(Z52/Y52,0)</f>
        <v>0.36935951068711864</v>
      </c>
      <c r="AB52" s="176">
        <f>+Z52-Y52</f>
        <v>-8547.5120000000006</v>
      </c>
      <c r="AF52" s="172" t="s">
        <v>38</v>
      </c>
      <c r="AG52" s="173">
        <f>SUM(AG48:AG51)</f>
        <v>17876.099999999999</v>
      </c>
      <c r="AH52" s="174">
        <f>SUM(AH48:AH51)</f>
        <v>5006.1880000000001</v>
      </c>
      <c r="AI52" s="175">
        <f>IFERROR(AH52/AG52,0)</f>
        <v>0.28004922773983143</v>
      </c>
      <c r="AJ52" s="176">
        <f>+AH52-AG52</f>
        <v>-12869.911999999998</v>
      </c>
      <c r="AL52" s="172" t="s">
        <v>38</v>
      </c>
      <c r="AM52" s="173">
        <f>SUM(AM48:AM51)</f>
        <v>19274.099999999999</v>
      </c>
      <c r="AN52" s="174">
        <f>SUM(AN48:AN51)</f>
        <v>5006.1880000000001</v>
      </c>
      <c r="AO52" s="175">
        <f>IFERROR(AN52/AM52,0)</f>
        <v>0.25973653763340443</v>
      </c>
      <c r="AP52" s="176">
        <f>+AN52-AM52</f>
        <v>-14267.911999999998</v>
      </c>
      <c r="AS52" s="172" t="s">
        <v>38</v>
      </c>
      <c r="AT52" s="173">
        <f>SUM(AT48:AT51)</f>
        <v>19274.099999999999</v>
      </c>
      <c r="AU52" s="174">
        <f>SUM(AU48:AU51)</f>
        <v>5006.1880000000001</v>
      </c>
      <c r="AV52" s="175">
        <f>IFERROR(AU52/AT52,0)</f>
        <v>0.25973653763340443</v>
      </c>
      <c r="AW52" s="176">
        <f>+AU52-AT52</f>
        <v>-14267.911999999998</v>
      </c>
    </row>
    <row r="53" spans="1:49" ht="18" customHeight="1" x14ac:dyDescent="0.2">
      <c r="A53" s="166"/>
      <c r="B53" s="108"/>
      <c r="C53" s="108"/>
      <c r="D53" s="108"/>
      <c r="E53" s="108"/>
      <c r="F53" s="108"/>
      <c r="G53" s="108"/>
      <c r="H53" s="108"/>
      <c r="I53" s="108"/>
      <c r="J53" s="108"/>
      <c r="K53" s="108"/>
      <c r="L53" s="108"/>
      <c r="M53" s="108"/>
      <c r="N53" s="108"/>
      <c r="O53" s="178"/>
      <c r="P53" s="178"/>
      <c r="Q53" s="178"/>
      <c r="R53" s="178"/>
      <c r="S53" s="108"/>
      <c r="T53" s="108"/>
      <c r="U53" s="178"/>
      <c r="V53" s="178"/>
      <c r="W53" s="178"/>
      <c r="X53" s="108"/>
      <c r="Y53" s="108"/>
      <c r="Z53" s="108"/>
      <c r="AA53" s="108"/>
      <c r="AC53" s="108"/>
      <c r="AD53" s="108"/>
      <c r="AE53" s="108"/>
      <c r="AF53" s="108"/>
      <c r="AG53" s="108"/>
      <c r="AH53" s="108"/>
      <c r="AI53" s="108"/>
      <c r="AJ53" s="108"/>
      <c r="AK53" s="108"/>
      <c r="AL53" s="108"/>
      <c r="AM53" s="108"/>
      <c r="AN53" s="108"/>
      <c r="AO53" s="108"/>
    </row>
    <row r="54" spans="1:49" ht="12" customHeight="1" x14ac:dyDescent="0.2">
      <c r="A54" s="179"/>
      <c r="B54" s="108"/>
      <c r="C54" s="108"/>
      <c r="D54" s="108"/>
      <c r="E54" s="108"/>
      <c r="F54" s="108"/>
      <c r="G54" s="108"/>
      <c r="H54" s="108"/>
      <c r="I54" s="108"/>
      <c r="J54" s="108"/>
      <c r="K54" s="108"/>
      <c r="L54" s="108"/>
      <c r="M54" s="108"/>
      <c r="N54" s="108"/>
      <c r="O54" s="178"/>
      <c r="P54" s="178"/>
      <c r="Q54" s="178"/>
      <c r="R54" s="178"/>
      <c r="S54" s="154"/>
      <c r="T54" s="154"/>
      <c r="U54" s="178"/>
      <c r="V54" s="178"/>
      <c r="W54" s="178"/>
      <c r="X54" s="108"/>
      <c r="Y54" s="108"/>
      <c r="Z54" s="108"/>
      <c r="AA54" s="108"/>
      <c r="AC54" s="108"/>
      <c r="AD54" s="108"/>
      <c r="AE54" s="108"/>
      <c r="AF54" s="108"/>
      <c r="AG54" s="108"/>
      <c r="AH54" s="108"/>
      <c r="AI54" s="108"/>
      <c r="AJ54" s="108"/>
      <c r="AK54" s="108"/>
      <c r="AL54" s="108"/>
      <c r="AM54" s="108"/>
      <c r="AN54" s="108"/>
      <c r="AO54" s="108"/>
    </row>
    <row r="55" spans="1:49" ht="12" customHeight="1" x14ac:dyDescent="0.2">
      <c r="A55" s="179"/>
      <c r="B55" s="108"/>
      <c r="C55" s="108"/>
      <c r="D55" s="108"/>
      <c r="E55" s="108"/>
      <c r="F55" s="108"/>
      <c r="G55" s="108"/>
      <c r="H55" s="108"/>
      <c r="I55" s="108"/>
      <c r="J55" s="108"/>
      <c r="K55" s="108"/>
      <c r="L55" s="108"/>
      <c r="M55" s="108"/>
      <c r="N55" s="108"/>
      <c r="O55" s="178"/>
      <c r="P55" s="178"/>
      <c r="Q55" s="178"/>
      <c r="R55" s="178"/>
      <c r="S55" s="108"/>
      <c r="T55" s="108"/>
      <c r="U55" s="178"/>
      <c r="V55" s="178"/>
      <c r="W55" s="178"/>
      <c r="X55" s="108"/>
      <c r="Y55" s="108"/>
      <c r="Z55" s="108"/>
      <c r="AA55" s="108"/>
      <c r="AC55" s="108"/>
      <c r="AD55" s="108"/>
      <c r="AE55" s="108"/>
      <c r="AF55" s="108"/>
      <c r="AG55" s="108"/>
      <c r="AH55" s="108"/>
      <c r="AI55" s="108"/>
      <c r="AJ55" s="108"/>
      <c r="AK55" s="108"/>
      <c r="AL55" s="108"/>
      <c r="AM55" s="108"/>
      <c r="AN55" s="108"/>
      <c r="AO55" s="108"/>
    </row>
    <row r="56" spans="1:49" ht="12" customHeight="1" x14ac:dyDescent="0.2">
      <c r="A56" s="179"/>
      <c r="B56" s="108"/>
      <c r="C56" s="108"/>
      <c r="D56" s="108"/>
      <c r="E56" s="108"/>
      <c r="F56" s="108"/>
      <c r="G56" s="108"/>
      <c r="H56" s="108"/>
      <c r="I56" s="108"/>
      <c r="J56" s="108"/>
      <c r="K56" s="108"/>
      <c r="L56" s="108"/>
      <c r="M56" s="108"/>
      <c r="N56" s="108"/>
      <c r="O56" s="178"/>
      <c r="P56" s="178"/>
      <c r="Q56" s="178"/>
      <c r="R56" s="178"/>
      <c r="S56" s="154"/>
      <c r="T56" s="154"/>
      <c r="U56" s="178"/>
      <c r="V56" s="178"/>
      <c r="W56" s="178"/>
      <c r="X56" s="108"/>
      <c r="Y56" s="108"/>
      <c r="Z56" s="108"/>
      <c r="AA56" s="108"/>
      <c r="AC56" s="108"/>
      <c r="AD56" s="108"/>
      <c r="AE56" s="108"/>
      <c r="AF56" s="108"/>
      <c r="AG56" s="108"/>
      <c r="AH56" s="108"/>
      <c r="AI56" s="154"/>
      <c r="AJ56" s="154"/>
      <c r="AK56" s="154"/>
      <c r="AL56" s="154"/>
      <c r="AM56" s="154"/>
      <c r="AN56" s="154"/>
      <c r="AO56" s="154"/>
    </row>
    <row r="57" spans="1:49" ht="12" customHeight="1" x14ac:dyDescent="0.2">
      <c r="A57" s="179"/>
      <c r="B57" s="108"/>
      <c r="C57" s="108"/>
      <c r="D57" s="108"/>
      <c r="E57" s="108"/>
      <c r="F57" s="108"/>
      <c r="G57" s="108"/>
      <c r="H57" s="108"/>
      <c r="I57" s="108"/>
      <c r="J57" s="108"/>
      <c r="K57" s="108"/>
      <c r="L57" s="108"/>
      <c r="M57" s="108"/>
      <c r="N57" s="108"/>
      <c r="O57" s="178"/>
      <c r="P57" s="178"/>
      <c r="Q57" s="178"/>
      <c r="R57" s="178"/>
      <c r="S57" s="108"/>
      <c r="T57" s="108"/>
      <c r="U57" s="178"/>
      <c r="V57" s="178"/>
      <c r="W57" s="178"/>
      <c r="X57" s="108"/>
      <c r="Y57" s="108"/>
      <c r="Z57" s="108"/>
      <c r="AA57" s="108"/>
      <c r="AC57" s="108"/>
      <c r="AD57" s="108"/>
      <c r="AE57" s="108"/>
      <c r="AF57" s="108"/>
      <c r="AG57" s="108"/>
      <c r="AH57" s="108"/>
      <c r="AI57" s="108"/>
      <c r="AJ57" s="108"/>
      <c r="AK57" s="108"/>
      <c r="AL57" s="108"/>
      <c r="AM57" s="108"/>
      <c r="AN57" s="108"/>
      <c r="AO57" s="108"/>
    </row>
    <row r="58" spans="1:49" ht="12" customHeight="1" x14ac:dyDescent="0.2">
      <c r="A58" s="179"/>
      <c r="B58" s="108"/>
      <c r="C58" s="108"/>
      <c r="D58" s="108"/>
      <c r="E58" s="108"/>
      <c r="F58" s="108"/>
      <c r="G58" s="108"/>
      <c r="H58" s="108"/>
      <c r="I58" s="108"/>
      <c r="J58" s="108"/>
      <c r="K58" s="108"/>
      <c r="L58" s="108"/>
      <c r="M58" s="108"/>
      <c r="N58" s="108"/>
      <c r="O58" s="178"/>
      <c r="P58" s="178"/>
      <c r="Q58" s="178"/>
      <c r="R58" s="178"/>
      <c r="S58" s="154"/>
      <c r="T58" s="154"/>
      <c r="U58" s="178"/>
      <c r="V58" s="178"/>
      <c r="W58" s="178"/>
      <c r="X58" s="108"/>
      <c r="Y58" s="108"/>
      <c r="Z58" s="108"/>
      <c r="AA58" s="108"/>
      <c r="AC58" s="108"/>
      <c r="AD58" s="108"/>
      <c r="AE58" s="108"/>
      <c r="AF58" s="108"/>
      <c r="AG58" s="108"/>
      <c r="AH58" s="108"/>
      <c r="AI58" s="154"/>
      <c r="AJ58" s="154"/>
      <c r="AK58" s="154"/>
      <c r="AL58" s="154"/>
      <c r="AM58" s="154"/>
      <c r="AN58" s="154"/>
      <c r="AO58" s="154"/>
    </row>
    <row r="59" spans="1:49" ht="12" customHeight="1" x14ac:dyDescent="0.2">
      <c r="A59" s="179"/>
      <c r="B59" s="108"/>
      <c r="C59" s="108"/>
      <c r="D59" s="108"/>
      <c r="E59" s="108"/>
      <c r="F59" s="108"/>
      <c r="G59" s="108"/>
      <c r="H59" s="108"/>
      <c r="I59" s="108"/>
      <c r="J59" s="108"/>
      <c r="K59" s="108"/>
      <c r="L59" s="108"/>
      <c r="M59" s="108"/>
      <c r="N59" s="108"/>
      <c r="O59" s="178"/>
      <c r="P59" s="178"/>
      <c r="Q59" s="178"/>
      <c r="R59" s="178"/>
      <c r="S59" s="108"/>
      <c r="T59" s="108"/>
      <c r="U59" s="178"/>
      <c r="V59" s="178"/>
      <c r="W59" s="178"/>
      <c r="X59" s="108"/>
      <c r="Y59" s="108"/>
      <c r="Z59" s="108"/>
      <c r="AA59" s="108"/>
      <c r="AC59" s="108"/>
      <c r="AD59" s="108"/>
      <c r="AE59" s="108"/>
      <c r="AF59" s="108"/>
      <c r="AG59" s="108"/>
      <c r="AH59" s="108"/>
      <c r="AI59" s="108"/>
      <c r="AJ59" s="108"/>
      <c r="AK59" s="108"/>
      <c r="AL59" s="108"/>
      <c r="AM59" s="108"/>
      <c r="AN59" s="108"/>
      <c r="AO59" s="108"/>
    </row>
    <row r="60" spans="1:49" ht="12" customHeight="1" x14ac:dyDescent="0.2">
      <c r="A60" s="179"/>
      <c r="B60" s="108"/>
      <c r="C60" s="108"/>
      <c r="D60" s="108"/>
      <c r="E60" s="108"/>
      <c r="F60" s="108"/>
      <c r="G60" s="108"/>
      <c r="H60" s="108"/>
      <c r="I60" s="108"/>
      <c r="J60" s="108"/>
      <c r="K60" s="108"/>
      <c r="L60" s="108"/>
      <c r="M60" s="108"/>
      <c r="N60" s="108"/>
      <c r="O60" s="178"/>
      <c r="P60" s="178"/>
      <c r="Q60" s="178"/>
      <c r="R60" s="178"/>
      <c r="S60" s="154"/>
      <c r="T60" s="154"/>
      <c r="U60" s="178"/>
      <c r="V60" s="178"/>
      <c r="W60" s="178"/>
      <c r="X60" s="108"/>
      <c r="Y60" s="108"/>
      <c r="Z60" s="108"/>
      <c r="AA60" s="108"/>
      <c r="AB60" s="108"/>
      <c r="AC60" s="108"/>
      <c r="AD60" s="108"/>
      <c r="AE60" s="108"/>
      <c r="AF60" s="108"/>
      <c r="AG60" s="108"/>
      <c r="AH60" s="108"/>
      <c r="AI60" s="108"/>
      <c r="AJ60" s="108"/>
      <c r="AK60" s="108"/>
      <c r="AL60" s="108"/>
      <c r="AM60" s="108"/>
      <c r="AN60" s="108"/>
      <c r="AO60" s="108"/>
    </row>
    <row r="61" spans="1:49" ht="12" customHeight="1" x14ac:dyDescent="0.2">
      <c r="A61" s="179"/>
      <c r="B61" s="108"/>
      <c r="C61" s="108"/>
      <c r="D61" s="108"/>
      <c r="E61" s="108"/>
      <c r="F61" s="108"/>
      <c r="G61" s="108"/>
      <c r="H61" s="108"/>
      <c r="I61" s="108"/>
      <c r="J61" s="108"/>
      <c r="K61" s="108"/>
      <c r="L61" s="108"/>
      <c r="M61" s="108"/>
      <c r="N61" s="108"/>
      <c r="O61" s="178"/>
      <c r="P61" s="178"/>
      <c r="Q61" s="178"/>
      <c r="R61" s="178"/>
      <c r="S61" s="178"/>
      <c r="T61" s="178"/>
      <c r="U61" s="178"/>
      <c r="V61" s="178"/>
      <c r="W61" s="178"/>
      <c r="X61" s="108"/>
      <c r="Y61" s="108"/>
      <c r="Z61" s="108"/>
      <c r="AA61" s="108"/>
      <c r="AB61" s="108"/>
      <c r="AC61" s="108"/>
      <c r="AD61" s="108"/>
      <c r="AE61" s="108"/>
      <c r="AF61" s="108"/>
      <c r="AG61" s="108"/>
      <c r="AH61" s="108"/>
      <c r="AI61" s="108"/>
      <c r="AJ61" s="108"/>
      <c r="AK61" s="108"/>
      <c r="AL61" s="108"/>
      <c r="AM61" s="108"/>
      <c r="AN61" s="108"/>
      <c r="AO61" s="108"/>
    </row>
    <row r="62" spans="1:49" ht="12" customHeight="1" x14ac:dyDescent="0.2">
      <c r="A62" s="179"/>
      <c r="B62" s="108"/>
      <c r="C62" s="108"/>
      <c r="D62" s="108"/>
      <c r="E62" s="108"/>
      <c r="F62" s="108"/>
      <c r="G62" s="108"/>
      <c r="H62" s="108"/>
      <c r="I62" s="108"/>
      <c r="J62" s="108"/>
      <c r="K62" s="108"/>
      <c r="L62" s="108"/>
      <c r="M62" s="108"/>
      <c r="N62" s="108"/>
      <c r="O62" s="178"/>
      <c r="P62" s="178"/>
      <c r="Q62" s="178"/>
      <c r="R62" s="178"/>
      <c r="S62" s="178"/>
      <c r="T62" s="178"/>
      <c r="U62" s="178"/>
      <c r="V62" s="178"/>
      <c r="W62" s="178"/>
      <c r="X62" s="108"/>
      <c r="Y62" s="108"/>
      <c r="Z62" s="108"/>
      <c r="AA62" s="108"/>
      <c r="AB62" s="108"/>
      <c r="AC62" s="108"/>
      <c r="AD62" s="108"/>
      <c r="AE62" s="108"/>
      <c r="AF62" s="108"/>
      <c r="AG62" s="108"/>
      <c r="AH62" s="108"/>
      <c r="AI62" s="108"/>
      <c r="AJ62" s="108"/>
      <c r="AK62" s="108"/>
      <c r="AL62" s="108"/>
      <c r="AM62" s="108"/>
      <c r="AN62" s="108"/>
      <c r="AO62" s="108"/>
    </row>
    <row r="63" spans="1:49" ht="12" customHeight="1" x14ac:dyDescent="0.2">
      <c r="A63" s="179"/>
      <c r="B63" s="108"/>
      <c r="C63" s="108"/>
      <c r="D63" s="108"/>
      <c r="E63" s="108"/>
      <c r="F63" s="108"/>
      <c r="G63" s="108"/>
      <c r="H63" s="108"/>
      <c r="I63" s="108"/>
      <c r="J63" s="108"/>
      <c r="K63" s="108"/>
      <c r="L63" s="108"/>
      <c r="M63" s="108"/>
      <c r="N63" s="108"/>
      <c r="O63" s="178"/>
      <c r="P63" s="178"/>
      <c r="Q63" s="178"/>
      <c r="R63" s="178"/>
      <c r="S63" s="107"/>
      <c r="T63" s="107"/>
      <c r="U63" s="178"/>
      <c r="V63" s="178"/>
      <c r="W63" s="178"/>
      <c r="X63" s="108"/>
      <c r="Y63" s="108"/>
      <c r="Z63" s="108"/>
      <c r="AA63" s="108"/>
      <c r="AB63" s="108"/>
      <c r="AC63" s="108"/>
      <c r="AD63" s="108"/>
      <c r="AE63" s="108"/>
      <c r="AF63" s="108"/>
      <c r="AG63" s="108"/>
      <c r="AH63" s="108"/>
      <c r="AI63" s="108"/>
      <c r="AJ63" s="108"/>
      <c r="AK63" s="108"/>
      <c r="AL63" s="108"/>
      <c r="AM63" s="108"/>
      <c r="AN63" s="108"/>
      <c r="AO63" s="108"/>
    </row>
    <row r="64" spans="1:49" ht="12" customHeight="1" x14ac:dyDescent="0.2">
      <c r="A64" s="179"/>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c r="AA64" s="108"/>
      <c r="AB64" s="108"/>
      <c r="AC64" s="108"/>
      <c r="AD64" s="108"/>
      <c r="AE64" s="108"/>
      <c r="AF64" s="108"/>
      <c r="AG64" s="108"/>
      <c r="AH64" s="108"/>
      <c r="AI64" s="108"/>
      <c r="AJ64" s="108"/>
      <c r="AK64" s="108"/>
      <c r="AL64" s="108"/>
      <c r="AM64" s="108"/>
      <c r="AN64" s="108"/>
      <c r="AO64" s="108"/>
    </row>
    <row r="65" spans="1:41" ht="12" customHeight="1" x14ac:dyDescent="0.2">
      <c r="A65" s="179"/>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c r="AA65" s="108"/>
      <c r="AB65" s="108"/>
      <c r="AC65" s="108"/>
      <c r="AD65" s="108"/>
      <c r="AE65" s="108"/>
      <c r="AF65" s="108"/>
      <c r="AG65" s="108"/>
      <c r="AH65" s="108"/>
      <c r="AI65" s="108"/>
      <c r="AJ65" s="108"/>
      <c r="AK65" s="108"/>
      <c r="AL65" s="108"/>
      <c r="AM65" s="108"/>
      <c r="AN65" s="108"/>
      <c r="AO65" s="108"/>
    </row>
    <row r="66" spans="1:41" ht="12" customHeight="1" x14ac:dyDescent="0.2">
      <c r="A66" s="179"/>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c r="AA66" s="108"/>
      <c r="AB66" s="108"/>
      <c r="AC66" s="108"/>
      <c r="AD66" s="108"/>
      <c r="AE66" s="108"/>
      <c r="AF66" s="108"/>
      <c r="AG66" s="108"/>
      <c r="AH66" s="108"/>
      <c r="AI66" s="108"/>
      <c r="AJ66" s="108"/>
      <c r="AK66" s="108"/>
      <c r="AL66" s="108"/>
      <c r="AM66" s="108"/>
      <c r="AN66" s="108"/>
      <c r="AO66" s="108"/>
    </row>
    <row r="67" spans="1:41" ht="12" customHeight="1" x14ac:dyDescent="0.2">
      <c r="A67" s="179"/>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c r="AA67" s="108"/>
      <c r="AB67" s="108"/>
      <c r="AC67" s="108"/>
      <c r="AD67" s="108"/>
      <c r="AE67" s="108"/>
      <c r="AF67" s="108"/>
      <c r="AG67" s="108"/>
      <c r="AH67" s="108"/>
      <c r="AI67" s="108"/>
      <c r="AJ67" s="108"/>
      <c r="AK67" s="108"/>
      <c r="AL67" s="108"/>
      <c r="AM67" s="108"/>
      <c r="AN67" s="108"/>
      <c r="AO67" s="108"/>
    </row>
    <row r="68" spans="1:41" ht="12" customHeight="1" x14ac:dyDescent="0.2">
      <c r="A68" s="179"/>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c r="AA68" s="108"/>
      <c r="AB68" s="108"/>
      <c r="AC68" s="108"/>
      <c r="AD68" s="108"/>
      <c r="AE68" s="108"/>
      <c r="AF68" s="108"/>
      <c r="AG68" s="108"/>
      <c r="AH68" s="108"/>
      <c r="AI68" s="108"/>
      <c r="AJ68" s="108"/>
      <c r="AK68" s="108"/>
      <c r="AL68" s="108"/>
      <c r="AM68" s="108"/>
      <c r="AN68" s="108"/>
      <c r="AO68" s="108"/>
    </row>
    <row r="69" spans="1:41" ht="12" customHeight="1" x14ac:dyDescent="0.2">
      <c r="A69" s="179"/>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c r="AA69" s="108"/>
      <c r="AB69" s="108"/>
      <c r="AC69" s="108"/>
      <c r="AD69" s="108"/>
      <c r="AE69" s="108"/>
      <c r="AF69" s="108"/>
      <c r="AG69" s="108"/>
      <c r="AH69" s="108"/>
      <c r="AI69" s="108"/>
      <c r="AJ69" s="108"/>
      <c r="AK69" s="108"/>
      <c r="AL69" s="108"/>
      <c r="AM69" s="108"/>
      <c r="AN69" s="108"/>
      <c r="AO69" s="108"/>
    </row>
    <row r="70" spans="1:41" ht="12" customHeight="1" x14ac:dyDescent="0.2">
      <c r="A70" s="179"/>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c r="AA70" s="108"/>
      <c r="AB70" s="108"/>
      <c r="AC70" s="108"/>
      <c r="AD70" s="108"/>
      <c r="AE70" s="108"/>
      <c r="AF70" s="108"/>
      <c r="AG70" s="108"/>
      <c r="AH70" s="108"/>
      <c r="AI70" s="108"/>
      <c r="AJ70" s="108"/>
      <c r="AK70" s="108"/>
      <c r="AL70" s="108"/>
      <c r="AM70" s="108"/>
      <c r="AN70" s="108"/>
      <c r="AO70" s="108"/>
    </row>
    <row r="71" spans="1:41" ht="12" customHeight="1" x14ac:dyDescent="0.2">
      <c r="A71" s="179"/>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c r="AA71" s="108"/>
      <c r="AB71" s="108"/>
      <c r="AC71" s="108"/>
      <c r="AD71" s="108"/>
      <c r="AE71" s="108"/>
      <c r="AF71" s="108"/>
      <c r="AG71" s="108"/>
      <c r="AH71" s="108"/>
      <c r="AI71" s="108"/>
      <c r="AJ71" s="108"/>
      <c r="AK71" s="108"/>
      <c r="AL71" s="108"/>
      <c r="AM71" s="108"/>
      <c r="AN71" s="108"/>
      <c r="AO71" s="108"/>
    </row>
    <row r="72" spans="1:41" ht="12" customHeight="1" x14ac:dyDescent="0.2">
      <c r="A72" s="179"/>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c r="AA72" s="108"/>
      <c r="AB72" s="108"/>
      <c r="AC72" s="108"/>
      <c r="AD72" s="108"/>
      <c r="AE72" s="108"/>
      <c r="AF72" s="108"/>
      <c r="AG72" s="108"/>
      <c r="AH72" s="108"/>
      <c r="AI72" s="108"/>
      <c r="AJ72" s="108"/>
      <c r="AK72" s="108"/>
      <c r="AL72" s="108"/>
      <c r="AM72" s="108"/>
      <c r="AN72" s="108"/>
      <c r="AO72" s="108"/>
    </row>
    <row r="73" spans="1:41" ht="12" customHeight="1" x14ac:dyDescent="0.2">
      <c r="A73" s="179"/>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c r="AA73" s="108"/>
      <c r="AB73" s="108"/>
      <c r="AC73" s="108"/>
      <c r="AD73" s="108"/>
      <c r="AE73" s="108"/>
      <c r="AF73" s="108"/>
      <c r="AG73" s="108"/>
      <c r="AH73" s="108"/>
      <c r="AI73" s="108"/>
      <c r="AJ73" s="108"/>
      <c r="AK73" s="108"/>
      <c r="AL73" s="108"/>
      <c r="AM73" s="108"/>
      <c r="AN73" s="108"/>
      <c r="AO73" s="108"/>
    </row>
    <row r="74" spans="1:41" ht="12" customHeight="1" x14ac:dyDescent="0.2">
      <c r="A74" s="179"/>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c r="AA74" s="108"/>
      <c r="AB74" s="108"/>
      <c r="AC74" s="108"/>
      <c r="AD74" s="108"/>
      <c r="AE74" s="108"/>
      <c r="AF74" s="108"/>
      <c r="AG74" s="108"/>
      <c r="AH74" s="108"/>
      <c r="AI74" s="108"/>
      <c r="AJ74" s="108"/>
      <c r="AK74" s="108"/>
      <c r="AL74" s="108"/>
      <c r="AM74" s="108"/>
      <c r="AN74" s="108"/>
      <c r="AO74" s="108"/>
    </row>
    <row r="75" spans="1:41" ht="12" customHeight="1" x14ac:dyDescent="0.2">
      <c r="A75" s="179"/>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c r="AA75" s="108"/>
      <c r="AB75" s="108"/>
      <c r="AC75" s="108"/>
      <c r="AD75" s="108"/>
      <c r="AE75" s="108"/>
      <c r="AF75" s="108"/>
      <c r="AG75" s="108"/>
      <c r="AH75" s="108"/>
      <c r="AI75" s="108"/>
      <c r="AJ75" s="108"/>
      <c r="AK75" s="108"/>
      <c r="AL75" s="108"/>
      <c r="AM75" s="108"/>
      <c r="AN75" s="108"/>
      <c r="AO75" s="108"/>
    </row>
    <row r="76" spans="1:41" ht="12" customHeight="1" x14ac:dyDescent="0.2">
      <c r="A76" s="179"/>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c r="AA76" s="108"/>
      <c r="AB76" s="108"/>
      <c r="AC76" s="108"/>
      <c r="AD76" s="108"/>
      <c r="AE76" s="108"/>
      <c r="AF76" s="108"/>
      <c r="AG76" s="108"/>
      <c r="AH76" s="108"/>
      <c r="AI76" s="108"/>
      <c r="AJ76" s="108"/>
      <c r="AK76" s="108"/>
      <c r="AL76" s="108"/>
      <c r="AM76" s="108"/>
      <c r="AN76" s="108"/>
      <c r="AO76" s="108"/>
    </row>
    <row r="77" spans="1:41" ht="12" customHeight="1" x14ac:dyDescent="0.2">
      <c r="A77" s="179"/>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c r="AA77" s="108"/>
      <c r="AB77" s="108"/>
      <c r="AC77" s="108"/>
      <c r="AD77" s="108"/>
      <c r="AE77" s="108"/>
      <c r="AF77" s="108"/>
      <c r="AG77" s="108"/>
      <c r="AH77" s="108"/>
      <c r="AI77" s="108"/>
      <c r="AJ77" s="108"/>
      <c r="AK77" s="108"/>
      <c r="AL77" s="108"/>
      <c r="AM77" s="108"/>
      <c r="AN77" s="108"/>
      <c r="AO77" s="108"/>
    </row>
    <row r="78" spans="1:41" ht="12" customHeight="1" x14ac:dyDescent="0.2">
      <c r="A78" s="179"/>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c r="AA78" s="108"/>
      <c r="AB78" s="108"/>
      <c r="AC78" s="108"/>
      <c r="AD78" s="108"/>
      <c r="AE78" s="108"/>
      <c r="AF78" s="108"/>
      <c r="AG78" s="108"/>
      <c r="AH78" s="108"/>
      <c r="AI78" s="108"/>
      <c r="AJ78" s="108"/>
      <c r="AK78" s="108"/>
      <c r="AL78" s="108"/>
      <c r="AM78" s="108"/>
      <c r="AN78" s="108"/>
      <c r="AO78" s="108"/>
    </row>
    <row r="79" spans="1:41" ht="12" customHeight="1" x14ac:dyDescent="0.2">
      <c r="A79" s="179"/>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c r="AA79" s="108"/>
      <c r="AB79" s="108"/>
      <c r="AC79" s="108"/>
      <c r="AD79" s="108"/>
      <c r="AE79" s="108"/>
      <c r="AF79" s="108"/>
      <c r="AG79" s="108"/>
      <c r="AH79" s="108"/>
      <c r="AI79" s="108"/>
      <c r="AJ79" s="108"/>
      <c r="AK79" s="108"/>
      <c r="AL79" s="108"/>
      <c r="AM79" s="108"/>
      <c r="AN79" s="108"/>
      <c r="AO79" s="108"/>
    </row>
    <row r="80" spans="1:41" ht="12" customHeight="1" x14ac:dyDescent="0.2">
      <c r="A80" s="179"/>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c r="AA80" s="108"/>
      <c r="AB80" s="108"/>
      <c r="AC80" s="108"/>
      <c r="AD80" s="108"/>
      <c r="AE80" s="108"/>
      <c r="AF80" s="108"/>
      <c r="AG80" s="108"/>
      <c r="AH80" s="108"/>
      <c r="AI80" s="108"/>
      <c r="AJ80" s="108"/>
      <c r="AK80" s="108"/>
      <c r="AL80" s="108"/>
      <c r="AM80" s="108"/>
      <c r="AN80" s="108"/>
      <c r="AO80" s="108"/>
    </row>
    <row r="81" spans="1:41" ht="12" customHeight="1" x14ac:dyDescent="0.2">
      <c r="A81" s="179"/>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c r="AA81" s="108"/>
      <c r="AB81" s="108"/>
      <c r="AC81" s="108"/>
      <c r="AD81" s="108"/>
      <c r="AE81" s="108"/>
      <c r="AF81" s="108"/>
      <c r="AG81" s="108"/>
      <c r="AH81" s="108"/>
      <c r="AI81" s="108"/>
      <c r="AJ81" s="108"/>
      <c r="AK81" s="108"/>
      <c r="AL81" s="108"/>
      <c r="AM81" s="108"/>
      <c r="AN81" s="108"/>
      <c r="AO81" s="108"/>
    </row>
    <row r="82" spans="1:41" ht="12" customHeight="1" x14ac:dyDescent="0.2">
      <c r="A82" s="179"/>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c r="AA82" s="108"/>
      <c r="AB82" s="108"/>
      <c r="AC82" s="108"/>
      <c r="AD82" s="108"/>
      <c r="AE82" s="108"/>
      <c r="AF82" s="108"/>
      <c r="AG82" s="108"/>
      <c r="AH82" s="108"/>
      <c r="AI82" s="108"/>
      <c r="AJ82" s="108"/>
      <c r="AK82" s="108"/>
      <c r="AL82" s="108"/>
      <c r="AM82" s="108"/>
      <c r="AN82" s="108"/>
      <c r="AO82" s="108"/>
    </row>
    <row r="83" spans="1:41" ht="12" customHeight="1" x14ac:dyDescent="0.2">
      <c r="A83" s="179"/>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c r="AA83" s="108"/>
      <c r="AB83" s="108"/>
      <c r="AC83" s="108"/>
      <c r="AD83" s="108"/>
      <c r="AE83" s="108"/>
      <c r="AF83" s="108"/>
      <c r="AG83" s="108"/>
      <c r="AH83" s="108"/>
      <c r="AI83" s="108"/>
      <c r="AJ83" s="108"/>
      <c r="AK83" s="108"/>
      <c r="AL83" s="108"/>
      <c r="AM83" s="108"/>
      <c r="AN83" s="108"/>
      <c r="AO83" s="108"/>
    </row>
    <row r="84" spans="1:41" ht="12" customHeight="1" x14ac:dyDescent="0.2">
      <c r="A84" s="179"/>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c r="AA84" s="108"/>
      <c r="AB84" s="108"/>
      <c r="AC84" s="108"/>
      <c r="AD84" s="108"/>
      <c r="AE84" s="108"/>
      <c r="AF84" s="108"/>
      <c r="AG84" s="108"/>
      <c r="AH84" s="108"/>
      <c r="AI84" s="108"/>
      <c r="AJ84" s="108"/>
      <c r="AK84" s="108"/>
      <c r="AL84" s="108"/>
      <c r="AM84" s="108"/>
      <c r="AN84" s="108"/>
      <c r="AO84" s="108"/>
    </row>
    <row r="85" spans="1:41" ht="12" customHeight="1" x14ac:dyDescent="0.2">
      <c r="A85" s="179"/>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c r="AA85" s="108"/>
      <c r="AB85" s="108"/>
      <c r="AC85" s="108"/>
      <c r="AD85" s="108"/>
      <c r="AE85" s="108"/>
      <c r="AF85" s="108"/>
      <c r="AG85" s="108"/>
      <c r="AH85" s="108"/>
      <c r="AI85" s="108"/>
      <c r="AJ85" s="108"/>
      <c r="AK85" s="108"/>
      <c r="AL85" s="108"/>
      <c r="AM85" s="108"/>
      <c r="AN85" s="108"/>
      <c r="AO85" s="108"/>
    </row>
    <row r="86" spans="1:41" ht="12" customHeight="1" x14ac:dyDescent="0.2">
      <c r="A86" s="179"/>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c r="AA86" s="108"/>
      <c r="AB86" s="108"/>
      <c r="AC86" s="108"/>
      <c r="AD86" s="108"/>
      <c r="AE86" s="108"/>
      <c r="AF86" s="108"/>
      <c r="AG86" s="108"/>
      <c r="AH86" s="108"/>
      <c r="AI86" s="108"/>
      <c r="AJ86" s="108"/>
      <c r="AK86" s="108"/>
      <c r="AL86" s="108"/>
      <c r="AM86" s="108"/>
      <c r="AN86" s="108"/>
      <c r="AO86" s="108"/>
    </row>
    <row r="87" spans="1:41" ht="12" customHeight="1" x14ac:dyDescent="0.2">
      <c r="A87" s="179"/>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c r="AA87" s="108"/>
      <c r="AB87" s="108"/>
      <c r="AC87" s="108"/>
      <c r="AD87" s="108"/>
      <c r="AE87" s="108"/>
      <c r="AF87" s="108"/>
      <c r="AG87" s="108"/>
      <c r="AH87" s="108"/>
      <c r="AI87" s="108"/>
      <c r="AJ87" s="108"/>
      <c r="AK87" s="108"/>
      <c r="AL87" s="108"/>
      <c r="AM87" s="108"/>
      <c r="AN87" s="108"/>
      <c r="AO87" s="108"/>
    </row>
    <row r="88" spans="1:41" ht="12" customHeight="1" x14ac:dyDescent="0.2">
      <c r="A88" s="179"/>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c r="AA88" s="108"/>
      <c r="AB88" s="108"/>
      <c r="AC88" s="108"/>
      <c r="AD88" s="108"/>
      <c r="AE88" s="108"/>
      <c r="AF88" s="108"/>
      <c r="AG88" s="108"/>
      <c r="AH88" s="108"/>
      <c r="AI88" s="108"/>
      <c r="AJ88" s="108"/>
      <c r="AK88" s="108"/>
      <c r="AL88" s="108"/>
      <c r="AM88" s="108"/>
      <c r="AN88" s="108"/>
      <c r="AO88" s="108"/>
    </row>
    <row r="89" spans="1:41" ht="12" customHeight="1" x14ac:dyDescent="0.2">
      <c r="A89" s="179"/>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c r="AA89" s="108"/>
      <c r="AB89" s="108"/>
      <c r="AC89" s="108"/>
      <c r="AD89" s="108"/>
      <c r="AE89" s="108"/>
      <c r="AF89" s="108"/>
      <c r="AG89" s="108"/>
      <c r="AH89" s="108"/>
      <c r="AI89" s="108"/>
      <c r="AJ89" s="108"/>
      <c r="AK89" s="108"/>
      <c r="AL89" s="108"/>
      <c r="AM89" s="108"/>
      <c r="AN89" s="108"/>
      <c r="AO89" s="108"/>
    </row>
    <row r="90" spans="1:41" ht="12" customHeight="1" x14ac:dyDescent="0.2">
      <c r="A90" s="179"/>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c r="AA90" s="108"/>
      <c r="AB90" s="108"/>
      <c r="AC90" s="108"/>
      <c r="AD90" s="108"/>
      <c r="AE90" s="108"/>
      <c r="AF90" s="108"/>
      <c r="AG90" s="108"/>
      <c r="AH90" s="108"/>
      <c r="AI90" s="108"/>
      <c r="AJ90" s="108"/>
      <c r="AK90" s="108"/>
      <c r="AL90" s="108"/>
      <c r="AM90" s="108"/>
      <c r="AN90" s="108"/>
      <c r="AO90" s="108"/>
    </row>
    <row r="91" spans="1:41" ht="12" customHeight="1" x14ac:dyDescent="0.2">
      <c r="A91" s="179"/>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c r="AA91" s="108"/>
      <c r="AB91" s="108"/>
      <c r="AC91" s="108"/>
      <c r="AD91" s="108"/>
      <c r="AE91" s="108"/>
      <c r="AF91" s="108"/>
      <c r="AG91" s="108"/>
      <c r="AH91" s="108"/>
      <c r="AI91" s="108"/>
      <c r="AJ91" s="108"/>
      <c r="AK91" s="108"/>
      <c r="AL91" s="108"/>
      <c r="AM91" s="108"/>
      <c r="AN91" s="108"/>
      <c r="AO91" s="108"/>
    </row>
    <row r="92" spans="1:41" ht="12" customHeight="1" x14ac:dyDescent="0.2">
      <c r="A92" s="179"/>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c r="AA92" s="108"/>
      <c r="AB92" s="108"/>
      <c r="AC92" s="108"/>
      <c r="AD92" s="108"/>
      <c r="AE92" s="108"/>
      <c r="AF92" s="108"/>
      <c r="AG92" s="108"/>
      <c r="AH92" s="108"/>
      <c r="AI92" s="108"/>
      <c r="AJ92" s="108"/>
      <c r="AK92" s="108"/>
      <c r="AL92" s="108"/>
      <c r="AM92" s="108"/>
      <c r="AN92" s="108"/>
      <c r="AO92" s="108"/>
    </row>
    <row r="93" spans="1:41" ht="12" customHeight="1" x14ac:dyDescent="0.2">
      <c r="A93" s="179"/>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c r="AA93" s="108"/>
      <c r="AB93" s="108"/>
      <c r="AC93" s="108"/>
      <c r="AD93" s="108"/>
      <c r="AE93" s="108"/>
      <c r="AF93" s="108"/>
      <c r="AG93" s="108"/>
      <c r="AH93" s="108"/>
      <c r="AI93" s="108"/>
      <c r="AJ93" s="108"/>
      <c r="AK93" s="108"/>
      <c r="AL93" s="108"/>
      <c r="AM93" s="108"/>
      <c r="AN93" s="108"/>
      <c r="AO93" s="108"/>
    </row>
    <row r="94" spans="1:41" ht="12" customHeight="1" x14ac:dyDescent="0.2">
      <c r="A94" s="179"/>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c r="AA94" s="108"/>
      <c r="AB94" s="108"/>
      <c r="AC94" s="108"/>
      <c r="AD94" s="108"/>
      <c r="AE94" s="108"/>
      <c r="AF94" s="108"/>
      <c r="AG94" s="108"/>
      <c r="AH94" s="108"/>
      <c r="AI94" s="108"/>
      <c r="AJ94" s="108"/>
      <c r="AK94" s="108"/>
      <c r="AL94" s="108"/>
      <c r="AM94" s="108"/>
      <c r="AN94" s="108"/>
      <c r="AO94" s="108"/>
    </row>
    <row r="95" spans="1:41" ht="12" customHeight="1" x14ac:dyDescent="0.2">
      <c r="A95" s="179"/>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c r="AA95" s="108"/>
      <c r="AB95" s="108"/>
      <c r="AC95" s="108"/>
      <c r="AD95" s="108"/>
      <c r="AE95" s="108"/>
      <c r="AF95" s="108"/>
      <c r="AG95" s="108"/>
      <c r="AH95" s="108"/>
      <c r="AI95" s="108"/>
      <c r="AJ95" s="108"/>
      <c r="AK95" s="108"/>
      <c r="AL95" s="108"/>
      <c r="AM95" s="108"/>
      <c r="AN95" s="108"/>
      <c r="AO95" s="108"/>
    </row>
    <row r="96" spans="1:41" ht="12" customHeight="1" x14ac:dyDescent="0.2">
      <c r="A96" s="179"/>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row>
    <row r="97" spans="1:41" ht="12" customHeight="1" x14ac:dyDescent="0.2">
      <c r="A97" s="179"/>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c r="AA97" s="108"/>
      <c r="AB97" s="108"/>
      <c r="AC97" s="108"/>
      <c r="AD97" s="108"/>
      <c r="AE97" s="108"/>
      <c r="AF97" s="108"/>
      <c r="AG97" s="108"/>
      <c r="AH97" s="108"/>
      <c r="AI97" s="108"/>
      <c r="AJ97" s="108"/>
      <c r="AK97" s="108"/>
      <c r="AL97" s="108"/>
      <c r="AM97" s="108"/>
      <c r="AN97" s="108"/>
      <c r="AO97" s="108"/>
    </row>
    <row r="98" spans="1:41" ht="12" customHeight="1" x14ac:dyDescent="0.2">
      <c r="A98" s="179"/>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c r="AA98" s="108"/>
      <c r="AB98" s="108"/>
      <c r="AC98" s="108"/>
      <c r="AD98" s="108"/>
      <c r="AE98" s="108"/>
      <c r="AF98" s="108"/>
      <c r="AG98" s="108"/>
      <c r="AH98" s="108"/>
      <c r="AI98" s="108"/>
      <c r="AJ98" s="108"/>
      <c r="AK98" s="108"/>
      <c r="AL98" s="108"/>
      <c r="AM98" s="108"/>
      <c r="AN98" s="108"/>
      <c r="AO98" s="108"/>
    </row>
    <row r="99" spans="1:41" ht="12" customHeight="1" x14ac:dyDescent="0.2">
      <c r="A99" s="179"/>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c r="AA99" s="108"/>
      <c r="AB99" s="108"/>
      <c r="AC99" s="108"/>
      <c r="AD99" s="108"/>
      <c r="AE99" s="108"/>
      <c r="AF99" s="108"/>
      <c r="AG99" s="108"/>
      <c r="AH99" s="108"/>
      <c r="AI99" s="108"/>
      <c r="AJ99" s="108"/>
      <c r="AK99" s="108"/>
      <c r="AL99" s="108"/>
      <c r="AM99" s="108"/>
      <c r="AN99" s="108"/>
      <c r="AO99" s="108"/>
    </row>
    <row r="100" spans="1:41" ht="12" customHeight="1" x14ac:dyDescent="0.2">
      <c r="A100" s="179"/>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c r="AA100" s="108"/>
      <c r="AB100" s="108"/>
      <c r="AC100" s="108"/>
      <c r="AD100" s="108"/>
      <c r="AE100" s="108"/>
      <c r="AF100" s="108"/>
      <c r="AG100" s="108"/>
      <c r="AH100" s="108"/>
      <c r="AI100" s="108"/>
      <c r="AJ100" s="108"/>
      <c r="AK100" s="108"/>
      <c r="AL100" s="108"/>
      <c r="AM100" s="108"/>
      <c r="AN100" s="108"/>
      <c r="AO100" s="108"/>
    </row>
    <row r="101" spans="1:41" ht="12" customHeight="1" x14ac:dyDescent="0.2">
      <c r="A101" s="179"/>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c r="AA101" s="108"/>
      <c r="AB101" s="108"/>
      <c r="AC101" s="108"/>
      <c r="AD101" s="108"/>
      <c r="AE101" s="108"/>
      <c r="AF101" s="108"/>
      <c r="AG101" s="108"/>
      <c r="AH101" s="108"/>
      <c r="AI101" s="108"/>
      <c r="AJ101" s="108"/>
      <c r="AK101" s="108"/>
      <c r="AL101" s="108"/>
      <c r="AM101" s="108"/>
      <c r="AN101" s="108"/>
      <c r="AO101" s="108"/>
    </row>
    <row r="102" spans="1:41" ht="12" customHeight="1" x14ac:dyDescent="0.2">
      <c r="A102" s="179"/>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c r="AA102" s="108"/>
      <c r="AB102" s="108"/>
      <c r="AC102" s="108"/>
      <c r="AD102" s="108"/>
      <c r="AE102" s="108"/>
      <c r="AF102" s="108"/>
      <c r="AG102" s="108"/>
      <c r="AH102" s="108"/>
      <c r="AI102" s="108"/>
      <c r="AJ102" s="108"/>
      <c r="AK102" s="108"/>
      <c r="AL102" s="108"/>
      <c r="AM102" s="108"/>
      <c r="AN102" s="108"/>
      <c r="AO102" s="108"/>
    </row>
    <row r="103" spans="1:41" ht="12" customHeight="1" x14ac:dyDescent="0.2">
      <c r="A103" s="179"/>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c r="AA103" s="108"/>
      <c r="AB103" s="108"/>
      <c r="AC103" s="108"/>
      <c r="AD103" s="108"/>
      <c r="AE103" s="108"/>
      <c r="AF103" s="108"/>
      <c r="AG103" s="108"/>
      <c r="AH103" s="108"/>
      <c r="AI103" s="108"/>
      <c r="AJ103" s="108"/>
      <c r="AK103" s="108"/>
      <c r="AL103" s="108"/>
      <c r="AM103" s="108"/>
      <c r="AN103" s="108"/>
      <c r="AO103" s="108"/>
    </row>
    <row r="104" spans="1:41" ht="12" customHeight="1" x14ac:dyDescent="0.2">
      <c r="A104" s="179"/>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c r="AA104" s="108"/>
      <c r="AB104" s="108"/>
      <c r="AC104" s="108"/>
      <c r="AD104" s="108"/>
      <c r="AE104" s="108"/>
      <c r="AF104" s="108"/>
      <c r="AG104" s="108"/>
      <c r="AH104" s="108"/>
      <c r="AI104" s="108"/>
      <c r="AJ104" s="108"/>
      <c r="AK104" s="108"/>
      <c r="AL104" s="108"/>
      <c r="AM104" s="108"/>
      <c r="AN104" s="108"/>
      <c r="AO104" s="108"/>
    </row>
    <row r="105" spans="1:41" ht="12" customHeight="1" x14ac:dyDescent="0.2">
      <c r="A105" s="179"/>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c r="AA105" s="108"/>
      <c r="AB105" s="108"/>
      <c r="AC105" s="108"/>
      <c r="AD105" s="108"/>
      <c r="AE105" s="108"/>
      <c r="AF105" s="108"/>
      <c r="AG105" s="108"/>
      <c r="AH105" s="108"/>
      <c r="AI105" s="108"/>
      <c r="AJ105" s="108"/>
      <c r="AK105" s="108"/>
      <c r="AL105" s="108"/>
      <c r="AM105" s="108"/>
      <c r="AN105" s="108"/>
      <c r="AO105" s="108"/>
    </row>
    <row r="106" spans="1:41" ht="12" customHeight="1" x14ac:dyDescent="0.2">
      <c r="A106" s="179"/>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c r="AA106" s="108"/>
      <c r="AB106" s="108"/>
      <c r="AC106" s="108"/>
      <c r="AD106" s="108"/>
      <c r="AE106" s="108"/>
      <c r="AF106" s="108"/>
      <c r="AG106" s="108"/>
      <c r="AH106" s="108"/>
      <c r="AI106" s="108"/>
      <c r="AJ106" s="108"/>
      <c r="AK106" s="108"/>
      <c r="AL106" s="108"/>
      <c r="AM106" s="108"/>
      <c r="AN106" s="108"/>
      <c r="AO106" s="108"/>
    </row>
    <row r="107" spans="1:41" ht="12" customHeight="1" x14ac:dyDescent="0.2">
      <c r="A107" s="179"/>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c r="AA107" s="108"/>
      <c r="AB107" s="108"/>
      <c r="AC107" s="108"/>
      <c r="AD107" s="108"/>
      <c r="AE107" s="108"/>
      <c r="AF107" s="108"/>
      <c r="AG107" s="108"/>
      <c r="AH107" s="108"/>
      <c r="AI107" s="108"/>
      <c r="AJ107" s="108"/>
      <c r="AK107" s="108"/>
      <c r="AL107" s="108"/>
      <c r="AM107" s="108"/>
      <c r="AN107" s="108"/>
      <c r="AO107" s="108"/>
    </row>
    <row r="108" spans="1:41" ht="12" customHeight="1" x14ac:dyDescent="0.2">
      <c r="A108" s="179"/>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c r="AA108" s="108"/>
      <c r="AB108" s="108"/>
      <c r="AC108" s="108"/>
      <c r="AD108" s="108"/>
      <c r="AE108" s="108"/>
      <c r="AF108" s="108"/>
      <c r="AG108" s="108"/>
      <c r="AH108" s="108"/>
      <c r="AI108" s="108"/>
      <c r="AJ108" s="108"/>
      <c r="AK108" s="108"/>
      <c r="AL108" s="108"/>
      <c r="AM108" s="108"/>
      <c r="AN108" s="108"/>
      <c r="AO108" s="108"/>
    </row>
    <row r="109" spans="1:41" ht="12" customHeight="1" x14ac:dyDescent="0.2">
      <c r="A109" s="179"/>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c r="AA109" s="108"/>
      <c r="AB109" s="108"/>
      <c r="AC109" s="108"/>
      <c r="AD109" s="108"/>
      <c r="AE109" s="108"/>
      <c r="AF109" s="108"/>
      <c r="AG109" s="108"/>
      <c r="AH109" s="108"/>
      <c r="AI109" s="108"/>
      <c r="AJ109" s="108"/>
      <c r="AK109" s="108"/>
      <c r="AL109" s="108"/>
      <c r="AM109" s="108"/>
      <c r="AN109" s="108"/>
      <c r="AO109" s="108"/>
    </row>
    <row r="110" spans="1:41" ht="12" customHeight="1" x14ac:dyDescent="0.2">
      <c r="A110" s="179"/>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c r="AA110" s="108"/>
      <c r="AB110" s="108"/>
      <c r="AC110" s="108"/>
      <c r="AD110" s="108"/>
      <c r="AE110" s="108"/>
      <c r="AF110" s="108"/>
      <c r="AG110" s="108"/>
      <c r="AH110" s="108"/>
      <c r="AI110" s="108"/>
      <c r="AJ110" s="108"/>
      <c r="AK110" s="108"/>
      <c r="AL110" s="108"/>
      <c r="AM110" s="108"/>
      <c r="AN110" s="108"/>
      <c r="AO110" s="108"/>
    </row>
    <row r="111" spans="1:41" ht="12" customHeight="1" x14ac:dyDescent="0.2">
      <c r="A111" s="179"/>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c r="AA111" s="108"/>
      <c r="AB111" s="108"/>
      <c r="AC111" s="108"/>
      <c r="AD111" s="108"/>
      <c r="AE111" s="108"/>
      <c r="AF111" s="108"/>
      <c r="AG111" s="108"/>
      <c r="AH111" s="108"/>
      <c r="AI111" s="108"/>
      <c r="AJ111" s="108"/>
      <c r="AK111" s="108"/>
      <c r="AL111" s="108"/>
      <c r="AM111" s="108"/>
      <c r="AN111" s="108"/>
      <c r="AO111" s="108"/>
    </row>
    <row r="112" spans="1:41" ht="12" customHeight="1" x14ac:dyDescent="0.2">
      <c r="A112" s="179"/>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8"/>
      <c r="AK112" s="108"/>
      <c r="AL112" s="108"/>
      <c r="AM112" s="108"/>
      <c r="AN112" s="108"/>
      <c r="AO112" s="108"/>
    </row>
    <row r="113" spans="1:41" ht="12" customHeight="1" x14ac:dyDescent="0.2">
      <c r="A113" s="179"/>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row>
    <row r="114" spans="1:41" ht="12" customHeight="1" x14ac:dyDescent="0.2">
      <c r="A114" s="179"/>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c r="AA114" s="108"/>
      <c r="AB114" s="108"/>
      <c r="AC114" s="108"/>
      <c r="AD114" s="108"/>
      <c r="AE114" s="108"/>
      <c r="AF114" s="108"/>
      <c r="AG114" s="108"/>
      <c r="AH114" s="108"/>
      <c r="AI114" s="108"/>
      <c r="AJ114" s="108"/>
      <c r="AK114" s="108"/>
      <c r="AL114" s="108"/>
      <c r="AM114" s="108"/>
      <c r="AN114" s="108"/>
      <c r="AO114" s="108"/>
    </row>
    <row r="115" spans="1:41" ht="12" customHeight="1" x14ac:dyDescent="0.2">
      <c r="A115" s="179"/>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row>
    <row r="116" spans="1:41" ht="12" customHeight="1" x14ac:dyDescent="0.2">
      <c r="A116" s="179"/>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c r="AA116" s="108"/>
      <c r="AB116" s="108"/>
      <c r="AC116" s="108"/>
      <c r="AD116" s="108"/>
      <c r="AE116" s="108"/>
      <c r="AF116" s="108"/>
      <c r="AG116" s="108"/>
      <c r="AH116" s="108"/>
      <c r="AI116" s="108"/>
      <c r="AJ116" s="108"/>
      <c r="AK116" s="108"/>
      <c r="AL116" s="108"/>
      <c r="AM116" s="108"/>
      <c r="AN116" s="108"/>
      <c r="AO116" s="108"/>
    </row>
    <row r="117" spans="1:41" ht="12" customHeight="1" x14ac:dyDescent="0.2">
      <c r="A117" s="179"/>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c r="AA117" s="108"/>
      <c r="AB117" s="108"/>
      <c r="AC117" s="108"/>
      <c r="AD117" s="108"/>
      <c r="AE117" s="108"/>
      <c r="AF117" s="108"/>
      <c r="AG117" s="108"/>
      <c r="AH117" s="108"/>
      <c r="AI117" s="108"/>
      <c r="AJ117" s="108"/>
      <c r="AK117" s="108"/>
      <c r="AL117" s="108"/>
      <c r="AM117" s="108"/>
      <c r="AN117" s="108"/>
      <c r="AO117" s="108"/>
    </row>
    <row r="118" spans="1:41" ht="12" customHeight="1" x14ac:dyDescent="0.2">
      <c r="A118" s="179"/>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c r="AA118" s="108"/>
      <c r="AB118" s="108"/>
      <c r="AC118" s="108"/>
      <c r="AD118" s="108"/>
      <c r="AE118" s="108"/>
      <c r="AF118" s="108"/>
      <c r="AG118" s="108"/>
      <c r="AH118" s="108"/>
      <c r="AI118" s="108"/>
      <c r="AJ118" s="108"/>
      <c r="AK118" s="108"/>
      <c r="AL118" s="108"/>
      <c r="AM118" s="108"/>
      <c r="AN118" s="108"/>
      <c r="AO118" s="108"/>
    </row>
    <row r="119" spans="1:41" ht="12" customHeight="1" x14ac:dyDescent="0.2">
      <c r="A119" s="179"/>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c r="AA119" s="108"/>
      <c r="AB119" s="108"/>
      <c r="AC119" s="108"/>
      <c r="AD119" s="108"/>
      <c r="AE119" s="108"/>
      <c r="AF119" s="108"/>
      <c r="AG119" s="108"/>
      <c r="AH119" s="108"/>
      <c r="AI119" s="108"/>
      <c r="AJ119" s="108"/>
      <c r="AK119" s="108"/>
      <c r="AL119" s="108"/>
      <c r="AM119" s="108"/>
      <c r="AN119" s="108"/>
      <c r="AO119" s="108"/>
    </row>
    <row r="120" spans="1:41" ht="12" customHeight="1" x14ac:dyDescent="0.2">
      <c r="A120" s="179"/>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c r="AA120" s="108"/>
      <c r="AB120" s="108"/>
      <c r="AC120" s="108"/>
      <c r="AD120" s="108"/>
      <c r="AE120" s="108"/>
      <c r="AF120" s="108"/>
      <c r="AG120" s="108"/>
      <c r="AH120" s="108"/>
      <c r="AI120" s="108"/>
      <c r="AJ120" s="108"/>
      <c r="AK120" s="108"/>
      <c r="AL120" s="108"/>
      <c r="AM120" s="108"/>
      <c r="AN120" s="108"/>
      <c r="AO120" s="108"/>
    </row>
    <row r="121" spans="1:41" ht="12" customHeight="1" x14ac:dyDescent="0.2">
      <c r="A121" s="179"/>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c r="AA121" s="108"/>
      <c r="AB121" s="108"/>
      <c r="AC121" s="108"/>
      <c r="AD121" s="108"/>
      <c r="AE121" s="108"/>
      <c r="AF121" s="108"/>
      <c r="AG121" s="108"/>
      <c r="AH121" s="108"/>
      <c r="AI121" s="108"/>
      <c r="AJ121" s="108"/>
      <c r="AK121" s="108"/>
      <c r="AL121" s="108"/>
      <c r="AM121" s="108"/>
      <c r="AN121" s="108"/>
      <c r="AO121" s="108"/>
    </row>
    <row r="122" spans="1:41" ht="12" customHeight="1" x14ac:dyDescent="0.2">
      <c r="A122" s="179"/>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c r="AA122" s="108"/>
      <c r="AB122" s="108"/>
      <c r="AC122" s="108"/>
      <c r="AD122" s="108"/>
      <c r="AE122" s="108"/>
      <c r="AF122" s="108"/>
      <c r="AG122" s="108"/>
      <c r="AH122" s="108"/>
      <c r="AI122" s="108"/>
      <c r="AJ122" s="108"/>
      <c r="AK122" s="108"/>
      <c r="AL122" s="108"/>
      <c r="AM122" s="108"/>
      <c r="AN122" s="108"/>
      <c r="AO122" s="108"/>
    </row>
    <row r="123" spans="1:41" ht="12" customHeight="1" x14ac:dyDescent="0.2">
      <c r="A123" s="179"/>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c r="AA123" s="108"/>
      <c r="AB123" s="108"/>
      <c r="AC123" s="108"/>
      <c r="AD123" s="108"/>
      <c r="AE123" s="108"/>
      <c r="AF123" s="108"/>
      <c r="AG123" s="108"/>
      <c r="AH123" s="108"/>
      <c r="AI123" s="108"/>
      <c r="AJ123" s="108"/>
      <c r="AK123" s="108"/>
      <c r="AL123" s="108"/>
      <c r="AM123" s="108"/>
      <c r="AN123" s="108"/>
      <c r="AO123" s="108"/>
    </row>
    <row r="124" spans="1:41" ht="12" customHeight="1" x14ac:dyDescent="0.2">
      <c r="A124" s="179"/>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c r="AA124" s="108"/>
      <c r="AB124" s="108"/>
      <c r="AC124" s="108"/>
      <c r="AD124" s="108"/>
      <c r="AE124" s="108"/>
      <c r="AF124" s="108"/>
      <c r="AG124" s="108"/>
      <c r="AH124" s="108"/>
      <c r="AI124" s="108"/>
      <c r="AJ124" s="108"/>
      <c r="AK124" s="108"/>
      <c r="AL124" s="108"/>
      <c r="AM124" s="108"/>
      <c r="AN124" s="108"/>
      <c r="AO124" s="108"/>
    </row>
    <row r="125" spans="1:41" ht="12" customHeight="1" x14ac:dyDescent="0.2">
      <c r="A125" s="179"/>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c r="AA125" s="108"/>
      <c r="AB125" s="108"/>
      <c r="AC125" s="108"/>
      <c r="AD125" s="108"/>
      <c r="AE125" s="108"/>
      <c r="AF125" s="108"/>
      <c r="AG125" s="108"/>
      <c r="AH125" s="108"/>
      <c r="AI125" s="108"/>
      <c r="AJ125" s="108"/>
      <c r="AK125" s="108"/>
      <c r="AL125" s="108"/>
      <c r="AM125" s="108"/>
      <c r="AN125" s="108"/>
      <c r="AO125" s="108"/>
    </row>
    <row r="126" spans="1:41" ht="12" customHeight="1" x14ac:dyDescent="0.2">
      <c r="A126" s="179"/>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c r="AA126" s="108"/>
      <c r="AB126" s="108"/>
      <c r="AC126" s="108"/>
      <c r="AD126" s="108"/>
      <c r="AE126" s="108"/>
      <c r="AF126" s="108"/>
      <c r="AG126" s="108"/>
      <c r="AH126" s="108"/>
      <c r="AI126" s="108"/>
      <c r="AJ126" s="108"/>
      <c r="AK126" s="108"/>
      <c r="AL126" s="108"/>
      <c r="AM126" s="108"/>
      <c r="AN126" s="108"/>
      <c r="AO126" s="108"/>
    </row>
    <row r="127" spans="1:41" ht="12" customHeight="1" x14ac:dyDescent="0.2">
      <c r="A127" s="179"/>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c r="AA127" s="108"/>
      <c r="AB127" s="108"/>
      <c r="AC127" s="108"/>
      <c r="AD127" s="108"/>
      <c r="AE127" s="108"/>
      <c r="AF127" s="108"/>
      <c r="AG127" s="108"/>
      <c r="AH127" s="108"/>
      <c r="AI127" s="108"/>
      <c r="AJ127" s="108"/>
      <c r="AK127" s="108"/>
      <c r="AL127" s="108"/>
      <c r="AM127" s="108"/>
      <c r="AN127" s="108"/>
      <c r="AO127" s="108"/>
    </row>
    <row r="128" spans="1:41" ht="12" customHeight="1" x14ac:dyDescent="0.2">
      <c r="A128" s="179"/>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c r="AA128" s="108"/>
      <c r="AB128" s="108"/>
      <c r="AC128" s="108"/>
      <c r="AD128" s="108"/>
      <c r="AE128" s="108"/>
      <c r="AF128" s="108"/>
      <c r="AG128" s="108"/>
      <c r="AH128" s="108"/>
      <c r="AI128" s="108"/>
      <c r="AJ128" s="108"/>
      <c r="AK128" s="108"/>
      <c r="AL128" s="108"/>
      <c r="AM128" s="108"/>
      <c r="AN128" s="108"/>
      <c r="AO128" s="108"/>
    </row>
    <row r="129" spans="1:41" ht="12" customHeight="1" x14ac:dyDescent="0.2">
      <c r="A129" s="179"/>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c r="AA129" s="108"/>
      <c r="AB129" s="108"/>
      <c r="AC129" s="108"/>
      <c r="AD129" s="108"/>
      <c r="AE129" s="108"/>
      <c r="AF129" s="108"/>
      <c r="AG129" s="108"/>
      <c r="AH129" s="108"/>
      <c r="AI129" s="108"/>
      <c r="AJ129" s="108"/>
      <c r="AK129" s="108"/>
      <c r="AL129" s="108"/>
      <c r="AM129" s="108"/>
      <c r="AN129" s="108"/>
      <c r="AO129" s="108"/>
    </row>
    <row r="130" spans="1:41" ht="12" customHeight="1" x14ac:dyDescent="0.2">
      <c r="A130" s="179"/>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c r="AA130" s="108"/>
      <c r="AB130" s="108"/>
      <c r="AC130" s="108"/>
      <c r="AD130" s="108"/>
      <c r="AE130" s="108"/>
      <c r="AF130" s="108"/>
      <c r="AG130" s="108"/>
      <c r="AH130" s="108"/>
      <c r="AI130" s="108"/>
      <c r="AJ130" s="108"/>
      <c r="AK130" s="108"/>
      <c r="AL130" s="108"/>
      <c r="AM130" s="108"/>
      <c r="AN130" s="108"/>
      <c r="AO130" s="108"/>
    </row>
    <row r="131" spans="1:41" ht="12" customHeight="1" x14ac:dyDescent="0.2">
      <c r="A131" s="179"/>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c r="AA131" s="108"/>
      <c r="AB131" s="108"/>
      <c r="AC131" s="108"/>
      <c r="AD131" s="108"/>
      <c r="AE131" s="108"/>
      <c r="AF131" s="108"/>
      <c r="AG131" s="108"/>
      <c r="AH131" s="108"/>
      <c r="AI131" s="108"/>
      <c r="AJ131" s="108"/>
      <c r="AK131" s="108"/>
      <c r="AL131" s="108"/>
      <c r="AM131" s="108"/>
      <c r="AN131" s="108"/>
      <c r="AO131" s="108"/>
    </row>
    <row r="132" spans="1:41" ht="12" customHeight="1" x14ac:dyDescent="0.2">
      <c r="A132" s="179"/>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c r="AA132" s="108"/>
      <c r="AB132" s="108"/>
      <c r="AC132" s="108"/>
      <c r="AD132" s="108"/>
      <c r="AE132" s="108"/>
      <c r="AF132" s="108"/>
      <c r="AG132" s="108"/>
      <c r="AH132" s="108"/>
      <c r="AI132" s="108"/>
      <c r="AJ132" s="108"/>
      <c r="AK132" s="108"/>
      <c r="AL132" s="108"/>
      <c r="AM132" s="108"/>
      <c r="AN132" s="108"/>
      <c r="AO132" s="108"/>
    </row>
    <row r="133" spans="1:41" ht="12" customHeight="1" x14ac:dyDescent="0.2">
      <c r="A133" s="179"/>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c r="AA133" s="108"/>
      <c r="AB133" s="108"/>
      <c r="AC133" s="108"/>
      <c r="AD133" s="108"/>
      <c r="AE133" s="108"/>
      <c r="AF133" s="108"/>
      <c r="AG133" s="108"/>
      <c r="AH133" s="108"/>
      <c r="AI133" s="108"/>
      <c r="AJ133" s="108"/>
      <c r="AK133" s="108"/>
      <c r="AL133" s="108"/>
      <c r="AM133" s="108"/>
      <c r="AN133" s="108"/>
      <c r="AO133" s="108"/>
    </row>
    <row r="134" spans="1:41" ht="12" customHeight="1" x14ac:dyDescent="0.2">
      <c r="A134" s="179"/>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c r="AA134" s="108"/>
      <c r="AB134" s="108"/>
      <c r="AC134" s="108"/>
      <c r="AD134" s="108"/>
      <c r="AE134" s="108"/>
      <c r="AF134" s="108"/>
      <c r="AG134" s="108"/>
      <c r="AH134" s="108"/>
      <c r="AI134" s="108"/>
      <c r="AJ134" s="108"/>
      <c r="AK134" s="108"/>
      <c r="AL134" s="108"/>
      <c r="AM134" s="108"/>
      <c r="AN134" s="108"/>
      <c r="AO134" s="108"/>
    </row>
    <row r="135" spans="1:41" ht="12" customHeight="1" x14ac:dyDescent="0.2">
      <c r="A135" s="179"/>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c r="AA135" s="108"/>
      <c r="AB135" s="108"/>
      <c r="AC135" s="108"/>
      <c r="AD135" s="108"/>
      <c r="AE135" s="108"/>
      <c r="AF135" s="108"/>
      <c r="AG135" s="108"/>
      <c r="AH135" s="108"/>
      <c r="AI135" s="108"/>
      <c r="AJ135" s="108"/>
      <c r="AK135" s="108"/>
      <c r="AL135" s="108"/>
      <c r="AM135" s="108"/>
      <c r="AN135" s="108"/>
      <c r="AO135" s="108"/>
    </row>
    <row r="136" spans="1:41" ht="12" customHeight="1" x14ac:dyDescent="0.2">
      <c r="A136" s="179"/>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c r="AA136" s="108"/>
      <c r="AB136" s="108"/>
      <c r="AC136" s="108"/>
      <c r="AD136" s="108"/>
      <c r="AE136" s="108"/>
      <c r="AF136" s="108"/>
      <c r="AG136" s="108"/>
      <c r="AH136" s="108"/>
      <c r="AI136" s="108"/>
      <c r="AJ136" s="108"/>
      <c r="AK136" s="108"/>
      <c r="AL136" s="108"/>
      <c r="AM136" s="108"/>
      <c r="AN136" s="108"/>
      <c r="AO136" s="108"/>
    </row>
    <row r="137" spans="1:41" ht="12" customHeight="1" x14ac:dyDescent="0.2">
      <c r="A137" s="179"/>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c r="AA137" s="108"/>
      <c r="AB137" s="108"/>
      <c r="AC137" s="108"/>
      <c r="AD137" s="108"/>
      <c r="AE137" s="108"/>
      <c r="AF137" s="108"/>
      <c r="AG137" s="108"/>
      <c r="AH137" s="108"/>
      <c r="AI137" s="108"/>
      <c r="AJ137" s="108"/>
      <c r="AK137" s="108"/>
      <c r="AL137" s="108"/>
      <c r="AM137" s="108"/>
      <c r="AN137" s="108"/>
      <c r="AO137" s="108"/>
    </row>
    <row r="138" spans="1:41" ht="12" customHeight="1" x14ac:dyDescent="0.2">
      <c r="A138" s="179"/>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c r="AA138" s="108"/>
      <c r="AB138" s="108"/>
      <c r="AC138" s="108"/>
      <c r="AD138" s="108"/>
      <c r="AE138" s="108"/>
      <c r="AF138" s="108"/>
      <c r="AG138" s="108"/>
      <c r="AH138" s="108"/>
      <c r="AI138" s="108"/>
      <c r="AJ138" s="108"/>
      <c r="AK138" s="108"/>
      <c r="AL138" s="108"/>
      <c r="AM138" s="108"/>
      <c r="AN138" s="108"/>
      <c r="AO138" s="108"/>
    </row>
    <row r="139" spans="1:41" ht="12" customHeight="1" x14ac:dyDescent="0.2">
      <c r="A139" s="179"/>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c r="AA139" s="108"/>
      <c r="AB139" s="108"/>
      <c r="AC139" s="108"/>
      <c r="AD139" s="108"/>
      <c r="AE139" s="108"/>
      <c r="AF139" s="108"/>
      <c r="AG139" s="108"/>
      <c r="AH139" s="108"/>
      <c r="AI139" s="108"/>
      <c r="AJ139" s="108"/>
      <c r="AK139" s="108"/>
      <c r="AL139" s="108"/>
      <c r="AM139" s="108"/>
      <c r="AN139" s="108"/>
      <c r="AO139" s="108"/>
    </row>
    <row r="140" spans="1:41" ht="12" customHeight="1" x14ac:dyDescent="0.2">
      <c r="A140" s="179"/>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c r="AA140" s="108"/>
      <c r="AB140" s="108"/>
      <c r="AC140" s="108"/>
      <c r="AD140" s="108"/>
      <c r="AE140" s="108"/>
      <c r="AF140" s="108"/>
      <c r="AG140" s="108"/>
      <c r="AH140" s="108"/>
      <c r="AI140" s="108"/>
      <c r="AJ140" s="108"/>
      <c r="AK140" s="108"/>
      <c r="AL140" s="108"/>
      <c r="AM140" s="108"/>
      <c r="AN140" s="108"/>
      <c r="AO140" s="108"/>
    </row>
    <row r="141" spans="1:41" ht="12" customHeight="1" x14ac:dyDescent="0.2">
      <c r="A141" s="179"/>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c r="AA141" s="108"/>
      <c r="AB141" s="108"/>
      <c r="AC141" s="108"/>
      <c r="AD141" s="108"/>
      <c r="AE141" s="108"/>
      <c r="AF141" s="108"/>
      <c r="AG141" s="108"/>
      <c r="AH141" s="108"/>
      <c r="AI141" s="108"/>
      <c r="AJ141" s="108"/>
      <c r="AK141" s="108"/>
      <c r="AL141" s="108"/>
      <c r="AM141" s="108"/>
      <c r="AN141" s="108"/>
      <c r="AO141" s="108"/>
    </row>
    <row r="142" spans="1:41" ht="12" customHeight="1" x14ac:dyDescent="0.2">
      <c r="A142" s="179"/>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c r="AA142" s="108"/>
      <c r="AB142" s="108"/>
      <c r="AC142" s="108"/>
      <c r="AD142" s="108"/>
      <c r="AE142" s="108"/>
      <c r="AF142" s="108"/>
      <c r="AG142" s="108"/>
      <c r="AH142" s="108"/>
      <c r="AI142" s="108"/>
      <c r="AJ142" s="108"/>
      <c r="AK142" s="108"/>
      <c r="AL142" s="108"/>
      <c r="AM142" s="108"/>
      <c r="AN142" s="108"/>
      <c r="AO142" s="108"/>
    </row>
    <row r="143" spans="1:41" ht="12" customHeight="1" x14ac:dyDescent="0.2">
      <c r="A143" s="179"/>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c r="AA143" s="108"/>
      <c r="AB143" s="108"/>
      <c r="AC143" s="108"/>
      <c r="AD143" s="108"/>
      <c r="AE143" s="108"/>
      <c r="AF143" s="108"/>
      <c r="AG143" s="108"/>
      <c r="AH143" s="108"/>
      <c r="AI143" s="108"/>
      <c r="AJ143" s="108"/>
      <c r="AK143" s="108"/>
      <c r="AL143" s="108"/>
      <c r="AM143" s="108"/>
      <c r="AN143" s="108"/>
      <c r="AO143" s="108"/>
    </row>
    <row r="144" spans="1:41" ht="12" customHeight="1" x14ac:dyDescent="0.2">
      <c r="A144" s="179"/>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c r="AA144" s="108"/>
      <c r="AB144" s="108"/>
      <c r="AC144" s="108"/>
      <c r="AD144" s="108"/>
      <c r="AE144" s="108"/>
      <c r="AF144" s="108"/>
      <c r="AG144" s="108"/>
      <c r="AH144" s="108"/>
      <c r="AI144" s="108"/>
      <c r="AJ144" s="108"/>
      <c r="AK144" s="108"/>
      <c r="AL144" s="108"/>
      <c r="AM144" s="108"/>
      <c r="AN144" s="108"/>
      <c r="AO144" s="108"/>
    </row>
    <row r="145" spans="1:41" ht="12" customHeight="1" x14ac:dyDescent="0.2">
      <c r="A145" s="179"/>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c r="AA145" s="108"/>
      <c r="AB145" s="108"/>
      <c r="AC145" s="108"/>
      <c r="AD145" s="108"/>
      <c r="AE145" s="108"/>
      <c r="AF145" s="108"/>
      <c r="AG145" s="108"/>
      <c r="AH145" s="108"/>
      <c r="AI145" s="108"/>
      <c r="AJ145" s="108"/>
      <c r="AK145" s="108"/>
      <c r="AL145" s="108"/>
      <c r="AM145" s="108"/>
      <c r="AN145" s="108"/>
      <c r="AO145" s="108"/>
    </row>
    <row r="146" spans="1:41" ht="12" customHeight="1" x14ac:dyDescent="0.2">
      <c r="A146" s="179"/>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c r="AA146" s="108"/>
      <c r="AB146" s="108"/>
      <c r="AC146" s="108"/>
      <c r="AD146" s="108"/>
      <c r="AE146" s="108"/>
      <c r="AF146" s="108"/>
      <c r="AG146" s="108"/>
      <c r="AH146" s="108"/>
      <c r="AI146" s="108"/>
      <c r="AJ146" s="108"/>
      <c r="AK146" s="108"/>
      <c r="AL146" s="108"/>
      <c r="AM146" s="108"/>
      <c r="AN146" s="108"/>
      <c r="AO146" s="108"/>
    </row>
    <row r="147" spans="1:41" ht="12" customHeight="1" x14ac:dyDescent="0.2">
      <c r="A147" s="179"/>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c r="AA147" s="108"/>
      <c r="AB147" s="108"/>
      <c r="AC147" s="108"/>
      <c r="AD147" s="108"/>
      <c r="AE147" s="108"/>
      <c r="AF147" s="108"/>
      <c r="AG147" s="108"/>
      <c r="AH147" s="108"/>
      <c r="AI147" s="108"/>
      <c r="AJ147" s="108"/>
      <c r="AK147" s="108"/>
      <c r="AL147" s="108"/>
      <c r="AM147" s="108"/>
      <c r="AN147" s="108"/>
      <c r="AO147" s="108"/>
    </row>
    <row r="148" spans="1:41" ht="12" customHeight="1" x14ac:dyDescent="0.2">
      <c r="A148" s="179"/>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c r="AA148" s="108"/>
      <c r="AB148" s="108"/>
      <c r="AC148" s="108"/>
      <c r="AD148" s="108"/>
      <c r="AE148" s="108"/>
      <c r="AF148" s="108"/>
      <c r="AG148" s="108"/>
      <c r="AH148" s="108"/>
      <c r="AI148" s="108"/>
      <c r="AJ148" s="108"/>
      <c r="AK148" s="108"/>
      <c r="AL148" s="108"/>
      <c r="AM148" s="108"/>
      <c r="AN148" s="108"/>
      <c r="AO148" s="108"/>
    </row>
    <row r="149" spans="1:41" ht="12" customHeight="1" x14ac:dyDescent="0.2">
      <c r="A149" s="179"/>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c r="AA149" s="108"/>
      <c r="AB149" s="108"/>
      <c r="AC149" s="108"/>
      <c r="AD149" s="108"/>
      <c r="AE149" s="108"/>
      <c r="AF149" s="108"/>
      <c r="AG149" s="108"/>
      <c r="AH149" s="108"/>
      <c r="AI149" s="108"/>
      <c r="AJ149" s="108"/>
      <c r="AK149" s="108"/>
      <c r="AL149" s="108"/>
      <c r="AM149" s="108"/>
      <c r="AN149" s="108"/>
      <c r="AO149" s="108"/>
    </row>
    <row r="150" spans="1:41" ht="12" customHeight="1" x14ac:dyDescent="0.2">
      <c r="A150" s="179"/>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c r="AA150" s="108"/>
      <c r="AB150" s="108"/>
      <c r="AC150" s="108"/>
      <c r="AD150" s="108"/>
      <c r="AE150" s="108"/>
      <c r="AF150" s="108"/>
      <c r="AG150" s="108"/>
      <c r="AH150" s="108"/>
      <c r="AI150" s="108"/>
      <c r="AJ150" s="108"/>
      <c r="AK150" s="108"/>
      <c r="AL150" s="108"/>
      <c r="AM150" s="108"/>
      <c r="AN150" s="108"/>
      <c r="AO150" s="108"/>
    </row>
    <row r="151" spans="1:41" ht="12" customHeight="1" x14ac:dyDescent="0.2">
      <c r="A151" s="179"/>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c r="AA151" s="108"/>
      <c r="AB151" s="108"/>
      <c r="AC151" s="108"/>
      <c r="AD151" s="108"/>
      <c r="AE151" s="108"/>
      <c r="AF151" s="108"/>
      <c r="AG151" s="108"/>
      <c r="AH151" s="108"/>
      <c r="AI151" s="108"/>
      <c r="AJ151" s="108"/>
      <c r="AK151" s="108"/>
      <c r="AL151" s="108"/>
      <c r="AM151" s="108"/>
      <c r="AN151" s="108"/>
      <c r="AO151" s="108"/>
    </row>
    <row r="152" spans="1:41" ht="12" customHeight="1" x14ac:dyDescent="0.2">
      <c r="A152" s="179"/>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c r="AA152" s="108"/>
      <c r="AB152" s="108"/>
      <c r="AC152" s="108"/>
      <c r="AD152" s="108"/>
      <c r="AE152" s="108"/>
      <c r="AF152" s="108"/>
      <c r="AG152" s="108"/>
      <c r="AH152" s="108"/>
      <c r="AI152" s="108"/>
      <c r="AJ152" s="108"/>
      <c r="AK152" s="108"/>
      <c r="AL152" s="108"/>
      <c r="AM152" s="108"/>
      <c r="AN152" s="108"/>
      <c r="AO152" s="108"/>
    </row>
    <row r="153" spans="1:41" ht="12" customHeight="1" x14ac:dyDescent="0.2">
      <c r="A153" s="179"/>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c r="AA153" s="108"/>
      <c r="AB153" s="108"/>
      <c r="AC153" s="108"/>
      <c r="AD153" s="108"/>
      <c r="AE153" s="108"/>
      <c r="AF153" s="108"/>
      <c r="AG153" s="108"/>
      <c r="AH153" s="108"/>
      <c r="AI153" s="108"/>
      <c r="AJ153" s="108"/>
      <c r="AK153" s="108"/>
      <c r="AL153" s="108"/>
      <c r="AM153" s="108"/>
      <c r="AN153" s="108"/>
      <c r="AO153" s="108"/>
    </row>
    <row r="154" spans="1:41" ht="12" customHeight="1" x14ac:dyDescent="0.2">
      <c r="A154" s="179"/>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c r="AA154" s="108"/>
      <c r="AB154" s="108"/>
      <c r="AC154" s="108"/>
      <c r="AD154" s="108"/>
      <c r="AE154" s="108"/>
      <c r="AF154" s="108"/>
      <c r="AG154" s="108"/>
      <c r="AH154" s="108"/>
      <c r="AI154" s="108"/>
      <c r="AJ154" s="108"/>
      <c r="AK154" s="108"/>
      <c r="AL154" s="108"/>
      <c r="AM154" s="108"/>
      <c r="AN154" s="108"/>
      <c r="AO154" s="108"/>
    </row>
    <row r="155" spans="1:41" ht="12" customHeight="1" x14ac:dyDescent="0.2">
      <c r="A155" s="179"/>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c r="AA155" s="108"/>
      <c r="AB155" s="108"/>
      <c r="AC155" s="108"/>
      <c r="AD155" s="108"/>
      <c r="AE155" s="108"/>
      <c r="AF155" s="108"/>
      <c r="AG155" s="108"/>
      <c r="AH155" s="108"/>
      <c r="AI155" s="108"/>
      <c r="AJ155" s="108"/>
      <c r="AK155" s="108"/>
      <c r="AL155" s="108"/>
      <c r="AM155" s="108"/>
      <c r="AN155" s="108"/>
      <c r="AO155" s="108"/>
    </row>
    <row r="156" spans="1:41" ht="12" customHeight="1" x14ac:dyDescent="0.2">
      <c r="A156" s="179"/>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c r="AA156" s="108"/>
      <c r="AB156" s="108"/>
      <c r="AC156" s="108"/>
      <c r="AD156" s="108"/>
      <c r="AE156" s="108"/>
      <c r="AF156" s="108"/>
      <c r="AG156" s="108"/>
      <c r="AH156" s="108"/>
      <c r="AI156" s="108"/>
      <c r="AJ156" s="108"/>
      <c r="AK156" s="108"/>
      <c r="AL156" s="108"/>
      <c r="AM156" s="108"/>
      <c r="AN156" s="108"/>
      <c r="AO156" s="108"/>
    </row>
    <row r="157" spans="1:41" ht="12" customHeight="1" x14ac:dyDescent="0.2">
      <c r="A157" s="179"/>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c r="AA157" s="108"/>
      <c r="AB157" s="108"/>
      <c r="AC157" s="108"/>
      <c r="AD157" s="108"/>
      <c r="AE157" s="108"/>
      <c r="AF157" s="108"/>
      <c r="AG157" s="108"/>
      <c r="AH157" s="108"/>
      <c r="AI157" s="108"/>
      <c r="AJ157" s="108"/>
      <c r="AK157" s="108"/>
      <c r="AL157" s="108"/>
      <c r="AM157" s="108"/>
      <c r="AN157" s="108"/>
      <c r="AO157" s="108"/>
    </row>
    <row r="158" spans="1:41" ht="12" customHeight="1" x14ac:dyDescent="0.2">
      <c r="A158" s="179"/>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c r="AA158" s="108"/>
      <c r="AB158" s="108"/>
      <c r="AC158" s="108"/>
      <c r="AD158" s="108"/>
      <c r="AE158" s="108"/>
      <c r="AF158" s="108"/>
      <c r="AG158" s="108"/>
      <c r="AH158" s="108"/>
      <c r="AI158" s="108"/>
      <c r="AJ158" s="108"/>
      <c r="AK158" s="108"/>
      <c r="AL158" s="108"/>
      <c r="AM158" s="108"/>
      <c r="AN158" s="108"/>
      <c r="AO158" s="108"/>
    </row>
    <row r="159" spans="1:41" ht="12" customHeight="1" x14ac:dyDescent="0.2">
      <c r="A159" s="179"/>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c r="AA159" s="108"/>
      <c r="AB159" s="108"/>
      <c r="AC159" s="108"/>
      <c r="AD159" s="108"/>
      <c r="AE159" s="108"/>
      <c r="AF159" s="108"/>
      <c r="AG159" s="108"/>
      <c r="AH159" s="108"/>
      <c r="AI159" s="108"/>
      <c r="AJ159" s="108"/>
      <c r="AK159" s="108"/>
      <c r="AL159" s="108"/>
      <c r="AM159" s="108"/>
      <c r="AN159" s="108"/>
      <c r="AO159" s="108"/>
    </row>
    <row r="160" spans="1:41" ht="12" customHeight="1" x14ac:dyDescent="0.2">
      <c r="A160" s="179"/>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c r="AA160" s="108"/>
      <c r="AB160" s="108"/>
      <c r="AC160" s="108"/>
      <c r="AD160" s="108"/>
      <c r="AE160" s="108"/>
      <c r="AF160" s="108"/>
      <c r="AG160" s="108"/>
      <c r="AH160" s="108"/>
      <c r="AI160" s="108"/>
      <c r="AJ160" s="108"/>
      <c r="AK160" s="108"/>
      <c r="AL160" s="108"/>
      <c r="AM160" s="108"/>
      <c r="AN160" s="108"/>
      <c r="AO160" s="108"/>
    </row>
    <row r="161" spans="1:41" ht="12" customHeight="1" x14ac:dyDescent="0.2">
      <c r="A161" s="179"/>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c r="AA161" s="108"/>
      <c r="AB161" s="108"/>
      <c r="AC161" s="108"/>
      <c r="AD161" s="108"/>
      <c r="AE161" s="108"/>
      <c r="AF161" s="108"/>
      <c r="AG161" s="108"/>
      <c r="AH161" s="108"/>
      <c r="AI161" s="108"/>
      <c r="AJ161" s="108"/>
      <c r="AK161" s="108"/>
      <c r="AL161" s="108"/>
      <c r="AM161" s="108"/>
      <c r="AN161" s="108"/>
      <c r="AO161" s="108"/>
    </row>
    <row r="162" spans="1:41" ht="12" customHeight="1" x14ac:dyDescent="0.2">
      <c r="A162" s="179"/>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c r="AA162" s="108"/>
      <c r="AB162" s="108"/>
      <c r="AC162" s="108"/>
      <c r="AD162" s="108"/>
      <c r="AE162" s="108"/>
      <c r="AF162" s="108"/>
      <c r="AG162" s="108"/>
      <c r="AH162" s="108"/>
      <c r="AI162" s="108"/>
      <c r="AJ162" s="108"/>
      <c r="AK162" s="108"/>
      <c r="AL162" s="108"/>
      <c r="AM162" s="108"/>
      <c r="AN162" s="108"/>
      <c r="AO162" s="108"/>
    </row>
    <row r="163" spans="1:41" ht="12" customHeight="1" x14ac:dyDescent="0.2">
      <c r="A163" s="179"/>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c r="AA163" s="108"/>
      <c r="AB163" s="108"/>
      <c r="AC163" s="108"/>
      <c r="AD163" s="108"/>
      <c r="AE163" s="108"/>
      <c r="AF163" s="108"/>
      <c r="AG163" s="108"/>
      <c r="AH163" s="108"/>
      <c r="AI163" s="108"/>
      <c r="AJ163" s="108"/>
      <c r="AK163" s="108"/>
      <c r="AL163" s="108"/>
      <c r="AM163" s="108"/>
      <c r="AN163" s="108"/>
      <c r="AO163" s="108"/>
    </row>
    <row r="164" spans="1:41" ht="12" customHeight="1" x14ac:dyDescent="0.2">
      <c r="A164" s="179"/>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c r="AA164" s="108"/>
      <c r="AB164" s="108"/>
      <c r="AC164" s="108"/>
      <c r="AD164" s="108"/>
      <c r="AE164" s="108"/>
      <c r="AF164" s="108"/>
      <c r="AG164" s="108"/>
      <c r="AH164" s="108"/>
      <c r="AI164" s="108"/>
      <c r="AJ164" s="108"/>
      <c r="AK164" s="108"/>
      <c r="AL164" s="108"/>
      <c r="AM164" s="108"/>
      <c r="AN164" s="108"/>
      <c r="AO164" s="108"/>
    </row>
    <row r="165" spans="1:41" ht="12" customHeight="1" x14ac:dyDescent="0.2">
      <c r="A165" s="179"/>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c r="AA165" s="108"/>
      <c r="AB165" s="108"/>
      <c r="AC165" s="108"/>
      <c r="AD165" s="108"/>
      <c r="AE165" s="108"/>
      <c r="AF165" s="108"/>
      <c r="AG165" s="108"/>
      <c r="AH165" s="108"/>
      <c r="AI165" s="108"/>
      <c r="AJ165" s="108"/>
      <c r="AK165" s="108"/>
      <c r="AL165" s="108"/>
      <c r="AM165" s="108"/>
      <c r="AN165" s="108"/>
      <c r="AO165" s="108"/>
    </row>
    <row r="166" spans="1:41" ht="12" customHeight="1" x14ac:dyDescent="0.2">
      <c r="A166" s="179"/>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c r="AA166" s="108"/>
      <c r="AB166" s="108"/>
      <c r="AC166" s="108"/>
      <c r="AD166" s="108"/>
      <c r="AE166" s="108"/>
      <c r="AF166" s="108"/>
      <c r="AG166" s="108"/>
      <c r="AH166" s="108"/>
      <c r="AI166" s="108"/>
      <c r="AJ166" s="108"/>
      <c r="AK166" s="108"/>
      <c r="AL166" s="108"/>
      <c r="AM166" s="108"/>
      <c r="AN166" s="108"/>
      <c r="AO166" s="108"/>
    </row>
    <row r="167" spans="1:41" ht="12" customHeight="1" x14ac:dyDescent="0.2">
      <c r="A167" s="179"/>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c r="AA167" s="108"/>
      <c r="AB167" s="108"/>
      <c r="AC167" s="108"/>
      <c r="AD167" s="108"/>
      <c r="AE167" s="108"/>
      <c r="AF167" s="108"/>
      <c r="AG167" s="108"/>
      <c r="AH167" s="108"/>
      <c r="AI167" s="108"/>
      <c r="AJ167" s="108"/>
      <c r="AK167" s="108"/>
      <c r="AL167" s="108"/>
      <c r="AM167" s="108"/>
      <c r="AN167" s="108"/>
      <c r="AO167" s="108"/>
    </row>
    <row r="168" spans="1:41" ht="12" customHeight="1" x14ac:dyDescent="0.2">
      <c r="A168" s="179"/>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c r="AA168" s="108"/>
      <c r="AB168" s="108"/>
      <c r="AC168" s="108"/>
      <c r="AD168" s="108"/>
      <c r="AE168" s="108"/>
      <c r="AF168" s="108"/>
      <c r="AG168" s="108"/>
      <c r="AH168" s="108"/>
      <c r="AI168" s="108"/>
      <c r="AJ168" s="108"/>
      <c r="AK168" s="108"/>
      <c r="AL168" s="108"/>
      <c r="AM168" s="108"/>
      <c r="AN168" s="108"/>
      <c r="AO168" s="108"/>
    </row>
    <row r="169" spans="1:41" ht="12" customHeight="1" x14ac:dyDescent="0.2">
      <c r="A169" s="179"/>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c r="AA169" s="108"/>
      <c r="AB169" s="108"/>
      <c r="AC169" s="108"/>
      <c r="AD169" s="108"/>
      <c r="AE169" s="108"/>
      <c r="AF169" s="108"/>
      <c r="AG169" s="108"/>
      <c r="AH169" s="108"/>
      <c r="AI169" s="108"/>
      <c r="AJ169" s="108"/>
      <c r="AK169" s="108"/>
      <c r="AL169" s="108"/>
      <c r="AM169" s="108"/>
      <c r="AN169" s="108"/>
      <c r="AO169" s="108"/>
    </row>
    <row r="170" spans="1:41" ht="12" customHeight="1" x14ac:dyDescent="0.2">
      <c r="A170" s="179"/>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c r="AA170" s="108"/>
      <c r="AB170" s="108"/>
      <c r="AC170" s="108"/>
      <c r="AD170" s="108"/>
      <c r="AE170" s="108"/>
      <c r="AF170" s="108"/>
      <c r="AG170" s="108"/>
      <c r="AH170" s="108"/>
      <c r="AI170" s="108"/>
      <c r="AJ170" s="108"/>
      <c r="AK170" s="108"/>
      <c r="AL170" s="108"/>
      <c r="AM170" s="108"/>
      <c r="AN170" s="108"/>
      <c r="AO170" s="108"/>
    </row>
    <row r="171" spans="1:41" ht="12" customHeight="1" x14ac:dyDescent="0.2">
      <c r="A171" s="179"/>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c r="AA171" s="108"/>
      <c r="AB171" s="108"/>
      <c r="AC171" s="108"/>
      <c r="AD171" s="108"/>
      <c r="AE171" s="108"/>
      <c r="AF171" s="108"/>
      <c r="AG171" s="108"/>
      <c r="AH171" s="108"/>
      <c r="AI171" s="108"/>
      <c r="AJ171" s="108"/>
      <c r="AK171" s="108"/>
      <c r="AL171" s="108"/>
      <c r="AM171" s="108"/>
      <c r="AN171" s="108"/>
      <c r="AO171" s="108"/>
    </row>
    <row r="172" spans="1:41" ht="12" customHeight="1" x14ac:dyDescent="0.2">
      <c r="A172" s="179"/>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c r="AA172" s="108"/>
      <c r="AB172" s="108"/>
      <c r="AC172" s="108"/>
      <c r="AD172" s="108"/>
      <c r="AE172" s="108"/>
      <c r="AF172" s="108"/>
      <c r="AG172" s="108"/>
      <c r="AH172" s="108"/>
      <c r="AI172" s="108"/>
      <c r="AJ172" s="108"/>
      <c r="AK172" s="108"/>
      <c r="AL172" s="108"/>
      <c r="AM172" s="108"/>
      <c r="AN172" s="108"/>
      <c r="AO172" s="108"/>
    </row>
    <row r="173" spans="1:41" ht="12" customHeight="1" x14ac:dyDescent="0.2">
      <c r="A173" s="179"/>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c r="AA173" s="108"/>
      <c r="AB173" s="108"/>
      <c r="AC173" s="108"/>
      <c r="AD173" s="108"/>
      <c r="AE173" s="108"/>
      <c r="AF173" s="108"/>
      <c r="AG173" s="108"/>
      <c r="AH173" s="108"/>
      <c r="AI173" s="108"/>
      <c r="AJ173" s="108"/>
      <c r="AK173" s="108"/>
      <c r="AL173" s="108"/>
      <c r="AM173" s="108"/>
      <c r="AN173" s="108"/>
      <c r="AO173" s="108"/>
    </row>
    <row r="174" spans="1:41" ht="12" customHeight="1" x14ac:dyDescent="0.2">
      <c r="A174" s="179"/>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c r="AA174" s="108"/>
      <c r="AB174" s="108"/>
      <c r="AC174" s="108"/>
      <c r="AD174" s="108"/>
      <c r="AE174" s="108"/>
      <c r="AF174" s="108"/>
      <c r="AG174" s="108"/>
      <c r="AH174" s="108"/>
      <c r="AI174" s="108"/>
      <c r="AJ174" s="108"/>
      <c r="AK174" s="108"/>
      <c r="AL174" s="108"/>
      <c r="AM174" s="108"/>
      <c r="AN174" s="108"/>
      <c r="AO174" s="108"/>
    </row>
    <row r="175" spans="1:41" ht="12" customHeight="1" x14ac:dyDescent="0.2">
      <c r="A175" s="179"/>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c r="AA175" s="108"/>
      <c r="AB175" s="108"/>
      <c r="AC175" s="108"/>
      <c r="AD175" s="108"/>
      <c r="AE175" s="108"/>
      <c r="AF175" s="108"/>
      <c r="AG175" s="108"/>
      <c r="AH175" s="108"/>
      <c r="AI175" s="108"/>
      <c r="AJ175" s="108"/>
      <c r="AK175" s="108"/>
      <c r="AL175" s="108"/>
      <c r="AM175" s="108"/>
      <c r="AN175" s="108"/>
      <c r="AO175" s="108"/>
    </row>
    <row r="176" spans="1:41" ht="12" customHeight="1" x14ac:dyDescent="0.2">
      <c r="A176" s="179"/>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c r="AA176" s="108"/>
      <c r="AB176" s="108"/>
      <c r="AC176" s="108"/>
      <c r="AD176" s="108"/>
      <c r="AE176" s="108"/>
      <c r="AF176" s="108"/>
      <c r="AG176" s="108"/>
      <c r="AH176" s="108"/>
      <c r="AI176" s="108"/>
      <c r="AJ176" s="108"/>
      <c r="AK176" s="108"/>
      <c r="AL176" s="108"/>
      <c r="AM176" s="108"/>
      <c r="AN176" s="108"/>
      <c r="AO176" s="108"/>
    </row>
    <row r="177" spans="1:41" ht="12" customHeight="1" x14ac:dyDescent="0.2">
      <c r="A177" s="179"/>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c r="AA177" s="108"/>
      <c r="AB177" s="108"/>
      <c r="AC177" s="108"/>
      <c r="AD177" s="108"/>
      <c r="AE177" s="108"/>
      <c r="AF177" s="108"/>
      <c r="AG177" s="108"/>
      <c r="AH177" s="108"/>
      <c r="AI177" s="108"/>
      <c r="AJ177" s="108"/>
      <c r="AK177" s="108"/>
      <c r="AL177" s="108"/>
      <c r="AM177" s="108"/>
      <c r="AN177" s="108"/>
      <c r="AO177" s="108"/>
    </row>
    <row r="178" spans="1:41" ht="12" customHeight="1" x14ac:dyDescent="0.2">
      <c r="A178" s="179"/>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c r="AA178" s="108"/>
      <c r="AB178" s="108"/>
      <c r="AC178" s="108"/>
      <c r="AD178" s="108"/>
      <c r="AE178" s="108"/>
      <c r="AF178" s="108"/>
      <c r="AG178" s="108"/>
      <c r="AH178" s="108"/>
      <c r="AI178" s="108"/>
      <c r="AJ178" s="108"/>
      <c r="AK178" s="108"/>
      <c r="AL178" s="108"/>
      <c r="AM178" s="108"/>
      <c r="AN178" s="108"/>
      <c r="AO178" s="108"/>
    </row>
    <row r="179" spans="1:41" ht="12" customHeight="1" x14ac:dyDescent="0.2">
      <c r="A179" s="179"/>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c r="AA179" s="108"/>
      <c r="AB179" s="108"/>
      <c r="AC179" s="108"/>
      <c r="AD179" s="108"/>
      <c r="AE179" s="108"/>
      <c r="AF179" s="108"/>
      <c r="AG179" s="108"/>
      <c r="AH179" s="108"/>
      <c r="AI179" s="108"/>
      <c r="AJ179" s="108"/>
      <c r="AK179" s="108"/>
      <c r="AL179" s="108"/>
      <c r="AM179" s="108"/>
      <c r="AN179" s="108"/>
      <c r="AO179" s="108"/>
    </row>
    <row r="180" spans="1:41" ht="12" customHeight="1" x14ac:dyDescent="0.2">
      <c r="A180" s="179"/>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c r="AA180" s="108"/>
      <c r="AB180" s="108"/>
      <c r="AC180" s="108"/>
      <c r="AD180" s="108"/>
      <c r="AE180" s="108"/>
      <c r="AF180" s="108"/>
      <c r="AG180" s="108"/>
      <c r="AH180" s="108"/>
      <c r="AI180" s="108"/>
      <c r="AJ180" s="108"/>
      <c r="AK180" s="108"/>
      <c r="AL180" s="108"/>
      <c r="AM180" s="108"/>
      <c r="AN180" s="108"/>
      <c r="AO180" s="108"/>
    </row>
    <row r="181" spans="1:41" ht="12" customHeight="1" x14ac:dyDescent="0.2">
      <c r="A181" s="179"/>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c r="AA181" s="108"/>
      <c r="AB181" s="108"/>
      <c r="AC181" s="108"/>
      <c r="AD181" s="108"/>
      <c r="AE181" s="108"/>
      <c r="AF181" s="108"/>
      <c r="AG181" s="108"/>
      <c r="AH181" s="108"/>
      <c r="AI181" s="108"/>
      <c r="AJ181" s="108"/>
      <c r="AK181" s="108"/>
      <c r="AL181" s="108"/>
      <c r="AM181" s="108"/>
      <c r="AN181" s="108"/>
      <c r="AO181" s="108"/>
    </row>
    <row r="182" spans="1:41" ht="12" customHeight="1" x14ac:dyDescent="0.2">
      <c r="A182" s="179"/>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c r="AA182" s="108"/>
      <c r="AB182" s="108"/>
      <c r="AC182" s="108"/>
      <c r="AD182" s="108"/>
      <c r="AE182" s="108"/>
      <c r="AF182" s="108"/>
      <c r="AG182" s="108"/>
      <c r="AH182" s="108"/>
      <c r="AI182" s="108"/>
      <c r="AJ182" s="108"/>
      <c r="AK182" s="108"/>
      <c r="AL182" s="108"/>
      <c r="AM182" s="108"/>
      <c r="AN182" s="108"/>
      <c r="AO182" s="108"/>
    </row>
    <row r="183" spans="1:41" ht="12" customHeight="1" x14ac:dyDescent="0.2">
      <c r="A183" s="179"/>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c r="AA183" s="108"/>
      <c r="AB183" s="108"/>
      <c r="AC183" s="108"/>
      <c r="AD183" s="108"/>
      <c r="AE183" s="108"/>
      <c r="AF183" s="108"/>
      <c r="AG183" s="108"/>
      <c r="AH183" s="108"/>
      <c r="AI183" s="108"/>
      <c r="AJ183" s="108"/>
      <c r="AK183" s="108"/>
      <c r="AL183" s="108"/>
      <c r="AM183" s="108"/>
      <c r="AN183" s="108"/>
      <c r="AO183" s="108"/>
    </row>
    <row r="184" spans="1:41" ht="12" customHeight="1" x14ac:dyDescent="0.2">
      <c r="A184" s="179"/>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c r="AA184" s="108"/>
      <c r="AB184" s="108"/>
      <c r="AC184" s="108"/>
      <c r="AD184" s="108"/>
      <c r="AE184" s="108"/>
      <c r="AF184" s="108"/>
      <c r="AG184" s="108"/>
      <c r="AH184" s="108"/>
      <c r="AI184" s="108"/>
      <c r="AJ184" s="108"/>
      <c r="AK184" s="108"/>
      <c r="AL184" s="108"/>
      <c r="AM184" s="108"/>
      <c r="AN184" s="108"/>
      <c r="AO184" s="108"/>
    </row>
    <row r="185" spans="1:41" ht="12" customHeight="1" x14ac:dyDescent="0.2">
      <c r="A185" s="179"/>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c r="AA185" s="108"/>
      <c r="AB185" s="108"/>
      <c r="AC185" s="108"/>
      <c r="AD185" s="108"/>
      <c r="AE185" s="108"/>
      <c r="AF185" s="108"/>
      <c r="AG185" s="108"/>
      <c r="AH185" s="108"/>
      <c r="AI185" s="108"/>
      <c r="AJ185" s="108"/>
      <c r="AK185" s="108"/>
      <c r="AL185" s="108"/>
      <c r="AM185" s="108"/>
      <c r="AN185" s="108"/>
      <c r="AO185" s="108"/>
    </row>
    <row r="186" spans="1:41" ht="12" customHeight="1" x14ac:dyDescent="0.2">
      <c r="A186" s="179"/>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c r="AA186" s="108"/>
      <c r="AB186" s="108"/>
      <c r="AC186" s="108"/>
      <c r="AD186" s="108"/>
      <c r="AE186" s="108"/>
      <c r="AF186" s="108"/>
      <c r="AG186" s="108"/>
      <c r="AH186" s="108"/>
      <c r="AI186" s="108"/>
      <c r="AJ186" s="108"/>
      <c r="AK186" s="108"/>
      <c r="AL186" s="108"/>
      <c r="AM186" s="108"/>
      <c r="AN186" s="108"/>
      <c r="AO186" s="108"/>
    </row>
    <row r="187" spans="1:41" ht="12" customHeight="1" x14ac:dyDescent="0.2">
      <c r="A187" s="179"/>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c r="AA187" s="108"/>
      <c r="AB187" s="108"/>
      <c r="AC187" s="108"/>
      <c r="AD187" s="108"/>
      <c r="AE187" s="108"/>
      <c r="AF187" s="108"/>
      <c r="AG187" s="108"/>
      <c r="AH187" s="108"/>
      <c r="AI187" s="108"/>
      <c r="AJ187" s="108"/>
      <c r="AK187" s="108"/>
      <c r="AL187" s="108"/>
      <c r="AM187" s="108"/>
      <c r="AN187" s="108"/>
      <c r="AO187" s="108"/>
    </row>
    <row r="188" spans="1:41" ht="12" customHeight="1" x14ac:dyDescent="0.2">
      <c r="A188" s="179"/>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c r="AA188" s="108"/>
      <c r="AB188" s="108"/>
      <c r="AC188" s="108"/>
      <c r="AD188" s="108"/>
      <c r="AE188" s="108"/>
      <c r="AF188" s="108"/>
      <c r="AG188" s="108"/>
      <c r="AH188" s="108"/>
      <c r="AI188" s="108"/>
      <c r="AJ188" s="108"/>
      <c r="AK188" s="108"/>
      <c r="AL188" s="108"/>
      <c r="AM188" s="108"/>
      <c r="AN188" s="108"/>
      <c r="AO188" s="108"/>
    </row>
    <row r="189" spans="1:41" ht="12" customHeight="1" x14ac:dyDescent="0.2">
      <c r="A189" s="179"/>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c r="AA189" s="108"/>
      <c r="AB189" s="108"/>
      <c r="AC189" s="108"/>
      <c r="AD189" s="108"/>
      <c r="AE189" s="108"/>
      <c r="AF189" s="108"/>
      <c r="AG189" s="108"/>
      <c r="AH189" s="108"/>
      <c r="AI189" s="108"/>
      <c r="AJ189" s="108"/>
      <c r="AK189" s="108"/>
      <c r="AL189" s="108"/>
      <c r="AM189" s="108"/>
      <c r="AN189" s="108"/>
      <c r="AO189" s="108"/>
    </row>
    <row r="190" spans="1:41" ht="12" customHeight="1" x14ac:dyDescent="0.2">
      <c r="A190" s="179"/>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c r="AA190" s="108"/>
      <c r="AB190" s="108"/>
      <c r="AC190" s="108"/>
      <c r="AD190" s="108"/>
      <c r="AE190" s="108"/>
      <c r="AF190" s="108"/>
      <c r="AG190" s="108"/>
      <c r="AH190" s="108"/>
      <c r="AI190" s="108"/>
      <c r="AJ190" s="108"/>
      <c r="AK190" s="108"/>
      <c r="AL190" s="108"/>
      <c r="AM190" s="108"/>
      <c r="AN190" s="108"/>
      <c r="AO190" s="108"/>
    </row>
    <row r="191" spans="1:41" ht="12" customHeight="1" x14ac:dyDescent="0.2">
      <c r="A191" s="179"/>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c r="AA191" s="108"/>
      <c r="AB191" s="108"/>
      <c r="AC191" s="108"/>
      <c r="AD191" s="108"/>
      <c r="AE191" s="108"/>
      <c r="AF191" s="108"/>
      <c r="AG191" s="108"/>
      <c r="AH191" s="108"/>
      <c r="AI191" s="108"/>
      <c r="AJ191" s="108"/>
      <c r="AK191" s="108"/>
      <c r="AL191" s="108"/>
      <c r="AM191" s="108"/>
      <c r="AN191" s="108"/>
      <c r="AO191" s="108"/>
    </row>
    <row r="192" spans="1:41" ht="12" customHeight="1" x14ac:dyDescent="0.2">
      <c r="A192" s="179"/>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c r="AA192" s="108"/>
      <c r="AB192" s="108"/>
      <c r="AC192" s="108"/>
      <c r="AD192" s="108"/>
      <c r="AE192" s="108"/>
      <c r="AF192" s="108"/>
      <c r="AG192" s="108"/>
      <c r="AH192" s="108"/>
      <c r="AI192" s="108"/>
      <c r="AJ192" s="108"/>
      <c r="AK192" s="108"/>
      <c r="AL192" s="108"/>
      <c r="AM192" s="108"/>
      <c r="AN192" s="108"/>
      <c r="AO192" s="108"/>
    </row>
    <row r="193" spans="1:41" ht="12" customHeight="1" x14ac:dyDescent="0.2">
      <c r="A193" s="179"/>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c r="AA193" s="108"/>
      <c r="AB193" s="108"/>
      <c r="AC193" s="108"/>
      <c r="AD193" s="108"/>
      <c r="AE193" s="108"/>
      <c r="AF193" s="108"/>
      <c r="AG193" s="108"/>
      <c r="AH193" s="108"/>
      <c r="AI193" s="108"/>
      <c r="AJ193" s="108"/>
      <c r="AK193" s="108"/>
      <c r="AL193" s="108"/>
      <c r="AM193" s="108"/>
      <c r="AN193" s="108"/>
      <c r="AO193" s="108"/>
    </row>
    <row r="194" spans="1:41" ht="12" customHeight="1" x14ac:dyDescent="0.2">
      <c r="A194" s="179"/>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c r="AA194" s="108"/>
      <c r="AB194" s="108"/>
      <c r="AC194" s="108"/>
      <c r="AD194" s="108"/>
      <c r="AE194" s="108"/>
      <c r="AF194" s="108"/>
      <c r="AG194" s="108"/>
      <c r="AH194" s="108"/>
      <c r="AI194" s="108"/>
      <c r="AJ194" s="108"/>
      <c r="AK194" s="108"/>
      <c r="AL194" s="108"/>
      <c r="AM194" s="108"/>
      <c r="AN194" s="108"/>
      <c r="AO194" s="108"/>
    </row>
    <row r="195" spans="1:41" ht="12" customHeight="1" x14ac:dyDescent="0.2">
      <c r="A195" s="179"/>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c r="AA195" s="108"/>
      <c r="AB195" s="108"/>
      <c r="AC195" s="108"/>
      <c r="AD195" s="108"/>
      <c r="AE195" s="108"/>
      <c r="AF195" s="108"/>
      <c r="AG195" s="108"/>
      <c r="AH195" s="108"/>
      <c r="AI195" s="108"/>
      <c r="AJ195" s="108"/>
      <c r="AK195" s="108"/>
      <c r="AL195" s="108"/>
      <c r="AM195" s="108"/>
      <c r="AN195" s="108"/>
      <c r="AO195" s="108"/>
    </row>
    <row r="196" spans="1:41" ht="12" customHeight="1" x14ac:dyDescent="0.2">
      <c r="A196" s="179"/>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c r="AA196" s="108"/>
      <c r="AB196" s="108"/>
      <c r="AC196" s="108"/>
      <c r="AD196" s="108"/>
      <c r="AE196" s="108"/>
      <c r="AF196" s="108"/>
      <c r="AG196" s="108"/>
      <c r="AH196" s="108"/>
      <c r="AI196" s="108"/>
      <c r="AJ196" s="108"/>
      <c r="AK196" s="108"/>
      <c r="AL196" s="108"/>
      <c r="AM196" s="108"/>
      <c r="AN196" s="108"/>
      <c r="AO196" s="108"/>
    </row>
    <row r="197" spans="1:41" ht="12" customHeight="1" x14ac:dyDescent="0.2">
      <c r="A197" s="179"/>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c r="AA197" s="108"/>
      <c r="AB197" s="108"/>
      <c r="AC197" s="108"/>
      <c r="AD197" s="108"/>
      <c r="AE197" s="108"/>
      <c r="AF197" s="108"/>
      <c r="AG197" s="108"/>
      <c r="AH197" s="108"/>
      <c r="AI197" s="108"/>
      <c r="AJ197" s="108"/>
      <c r="AK197" s="108"/>
      <c r="AL197" s="108"/>
      <c r="AM197" s="108"/>
      <c r="AN197" s="108"/>
      <c r="AO197" s="108"/>
    </row>
    <row r="198" spans="1:41" ht="12" customHeight="1" x14ac:dyDescent="0.2">
      <c r="A198" s="179"/>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c r="AA198" s="108"/>
      <c r="AB198" s="108"/>
      <c r="AC198" s="108"/>
      <c r="AD198" s="108"/>
      <c r="AE198" s="108"/>
      <c r="AF198" s="108"/>
      <c r="AG198" s="108"/>
      <c r="AH198" s="108"/>
      <c r="AI198" s="108"/>
      <c r="AJ198" s="108"/>
      <c r="AK198" s="108"/>
      <c r="AL198" s="108"/>
      <c r="AM198" s="108"/>
      <c r="AN198" s="108"/>
      <c r="AO198" s="108"/>
    </row>
    <row r="199" spans="1:41" ht="12" customHeight="1" x14ac:dyDescent="0.2">
      <c r="A199" s="179"/>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c r="AA199" s="108"/>
      <c r="AB199" s="108"/>
      <c r="AC199" s="108"/>
      <c r="AD199" s="108"/>
      <c r="AE199" s="108"/>
      <c r="AF199" s="108"/>
      <c r="AG199" s="108"/>
      <c r="AH199" s="108"/>
      <c r="AI199" s="108"/>
      <c r="AJ199" s="108"/>
      <c r="AK199" s="108"/>
      <c r="AL199" s="108"/>
      <c r="AM199" s="108"/>
      <c r="AN199" s="108"/>
      <c r="AO199" s="108"/>
    </row>
    <row r="200" spans="1:41" ht="12" customHeight="1" x14ac:dyDescent="0.2">
      <c r="A200" s="179"/>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c r="AA200" s="108"/>
      <c r="AB200" s="108"/>
      <c r="AC200" s="108"/>
      <c r="AD200" s="108"/>
      <c r="AE200" s="108"/>
      <c r="AF200" s="108"/>
      <c r="AG200" s="108"/>
      <c r="AH200" s="108"/>
      <c r="AI200" s="108"/>
      <c r="AJ200" s="108"/>
      <c r="AK200" s="108"/>
      <c r="AL200" s="108"/>
      <c r="AM200" s="108"/>
      <c r="AN200" s="108"/>
      <c r="AO200" s="108"/>
    </row>
    <row r="201" spans="1:41" ht="12" customHeight="1" x14ac:dyDescent="0.2">
      <c r="A201" s="179"/>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c r="AA201" s="108"/>
      <c r="AB201" s="108"/>
      <c r="AC201" s="108"/>
      <c r="AD201" s="108"/>
      <c r="AE201" s="108"/>
      <c r="AF201" s="108"/>
      <c r="AG201" s="108"/>
      <c r="AH201" s="108"/>
      <c r="AI201" s="108"/>
      <c r="AJ201" s="108"/>
      <c r="AK201" s="108"/>
      <c r="AL201" s="108"/>
      <c r="AM201" s="108"/>
      <c r="AN201" s="108"/>
      <c r="AO201" s="108"/>
    </row>
    <row r="202" spans="1:41" ht="12" customHeight="1" x14ac:dyDescent="0.2">
      <c r="A202" s="179"/>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c r="AA202" s="108"/>
      <c r="AB202" s="108"/>
      <c r="AC202" s="108"/>
      <c r="AD202" s="108"/>
      <c r="AE202" s="108"/>
      <c r="AF202" s="108"/>
      <c r="AG202" s="108"/>
      <c r="AH202" s="108"/>
      <c r="AI202" s="108"/>
      <c r="AJ202" s="108"/>
      <c r="AK202" s="108"/>
      <c r="AL202" s="108"/>
      <c r="AM202" s="108"/>
      <c r="AN202" s="108"/>
      <c r="AO202" s="108"/>
    </row>
    <row r="203" spans="1:41" ht="12" customHeight="1" x14ac:dyDescent="0.2">
      <c r="A203" s="179"/>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c r="AA203" s="108"/>
      <c r="AB203" s="108"/>
      <c r="AC203" s="108"/>
      <c r="AD203" s="108"/>
      <c r="AE203" s="108"/>
      <c r="AF203" s="108"/>
      <c r="AG203" s="108"/>
      <c r="AH203" s="108"/>
      <c r="AI203" s="108"/>
      <c r="AJ203" s="108"/>
      <c r="AK203" s="108"/>
      <c r="AL203" s="108"/>
      <c r="AM203" s="108"/>
      <c r="AN203" s="108"/>
      <c r="AO203" s="108"/>
    </row>
    <row r="204" spans="1:41" ht="12" customHeight="1" x14ac:dyDescent="0.2">
      <c r="A204" s="179"/>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c r="AA204" s="108"/>
      <c r="AB204" s="108"/>
      <c r="AC204" s="108"/>
      <c r="AD204" s="108"/>
      <c r="AE204" s="108"/>
      <c r="AF204" s="108"/>
      <c r="AG204" s="108"/>
      <c r="AH204" s="108"/>
      <c r="AI204" s="108"/>
      <c r="AJ204" s="108"/>
      <c r="AK204" s="108"/>
      <c r="AL204" s="108"/>
      <c r="AM204" s="108"/>
      <c r="AN204" s="108"/>
      <c r="AO204" s="108"/>
    </row>
    <row r="205" spans="1:41" ht="12" customHeight="1" x14ac:dyDescent="0.2">
      <c r="A205" s="179"/>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c r="AA205" s="108"/>
      <c r="AB205" s="108"/>
      <c r="AC205" s="108"/>
      <c r="AD205" s="108"/>
      <c r="AE205" s="108"/>
      <c r="AF205" s="108"/>
      <c r="AG205" s="108"/>
      <c r="AH205" s="108"/>
      <c r="AI205" s="108"/>
      <c r="AJ205" s="108"/>
      <c r="AK205" s="108"/>
      <c r="AL205" s="108"/>
      <c r="AM205" s="108"/>
      <c r="AN205" s="108"/>
      <c r="AO205" s="108"/>
    </row>
    <row r="206" spans="1:41" ht="12" customHeight="1" x14ac:dyDescent="0.2">
      <c r="A206" s="179"/>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c r="AA206" s="108"/>
      <c r="AB206" s="108"/>
      <c r="AC206" s="108"/>
      <c r="AD206" s="108"/>
      <c r="AE206" s="108"/>
      <c r="AF206" s="108"/>
      <c r="AG206" s="108"/>
      <c r="AH206" s="108"/>
      <c r="AI206" s="108"/>
      <c r="AJ206" s="108"/>
      <c r="AK206" s="108"/>
      <c r="AL206" s="108"/>
      <c r="AM206" s="108"/>
      <c r="AN206" s="108"/>
      <c r="AO206" s="108"/>
    </row>
    <row r="207" spans="1:41" ht="12" customHeight="1" x14ac:dyDescent="0.2">
      <c r="A207" s="179"/>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c r="AA207" s="108"/>
      <c r="AB207" s="108"/>
      <c r="AC207" s="108"/>
      <c r="AD207" s="108"/>
      <c r="AE207" s="108"/>
      <c r="AF207" s="108"/>
      <c r="AG207" s="108"/>
      <c r="AH207" s="108"/>
      <c r="AI207" s="108"/>
      <c r="AJ207" s="108"/>
      <c r="AK207" s="108"/>
      <c r="AL207" s="108"/>
      <c r="AM207" s="108"/>
      <c r="AN207" s="108"/>
      <c r="AO207" s="108"/>
    </row>
    <row r="208" spans="1:41" ht="12" customHeight="1" x14ac:dyDescent="0.2">
      <c r="A208" s="179"/>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c r="AA208" s="108"/>
      <c r="AB208" s="108"/>
      <c r="AC208" s="108"/>
      <c r="AD208" s="108"/>
      <c r="AE208" s="108"/>
      <c r="AF208" s="108"/>
      <c r="AG208" s="108"/>
      <c r="AH208" s="108"/>
      <c r="AI208" s="108"/>
      <c r="AJ208" s="108"/>
      <c r="AK208" s="108"/>
      <c r="AL208" s="108"/>
      <c r="AM208" s="108"/>
      <c r="AN208" s="108"/>
      <c r="AO208" s="108"/>
    </row>
    <row r="209" spans="1:41" ht="12" customHeight="1" x14ac:dyDescent="0.2">
      <c r="A209" s="179"/>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c r="AA209" s="108"/>
      <c r="AB209" s="108"/>
      <c r="AC209" s="108"/>
      <c r="AD209" s="108"/>
      <c r="AE209" s="108"/>
      <c r="AF209" s="108"/>
      <c r="AG209" s="108"/>
      <c r="AH209" s="108"/>
      <c r="AI209" s="108"/>
      <c r="AJ209" s="108"/>
      <c r="AK209" s="108"/>
      <c r="AL209" s="108"/>
      <c r="AM209" s="108"/>
      <c r="AN209" s="108"/>
      <c r="AO209" s="108"/>
    </row>
    <row r="210" spans="1:41" ht="12" customHeight="1" x14ac:dyDescent="0.2">
      <c r="A210" s="179"/>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c r="AA210" s="108"/>
      <c r="AB210" s="108"/>
      <c r="AC210" s="108"/>
      <c r="AD210" s="108"/>
      <c r="AE210" s="108"/>
      <c r="AF210" s="108"/>
      <c r="AG210" s="108"/>
      <c r="AH210" s="108"/>
      <c r="AI210" s="108"/>
      <c r="AJ210" s="108"/>
      <c r="AK210" s="108"/>
      <c r="AL210" s="108"/>
      <c r="AM210" s="108"/>
      <c r="AN210" s="108"/>
      <c r="AO210" s="108"/>
    </row>
    <row r="211" spans="1:41" ht="12" customHeight="1" x14ac:dyDescent="0.2">
      <c r="A211" s="179"/>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c r="AA211" s="108"/>
      <c r="AB211" s="108"/>
      <c r="AC211" s="108"/>
      <c r="AD211" s="108"/>
      <c r="AE211" s="108"/>
      <c r="AF211" s="108"/>
      <c r="AG211" s="108"/>
      <c r="AH211" s="108"/>
      <c r="AI211" s="108"/>
      <c r="AJ211" s="108"/>
      <c r="AK211" s="108"/>
      <c r="AL211" s="108"/>
      <c r="AM211" s="108"/>
      <c r="AN211" s="108"/>
      <c r="AO211" s="108"/>
    </row>
    <row r="212" spans="1:41" ht="12" customHeight="1" x14ac:dyDescent="0.2">
      <c r="A212" s="179"/>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c r="AA212" s="108"/>
      <c r="AB212" s="108"/>
      <c r="AC212" s="108"/>
      <c r="AD212" s="108"/>
      <c r="AE212" s="108"/>
      <c r="AF212" s="108"/>
      <c r="AG212" s="108"/>
      <c r="AH212" s="108"/>
      <c r="AI212" s="108"/>
      <c r="AJ212" s="108"/>
      <c r="AK212" s="108"/>
      <c r="AL212" s="108"/>
      <c r="AM212" s="108"/>
      <c r="AN212" s="108"/>
      <c r="AO212" s="108"/>
    </row>
    <row r="213" spans="1:41" ht="12" customHeight="1" x14ac:dyDescent="0.2">
      <c r="A213" s="179"/>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c r="AA213" s="108"/>
      <c r="AB213" s="108"/>
      <c r="AC213" s="108"/>
      <c r="AD213" s="108"/>
      <c r="AE213" s="108"/>
      <c r="AF213" s="108"/>
      <c r="AG213" s="108"/>
      <c r="AH213" s="108"/>
      <c r="AI213" s="108"/>
      <c r="AJ213" s="108"/>
      <c r="AK213" s="108"/>
      <c r="AL213" s="108"/>
      <c r="AM213" s="108"/>
      <c r="AN213" s="108"/>
      <c r="AO213" s="108"/>
    </row>
    <row r="214" spans="1:41" ht="12" customHeight="1" x14ac:dyDescent="0.2">
      <c r="A214" s="179"/>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c r="AA214" s="108"/>
      <c r="AB214" s="108"/>
      <c r="AC214" s="108"/>
      <c r="AD214" s="108"/>
      <c r="AE214" s="108"/>
      <c r="AF214" s="108"/>
      <c r="AG214" s="108"/>
      <c r="AH214" s="108"/>
      <c r="AI214" s="108"/>
      <c r="AJ214" s="108"/>
      <c r="AK214" s="108"/>
      <c r="AL214" s="108"/>
      <c r="AM214" s="108"/>
      <c r="AN214" s="108"/>
      <c r="AO214" s="108"/>
    </row>
    <row r="215" spans="1:41" ht="12" customHeight="1" x14ac:dyDescent="0.2">
      <c r="A215" s="179"/>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c r="AA215" s="108"/>
      <c r="AB215" s="108"/>
      <c r="AC215" s="108"/>
      <c r="AD215" s="108"/>
      <c r="AE215" s="108"/>
      <c r="AF215" s="108"/>
      <c r="AG215" s="108"/>
      <c r="AH215" s="108"/>
      <c r="AI215" s="108"/>
      <c r="AJ215" s="108"/>
      <c r="AK215" s="108"/>
      <c r="AL215" s="108"/>
      <c r="AM215" s="108"/>
      <c r="AN215" s="108"/>
      <c r="AO215" s="108"/>
    </row>
    <row r="216" spans="1:41" ht="12" customHeight="1" x14ac:dyDescent="0.2">
      <c r="A216" s="179"/>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c r="AA216" s="108"/>
      <c r="AB216" s="108"/>
      <c r="AC216" s="108"/>
      <c r="AD216" s="108"/>
      <c r="AE216" s="108"/>
      <c r="AF216" s="108"/>
      <c r="AG216" s="108"/>
      <c r="AH216" s="108"/>
      <c r="AI216" s="108"/>
      <c r="AJ216" s="108"/>
      <c r="AK216" s="108"/>
      <c r="AL216" s="108"/>
      <c r="AM216" s="108"/>
      <c r="AN216" s="108"/>
      <c r="AO216" s="108"/>
    </row>
    <row r="217" spans="1:41" ht="12" customHeight="1" x14ac:dyDescent="0.2">
      <c r="A217" s="179"/>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c r="AA217" s="108"/>
      <c r="AB217" s="108"/>
      <c r="AC217" s="108"/>
      <c r="AD217" s="108"/>
      <c r="AE217" s="108"/>
      <c r="AF217" s="108"/>
      <c r="AG217" s="108"/>
      <c r="AH217" s="108"/>
      <c r="AI217" s="108"/>
      <c r="AJ217" s="108"/>
      <c r="AK217" s="108"/>
      <c r="AL217" s="108"/>
      <c r="AM217" s="108"/>
      <c r="AN217" s="108"/>
      <c r="AO217" s="108"/>
    </row>
    <row r="218" spans="1:41" ht="12" customHeight="1" x14ac:dyDescent="0.2">
      <c r="A218" s="179"/>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c r="AA218" s="108"/>
      <c r="AB218" s="108"/>
      <c r="AC218" s="108"/>
      <c r="AD218" s="108"/>
      <c r="AE218" s="108"/>
      <c r="AF218" s="108"/>
      <c r="AG218" s="108"/>
      <c r="AH218" s="108"/>
      <c r="AI218" s="108"/>
      <c r="AJ218" s="108"/>
      <c r="AK218" s="108"/>
      <c r="AL218" s="108"/>
      <c r="AM218" s="108"/>
      <c r="AN218" s="108"/>
      <c r="AO218" s="108"/>
    </row>
    <row r="219" spans="1:41" ht="12" customHeight="1" x14ac:dyDescent="0.2">
      <c r="A219" s="179"/>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c r="AA219" s="108"/>
      <c r="AB219" s="108"/>
      <c r="AC219" s="108"/>
      <c r="AD219" s="108"/>
      <c r="AE219" s="108"/>
      <c r="AF219" s="108"/>
      <c r="AG219" s="108"/>
      <c r="AH219" s="108"/>
      <c r="AI219" s="108"/>
      <c r="AJ219" s="108"/>
      <c r="AK219" s="108"/>
      <c r="AL219" s="108"/>
      <c r="AM219" s="108"/>
      <c r="AN219" s="108"/>
      <c r="AO219" s="108"/>
    </row>
    <row r="220" spans="1:41" ht="12" customHeight="1" x14ac:dyDescent="0.2">
      <c r="A220" s="179"/>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c r="AA220" s="108"/>
      <c r="AB220" s="108"/>
      <c r="AC220" s="108"/>
      <c r="AD220" s="108"/>
      <c r="AE220" s="108"/>
      <c r="AF220" s="108"/>
      <c r="AG220" s="108"/>
      <c r="AH220" s="108"/>
      <c r="AI220" s="108"/>
      <c r="AJ220" s="108"/>
      <c r="AK220" s="108"/>
      <c r="AL220" s="108"/>
      <c r="AM220" s="108"/>
      <c r="AN220" s="108"/>
      <c r="AO220" s="108"/>
    </row>
    <row r="221" spans="1:41" ht="12" customHeight="1" x14ac:dyDescent="0.2">
      <c r="A221" s="179"/>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c r="AA221" s="108"/>
      <c r="AB221" s="108"/>
      <c r="AC221" s="108"/>
      <c r="AD221" s="108"/>
      <c r="AE221" s="108"/>
      <c r="AF221" s="108"/>
      <c r="AG221" s="108"/>
      <c r="AH221" s="108"/>
      <c r="AI221" s="108"/>
      <c r="AJ221" s="108"/>
      <c r="AK221" s="108"/>
      <c r="AL221" s="108"/>
      <c r="AM221" s="108"/>
      <c r="AN221" s="108"/>
      <c r="AO221" s="108"/>
    </row>
    <row r="222" spans="1:41" ht="12" customHeight="1" x14ac:dyDescent="0.2">
      <c r="A222" s="179"/>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c r="AA222" s="108"/>
      <c r="AB222" s="108"/>
      <c r="AC222" s="108"/>
      <c r="AD222" s="108"/>
      <c r="AE222" s="108"/>
      <c r="AF222" s="108"/>
      <c r="AG222" s="108"/>
      <c r="AH222" s="108"/>
      <c r="AI222" s="108"/>
      <c r="AJ222" s="108"/>
      <c r="AK222" s="108"/>
      <c r="AL222" s="108"/>
      <c r="AM222" s="108"/>
      <c r="AN222" s="108"/>
      <c r="AO222" s="108"/>
    </row>
    <row r="223" spans="1:41" ht="12" customHeight="1" x14ac:dyDescent="0.2">
      <c r="A223" s="179"/>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c r="AA223" s="108"/>
      <c r="AB223" s="108"/>
      <c r="AC223" s="108"/>
      <c r="AD223" s="108"/>
      <c r="AE223" s="108"/>
      <c r="AF223" s="108"/>
      <c r="AG223" s="108"/>
      <c r="AH223" s="108"/>
      <c r="AI223" s="108"/>
      <c r="AJ223" s="108"/>
      <c r="AK223" s="108"/>
      <c r="AL223" s="108"/>
      <c r="AM223" s="108"/>
      <c r="AN223" s="108"/>
      <c r="AO223" s="108"/>
    </row>
    <row r="224" spans="1:41" ht="12" customHeight="1" x14ac:dyDescent="0.2">
      <c r="A224" s="179"/>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c r="AA224" s="108"/>
      <c r="AB224" s="108"/>
      <c r="AC224" s="108"/>
      <c r="AD224" s="108"/>
      <c r="AE224" s="108"/>
      <c r="AF224" s="108"/>
      <c r="AG224" s="108"/>
      <c r="AH224" s="108"/>
      <c r="AI224" s="108"/>
      <c r="AJ224" s="108"/>
      <c r="AK224" s="108"/>
      <c r="AL224" s="108"/>
      <c r="AM224" s="108"/>
      <c r="AN224" s="108"/>
      <c r="AO224" s="108"/>
    </row>
    <row r="225" spans="1:41" ht="12" customHeight="1" x14ac:dyDescent="0.2">
      <c r="A225" s="179"/>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c r="AA225" s="108"/>
      <c r="AB225" s="108"/>
      <c r="AC225" s="108"/>
      <c r="AD225" s="108"/>
      <c r="AE225" s="108"/>
      <c r="AF225" s="108"/>
      <c r="AG225" s="108"/>
      <c r="AH225" s="108"/>
      <c r="AI225" s="108"/>
      <c r="AJ225" s="108"/>
      <c r="AK225" s="108"/>
      <c r="AL225" s="108"/>
      <c r="AM225" s="108"/>
      <c r="AN225" s="108"/>
      <c r="AO225" s="108"/>
    </row>
    <row r="226" spans="1:41" ht="12" customHeight="1" x14ac:dyDescent="0.2">
      <c r="A226" s="179"/>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c r="AA226" s="108"/>
      <c r="AB226" s="108"/>
      <c r="AC226" s="108"/>
      <c r="AD226" s="108"/>
      <c r="AE226" s="108"/>
      <c r="AF226" s="108"/>
      <c r="AG226" s="108"/>
      <c r="AH226" s="108"/>
      <c r="AI226" s="108"/>
      <c r="AJ226" s="108"/>
      <c r="AK226" s="108"/>
      <c r="AL226" s="108"/>
      <c r="AM226" s="108"/>
      <c r="AN226" s="108"/>
      <c r="AO226" s="108"/>
    </row>
    <row r="227" spans="1:41" ht="12" customHeight="1" x14ac:dyDescent="0.2">
      <c r="A227" s="179"/>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c r="AA227" s="108"/>
      <c r="AB227" s="108"/>
      <c r="AC227" s="108"/>
      <c r="AD227" s="108"/>
      <c r="AE227" s="108"/>
      <c r="AF227" s="108"/>
      <c r="AG227" s="108"/>
      <c r="AH227" s="108"/>
      <c r="AI227" s="108"/>
      <c r="AJ227" s="108"/>
      <c r="AK227" s="108"/>
      <c r="AL227" s="108"/>
      <c r="AM227" s="108"/>
      <c r="AN227" s="108"/>
      <c r="AO227" s="108"/>
    </row>
    <row r="228" spans="1:41" ht="12" customHeight="1" x14ac:dyDescent="0.2">
      <c r="A228" s="179"/>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c r="AA228" s="108"/>
      <c r="AB228" s="108"/>
      <c r="AC228" s="108"/>
      <c r="AD228" s="108"/>
      <c r="AE228" s="108"/>
      <c r="AF228" s="108"/>
      <c r="AG228" s="108"/>
      <c r="AH228" s="108"/>
      <c r="AI228" s="108"/>
      <c r="AJ228" s="108"/>
      <c r="AK228" s="108"/>
      <c r="AL228" s="108"/>
      <c r="AM228" s="108"/>
      <c r="AN228" s="108"/>
      <c r="AO228" s="108"/>
    </row>
    <row r="229" spans="1:41" ht="12" customHeight="1" x14ac:dyDescent="0.2">
      <c r="A229" s="179"/>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c r="AA229" s="108"/>
      <c r="AB229" s="108"/>
      <c r="AC229" s="108"/>
      <c r="AD229" s="108"/>
      <c r="AE229" s="108"/>
      <c r="AF229" s="108"/>
      <c r="AG229" s="108"/>
      <c r="AH229" s="108"/>
      <c r="AI229" s="108"/>
      <c r="AJ229" s="108"/>
      <c r="AK229" s="108"/>
      <c r="AL229" s="108"/>
      <c r="AM229" s="108"/>
      <c r="AN229" s="108"/>
      <c r="AO229" s="108"/>
    </row>
    <row r="230" spans="1:41" ht="12" customHeight="1" x14ac:dyDescent="0.2">
      <c r="A230" s="179"/>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c r="AA230" s="108"/>
      <c r="AB230" s="108"/>
      <c r="AC230" s="108"/>
      <c r="AD230" s="108"/>
      <c r="AE230" s="108"/>
      <c r="AF230" s="108"/>
      <c r="AG230" s="108"/>
      <c r="AH230" s="108"/>
      <c r="AI230" s="108"/>
      <c r="AJ230" s="108"/>
      <c r="AK230" s="108"/>
      <c r="AL230" s="108"/>
      <c r="AM230" s="108"/>
      <c r="AN230" s="108"/>
      <c r="AO230" s="108"/>
    </row>
    <row r="231" spans="1:41" ht="12" customHeight="1" x14ac:dyDescent="0.2">
      <c r="A231" s="179"/>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c r="AA231" s="108"/>
      <c r="AB231" s="108"/>
      <c r="AC231" s="108"/>
      <c r="AD231" s="108"/>
      <c r="AE231" s="108"/>
      <c r="AF231" s="108"/>
      <c r="AG231" s="108"/>
      <c r="AH231" s="108"/>
      <c r="AI231" s="108"/>
      <c r="AJ231" s="108"/>
      <c r="AK231" s="108"/>
      <c r="AL231" s="108"/>
      <c r="AM231" s="108"/>
      <c r="AN231" s="108"/>
      <c r="AO231" s="108"/>
    </row>
    <row r="232" spans="1:41" ht="12" customHeight="1" x14ac:dyDescent="0.2">
      <c r="A232" s="179"/>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c r="AA232" s="108"/>
      <c r="AB232" s="108"/>
      <c r="AC232" s="108"/>
      <c r="AD232" s="108"/>
      <c r="AE232" s="108"/>
      <c r="AF232" s="108"/>
      <c r="AG232" s="108"/>
      <c r="AH232" s="108"/>
      <c r="AI232" s="108"/>
      <c r="AJ232" s="108"/>
      <c r="AK232" s="108"/>
      <c r="AL232" s="108"/>
      <c r="AM232" s="108"/>
      <c r="AN232" s="108"/>
      <c r="AO232" s="108"/>
    </row>
    <row r="233" spans="1:41" ht="12" customHeight="1" x14ac:dyDescent="0.2">
      <c r="A233" s="179"/>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c r="AA233" s="108"/>
      <c r="AB233" s="108"/>
      <c r="AC233" s="108"/>
      <c r="AD233" s="108"/>
      <c r="AE233" s="108"/>
      <c r="AF233" s="108"/>
      <c r="AG233" s="108"/>
      <c r="AH233" s="108"/>
      <c r="AI233" s="108"/>
      <c r="AJ233" s="108"/>
      <c r="AK233" s="108"/>
      <c r="AL233" s="108"/>
      <c r="AM233" s="108"/>
      <c r="AN233" s="108"/>
      <c r="AO233" s="108"/>
    </row>
    <row r="234" spans="1:41" ht="12" customHeight="1" x14ac:dyDescent="0.2">
      <c r="A234" s="179"/>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c r="AA234" s="108"/>
      <c r="AB234" s="108"/>
      <c r="AC234" s="108"/>
      <c r="AD234" s="108"/>
      <c r="AE234" s="108"/>
      <c r="AF234" s="108"/>
      <c r="AG234" s="108"/>
      <c r="AH234" s="108"/>
      <c r="AI234" s="108"/>
      <c r="AJ234" s="108"/>
      <c r="AK234" s="108"/>
      <c r="AL234" s="108"/>
      <c r="AM234" s="108"/>
      <c r="AN234" s="108"/>
      <c r="AO234" s="108"/>
    </row>
    <row r="235" spans="1:41" ht="12" customHeight="1" x14ac:dyDescent="0.2">
      <c r="A235" s="179"/>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c r="AA235" s="108"/>
      <c r="AB235" s="108"/>
      <c r="AC235" s="108"/>
      <c r="AD235" s="108"/>
      <c r="AE235" s="108"/>
      <c r="AF235" s="108"/>
      <c r="AG235" s="108"/>
      <c r="AH235" s="108"/>
      <c r="AI235" s="108"/>
      <c r="AJ235" s="108"/>
      <c r="AK235" s="108"/>
      <c r="AL235" s="108"/>
      <c r="AM235" s="108"/>
      <c r="AN235" s="108"/>
      <c r="AO235" s="108"/>
    </row>
    <row r="236" spans="1:41" ht="12" customHeight="1" x14ac:dyDescent="0.2">
      <c r="A236" s="179"/>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c r="AA236" s="108"/>
      <c r="AB236" s="108"/>
      <c r="AC236" s="108"/>
      <c r="AD236" s="108"/>
      <c r="AE236" s="108"/>
      <c r="AF236" s="108"/>
      <c r="AG236" s="108"/>
      <c r="AH236" s="108"/>
      <c r="AI236" s="108"/>
      <c r="AJ236" s="108"/>
      <c r="AK236" s="108"/>
      <c r="AL236" s="108"/>
      <c r="AM236" s="108"/>
      <c r="AN236" s="108"/>
      <c r="AO236" s="108"/>
    </row>
    <row r="237" spans="1:41" ht="12" customHeight="1" x14ac:dyDescent="0.2">
      <c r="A237" s="179"/>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c r="AA237" s="108"/>
      <c r="AB237" s="108"/>
      <c r="AC237" s="108"/>
      <c r="AD237" s="108"/>
      <c r="AE237" s="108"/>
      <c r="AF237" s="108"/>
      <c r="AG237" s="108"/>
      <c r="AH237" s="108"/>
      <c r="AI237" s="108"/>
      <c r="AJ237" s="108"/>
      <c r="AK237" s="108"/>
      <c r="AL237" s="108"/>
      <c r="AM237" s="108"/>
      <c r="AN237" s="108"/>
      <c r="AO237" s="108"/>
    </row>
    <row r="238" spans="1:41" ht="12" customHeight="1" x14ac:dyDescent="0.2">
      <c r="A238" s="179"/>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c r="AA238" s="108"/>
      <c r="AB238" s="108"/>
      <c r="AC238" s="108"/>
      <c r="AD238" s="108"/>
      <c r="AE238" s="108"/>
      <c r="AF238" s="108"/>
      <c r="AG238" s="108"/>
      <c r="AH238" s="108"/>
      <c r="AI238" s="108"/>
      <c r="AJ238" s="108"/>
      <c r="AK238" s="108"/>
      <c r="AL238" s="108"/>
      <c r="AM238" s="108"/>
      <c r="AN238" s="108"/>
      <c r="AO238" s="108"/>
    </row>
    <row r="239" spans="1:41" ht="12" customHeight="1" x14ac:dyDescent="0.2">
      <c r="A239" s="179"/>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c r="AA239" s="108"/>
      <c r="AB239" s="108"/>
      <c r="AC239" s="108"/>
      <c r="AD239" s="108"/>
      <c r="AE239" s="108"/>
      <c r="AF239" s="108"/>
      <c r="AG239" s="108"/>
      <c r="AH239" s="108"/>
      <c r="AI239" s="108"/>
      <c r="AJ239" s="108"/>
      <c r="AK239" s="108"/>
      <c r="AL239" s="108"/>
      <c r="AM239" s="108"/>
      <c r="AN239" s="108"/>
      <c r="AO239" s="108"/>
    </row>
    <row r="240" spans="1:41" ht="12" customHeight="1" x14ac:dyDescent="0.2">
      <c r="A240" s="179"/>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c r="AA240" s="108"/>
      <c r="AB240" s="108"/>
      <c r="AC240" s="108"/>
      <c r="AD240" s="108"/>
      <c r="AE240" s="108"/>
      <c r="AF240" s="108"/>
      <c r="AG240" s="108"/>
      <c r="AH240" s="108"/>
      <c r="AI240" s="108"/>
      <c r="AJ240" s="108"/>
      <c r="AK240" s="108"/>
      <c r="AL240" s="108"/>
      <c r="AM240" s="108"/>
      <c r="AN240" s="108"/>
      <c r="AO240" s="108"/>
    </row>
    <row r="241" spans="1:41" ht="12" customHeight="1" x14ac:dyDescent="0.2">
      <c r="A241" s="179"/>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c r="AA241" s="108"/>
      <c r="AB241" s="108"/>
      <c r="AC241" s="108"/>
      <c r="AD241" s="108"/>
      <c r="AE241" s="108"/>
      <c r="AF241" s="108"/>
      <c r="AG241" s="108"/>
      <c r="AH241" s="108"/>
      <c r="AI241" s="108"/>
      <c r="AJ241" s="108"/>
      <c r="AK241" s="108"/>
      <c r="AL241" s="108"/>
      <c r="AM241" s="108"/>
      <c r="AN241" s="108"/>
      <c r="AO241" s="108"/>
    </row>
    <row r="242" spans="1:41" ht="12" customHeight="1" x14ac:dyDescent="0.2">
      <c r="A242" s="179"/>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c r="AA242" s="108"/>
      <c r="AB242" s="108"/>
      <c r="AC242" s="108"/>
      <c r="AD242" s="108"/>
      <c r="AE242" s="108"/>
      <c r="AF242" s="108"/>
      <c r="AG242" s="108"/>
      <c r="AH242" s="108"/>
      <c r="AI242" s="108"/>
      <c r="AJ242" s="108"/>
      <c r="AK242" s="108"/>
      <c r="AL242" s="108"/>
      <c r="AM242" s="108"/>
      <c r="AN242" s="108"/>
      <c r="AO242" s="108"/>
    </row>
    <row r="243" spans="1:41" ht="12" customHeight="1" x14ac:dyDescent="0.2">
      <c r="A243" s="179"/>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c r="AA243" s="108"/>
      <c r="AB243" s="108"/>
      <c r="AC243" s="108"/>
      <c r="AD243" s="108"/>
      <c r="AE243" s="108"/>
      <c r="AF243" s="108"/>
      <c r="AG243" s="108"/>
      <c r="AH243" s="108"/>
      <c r="AI243" s="108"/>
      <c r="AJ243" s="108"/>
      <c r="AK243" s="108"/>
      <c r="AL243" s="108"/>
      <c r="AM243" s="108"/>
      <c r="AN243" s="108"/>
      <c r="AO243" s="108"/>
    </row>
    <row r="244" spans="1:41" ht="12" customHeight="1" x14ac:dyDescent="0.2">
      <c r="A244" s="179"/>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c r="AA244" s="108"/>
      <c r="AB244" s="108"/>
      <c r="AC244" s="108"/>
      <c r="AD244" s="108"/>
      <c r="AE244" s="108"/>
      <c r="AF244" s="108"/>
      <c r="AG244" s="108"/>
      <c r="AH244" s="108"/>
      <c r="AI244" s="108"/>
      <c r="AJ244" s="108"/>
      <c r="AK244" s="108"/>
      <c r="AL244" s="108"/>
      <c r="AM244" s="108"/>
      <c r="AN244" s="108"/>
      <c r="AO244" s="108"/>
    </row>
    <row r="245" spans="1:41" ht="12" customHeight="1" x14ac:dyDescent="0.2">
      <c r="A245" s="179"/>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c r="AA245" s="108"/>
      <c r="AB245" s="108"/>
      <c r="AC245" s="108"/>
      <c r="AD245" s="108"/>
      <c r="AE245" s="108"/>
      <c r="AF245" s="108"/>
      <c r="AG245" s="108"/>
      <c r="AH245" s="108"/>
      <c r="AI245" s="108"/>
      <c r="AJ245" s="108"/>
      <c r="AK245" s="108"/>
      <c r="AL245" s="108"/>
      <c r="AM245" s="108"/>
      <c r="AN245" s="108"/>
      <c r="AO245" s="108"/>
    </row>
    <row r="246" spans="1:41" ht="12" customHeight="1" x14ac:dyDescent="0.2">
      <c r="A246" s="179"/>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c r="AA246" s="108"/>
      <c r="AB246" s="108"/>
      <c r="AC246" s="108"/>
      <c r="AD246" s="108"/>
      <c r="AE246" s="108"/>
      <c r="AF246" s="108"/>
      <c r="AG246" s="108"/>
      <c r="AH246" s="108"/>
      <c r="AI246" s="108"/>
      <c r="AJ246" s="108"/>
      <c r="AK246" s="108"/>
      <c r="AL246" s="108"/>
      <c r="AM246" s="108"/>
      <c r="AN246" s="108"/>
      <c r="AO246" s="108"/>
    </row>
    <row r="247" spans="1:41" ht="12" customHeight="1" x14ac:dyDescent="0.2">
      <c r="A247" s="179"/>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c r="AA247" s="108"/>
      <c r="AB247" s="108"/>
      <c r="AC247" s="108"/>
      <c r="AD247" s="108"/>
      <c r="AE247" s="108"/>
      <c r="AF247" s="108"/>
      <c r="AG247" s="108"/>
      <c r="AH247" s="108"/>
      <c r="AI247" s="108"/>
      <c r="AJ247" s="108"/>
      <c r="AK247" s="108"/>
      <c r="AL247" s="108"/>
      <c r="AM247" s="108"/>
      <c r="AN247" s="108"/>
      <c r="AO247" s="108"/>
    </row>
    <row r="248" spans="1:41" ht="12" customHeight="1" x14ac:dyDescent="0.2">
      <c r="A248" s="179"/>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c r="AA248" s="108"/>
      <c r="AB248" s="108"/>
      <c r="AC248" s="108"/>
      <c r="AD248" s="108"/>
      <c r="AE248" s="108"/>
      <c r="AF248" s="108"/>
      <c r="AG248" s="108"/>
      <c r="AH248" s="108"/>
      <c r="AI248" s="108"/>
      <c r="AJ248" s="108"/>
      <c r="AK248" s="108"/>
      <c r="AL248" s="108"/>
      <c r="AM248" s="108"/>
      <c r="AN248" s="108"/>
      <c r="AO248" s="108"/>
    </row>
    <row r="249" spans="1:41" ht="12" customHeight="1" x14ac:dyDescent="0.2">
      <c r="A249" s="179"/>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c r="AA249" s="108"/>
      <c r="AB249" s="108"/>
      <c r="AC249" s="108"/>
      <c r="AD249" s="108"/>
      <c r="AE249" s="108"/>
      <c r="AF249" s="108"/>
      <c r="AG249" s="108"/>
      <c r="AH249" s="108"/>
      <c r="AI249" s="108"/>
      <c r="AJ249" s="108"/>
      <c r="AK249" s="108"/>
      <c r="AL249" s="108"/>
      <c r="AM249" s="108"/>
      <c r="AN249" s="108"/>
      <c r="AO249" s="108"/>
    </row>
    <row r="250" spans="1:41" ht="12" customHeight="1" x14ac:dyDescent="0.2">
      <c r="A250" s="179"/>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c r="AA250" s="108"/>
      <c r="AB250" s="108"/>
      <c r="AC250" s="108"/>
      <c r="AD250" s="108"/>
      <c r="AE250" s="108"/>
      <c r="AF250" s="108"/>
      <c r="AG250" s="108"/>
      <c r="AH250" s="108"/>
      <c r="AI250" s="108"/>
      <c r="AJ250" s="108"/>
      <c r="AK250" s="108"/>
      <c r="AL250" s="108"/>
      <c r="AM250" s="108"/>
      <c r="AN250" s="108"/>
      <c r="AO250" s="108"/>
    </row>
    <row r="251" spans="1:41" ht="12" customHeight="1" x14ac:dyDescent="0.2">
      <c r="A251" s="179"/>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c r="AA251" s="108"/>
      <c r="AB251" s="108"/>
      <c r="AC251" s="108"/>
      <c r="AD251" s="108"/>
      <c r="AE251" s="108"/>
      <c r="AF251" s="108"/>
      <c r="AG251" s="108"/>
      <c r="AH251" s="108"/>
      <c r="AI251" s="108"/>
      <c r="AJ251" s="108"/>
      <c r="AK251" s="108"/>
      <c r="AL251" s="108"/>
      <c r="AM251" s="108"/>
      <c r="AN251" s="108"/>
      <c r="AO251" s="108"/>
    </row>
    <row r="252" spans="1:41" ht="12" customHeight="1" x14ac:dyDescent="0.2">
      <c r="A252" s="179"/>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c r="AA252" s="108"/>
      <c r="AB252" s="108"/>
      <c r="AC252" s="108"/>
      <c r="AD252" s="108"/>
      <c r="AE252" s="108"/>
      <c r="AF252" s="108"/>
      <c r="AG252" s="108"/>
      <c r="AH252" s="108"/>
      <c r="AI252" s="108"/>
      <c r="AJ252" s="108"/>
      <c r="AK252" s="108"/>
      <c r="AL252" s="108"/>
      <c r="AM252" s="108"/>
      <c r="AN252" s="108"/>
      <c r="AO252" s="108"/>
    </row>
    <row r="253" spans="1:41" ht="12" customHeight="1" x14ac:dyDescent="0.2">
      <c r="A253" s="179"/>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c r="AA253" s="108"/>
      <c r="AB253" s="108"/>
      <c r="AC253" s="108"/>
      <c r="AD253" s="108"/>
      <c r="AE253" s="108"/>
      <c r="AF253" s="108"/>
      <c r="AG253" s="108"/>
      <c r="AH253" s="108"/>
      <c r="AI253" s="108"/>
      <c r="AJ253" s="108"/>
      <c r="AK253" s="108"/>
      <c r="AL253" s="108"/>
      <c r="AM253" s="108"/>
      <c r="AN253" s="108"/>
      <c r="AO253" s="108"/>
    </row>
    <row r="254" spans="1:41" ht="12" customHeight="1" x14ac:dyDescent="0.2">
      <c r="A254" s="179"/>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c r="AA254" s="108"/>
      <c r="AB254" s="108"/>
      <c r="AC254" s="108"/>
      <c r="AD254" s="108"/>
      <c r="AE254" s="108"/>
      <c r="AF254" s="108"/>
      <c r="AG254" s="108"/>
      <c r="AH254" s="108"/>
      <c r="AI254" s="108"/>
      <c r="AJ254" s="108"/>
      <c r="AK254" s="108"/>
      <c r="AL254" s="108"/>
      <c r="AM254" s="108"/>
      <c r="AN254" s="108"/>
      <c r="AO254" s="108"/>
    </row>
    <row r="255" spans="1:41" ht="12" customHeight="1" x14ac:dyDescent="0.2">
      <c r="A255" s="179"/>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c r="AA255" s="108"/>
      <c r="AB255" s="108"/>
      <c r="AC255" s="108"/>
      <c r="AD255" s="108"/>
      <c r="AE255" s="108"/>
      <c r="AF255" s="108"/>
      <c r="AG255" s="108"/>
      <c r="AH255" s="108"/>
      <c r="AI255" s="108"/>
      <c r="AJ255" s="108"/>
      <c r="AK255" s="108"/>
      <c r="AL255" s="108"/>
      <c r="AM255" s="108"/>
      <c r="AN255" s="108"/>
      <c r="AO255" s="108"/>
    </row>
    <row r="256" spans="1:41" ht="12" customHeight="1" x14ac:dyDescent="0.2">
      <c r="A256" s="179"/>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c r="AA256" s="108"/>
      <c r="AB256" s="108"/>
      <c r="AC256" s="108"/>
      <c r="AD256" s="108"/>
      <c r="AE256" s="108"/>
      <c r="AF256" s="108"/>
      <c r="AG256" s="108"/>
      <c r="AH256" s="108"/>
      <c r="AI256" s="108"/>
      <c r="AJ256" s="108"/>
      <c r="AK256" s="108"/>
      <c r="AL256" s="108"/>
      <c r="AM256" s="108"/>
      <c r="AN256" s="108"/>
      <c r="AO256" s="108"/>
    </row>
    <row r="257" spans="1:41" ht="12" customHeight="1" x14ac:dyDescent="0.2">
      <c r="A257" s="179"/>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c r="AA257" s="108"/>
      <c r="AB257" s="108"/>
      <c r="AC257" s="108"/>
      <c r="AD257" s="108"/>
      <c r="AE257" s="108"/>
      <c r="AF257" s="108"/>
      <c r="AG257" s="108"/>
      <c r="AH257" s="108"/>
      <c r="AI257" s="108"/>
      <c r="AJ257" s="108"/>
      <c r="AK257" s="108"/>
      <c r="AL257" s="108"/>
      <c r="AM257" s="108"/>
      <c r="AN257" s="108"/>
      <c r="AO257" s="108"/>
    </row>
    <row r="258" spans="1:41" ht="12" customHeight="1" x14ac:dyDescent="0.2">
      <c r="A258" s="179"/>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c r="AA258" s="108"/>
      <c r="AB258" s="108"/>
      <c r="AC258" s="108"/>
      <c r="AD258" s="108"/>
      <c r="AE258" s="108"/>
      <c r="AF258" s="108"/>
      <c r="AG258" s="108"/>
      <c r="AH258" s="108"/>
      <c r="AI258" s="108"/>
      <c r="AJ258" s="108"/>
      <c r="AK258" s="108"/>
      <c r="AL258" s="108"/>
      <c r="AM258" s="108"/>
      <c r="AN258" s="108"/>
      <c r="AO258" s="108"/>
    </row>
    <row r="259" spans="1:41" ht="12" customHeight="1" x14ac:dyDescent="0.2">
      <c r="A259" s="179"/>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c r="AA259" s="108"/>
      <c r="AB259" s="108"/>
      <c r="AC259" s="108"/>
      <c r="AD259" s="108"/>
      <c r="AE259" s="108"/>
      <c r="AF259" s="108"/>
      <c r="AG259" s="108"/>
      <c r="AH259" s="108"/>
      <c r="AI259" s="108"/>
      <c r="AJ259" s="108"/>
      <c r="AK259" s="108"/>
      <c r="AL259" s="108"/>
      <c r="AM259" s="108"/>
      <c r="AN259" s="108"/>
      <c r="AO259" s="108"/>
    </row>
    <row r="260" spans="1:41" ht="12" customHeight="1" x14ac:dyDescent="0.2">
      <c r="A260" s="179"/>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c r="AA260" s="108"/>
      <c r="AB260" s="108"/>
      <c r="AC260" s="108"/>
      <c r="AD260" s="108"/>
      <c r="AE260" s="108"/>
      <c r="AF260" s="108"/>
      <c r="AG260" s="108"/>
      <c r="AH260" s="108"/>
      <c r="AI260" s="108"/>
      <c r="AJ260" s="108"/>
      <c r="AK260" s="108"/>
      <c r="AL260" s="108"/>
      <c r="AM260" s="108"/>
      <c r="AN260" s="108"/>
      <c r="AO260" s="108"/>
    </row>
    <row r="261" spans="1:41" ht="12" customHeight="1" x14ac:dyDescent="0.2">
      <c r="A261" s="179"/>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c r="AA261" s="108"/>
      <c r="AB261" s="108"/>
      <c r="AC261" s="108"/>
      <c r="AD261" s="108"/>
      <c r="AE261" s="108"/>
      <c r="AF261" s="108"/>
      <c r="AG261" s="108"/>
      <c r="AH261" s="108"/>
      <c r="AI261" s="108"/>
      <c r="AJ261" s="108"/>
      <c r="AK261" s="108"/>
      <c r="AL261" s="108"/>
      <c r="AM261" s="108"/>
      <c r="AN261" s="108"/>
      <c r="AO261" s="108"/>
    </row>
    <row r="262" spans="1:41" ht="12" customHeight="1" x14ac:dyDescent="0.2">
      <c r="A262" s="179"/>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c r="AA262" s="108"/>
      <c r="AB262" s="108"/>
      <c r="AC262" s="108"/>
      <c r="AD262" s="108"/>
      <c r="AE262" s="108"/>
      <c r="AF262" s="108"/>
      <c r="AG262" s="108"/>
      <c r="AH262" s="108"/>
      <c r="AI262" s="108"/>
      <c r="AJ262" s="108"/>
      <c r="AK262" s="108"/>
      <c r="AL262" s="108"/>
      <c r="AM262" s="108"/>
      <c r="AN262" s="108"/>
      <c r="AO262" s="108"/>
    </row>
    <row r="263" spans="1:41" ht="12" customHeight="1" x14ac:dyDescent="0.2">
      <c r="A263" s="179"/>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c r="AA263" s="108"/>
      <c r="AB263" s="108"/>
      <c r="AC263" s="108"/>
      <c r="AD263" s="108"/>
      <c r="AE263" s="108"/>
      <c r="AF263" s="108"/>
      <c r="AG263" s="108"/>
      <c r="AH263" s="108"/>
      <c r="AI263" s="108"/>
      <c r="AJ263" s="108"/>
      <c r="AK263" s="108"/>
      <c r="AL263" s="108"/>
      <c r="AM263" s="108"/>
      <c r="AN263" s="108"/>
      <c r="AO263" s="108"/>
    </row>
    <row r="264" spans="1:41" ht="12" customHeight="1" x14ac:dyDescent="0.2">
      <c r="A264" s="179"/>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c r="AA264" s="108"/>
      <c r="AB264" s="108"/>
      <c r="AC264" s="108"/>
      <c r="AD264" s="108"/>
      <c r="AE264" s="108"/>
      <c r="AF264" s="108"/>
      <c r="AG264" s="108"/>
      <c r="AH264" s="108"/>
      <c r="AI264" s="108"/>
      <c r="AJ264" s="108"/>
      <c r="AK264" s="108"/>
      <c r="AL264" s="108"/>
      <c r="AM264" s="108"/>
      <c r="AN264" s="108"/>
      <c r="AO264" s="108"/>
    </row>
    <row r="265" spans="1:41" ht="12" customHeight="1" x14ac:dyDescent="0.2">
      <c r="A265" s="179"/>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c r="AA265" s="108"/>
      <c r="AB265" s="108"/>
      <c r="AC265" s="108"/>
      <c r="AD265" s="108"/>
      <c r="AE265" s="108"/>
      <c r="AF265" s="108"/>
      <c r="AG265" s="108"/>
      <c r="AH265" s="108"/>
      <c r="AI265" s="108"/>
      <c r="AJ265" s="108"/>
      <c r="AK265" s="108"/>
      <c r="AL265" s="108"/>
      <c r="AM265" s="108"/>
      <c r="AN265" s="108"/>
      <c r="AO265" s="108"/>
    </row>
    <row r="266" spans="1:41" ht="12" customHeight="1" x14ac:dyDescent="0.2">
      <c r="A266" s="179"/>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c r="AA266" s="108"/>
      <c r="AB266" s="108"/>
      <c r="AC266" s="108"/>
      <c r="AD266" s="108"/>
      <c r="AE266" s="108"/>
      <c r="AF266" s="108"/>
      <c r="AG266" s="108"/>
      <c r="AH266" s="108"/>
      <c r="AI266" s="108"/>
      <c r="AJ266" s="108"/>
      <c r="AK266" s="108"/>
      <c r="AL266" s="108"/>
      <c r="AM266" s="108"/>
      <c r="AN266" s="108"/>
      <c r="AO266" s="108"/>
    </row>
    <row r="267" spans="1:41" ht="12" customHeight="1" x14ac:dyDescent="0.2">
      <c r="A267" s="179"/>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c r="AA267" s="108"/>
      <c r="AB267" s="108"/>
      <c r="AC267" s="108"/>
      <c r="AD267" s="108"/>
      <c r="AE267" s="108"/>
      <c r="AF267" s="108"/>
      <c r="AG267" s="108"/>
      <c r="AH267" s="108"/>
      <c r="AI267" s="108"/>
      <c r="AJ267" s="108"/>
      <c r="AK267" s="108"/>
      <c r="AL267" s="108"/>
      <c r="AM267" s="108"/>
      <c r="AN267" s="108"/>
      <c r="AO267" s="108"/>
    </row>
    <row r="268" spans="1:41" ht="12" customHeight="1" x14ac:dyDescent="0.2">
      <c r="A268" s="179"/>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c r="AA268" s="108"/>
      <c r="AB268" s="108"/>
      <c r="AC268" s="108"/>
      <c r="AD268" s="108"/>
      <c r="AE268" s="108"/>
      <c r="AF268" s="108"/>
      <c r="AG268" s="108"/>
      <c r="AH268" s="108"/>
      <c r="AI268" s="108"/>
      <c r="AJ268" s="108"/>
      <c r="AK268" s="108"/>
      <c r="AL268" s="108"/>
      <c r="AM268" s="108"/>
      <c r="AN268" s="108"/>
      <c r="AO268" s="108"/>
    </row>
    <row r="269" spans="1:41" ht="12" customHeight="1" x14ac:dyDescent="0.2">
      <c r="A269" s="179"/>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c r="AA269" s="108"/>
      <c r="AB269" s="108"/>
      <c r="AC269" s="108"/>
      <c r="AD269" s="108"/>
      <c r="AE269" s="108"/>
      <c r="AF269" s="108"/>
      <c r="AG269" s="108"/>
      <c r="AH269" s="108"/>
      <c r="AI269" s="108"/>
      <c r="AJ269" s="108"/>
      <c r="AK269" s="108"/>
      <c r="AL269" s="108"/>
      <c r="AM269" s="108"/>
      <c r="AN269" s="108"/>
      <c r="AO269" s="108"/>
    </row>
    <row r="270" spans="1:41" ht="12" customHeight="1" x14ac:dyDescent="0.2">
      <c r="A270" s="179"/>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c r="AA270" s="108"/>
      <c r="AB270" s="108"/>
      <c r="AC270" s="108"/>
      <c r="AD270" s="108"/>
      <c r="AE270" s="108"/>
      <c r="AF270" s="108"/>
      <c r="AG270" s="108"/>
      <c r="AH270" s="108"/>
      <c r="AI270" s="108"/>
      <c r="AJ270" s="108"/>
      <c r="AK270" s="108"/>
      <c r="AL270" s="108"/>
      <c r="AM270" s="108"/>
      <c r="AN270" s="108"/>
      <c r="AO270" s="108"/>
    </row>
    <row r="271" spans="1:41" ht="12" customHeight="1" x14ac:dyDescent="0.2">
      <c r="A271" s="179"/>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c r="AA271" s="108"/>
      <c r="AB271" s="108"/>
      <c r="AC271" s="108"/>
      <c r="AD271" s="108"/>
      <c r="AE271" s="108"/>
      <c r="AF271" s="108"/>
      <c r="AG271" s="108"/>
      <c r="AH271" s="108"/>
      <c r="AI271" s="108"/>
      <c r="AJ271" s="108"/>
      <c r="AK271" s="108"/>
      <c r="AL271" s="108"/>
      <c r="AM271" s="108"/>
      <c r="AN271" s="108"/>
      <c r="AO271" s="108"/>
    </row>
    <row r="272" spans="1:41" ht="12" customHeight="1" x14ac:dyDescent="0.2">
      <c r="A272" s="179"/>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c r="AA272" s="108"/>
      <c r="AB272" s="108"/>
      <c r="AC272" s="108"/>
      <c r="AD272" s="108"/>
      <c r="AE272" s="108"/>
      <c r="AF272" s="108"/>
      <c r="AG272" s="108"/>
      <c r="AH272" s="108"/>
      <c r="AI272" s="108"/>
      <c r="AJ272" s="108"/>
      <c r="AK272" s="108"/>
      <c r="AL272" s="108"/>
      <c r="AM272" s="108"/>
      <c r="AN272" s="108"/>
      <c r="AO272" s="108"/>
    </row>
    <row r="273" spans="1:41" ht="12" customHeight="1" x14ac:dyDescent="0.2">
      <c r="A273" s="179"/>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c r="AA273" s="108"/>
      <c r="AB273" s="108"/>
      <c r="AC273" s="108"/>
      <c r="AD273" s="108"/>
      <c r="AE273" s="108"/>
      <c r="AF273" s="108"/>
      <c r="AG273" s="108"/>
      <c r="AH273" s="108"/>
      <c r="AI273" s="108"/>
      <c r="AJ273" s="108"/>
      <c r="AK273" s="108"/>
      <c r="AL273" s="108"/>
      <c r="AM273" s="108"/>
      <c r="AN273" s="108"/>
      <c r="AO273" s="108"/>
    </row>
    <row r="274" spans="1:41" ht="12" customHeight="1" x14ac:dyDescent="0.2">
      <c r="A274" s="179"/>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c r="AA274" s="108"/>
      <c r="AB274" s="108"/>
      <c r="AC274" s="108"/>
      <c r="AD274" s="108"/>
      <c r="AE274" s="108"/>
      <c r="AF274" s="108"/>
      <c r="AG274" s="108"/>
      <c r="AH274" s="108"/>
      <c r="AI274" s="108"/>
      <c r="AJ274" s="108"/>
      <c r="AK274" s="108"/>
      <c r="AL274" s="108"/>
      <c r="AM274" s="108"/>
      <c r="AN274" s="108"/>
      <c r="AO274" s="108"/>
    </row>
    <row r="275" spans="1:41" ht="12" customHeight="1" x14ac:dyDescent="0.2">
      <c r="A275" s="179"/>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c r="AA275" s="108"/>
      <c r="AB275" s="108"/>
      <c r="AC275" s="108"/>
      <c r="AD275" s="108"/>
      <c r="AE275" s="108"/>
      <c r="AF275" s="108"/>
      <c r="AG275" s="108"/>
      <c r="AH275" s="108"/>
      <c r="AI275" s="108"/>
      <c r="AJ275" s="108"/>
      <c r="AK275" s="108"/>
      <c r="AL275" s="108"/>
      <c r="AM275" s="108"/>
      <c r="AN275" s="108"/>
      <c r="AO275" s="108"/>
    </row>
    <row r="276" spans="1:41" ht="12" customHeight="1" x14ac:dyDescent="0.2">
      <c r="A276" s="179"/>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c r="AA276" s="108"/>
      <c r="AB276" s="108"/>
      <c r="AC276" s="108"/>
      <c r="AD276" s="108"/>
      <c r="AE276" s="108"/>
      <c r="AF276" s="108"/>
      <c r="AG276" s="108"/>
      <c r="AH276" s="108"/>
      <c r="AI276" s="108"/>
      <c r="AJ276" s="108"/>
      <c r="AK276" s="108"/>
      <c r="AL276" s="108"/>
      <c r="AM276" s="108"/>
      <c r="AN276" s="108"/>
      <c r="AO276" s="108"/>
    </row>
    <row r="277" spans="1:41" ht="12" customHeight="1" x14ac:dyDescent="0.2">
      <c r="A277" s="179"/>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c r="AA277" s="108"/>
      <c r="AB277" s="108"/>
      <c r="AC277" s="108"/>
      <c r="AD277" s="108"/>
      <c r="AE277" s="108"/>
      <c r="AF277" s="108"/>
      <c r="AG277" s="108"/>
      <c r="AH277" s="108"/>
      <c r="AI277" s="108"/>
      <c r="AJ277" s="108"/>
      <c r="AK277" s="108"/>
      <c r="AL277" s="108"/>
      <c r="AM277" s="108"/>
      <c r="AN277" s="108"/>
      <c r="AO277" s="108"/>
    </row>
    <row r="278" spans="1:41" ht="12" customHeight="1" x14ac:dyDescent="0.2">
      <c r="A278" s="179"/>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c r="AA278" s="108"/>
      <c r="AB278" s="108"/>
      <c r="AC278" s="108"/>
      <c r="AD278" s="108"/>
      <c r="AE278" s="108"/>
      <c r="AF278" s="108"/>
      <c r="AG278" s="108"/>
      <c r="AH278" s="108"/>
      <c r="AI278" s="108"/>
      <c r="AJ278" s="108"/>
      <c r="AK278" s="108"/>
      <c r="AL278" s="108"/>
      <c r="AM278" s="108"/>
      <c r="AN278" s="108"/>
      <c r="AO278" s="108"/>
    </row>
    <row r="279" spans="1:41" ht="12" customHeight="1" x14ac:dyDescent="0.2">
      <c r="A279" s="179"/>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c r="AA279" s="108"/>
      <c r="AB279" s="108"/>
      <c r="AC279" s="108"/>
      <c r="AD279" s="108"/>
      <c r="AE279" s="108"/>
      <c r="AF279" s="108"/>
      <c r="AG279" s="108"/>
      <c r="AH279" s="108"/>
      <c r="AI279" s="108"/>
      <c r="AJ279" s="108"/>
      <c r="AK279" s="108"/>
      <c r="AL279" s="108"/>
      <c r="AM279" s="108"/>
      <c r="AN279" s="108"/>
      <c r="AO279" s="108"/>
    </row>
    <row r="280" spans="1:41" ht="12" customHeight="1" x14ac:dyDescent="0.2">
      <c r="A280" s="179"/>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c r="AA280" s="108"/>
      <c r="AB280" s="108"/>
      <c r="AC280" s="108"/>
      <c r="AD280" s="108"/>
      <c r="AE280" s="108"/>
      <c r="AF280" s="108"/>
      <c r="AG280" s="108"/>
      <c r="AH280" s="108"/>
      <c r="AI280" s="108"/>
      <c r="AJ280" s="108"/>
      <c r="AK280" s="108"/>
      <c r="AL280" s="108"/>
      <c r="AM280" s="108"/>
      <c r="AN280" s="108"/>
      <c r="AO280" s="108"/>
    </row>
    <row r="281" spans="1:41" ht="12" customHeight="1" x14ac:dyDescent="0.2">
      <c r="A281" s="179"/>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c r="AA281" s="108"/>
      <c r="AB281" s="108"/>
      <c r="AC281" s="108"/>
      <c r="AD281" s="108"/>
      <c r="AE281" s="108"/>
      <c r="AF281" s="108"/>
      <c r="AG281" s="108"/>
      <c r="AH281" s="108"/>
      <c r="AI281" s="108"/>
      <c r="AJ281" s="108"/>
      <c r="AK281" s="108"/>
      <c r="AL281" s="108"/>
      <c r="AM281" s="108"/>
      <c r="AN281" s="108"/>
      <c r="AO281" s="108"/>
    </row>
    <row r="282" spans="1:41" ht="12" customHeight="1" x14ac:dyDescent="0.2">
      <c r="A282" s="179"/>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c r="AA282" s="108"/>
      <c r="AB282" s="108"/>
      <c r="AC282" s="108"/>
      <c r="AD282" s="108"/>
      <c r="AE282" s="108"/>
      <c r="AF282" s="108"/>
      <c r="AG282" s="108"/>
      <c r="AH282" s="108"/>
      <c r="AI282" s="108"/>
      <c r="AJ282" s="108"/>
      <c r="AK282" s="108"/>
      <c r="AL282" s="108"/>
      <c r="AM282" s="108"/>
      <c r="AN282" s="108"/>
      <c r="AO282" s="108"/>
    </row>
    <row r="283" spans="1:41" ht="12" customHeight="1" x14ac:dyDescent="0.2">
      <c r="A283" s="179"/>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c r="AA283" s="108"/>
      <c r="AB283" s="108"/>
      <c r="AC283" s="108"/>
      <c r="AD283" s="108"/>
      <c r="AE283" s="108"/>
      <c r="AF283" s="108"/>
      <c r="AG283" s="108"/>
      <c r="AH283" s="108"/>
      <c r="AI283" s="108"/>
      <c r="AJ283" s="108"/>
      <c r="AK283" s="108"/>
      <c r="AL283" s="108"/>
      <c r="AM283" s="108"/>
      <c r="AN283" s="108"/>
      <c r="AO283" s="108"/>
    </row>
    <row r="284" spans="1:41" ht="12" customHeight="1" x14ac:dyDescent="0.2">
      <c r="A284" s="179"/>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c r="AA284" s="108"/>
      <c r="AB284" s="108"/>
      <c r="AC284" s="108"/>
      <c r="AD284" s="108"/>
      <c r="AE284" s="108"/>
      <c r="AF284" s="108"/>
      <c r="AG284" s="108"/>
      <c r="AH284" s="108"/>
      <c r="AI284" s="108"/>
      <c r="AJ284" s="108"/>
      <c r="AK284" s="108"/>
      <c r="AL284" s="108"/>
      <c r="AM284" s="108"/>
      <c r="AN284" s="108"/>
      <c r="AO284" s="108"/>
    </row>
    <row r="285" spans="1:41" ht="12" customHeight="1" x14ac:dyDescent="0.2">
      <c r="A285" s="179"/>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c r="AA285" s="108"/>
      <c r="AB285" s="108"/>
      <c r="AC285" s="108"/>
      <c r="AD285" s="108"/>
      <c r="AE285" s="108"/>
      <c r="AF285" s="108"/>
      <c r="AG285" s="108"/>
      <c r="AH285" s="108"/>
      <c r="AI285" s="108"/>
      <c r="AJ285" s="108"/>
      <c r="AK285" s="108"/>
      <c r="AL285" s="108"/>
      <c r="AM285" s="108"/>
      <c r="AN285" s="108"/>
      <c r="AO285" s="108"/>
    </row>
    <row r="286" spans="1:41" ht="12" customHeight="1" x14ac:dyDescent="0.2">
      <c r="A286" s="179"/>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c r="AA286" s="108"/>
      <c r="AB286" s="108"/>
      <c r="AC286" s="108"/>
      <c r="AD286" s="108"/>
      <c r="AE286" s="108"/>
      <c r="AF286" s="108"/>
      <c r="AG286" s="108"/>
      <c r="AH286" s="108"/>
      <c r="AI286" s="108"/>
      <c r="AJ286" s="108"/>
      <c r="AK286" s="108"/>
      <c r="AL286" s="108"/>
      <c r="AM286" s="108"/>
      <c r="AN286" s="108"/>
      <c r="AO286" s="108"/>
    </row>
    <row r="287" spans="1:41" ht="12" customHeight="1" x14ac:dyDescent="0.2">
      <c r="A287" s="179"/>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c r="AA287" s="108"/>
      <c r="AB287" s="108"/>
      <c r="AC287" s="108"/>
      <c r="AD287" s="108"/>
      <c r="AE287" s="108"/>
      <c r="AF287" s="108"/>
      <c r="AG287" s="108"/>
      <c r="AH287" s="108"/>
      <c r="AI287" s="108"/>
      <c r="AJ287" s="108"/>
      <c r="AK287" s="108"/>
      <c r="AL287" s="108"/>
      <c r="AM287" s="108"/>
      <c r="AN287" s="108"/>
      <c r="AO287" s="108"/>
    </row>
    <row r="288" spans="1:41" ht="12" customHeight="1" x14ac:dyDescent="0.2">
      <c r="A288" s="179"/>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c r="AA288" s="108"/>
      <c r="AB288" s="108"/>
      <c r="AC288" s="108"/>
      <c r="AD288" s="108"/>
      <c r="AE288" s="108"/>
      <c r="AF288" s="108"/>
      <c r="AG288" s="108"/>
      <c r="AH288" s="108"/>
      <c r="AI288" s="108"/>
      <c r="AJ288" s="108"/>
      <c r="AK288" s="108"/>
      <c r="AL288" s="108"/>
      <c r="AM288" s="108"/>
      <c r="AN288" s="108"/>
      <c r="AO288" s="108"/>
    </row>
    <row r="289" spans="1:41" ht="12" customHeight="1" x14ac:dyDescent="0.2">
      <c r="A289" s="179"/>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c r="AA289" s="108"/>
      <c r="AB289" s="108"/>
      <c r="AC289" s="108"/>
      <c r="AD289" s="108"/>
      <c r="AE289" s="108"/>
      <c r="AF289" s="108"/>
      <c r="AG289" s="108"/>
      <c r="AH289" s="108"/>
      <c r="AI289" s="108"/>
      <c r="AJ289" s="108"/>
      <c r="AK289" s="108"/>
      <c r="AL289" s="108"/>
      <c r="AM289" s="108"/>
      <c r="AN289" s="108"/>
      <c r="AO289" s="108"/>
    </row>
    <row r="290" spans="1:41" ht="12" customHeight="1" x14ac:dyDescent="0.2">
      <c r="A290" s="179"/>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c r="AA290" s="108"/>
      <c r="AB290" s="108"/>
      <c r="AC290" s="108"/>
      <c r="AD290" s="108"/>
      <c r="AE290" s="108"/>
      <c r="AF290" s="108"/>
      <c r="AG290" s="108"/>
      <c r="AH290" s="108"/>
      <c r="AI290" s="108"/>
      <c r="AJ290" s="108"/>
      <c r="AK290" s="108"/>
      <c r="AL290" s="108"/>
      <c r="AM290" s="108"/>
      <c r="AN290" s="108"/>
      <c r="AO290" s="108"/>
    </row>
    <row r="291" spans="1:41" ht="12" customHeight="1" x14ac:dyDescent="0.2">
      <c r="A291" s="179"/>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c r="AA291" s="108"/>
      <c r="AB291" s="108"/>
      <c r="AC291" s="108"/>
      <c r="AD291" s="108"/>
      <c r="AE291" s="108"/>
      <c r="AF291" s="108"/>
      <c r="AG291" s="108"/>
      <c r="AH291" s="108"/>
      <c r="AI291" s="108"/>
      <c r="AJ291" s="108"/>
      <c r="AK291" s="108"/>
      <c r="AL291" s="108"/>
      <c r="AM291" s="108"/>
      <c r="AN291" s="108"/>
      <c r="AO291" s="108"/>
    </row>
    <row r="292" spans="1:41" ht="12" customHeight="1" x14ac:dyDescent="0.2">
      <c r="A292" s="179"/>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c r="AA292" s="108"/>
      <c r="AB292" s="108"/>
      <c r="AC292" s="108"/>
      <c r="AD292" s="108"/>
      <c r="AE292" s="108"/>
      <c r="AF292" s="108"/>
      <c r="AG292" s="108"/>
      <c r="AH292" s="108"/>
      <c r="AI292" s="108"/>
      <c r="AJ292" s="108"/>
      <c r="AK292" s="108"/>
      <c r="AL292" s="108"/>
      <c r="AM292" s="108"/>
      <c r="AN292" s="108"/>
      <c r="AO292" s="108"/>
    </row>
    <row r="293" spans="1:41" ht="12" customHeight="1" x14ac:dyDescent="0.2">
      <c r="A293" s="179"/>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c r="AA293" s="108"/>
      <c r="AB293" s="108"/>
      <c r="AC293" s="108"/>
      <c r="AD293" s="108"/>
      <c r="AE293" s="108"/>
      <c r="AF293" s="108"/>
      <c r="AG293" s="108"/>
      <c r="AH293" s="108"/>
      <c r="AI293" s="108"/>
      <c r="AJ293" s="108"/>
      <c r="AK293" s="108"/>
      <c r="AL293" s="108"/>
      <c r="AM293" s="108"/>
      <c r="AN293" s="108"/>
      <c r="AO293" s="108"/>
    </row>
    <row r="294" spans="1:41" ht="12" customHeight="1" x14ac:dyDescent="0.2">
      <c r="A294" s="179"/>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c r="AA294" s="108"/>
      <c r="AB294" s="108"/>
      <c r="AC294" s="108"/>
      <c r="AD294" s="108"/>
      <c r="AE294" s="108"/>
      <c r="AF294" s="108"/>
      <c r="AG294" s="108"/>
      <c r="AH294" s="108"/>
      <c r="AI294" s="108"/>
      <c r="AJ294" s="108"/>
      <c r="AK294" s="108"/>
      <c r="AL294" s="108"/>
      <c r="AM294" s="108"/>
      <c r="AN294" s="108"/>
      <c r="AO294" s="108"/>
    </row>
    <row r="295" spans="1:41" ht="12" customHeight="1" x14ac:dyDescent="0.2">
      <c r="A295" s="179"/>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c r="AA295" s="108"/>
      <c r="AB295" s="108"/>
      <c r="AC295" s="108"/>
      <c r="AD295" s="108"/>
      <c r="AE295" s="108"/>
      <c r="AF295" s="108"/>
      <c r="AG295" s="108"/>
      <c r="AH295" s="108"/>
      <c r="AI295" s="108"/>
      <c r="AJ295" s="108"/>
      <c r="AK295" s="108"/>
      <c r="AL295" s="108"/>
      <c r="AM295" s="108"/>
      <c r="AN295" s="108"/>
      <c r="AO295" s="108"/>
    </row>
    <row r="296" spans="1:41" ht="12" customHeight="1" x14ac:dyDescent="0.2">
      <c r="A296" s="179"/>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c r="AA296" s="108"/>
      <c r="AB296" s="108"/>
      <c r="AC296" s="108"/>
      <c r="AD296" s="108"/>
      <c r="AE296" s="108"/>
      <c r="AF296" s="108"/>
      <c r="AG296" s="108"/>
      <c r="AH296" s="108"/>
      <c r="AI296" s="108"/>
      <c r="AJ296" s="108"/>
      <c r="AK296" s="108"/>
      <c r="AL296" s="108"/>
      <c r="AM296" s="108"/>
      <c r="AN296" s="108"/>
      <c r="AO296" s="108"/>
    </row>
    <row r="297" spans="1:41" ht="12" customHeight="1" x14ac:dyDescent="0.2">
      <c r="A297" s="179"/>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c r="AA297" s="108"/>
      <c r="AB297" s="108"/>
      <c r="AC297" s="108"/>
      <c r="AD297" s="108"/>
      <c r="AE297" s="108"/>
      <c r="AF297" s="108"/>
      <c r="AG297" s="108"/>
      <c r="AH297" s="108"/>
      <c r="AI297" s="108"/>
      <c r="AJ297" s="108"/>
      <c r="AK297" s="108"/>
      <c r="AL297" s="108"/>
      <c r="AM297" s="108"/>
      <c r="AN297" s="108"/>
      <c r="AO297" s="108"/>
    </row>
    <row r="298" spans="1:41" ht="12" customHeight="1" x14ac:dyDescent="0.2">
      <c r="A298" s="179"/>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c r="AA298" s="108"/>
      <c r="AB298" s="108"/>
      <c r="AC298" s="108"/>
      <c r="AD298" s="108"/>
      <c r="AE298" s="108"/>
      <c r="AF298" s="108"/>
      <c r="AG298" s="108"/>
      <c r="AH298" s="108"/>
      <c r="AI298" s="108"/>
      <c r="AJ298" s="108"/>
      <c r="AK298" s="108"/>
      <c r="AL298" s="108"/>
      <c r="AM298" s="108"/>
      <c r="AN298" s="108"/>
      <c r="AO298" s="108"/>
    </row>
    <row r="299" spans="1:41" ht="12" customHeight="1" x14ac:dyDescent="0.2">
      <c r="A299" s="179"/>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c r="AA299" s="108"/>
      <c r="AB299" s="108"/>
      <c r="AC299" s="108"/>
      <c r="AD299" s="108"/>
      <c r="AE299" s="108"/>
      <c r="AF299" s="108"/>
      <c r="AG299" s="108"/>
      <c r="AH299" s="108"/>
      <c r="AI299" s="108"/>
      <c r="AJ299" s="108"/>
      <c r="AK299" s="108"/>
      <c r="AL299" s="108"/>
      <c r="AM299" s="108"/>
      <c r="AN299" s="108"/>
      <c r="AO299" s="108"/>
    </row>
    <row r="300" spans="1:41" ht="12" customHeight="1" x14ac:dyDescent="0.2">
      <c r="A300" s="179"/>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c r="AA300" s="108"/>
      <c r="AB300" s="108"/>
      <c r="AC300" s="108"/>
      <c r="AD300" s="108"/>
      <c r="AE300" s="108"/>
      <c r="AF300" s="108"/>
      <c r="AG300" s="108"/>
      <c r="AH300" s="108"/>
      <c r="AI300" s="108"/>
      <c r="AJ300" s="108"/>
      <c r="AK300" s="108"/>
      <c r="AL300" s="108"/>
      <c r="AM300" s="108"/>
      <c r="AN300" s="108"/>
      <c r="AO300" s="108"/>
    </row>
    <row r="301" spans="1:41" ht="12" customHeight="1" x14ac:dyDescent="0.2">
      <c r="A301" s="179"/>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c r="AA301" s="108"/>
      <c r="AB301" s="108"/>
      <c r="AC301" s="108"/>
      <c r="AD301" s="108"/>
      <c r="AE301" s="108"/>
      <c r="AF301" s="108"/>
      <c r="AG301" s="108"/>
      <c r="AH301" s="108"/>
      <c r="AI301" s="108"/>
      <c r="AJ301" s="108"/>
      <c r="AK301" s="108"/>
      <c r="AL301" s="108"/>
      <c r="AM301" s="108"/>
      <c r="AN301" s="108"/>
      <c r="AO301" s="108"/>
    </row>
    <row r="302" spans="1:41" ht="12" customHeight="1" x14ac:dyDescent="0.2">
      <c r="A302" s="179"/>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c r="AA302" s="108"/>
      <c r="AB302" s="108"/>
      <c r="AC302" s="108"/>
      <c r="AD302" s="108"/>
      <c r="AE302" s="108"/>
      <c r="AF302" s="108"/>
      <c r="AG302" s="108"/>
      <c r="AH302" s="108"/>
      <c r="AI302" s="108"/>
      <c r="AJ302" s="108"/>
      <c r="AK302" s="108"/>
      <c r="AL302" s="108"/>
      <c r="AM302" s="108"/>
      <c r="AN302" s="108"/>
      <c r="AO302" s="108"/>
    </row>
    <row r="303" spans="1:41" ht="12" customHeight="1" x14ac:dyDescent="0.2">
      <c r="A303" s="179"/>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c r="AA303" s="108"/>
      <c r="AB303" s="108"/>
      <c r="AC303" s="108"/>
      <c r="AD303" s="108"/>
      <c r="AE303" s="108"/>
      <c r="AF303" s="108"/>
      <c r="AG303" s="108"/>
      <c r="AH303" s="108"/>
      <c r="AI303" s="108"/>
      <c r="AJ303" s="108"/>
      <c r="AK303" s="108"/>
      <c r="AL303" s="108"/>
      <c r="AM303" s="108"/>
      <c r="AN303" s="108"/>
      <c r="AO303" s="108"/>
    </row>
    <row r="304" spans="1:41" ht="12" customHeight="1" x14ac:dyDescent="0.2">
      <c r="A304" s="179"/>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c r="AA304" s="108"/>
      <c r="AB304" s="108"/>
      <c r="AC304" s="108"/>
      <c r="AD304" s="108"/>
      <c r="AE304" s="108"/>
      <c r="AF304" s="108"/>
      <c r="AG304" s="108"/>
      <c r="AH304" s="108"/>
      <c r="AI304" s="108"/>
      <c r="AJ304" s="108"/>
      <c r="AK304" s="108"/>
      <c r="AL304" s="108"/>
      <c r="AM304" s="108"/>
      <c r="AN304" s="108"/>
      <c r="AO304" s="108"/>
    </row>
    <row r="305" spans="1:41" ht="12" customHeight="1" x14ac:dyDescent="0.2">
      <c r="A305" s="179"/>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c r="AA305" s="108"/>
      <c r="AB305" s="108"/>
      <c r="AC305" s="108"/>
      <c r="AD305" s="108"/>
      <c r="AE305" s="108"/>
      <c r="AF305" s="108"/>
      <c r="AG305" s="108"/>
      <c r="AH305" s="108"/>
      <c r="AI305" s="108"/>
      <c r="AJ305" s="108"/>
      <c r="AK305" s="108"/>
      <c r="AL305" s="108"/>
      <c r="AM305" s="108"/>
      <c r="AN305" s="108"/>
      <c r="AO305" s="108"/>
    </row>
    <row r="306" spans="1:41" ht="12" customHeight="1" x14ac:dyDescent="0.2">
      <c r="A306" s="179"/>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c r="AA306" s="108"/>
      <c r="AB306" s="108"/>
      <c r="AC306" s="108"/>
      <c r="AD306" s="108"/>
      <c r="AE306" s="108"/>
      <c r="AF306" s="108"/>
      <c r="AG306" s="108"/>
      <c r="AH306" s="108"/>
      <c r="AI306" s="108"/>
      <c r="AJ306" s="108"/>
      <c r="AK306" s="108"/>
      <c r="AL306" s="108"/>
      <c r="AM306" s="108"/>
      <c r="AN306" s="108"/>
      <c r="AO306" s="108"/>
    </row>
    <row r="307" spans="1:41" ht="12" customHeight="1" x14ac:dyDescent="0.2">
      <c r="A307" s="179"/>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c r="AA307" s="108"/>
      <c r="AB307" s="108"/>
      <c r="AC307" s="108"/>
      <c r="AD307" s="108"/>
      <c r="AE307" s="108"/>
      <c r="AF307" s="108"/>
      <c r="AG307" s="108"/>
      <c r="AH307" s="108"/>
      <c r="AI307" s="108"/>
      <c r="AJ307" s="108"/>
      <c r="AK307" s="108"/>
      <c r="AL307" s="108"/>
      <c r="AM307" s="108"/>
      <c r="AN307" s="108"/>
      <c r="AO307" s="108"/>
    </row>
    <row r="308" spans="1:41" ht="12" customHeight="1" x14ac:dyDescent="0.2">
      <c r="A308" s="179"/>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c r="AA308" s="108"/>
      <c r="AB308" s="108"/>
      <c r="AC308" s="108"/>
      <c r="AD308" s="108"/>
      <c r="AE308" s="108"/>
      <c r="AF308" s="108"/>
      <c r="AG308" s="108"/>
      <c r="AH308" s="108"/>
      <c r="AI308" s="108"/>
      <c r="AJ308" s="108"/>
      <c r="AK308" s="108"/>
      <c r="AL308" s="108"/>
      <c r="AM308" s="108"/>
      <c r="AN308" s="108"/>
      <c r="AO308" s="108"/>
    </row>
    <row r="309" spans="1:41" ht="12" customHeight="1" x14ac:dyDescent="0.2">
      <c r="A309" s="179"/>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c r="AA309" s="108"/>
      <c r="AB309" s="108"/>
      <c r="AC309" s="108"/>
      <c r="AD309" s="108"/>
      <c r="AE309" s="108"/>
      <c r="AF309" s="108"/>
      <c r="AG309" s="108"/>
      <c r="AH309" s="108"/>
      <c r="AI309" s="108"/>
      <c r="AJ309" s="108"/>
      <c r="AK309" s="108"/>
      <c r="AL309" s="108"/>
      <c r="AM309" s="108"/>
      <c r="AN309" s="108"/>
      <c r="AO309" s="108"/>
    </row>
    <row r="310" spans="1:41" ht="12" customHeight="1" x14ac:dyDescent="0.2">
      <c r="A310" s="179"/>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c r="AA310" s="108"/>
      <c r="AB310" s="108"/>
      <c r="AC310" s="108"/>
      <c r="AD310" s="108"/>
      <c r="AE310" s="108"/>
      <c r="AF310" s="108"/>
      <c r="AG310" s="108"/>
      <c r="AH310" s="108"/>
      <c r="AI310" s="108"/>
      <c r="AJ310" s="108"/>
      <c r="AK310" s="108"/>
      <c r="AL310" s="108"/>
      <c r="AM310" s="108"/>
      <c r="AN310" s="108"/>
      <c r="AO310" s="108"/>
    </row>
    <row r="311" spans="1:41" ht="12" customHeight="1" x14ac:dyDescent="0.2">
      <c r="A311" s="179"/>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c r="AA311" s="108"/>
      <c r="AB311" s="108"/>
      <c r="AC311" s="108"/>
      <c r="AD311" s="108"/>
      <c r="AE311" s="108"/>
      <c r="AF311" s="108"/>
      <c r="AG311" s="108"/>
      <c r="AH311" s="108"/>
      <c r="AI311" s="108"/>
      <c r="AJ311" s="108"/>
      <c r="AK311" s="108"/>
      <c r="AL311" s="108"/>
      <c r="AM311" s="108"/>
      <c r="AN311" s="108"/>
      <c r="AO311" s="108"/>
    </row>
    <row r="312" spans="1:41" ht="12" customHeight="1" x14ac:dyDescent="0.2">
      <c r="A312" s="179"/>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c r="AA312" s="108"/>
      <c r="AB312" s="108"/>
      <c r="AC312" s="108"/>
      <c r="AD312" s="108"/>
      <c r="AE312" s="108"/>
      <c r="AF312" s="108"/>
      <c r="AG312" s="108"/>
      <c r="AH312" s="108"/>
      <c r="AI312" s="108"/>
      <c r="AJ312" s="108"/>
      <c r="AK312" s="108"/>
      <c r="AL312" s="108"/>
      <c r="AM312" s="108"/>
      <c r="AN312" s="108"/>
      <c r="AO312" s="108"/>
    </row>
    <row r="313" spans="1:41" ht="12" customHeight="1" x14ac:dyDescent="0.2">
      <c r="A313" s="179"/>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c r="AA313" s="108"/>
      <c r="AB313" s="108"/>
      <c r="AC313" s="108"/>
      <c r="AD313" s="108"/>
      <c r="AE313" s="108"/>
      <c r="AF313" s="108"/>
      <c r="AG313" s="108"/>
      <c r="AH313" s="108"/>
      <c r="AI313" s="108"/>
      <c r="AJ313" s="108"/>
      <c r="AK313" s="108"/>
      <c r="AL313" s="108"/>
      <c r="AM313" s="108"/>
      <c r="AN313" s="108"/>
      <c r="AO313" s="108"/>
    </row>
    <row r="314" spans="1:41" ht="12" customHeight="1" x14ac:dyDescent="0.2">
      <c r="A314" s="179"/>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c r="AA314" s="108"/>
      <c r="AB314" s="108"/>
      <c r="AC314" s="108"/>
      <c r="AD314" s="108"/>
      <c r="AE314" s="108"/>
      <c r="AF314" s="108"/>
      <c r="AG314" s="108"/>
      <c r="AH314" s="108"/>
      <c r="AI314" s="108"/>
      <c r="AJ314" s="108"/>
      <c r="AK314" s="108"/>
      <c r="AL314" s="108"/>
      <c r="AM314" s="108"/>
      <c r="AN314" s="108"/>
      <c r="AO314" s="108"/>
    </row>
    <row r="315" spans="1:41" ht="12" customHeight="1" x14ac:dyDescent="0.2">
      <c r="A315" s="179"/>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c r="AA315" s="108"/>
      <c r="AB315" s="108"/>
      <c r="AC315" s="108"/>
      <c r="AD315" s="108"/>
      <c r="AE315" s="108"/>
      <c r="AF315" s="108"/>
      <c r="AG315" s="108"/>
      <c r="AH315" s="108"/>
      <c r="AI315" s="108"/>
      <c r="AJ315" s="108"/>
      <c r="AK315" s="108"/>
      <c r="AL315" s="108"/>
      <c r="AM315" s="108"/>
      <c r="AN315" s="108"/>
      <c r="AO315" s="108"/>
    </row>
    <row r="316" spans="1:41" ht="12" customHeight="1" x14ac:dyDescent="0.2">
      <c r="A316" s="179"/>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c r="AA316" s="108"/>
      <c r="AB316" s="108"/>
      <c r="AC316" s="108"/>
      <c r="AD316" s="108"/>
      <c r="AE316" s="108"/>
      <c r="AF316" s="108"/>
      <c r="AG316" s="108"/>
      <c r="AH316" s="108"/>
      <c r="AI316" s="108"/>
      <c r="AJ316" s="108"/>
      <c r="AK316" s="108"/>
      <c r="AL316" s="108"/>
      <c r="AM316" s="108"/>
      <c r="AN316" s="108"/>
      <c r="AO316" s="108"/>
    </row>
    <row r="317" spans="1:41" ht="12" customHeight="1" x14ac:dyDescent="0.2">
      <c r="A317" s="179"/>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c r="AA317" s="108"/>
      <c r="AB317" s="108"/>
      <c r="AC317" s="108"/>
      <c r="AD317" s="108"/>
      <c r="AE317" s="108"/>
      <c r="AF317" s="108"/>
      <c r="AG317" s="108"/>
      <c r="AH317" s="108"/>
      <c r="AI317" s="108"/>
      <c r="AJ317" s="108"/>
      <c r="AK317" s="108"/>
      <c r="AL317" s="108"/>
      <c r="AM317" s="108"/>
      <c r="AN317" s="108"/>
      <c r="AO317" s="108"/>
    </row>
    <row r="318" spans="1:41" ht="12" customHeight="1" x14ac:dyDescent="0.2">
      <c r="A318" s="179"/>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c r="AA318" s="108"/>
      <c r="AB318" s="108"/>
      <c r="AC318" s="108"/>
      <c r="AD318" s="108"/>
      <c r="AE318" s="108"/>
      <c r="AF318" s="108"/>
      <c r="AG318" s="108"/>
      <c r="AH318" s="108"/>
      <c r="AI318" s="108"/>
      <c r="AJ318" s="108"/>
      <c r="AK318" s="108"/>
      <c r="AL318" s="108"/>
      <c r="AM318" s="108"/>
      <c r="AN318" s="108"/>
      <c r="AO318" s="108"/>
    </row>
    <row r="319" spans="1:41" ht="12" customHeight="1" x14ac:dyDescent="0.2">
      <c r="A319" s="179"/>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c r="AA319" s="108"/>
      <c r="AB319" s="108"/>
      <c r="AC319" s="108"/>
      <c r="AD319" s="108"/>
      <c r="AE319" s="108"/>
      <c r="AF319" s="108"/>
      <c r="AG319" s="108"/>
      <c r="AH319" s="108"/>
      <c r="AI319" s="108"/>
      <c r="AJ319" s="108"/>
      <c r="AK319" s="108"/>
      <c r="AL319" s="108"/>
      <c r="AM319" s="108"/>
      <c r="AN319" s="108"/>
      <c r="AO319" s="108"/>
    </row>
    <row r="320" spans="1:41" ht="12" customHeight="1" x14ac:dyDescent="0.2">
      <c r="A320" s="179"/>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c r="AA320" s="108"/>
      <c r="AB320" s="108"/>
      <c r="AC320" s="108"/>
      <c r="AD320" s="108"/>
      <c r="AE320" s="108"/>
      <c r="AF320" s="108"/>
      <c r="AG320" s="108"/>
      <c r="AH320" s="108"/>
      <c r="AI320" s="108"/>
      <c r="AJ320" s="108"/>
      <c r="AK320" s="108"/>
      <c r="AL320" s="108"/>
      <c r="AM320" s="108"/>
      <c r="AN320" s="108"/>
      <c r="AO320" s="108"/>
    </row>
    <row r="321" spans="1:41" ht="12" customHeight="1" x14ac:dyDescent="0.2">
      <c r="A321" s="179"/>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c r="AA321" s="108"/>
      <c r="AB321" s="108"/>
      <c r="AC321" s="108"/>
      <c r="AD321" s="108"/>
      <c r="AE321" s="108"/>
      <c r="AF321" s="108"/>
      <c r="AG321" s="108"/>
      <c r="AH321" s="108"/>
      <c r="AI321" s="108"/>
      <c r="AJ321" s="108"/>
      <c r="AK321" s="108"/>
      <c r="AL321" s="108"/>
      <c r="AM321" s="108"/>
      <c r="AN321" s="108"/>
      <c r="AO321" s="108"/>
    </row>
    <row r="322" spans="1:41" ht="12" customHeight="1" x14ac:dyDescent="0.2">
      <c r="A322" s="179"/>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c r="AA322" s="108"/>
      <c r="AB322" s="108"/>
      <c r="AC322" s="108"/>
      <c r="AD322" s="108"/>
      <c r="AE322" s="108"/>
      <c r="AF322" s="108"/>
      <c r="AG322" s="108"/>
      <c r="AH322" s="108"/>
      <c r="AI322" s="108"/>
      <c r="AJ322" s="108"/>
      <c r="AK322" s="108"/>
      <c r="AL322" s="108"/>
      <c r="AM322" s="108"/>
      <c r="AN322" s="108"/>
      <c r="AO322" s="108"/>
    </row>
    <row r="323" spans="1:41" ht="12" customHeight="1" x14ac:dyDescent="0.2">
      <c r="A323" s="179"/>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c r="AA323" s="108"/>
      <c r="AB323" s="108"/>
      <c r="AC323" s="108"/>
      <c r="AD323" s="108"/>
      <c r="AE323" s="108"/>
      <c r="AF323" s="108"/>
      <c r="AG323" s="108"/>
      <c r="AH323" s="108"/>
      <c r="AI323" s="108"/>
      <c r="AJ323" s="108"/>
      <c r="AK323" s="108"/>
      <c r="AL323" s="108"/>
      <c r="AM323" s="108"/>
      <c r="AN323" s="108"/>
      <c r="AO323" s="108"/>
    </row>
    <row r="324" spans="1:41" ht="12" customHeight="1" x14ac:dyDescent="0.2">
      <c r="A324" s="179"/>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c r="AA324" s="108"/>
      <c r="AB324" s="108"/>
      <c r="AC324" s="108"/>
      <c r="AD324" s="108"/>
      <c r="AE324" s="108"/>
      <c r="AF324" s="108"/>
      <c r="AG324" s="108"/>
      <c r="AH324" s="108"/>
      <c r="AI324" s="108"/>
      <c r="AJ324" s="108"/>
      <c r="AK324" s="108"/>
      <c r="AL324" s="108"/>
      <c r="AM324" s="108"/>
      <c r="AN324" s="108"/>
      <c r="AO324" s="108"/>
    </row>
    <row r="325" spans="1:41" ht="12" customHeight="1" x14ac:dyDescent="0.2">
      <c r="A325" s="179"/>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c r="AA325" s="108"/>
      <c r="AB325" s="108"/>
      <c r="AC325" s="108"/>
      <c r="AD325" s="108"/>
      <c r="AE325" s="108"/>
      <c r="AF325" s="108"/>
      <c r="AG325" s="108"/>
      <c r="AH325" s="108"/>
      <c r="AI325" s="108"/>
      <c r="AJ325" s="108"/>
      <c r="AK325" s="108"/>
      <c r="AL325" s="108"/>
      <c r="AM325" s="108"/>
      <c r="AN325" s="108"/>
      <c r="AO325" s="108"/>
    </row>
    <row r="326" spans="1:41" ht="12" customHeight="1" x14ac:dyDescent="0.2">
      <c r="A326" s="179"/>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c r="AA326" s="108"/>
      <c r="AB326" s="108"/>
      <c r="AC326" s="108"/>
      <c r="AD326" s="108"/>
      <c r="AE326" s="108"/>
      <c r="AF326" s="108"/>
      <c r="AG326" s="108"/>
      <c r="AH326" s="108"/>
      <c r="AI326" s="108"/>
      <c r="AJ326" s="108"/>
      <c r="AK326" s="108"/>
      <c r="AL326" s="108"/>
      <c r="AM326" s="108"/>
      <c r="AN326" s="108"/>
      <c r="AO326" s="108"/>
    </row>
    <row r="327" spans="1:41" ht="12" customHeight="1" x14ac:dyDescent="0.2">
      <c r="A327" s="179"/>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c r="AA327" s="108"/>
      <c r="AB327" s="108"/>
      <c r="AC327" s="108"/>
      <c r="AD327" s="108"/>
      <c r="AE327" s="108"/>
      <c r="AF327" s="108"/>
      <c r="AG327" s="108"/>
      <c r="AH327" s="108"/>
      <c r="AI327" s="108"/>
      <c r="AJ327" s="108"/>
      <c r="AK327" s="108"/>
      <c r="AL327" s="108"/>
      <c r="AM327" s="108"/>
      <c r="AN327" s="108"/>
      <c r="AO327" s="108"/>
    </row>
    <row r="328" spans="1:41" ht="12" customHeight="1" x14ac:dyDescent="0.2">
      <c r="A328" s="179"/>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c r="AA328" s="108"/>
      <c r="AB328" s="108"/>
      <c r="AC328" s="108"/>
      <c r="AD328" s="108"/>
      <c r="AE328" s="108"/>
      <c r="AF328" s="108"/>
      <c r="AG328" s="108"/>
      <c r="AH328" s="108"/>
      <c r="AI328" s="108"/>
      <c r="AJ328" s="108"/>
      <c r="AK328" s="108"/>
      <c r="AL328" s="108"/>
      <c r="AM328" s="108"/>
      <c r="AN328" s="108"/>
      <c r="AO328" s="108"/>
    </row>
    <row r="329" spans="1:41" ht="12" customHeight="1" x14ac:dyDescent="0.2">
      <c r="A329" s="179"/>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c r="AA329" s="108"/>
      <c r="AB329" s="108"/>
      <c r="AC329" s="108"/>
      <c r="AD329" s="108"/>
      <c r="AE329" s="108"/>
      <c r="AF329" s="108"/>
      <c r="AG329" s="108"/>
      <c r="AH329" s="108"/>
      <c r="AI329" s="108"/>
      <c r="AJ329" s="108"/>
      <c r="AK329" s="108"/>
      <c r="AL329" s="108"/>
      <c r="AM329" s="108"/>
      <c r="AN329" s="108"/>
      <c r="AO329" s="108"/>
    </row>
    <row r="330" spans="1:41" ht="12" customHeight="1" x14ac:dyDescent="0.2">
      <c r="A330" s="179"/>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c r="AA330" s="108"/>
      <c r="AB330" s="108"/>
      <c r="AC330" s="108"/>
      <c r="AD330" s="108"/>
      <c r="AE330" s="108"/>
      <c r="AF330" s="108"/>
      <c r="AG330" s="108"/>
      <c r="AH330" s="108"/>
      <c r="AI330" s="108"/>
      <c r="AJ330" s="108"/>
      <c r="AK330" s="108"/>
      <c r="AL330" s="108"/>
      <c r="AM330" s="108"/>
      <c r="AN330" s="108"/>
      <c r="AO330" s="108"/>
    </row>
    <row r="331" spans="1:41" ht="12" customHeight="1" x14ac:dyDescent="0.2">
      <c r="A331" s="179"/>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c r="AA331" s="108"/>
      <c r="AB331" s="108"/>
      <c r="AC331" s="108"/>
      <c r="AD331" s="108"/>
      <c r="AE331" s="108"/>
      <c r="AF331" s="108"/>
      <c r="AG331" s="108"/>
      <c r="AH331" s="108"/>
      <c r="AI331" s="108"/>
      <c r="AJ331" s="108"/>
      <c r="AK331" s="108"/>
      <c r="AL331" s="108"/>
      <c r="AM331" s="108"/>
      <c r="AN331" s="108"/>
      <c r="AO331" s="108"/>
    </row>
    <row r="332" spans="1:41" ht="12" customHeight="1" x14ac:dyDescent="0.2">
      <c r="A332" s="179"/>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c r="AA332" s="108"/>
      <c r="AB332" s="108"/>
      <c r="AC332" s="108"/>
      <c r="AD332" s="108"/>
      <c r="AE332" s="108"/>
      <c r="AF332" s="108"/>
      <c r="AG332" s="108"/>
      <c r="AH332" s="108"/>
      <c r="AI332" s="108"/>
      <c r="AJ332" s="108"/>
      <c r="AK332" s="108"/>
      <c r="AL332" s="108"/>
      <c r="AM332" s="108"/>
      <c r="AN332" s="108"/>
      <c r="AO332" s="108"/>
    </row>
    <row r="333" spans="1:41" ht="12" customHeight="1" x14ac:dyDescent="0.2">
      <c r="A333" s="179"/>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c r="AA333" s="108"/>
      <c r="AB333" s="108"/>
      <c r="AC333" s="108"/>
      <c r="AD333" s="108"/>
      <c r="AE333" s="108"/>
      <c r="AF333" s="108"/>
      <c r="AG333" s="108"/>
      <c r="AH333" s="108"/>
      <c r="AI333" s="108"/>
      <c r="AJ333" s="108"/>
      <c r="AK333" s="108"/>
      <c r="AL333" s="108"/>
      <c r="AM333" s="108"/>
      <c r="AN333" s="108"/>
      <c r="AO333" s="108"/>
    </row>
    <row r="334" spans="1:41" ht="12" customHeight="1" x14ac:dyDescent="0.2">
      <c r="A334" s="179"/>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c r="AA334" s="108"/>
      <c r="AB334" s="108"/>
      <c r="AC334" s="108"/>
      <c r="AD334" s="108"/>
      <c r="AE334" s="108"/>
      <c r="AF334" s="108"/>
      <c r="AG334" s="108"/>
      <c r="AH334" s="108"/>
      <c r="AI334" s="108"/>
      <c r="AJ334" s="108"/>
      <c r="AK334" s="108"/>
      <c r="AL334" s="108"/>
      <c r="AM334" s="108"/>
      <c r="AN334" s="108"/>
      <c r="AO334" s="108"/>
    </row>
    <row r="335" spans="1:41" ht="12" customHeight="1" x14ac:dyDescent="0.2">
      <c r="A335" s="179"/>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c r="AA335" s="108"/>
      <c r="AB335" s="108"/>
      <c r="AC335" s="108"/>
      <c r="AD335" s="108"/>
      <c r="AE335" s="108"/>
      <c r="AF335" s="108"/>
      <c r="AG335" s="108"/>
      <c r="AH335" s="108"/>
      <c r="AI335" s="108"/>
      <c r="AJ335" s="108"/>
      <c r="AK335" s="108"/>
      <c r="AL335" s="108"/>
      <c r="AM335" s="108"/>
      <c r="AN335" s="108"/>
      <c r="AO335" s="108"/>
    </row>
    <row r="336" spans="1:41" ht="12" customHeight="1" x14ac:dyDescent="0.2">
      <c r="A336" s="179"/>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c r="AA336" s="108"/>
      <c r="AB336" s="108"/>
      <c r="AC336" s="108"/>
      <c r="AD336" s="108"/>
      <c r="AE336" s="108"/>
      <c r="AF336" s="108"/>
      <c r="AG336" s="108"/>
      <c r="AH336" s="108"/>
      <c r="AI336" s="108"/>
      <c r="AJ336" s="108"/>
      <c r="AK336" s="108"/>
      <c r="AL336" s="108"/>
      <c r="AM336" s="108"/>
      <c r="AN336" s="108"/>
      <c r="AO336" s="108"/>
    </row>
    <row r="337" spans="1:41" ht="12" customHeight="1" x14ac:dyDescent="0.2">
      <c r="A337" s="179"/>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c r="AA337" s="108"/>
      <c r="AB337" s="108"/>
      <c r="AC337" s="108"/>
      <c r="AD337" s="108"/>
      <c r="AE337" s="108"/>
      <c r="AF337" s="108"/>
      <c r="AG337" s="108"/>
      <c r="AH337" s="108"/>
      <c r="AI337" s="108"/>
      <c r="AJ337" s="108"/>
      <c r="AK337" s="108"/>
      <c r="AL337" s="108"/>
      <c r="AM337" s="108"/>
      <c r="AN337" s="108"/>
      <c r="AO337" s="108"/>
    </row>
    <row r="338" spans="1:41" ht="12" customHeight="1" x14ac:dyDescent="0.2">
      <c r="A338" s="179"/>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c r="AA338" s="108"/>
      <c r="AB338" s="108"/>
      <c r="AC338" s="108"/>
      <c r="AD338" s="108"/>
      <c r="AE338" s="108"/>
      <c r="AF338" s="108"/>
      <c r="AG338" s="108"/>
      <c r="AH338" s="108"/>
      <c r="AI338" s="108"/>
      <c r="AJ338" s="108"/>
      <c r="AK338" s="108"/>
      <c r="AL338" s="108"/>
      <c r="AM338" s="108"/>
      <c r="AN338" s="108"/>
      <c r="AO338" s="108"/>
    </row>
    <row r="339" spans="1:41" ht="12" customHeight="1" x14ac:dyDescent="0.2">
      <c r="A339" s="179"/>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c r="AA339" s="108"/>
      <c r="AB339" s="108"/>
      <c r="AC339" s="108"/>
      <c r="AD339" s="108"/>
      <c r="AE339" s="108"/>
      <c r="AF339" s="108"/>
      <c r="AG339" s="108"/>
      <c r="AH339" s="108"/>
      <c r="AI339" s="108"/>
      <c r="AJ339" s="108"/>
      <c r="AK339" s="108"/>
      <c r="AL339" s="108"/>
      <c r="AM339" s="108"/>
      <c r="AN339" s="108"/>
      <c r="AO339" s="108"/>
    </row>
    <row r="340" spans="1:41" ht="12" customHeight="1" x14ac:dyDescent="0.2">
      <c r="A340" s="179"/>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c r="AA340" s="108"/>
      <c r="AB340" s="108"/>
      <c r="AC340" s="108"/>
      <c r="AD340" s="108"/>
      <c r="AE340" s="108"/>
      <c r="AF340" s="108"/>
      <c r="AG340" s="108"/>
      <c r="AH340" s="108"/>
      <c r="AI340" s="108"/>
      <c r="AJ340" s="108"/>
      <c r="AK340" s="108"/>
      <c r="AL340" s="108"/>
      <c r="AM340" s="108"/>
      <c r="AN340" s="108"/>
      <c r="AO340" s="108"/>
    </row>
    <row r="341" spans="1:41" ht="12" customHeight="1" x14ac:dyDescent="0.2">
      <c r="A341" s="179"/>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c r="AA341" s="108"/>
      <c r="AB341" s="108"/>
      <c r="AC341" s="108"/>
      <c r="AD341" s="108"/>
      <c r="AE341" s="108"/>
      <c r="AF341" s="108"/>
      <c r="AG341" s="108"/>
      <c r="AH341" s="108"/>
      <c r="AI341" s="108"/>
      <c r="AJ341" s="108"/>
      <c r="AK341" s="108"/>
      <c r="AL341" s="108"/>
      <c r="AM341" s="108"/>
      <c r="AN341" s="108"/>
      <c r="AO341" s="108"/>
    </row>
    <row r="342" spans="1:41" ht="12" customHeight="1" x14ac:dyDescent="0.2">
      <c r="A342" s="179"/>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c r="AA342" s="108"/>
      <c r="AB342" s="108"/>
      <c r="AC342" s="108"/>
      <c r="AD342" s="108"/>
      <c r="AE342" s="108"/>
      <c r="AF342" s="108"/>
      <c r="AG342" s="108"/>
      <c r="AH342" s="108"/>
      <c r="AI342" s="108"/>
      <c r="AJ342" s="108"/>
      <c r="AK342" s="108"/>
      <c r="AL342" s="108"/>
      <c r="AM342" s="108"/>
      <c r="AN342" s="108"/>
      <c r="AO342" s="108"/>
    </row>
    <row r="343" spans="1:41" ht="12" customHeight="1" x14ac:dyDescent="0.2">
      <c r="A343" s="179"/>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c r="AA343" s="108"/>
      <c r="AB343" s="108"/>
      <c r="AC343" s="108"/>
      <c r="AD343" s="108"/>
      <c r="AE343" s="108"/>
      <c r="AF343" s="108"/>
      <c r="AG343" s="108"/>
      <c r="AH343" s="108"/>
      <c r="AI343" s="108"/>
      <c r="AJ343" s="108"/>
      <c r="AK343" s="108"/>
      <c r="AL343" s="108"/>
      <c r="AM343" s="108"/>
      <c r="AN343" s="108"/>
      <c r="AO343" s="108"/>
    </row>
    <row r="344" spans="1:41" ht="12" customHeight="1" x14ac:dyDescent="0.2">
      <c r="A344" s="179"/>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c r="AA344" s="108"/>
      <c r="AB344" s="108"/>
      <c r="AC344" s="108"/>
      <c r="AD344" s="108"/>
      <c r="AE344" s="108"/>
      <c r="AF344" s="108"/>
      <c r="AG344" s="108"/>
      <c r="AH344" s="108"/>
      <c r="AI344" s="108"/>
      <c r="AJ344" s="108"/>
      <c r="AK344" s="108"/>
      <c r="AL344" s="108"/>
      <c r="AM344" s="108"/>
      <c r="AN344" s="108"/>
      <c r="AO344" s="108"/>
    </row>
    <row r="345" spans="1:41" ht="12" customHeight="1" x14ac:dyDescent="0.2">
      <c r="A345" s="179"/>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c r="AA345" s="108"/>
      <c r="AB345" s="108"/>
      <c r="AC345" s="108"/>
      <c r="AD345" s="108"/>
      <c r="AE345" s="108"/>
      <c r="AF345" s="108"/>
      <c r="AG345" s="108"/>
      <c r="AH345" s="108"/>
      <c r="AI345" s="108"/>
      <c r="AJ345" s="108"/>
      <c r="AK345" s="108"/>
      <c r="AL345" s="108"/>
      <c r="AM345" s="108"/>
      <c r="AN345" s="108"/>
      <c r="AO345" s="108"/>
    </row>
    <row r="346" spans="1:41" ht="12" customHeight="1" x14ac:dyDescent="0.2">
      <c r="A346" s="179"/>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c r="AA346" s="108"/>
      <c r="AB346" s="108"/>
      <c r="AC346" s="108"/>
      <c r="AD346" s="108"/>
      <c r="AE346" s="108"/>
      <c r="AF346" s="108"/>
      <c r="AG346" s="108"/>
      <c r="AH346" s="108"/>
      <c r="AI346" s="108"/>
      <c r="AJ346" s="108"/>
      <c r="AK346" s="108"/>
      <c r="AL346" s="108"/>
      <c r="AM346" s="108"/>
      <c r="AN346" s="108"/>
      <c r="AO346" s="108"/>
    </row>
    <row r="347" spans="1:41" ht="12" customHeight="1" x14ac:dyDescent="0.2">
      <c r="A347" s="179"/>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c r="AA347" s="108"/>
      <c r="AB347" s="108"/>
      <c r="AC347" s="108"/>
      <c r="AD347" s="108"/>
      <c r="AE347" s="108"/>
      <c r="AF347" s="108"/>
      <c r="AG347" s="108"/>
      <c r="AH347" s="108"/>
      <c r="AI347" s="108"/>
      <c r="AJ347" s="108"/>
      <c r="AK347" s="108"/>
      <c r="AL347" s="108"/>
      <c r="AM347" s="108"/>
      <c r="AN347" s="108"/>
      <c r="AO347" s="108"/>
    </row>
    <row r="348" spans="1:41" ht="12" customHeight="1" x14ac:dyDescent="0.2">
      <c r="A348" s="179"/>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c r="AA348" s="108"/>
      <c r="AB348" s="108"/>
      <c r="AC348" s="108"/>
      <c r="AD348" s="108"/>
      <c r="AE348" s="108"/>
      <c r="AF348" s="108"/>
      <c r="AG348" s="108"/>
      <c r="AH348" s="108"/>
      <c r="AI348" s="108"/>
      <c r="AJ348" s="108"/>
      <c r="AK348" s="108"/>
      <c r="AL348" s="108"/>
      <c r="AM348" s="108"/>
      <c r="AN348" s="108"/>
      <c r="AO348" s="108"/>
    </row>
    <row r="349" spans="1:41" ht="12" customHeight="1" x14ac:dyDescent="0.2">
      <c r="A349" s="179"/>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c r="AA349" s="108"/>
      <c r="AB349" s="108"/>
      <c r="AC349" s="108"/>
      <c r="AD349" s="108"/>
      <c r="AE349" s="108"/>
      <c r="AF349" s="108"/>
      <c r="AG349" s="108"/>
      <c r="AH349" s="108"/>
      <c r="AI349" s="108"/>
      <c r="AJ349" s="108"/>
      <c r="AK349" s="108"/>
      <c r="AL349" s="108"/>
      <c r="AM349" s="108"/>
      <c r="AN349" s="108"/>
      <c r="AO349" s="108"/>
    </row>
    <row r="350" spans="1:41" ht="12" customHeight="1" x14ac:dyDescent="0.2">
      <c r="A350" s="179"/>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c r="AA350" s="108"/>
      <c r="AB350" s="108"/>
      <c r="AC350" s="108"/>
      <c r="AD350" s="108"/>
      <c r="AE350" s="108"/>
      <c r="AF350" s="108"/>
      <c r="AG350" s="108"/>
      <c r="AH350" s="108"/>
      <c r="AI350" s="108"/>
      <c r="AJ350" s="108"/>
      <c r="AK350" s="108"/>
      <c r="AL350" s="108"/>
      <c r="AM350" s="108"/>
      <c r="AN350" s="108"/>
      <c r="AO350" s="108"/>
    </row>
    <row r="351" spans="1:41" ht="12" customHeight="1" x14ac:dyDescent="0.2">
      <c r="A351" s="179"/>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c r="AA351" s="108"/>
      <c r="AB351" s="108"/>
      <c r="AC351" s="108"/>
      <c r="AD351" s="108"/>
      <c r="AE351" s="108"/>
      <c r="AF351" s="108"/>
      <c r="AG351" s="108"/>
      <c r="AH351" s="108"/>
      <c r="AI351" s="108"/>
      <c r="AJ351" s="108"/>
      <c r="AK351" s="108"/>
      <c r="AL351" s="108"/>
      <c r="AM351" s="108"/>
      <c r="AN351" s="108"/>
      <c r="AO351" s="108"/>
    </row>
    <row r="352" spans="1:41" ht="12" customHeight="1" x14ac:dyDescent="0.2">
      <c r="A352" s="179"/>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c r="AA352" s="108"/>
      <c r="AB352" s="108"/>
      <c r="AC352" s="108"/>
      <c r="AD352" s="108"/>
      <c r="AE352" s="108"/>
      <c r="AF352" s="108"/>
      <c r="AG352" s="108"/>
      <c r="AH352" s="108"/>
      <c r="AI352" s="108"/>
      <c r="AJ352" s="108"/>
      <c r="AK352" s="108"/>
      <c r="AL352" s="108"/>
      <c r="AM352" s="108"/>
      <c r="AN352" s="108"/>
      <c r="AO352" s="108"/>
    </row>
    <row r="353" spans="1:41" ht="12" customHeight="1" x14ac:dyDescent="0.2">
      <c r="A353" s="179"/>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c r="AA353" s="108"/>
      <c r="AB353" s="108"/>
      <c r="AC353" s="108"/>
      <c r="AD353" s="108"/>
      <c r="AE353" s="108"/>
      <c r="AF353" s="108"/>
      <c r="AG353" s="108"/>
      <c r="AH353" s="108"/>
      <c r="AI353" s="108"/>
      <c r="AJ353" s="108"/>
      <c r="AK353" s="108"/>
      <c r="AL353" s="108"/>
      <c r="AM353" s="108"/>
      <c r="AN353" s="108"/>
      <c r="AO353" s="108"/>
    </row>
    <row r="354" spans="1:41" ht="12" customHeight="1" x14ac:dyDescent="0.2">
      <c r="A354" s="179"/>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c r="AA354" s="108"/>
      <c r="AB354" s="108"/>
      <c r="AC354" s="108"/>
      <c r="AD354" s="108"/>
      <c r="AE354" s="108"/>
      <c r="AF354" s="108"/>
      <c r="AG354" s="108"/>
      <c r="AH354" s="108"/>
      <c r="AI354" s="108"/>
      <c r="AJ354" s="108"/>
      <c r="AK354" s="108"/>
      <c r="AL354" s="108"/>
      <c r="AM354" s="108"/>
      <c r="AN354" s="108"/>
      <c r="AO354" s="108"/>
    </row>
    <row r="355" spans="1:41" ht="12" customHeight="1" x14ac:dyDescent="0.2">
      <c r="A355" s="179"/>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c r="AA355" s="108"/>
      <c r="AB355" s="108"/>
      <c r="AC355" s="108"/>
      <c r="AD355" s="108"/>
      <c r="AE355" s="108"/>
      <c r="AF355" s="108"/>
      <c r="AG355" s="108"/>
      <c r="AH355" s="108"/>
      <c r="AI355" s="108"/>
      <c r="AJ355" s="108"/>
      <c r="AK355" s="108"/>
      <c r="AL355" s="108"/>
      <c r="AM355" s="108"/>
      <c r="AN355" s="108"/>
      <c r="AO355" s="108"/>
    </row>
    <row r="356" spans="1:41" ht="12" customHeight="1" x14ac:dyDescent="0.2">
      <c r="A356" s="179"/>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c r="AA356" s="108"/>
      <c r="AB356" s="108"/>
      <c r="AC356" s="108"/>
      <c r="AD356" s="108"/>
      <c r="AE356" s="108"/>
      <c r="AF356" s="108"/>
      <c r="AG356" s="108"/>
      <c r="AH356" s="108"/>
      <c r="AI356" s="108"/>
      <c r="AJ356" s="108"/>
      <c r="AK356" s="108"/>
      <c r="AL356" s="108"/>
      <c r="AM356" s="108"/>
      <c r="AN356" s="108"/>
      <c r="AO356" s="108"/>
    </row>
    <row r="357" spans="1:41" ht="12" customHeight="1" x14ac:dyDescent="0.2">
      <c r="A357" s="179"/>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c r="AA357" s="108"/>
      <c r="AB357" s="108"/>
      <c r="AC357" s="108"/>
      <c r="AD357" s="108"/>
      <c r="AE357" s="108"/>
      <c r="AF357" s="108"/>
      <c r="AG357" s="108"/>
      <c r="AH357" s="108"/>
      <c r="AI357" s="108"/>
      <c r="AJ357" s="108"/>
      <c r="AK357" s="108"/>
      <c r="AL357" s="108"/>
      <c r="AM357" s="108"/>
      <c r="AN357" s="108"/>
      <c r="AO357" s="108"/>
    </row>
    <row r="358" spans="1:41" ht="12" customHeight="1" x14ac:dyDescent="0.2">
      <c r="A358" s="179"/>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c r="AA358" s="108"/>
      <c r="AB358" s="108"/>
      <c r="AC358" s="108"/>
      <c r="AD358" s="108"/>
      <c r="AE358" s="108"/>
      <c r="AF358" s="108"/>
      <c r="AG358" s="108"/>
      <c r="AH358" s="108"/>
      <c r="AI358" s="108"/>
      <c r="AJ358" s="108"/>
      <c r="AK358" s="108"/>
      <c r="AL358" s="108"/>
      <c r="AM358" s="108"/>
      <c r="AN358" s="108"/>
      <c r="AO358" s="108"/>
    </row>
    <row r="359" spans="1:41" ht="12" customHeight="1" x14ac:dyDescent="0.2">
      <c r="A359" s="179"/>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c r="AA359" s="108"/>
      <c r="AB359" s="108"/>
      <c r="AC359" s="108"/>
      <c r="AD359" s="108"/>
      <c r="AE359" s="108"/>
      <c r="AF359" s="108"/>
      <c r="AG359" s="108"/>
      <c r="AH359" s="108"/>
      <c r="AI359" s="108"/>
      <c r="AJ359" s="108"/>
      <c r="AK359" s="108"/>
      <c r="AL359" s="108"/>
      <c r="AM359" s="108"/>
      <c r="AN359" s="108"/>
      <c r="AO359" s="108"/>
    </row>
    <row r="360" spans="1:41" ht="12" customHeight="1" x14ac:dyDescent="0.2">
      <c r="A360" s="179"/>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c r="AA360" s="108"/>
      <c r="AB360" s="108"/>
      <c r="AC360" s="108"/>
      <c r="AD360" s="108"/>
      <c r="AE360" s="108"/>
      <c r="AF360" s="108"/>
      <c r="AG360" s="108"/>
      <c r="AH360" s="108"/>
      <c r="AI360" s="108"/>
      <c r="AJ360" s="108"/>
      <c r="AK360" s="108"/>
      <c r="AL360" s="108"/>
      <c r="AM360" s="108"/>
      <c r="AN360" s="108"/>
      <c r="AO360" s="108"/>
    </row>
    <row r="361" spans="1:41" ht="12" customHeight="1" x14ac:dyDescent="0.2">
      <c r="A361" s="179"/>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c r="AA361" s="108"/>
      <c r="AB361" s="108"/>
      <c r="AC361" s="108"/>
      <c r="AD361" s="108"/>
      <c r="AE361" s="108"/>
      <c r="AF361" s="108"/>
      <c r="AG361" s="108"/>
      <c r="AH361" s="108"/>
      <c r="AI361" s="108"/>
      <c r="AJ361" s="108"/>
      <c r="AK361" s="108"/>
      <c r="AL361" s="108"/>
      <c r="AM361" s="108"/>
      <c r="AN361" s="108"/>
      <c r="AO361" s="108"/>
    </row>
    <row r="362" spans="1:41" ht="12" customHeight="1" x14ac:dyDescent="0.2">
      <c r="A362" s="179"/>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c r="AA362" s="108"/>
      <c r="AB362" s="108"/>
      <c r="AC362" s="108"/>
      <c r="AD362" s="108"/>
      <c r="AE362" s="108"/>
      <c r="AF362" s="108"/>
      <c r="AG362" s="108"/>
      <c r="AH362" s="108"/>
      <c r="AI362" s="108"/>
      <c r="AJ362" s="108"/>
      <c r="AK362" s="108"/>
      <c r="AL362" s="108"/>
      <c r="AM362" s="108"/>
      <c r="AN362" s="108"/>
      <c r="AO362" s="108"/>
    </row>
    <row r="363" spans="1:41" ht="12" customHeight="1" x14ac:dyDescent="0.2">
      <c r="A363" s="179"/>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c r="AA363" s="108"/>
      <c r="AB363" s="108"/>
      <c r="AC363" s="108"/>
      <c r="AD363" s="108"/>
      <c r="AE363" s="108"/>
      <c r="AF363" s="108"/>
      <c r="AG363" s="108"/>
      <c r="AH363" s="108"/>
      <c r="AI363" s="108"/>
      <c r="AJ363" s="108"/>
      <c r="AK363" s="108"/>
      <c r="AL363" s="108"/>
      <c r="AM363" s="108"/>
      <c r="AN363" s="108"/>
      <c r="AO363" s="108"/>
    </row>
    <row r="364" spans="1:41" ht="12" customHeight="1" x14ac:dyDescent="0.2">
      <c r="A364" s="179"/>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c r="AA364" s="108"/>
      <c r="AB364" s="108"/>
      <c r="AC364" s="108"/>
      <c r="AD364" s="108"/>
      <c r="AE364" s="108"/>
      <c r="AF364" s="108"/>
      <c r="AG364" s="108"/>
      <c r="AH364" s="108"/>
      <c r="AI364" s="108"/>
      <c r="AJ364" s="108"/>
      <c r="AK364" s="108"/>
      <c r="AL364" s="108"/>
      <c r="AM364" s="108"/>
      <c r="AN364" s="108"/>
      <c r="AO364" s="108"/>
    </row>
    <row r="365" spans="1:41" ht="12" customHeight="1" x14ac:dyDescent="0.2">
      <c r="A365" s="179"/>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c r="AA365" s="108"/>
      <c r="AB365" s="108"/>
      <c r="AC365" s="108"/>
      <c r="AD365" s="108"/>
      <c r="AE365" s="108"/>
      <c r="AF365" s="108"/>
      <c r="AG365" s="108"/>
      <c r="AH365" s="108"/>
      <c r="AI365" s="108"/>
      <c r="AJ365" s="108"/>
      <c r="AK365" s="108"/>
      <c r="AL365" s="108"/>
      <c r="AM365" s="108"/>
      <c r="AN365" s="108"/>
      <c r="AO365" s="108"/>
    </row>
    <row r="366" spans="1:41" ht="12" customHeight="1" x14ac:dyDescent="0.2">
      <c r="A366" s="179"/>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c r="AA366" s="108"/>
      <c r="AB366" s="108"/>
      <c r="AC366" s="108"/>
      <c r="AD366" s="108"/>
      <c r="AE366" s="108"/>
      <c r="AF366" s="108"/>
      <c r="AG366" s="108"/>
      <c r="AH366" s="108"/>
      <c r="AI366" s="108"/>
      <c r="AJ366" s="108"/>
      <c r="AK366" s="108"/>
      <c r="AL366" s="108"/>
      <c r="AM366" s="108"/>
      <c r="AN366" s="108"/>
      <c r="AO366" s="108"/>
    </row>
    <row r="367" spans="1:41" ht="12" customHeight="1" x14ac:dyDescent="0.2">
      <c r="A367" s="179"/>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c r="AA367" s="108"/>
      <c r="AB367" s="108"/>
      <c r="AC367" s="108"/>
      <c r="AD367" s="108"/>
      <c r="AE367" s="108"/>
      <c r="AF367" s="108"/>
      <c r="AG367" s="108"/>
      <c r="AH367" s="108"/>
      <c r="AI367" s="108"/>
      <c r="AJ367" s="108"/>
      <c r="AK367" s="108"/>
      <c r="AL367" s="108"/>
      <c r="AM367" s="108"/>
      <c r="AN367" s="108"/>
      <c r="AO367" s="108"/>
    </row>
    <row r="368" spans="1:41" ht="12" customHeight="1" x14ac:dyDescent="0.2">
      <c r="A368" s="179"/>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c r="AA368" s="108"/>
      <c r="AB368" s="108"/>
      <c r="AC368" s="108"/>
      <c r="AD368" s="108"/>
      <c r="AE368" s="108"/>
      <c r="AF368" s="108"/>
      <c r="AG368" s="108"/>
      <c r="AH368" s="108"/>
      <c r="AI368" s="108"/>
      <c r="AJ368" s="108"/>
      <c r="AK368" s="108"/>
      <c r="AL368" s="108"/>
      <c r="AM368" s="108"/>
      <c r="AN368" s="108"/>
      <c r="AO368" s="108"/>
    </row>
    <row r="369" spans="1:41" ht="12" customHeight="1" x14ac:dyDescent="0.2">
      <c r="A369" s="179"/>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c r="AA369" s="108"/>
      <c r="AB369" s="108"/>
      <c r="AC369" s="108"/>
      <c r="AD369" s="108"/>
      <c r="AE369" s="108"/>
      <c r="AF369" s="108"/>
      <c r="AG369" s="108"/>
      <c r="AH369" s="108"/>
      <c r="AI369" s="108"/>
      <c r="AJ369" s="108"/>
      <c r="AK369" s="108"/>
      <c r="AL369" s="108"/>
      <c r="AM369" s="108"/>
      <c r="AN369" s="108"/>
      <c r="AO369" s="108"/>
    </row>
    <row r="370" spans="1:41" ht="12" customHeight="1" x14ac:dyDescent="0.2">
      <c r="A370" s="179"/>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c r="AA370" s="108"/>
      <c r="AB370" s="108"/>
      <c r="AC370" s="108"/>
      <c r="AD370" s="108"/>
      <c r="AE370" s="108"/>
      <c r="AF370" s="108"/>
      <c r="AG370" s="108"/>
      <c r="AH370" s="108"/>
      <c r="AI370" s="108"/>
      <c r="AJ370" s="108"/>
      <c r="AK370" s="108"/>
      <c r="AL370" s="108"/>
      <c r="AM370" s="108"/>
      <c r="AN370" s="108"/>
      <c r="AO370" s="108"/>
    </row>
    <row r="371" spans="1:41" ht="12" customHeight="1" x14ac:dyDescent="0.2">
      <c r="A371" s="179"/>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c r="AA371" s="108"/>
      <c r="AB371" s="108"/>
      <c r="AC371" s="108"/>
      <c r="AD371" s="108"/>
      <c r="AE371" s="108"/>
      <c r="AF371" s="108"/>
      <c r="AG371" s="108"/>
      <c r="AH371" s="108"/>
      <c r="AI371" s="108"/>
      <c r="AJ371" s="108"/>
      <c r="AK371" s="108"/>
      <c r="AL371" s="108"/>
      <c r="AM371" s="108"/>
      <c r="AN371" s="108"/>
      <c r="AO371" s="108"/>
    </row>
    <row r="372" spans="1:41" ht="12" customHeight="1" x14ac:dyDescent="0.2">
      <c r="A372" s="179"/>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c r="AA372" s="108"/>
      <c r="AB372" s="108"/>
      <c r="AC372" s="108"/>
      <c r="AD372" s="108"/>
      <c r="AE372" s="108"/>
      <c r="AF372" s="108"/>
      <c r="AG372" s="108"/>
      <c r="AH372" s="108"/>
      <c r="AI372" s="108"/>
      <c r="AJ372" s="108"/>
      <c r="AK372" s="108"/>
      <c r="AL372" s="108"/>
      <c r="AM372" s="108"/>
      <c r="AN372" s="108"/>
      <c r="AO372" s="108"/>
    </row>
    <row r="373" spans="1:41" ht="12" customHeight="1" x14ac:dyDescent="0.2">
      <c r="A373" s="179"/>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c r="AA373" s="108"/>
      <c r="AB373" s="108"/>
      <c r="AC373" s="108"/>
      <c r="AD373" s="108"/>
      <c r="AE373" s="108"/>
      <c r="AF373" s="108"/>
      <c r="AG373" s="108"/>
      <c r="AH373" s="108"/>
      <c r="AI373" s="108"/>
      <c r="AJ373" s="108"/>
      <c r="AK373" s="108"/>
      <c r="AL373" s="108"/>
      <c r="AM373" s="108"/>
      <c r="AN373" s="108"/>
      <c r="AO373" s="108"/>
    </row>
    <row r="374" spans="1:41" ht="12" customHeight="1" x14ac:dyDescent="0.2">
      <c r="A374" s="179"/>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c r="AA374" s="108"/>
      <c r="AB374" s="108"/>
      <c r="AC374" s="108"/>
      <c r="AD374" s="108"/>
      <c r="AE374" s="108"/>
      <c r="AF374" s="108"/>
      <c r="AG374" s="108"/>
      <c r="AH374" s="108"/>
      <c r="AI374" s="108"/>
      <c r="AJ374" s="108"/>
      <c r="AK374" s="108"/>
      <c r="AL374" s="108"/>
      <c r="AM374" s="108"/>
      <c r="AN374" s="108"/>
      <c r="AO374" s="108"/>
    </row>
    <row r="375" spans="1:41" ht="12" customHeight="1" x14ac:dyDescent="0.2">
      <c r="A375" s="179"/>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c r="AA375" s="108"/>
      <c r="AB375" s="108"/>
      <c r="AC375" s="108"/>
      <c r="AD375" s="108"/>
      <c r="AE375" s="108"/>
      <c r="AF375" s="108"/>
      <c r="AG375" s="108"/>
      <c r="AH375" s="108"/>
      <c r="AI375" s="108"/>
      <c r="AJ375" s="108"/>
      <c r="AK375" s="108"/>
      <c r="AL375" s="108"/>
      <c r="AM375" s="108"/>
      <c r="AN375" s="108"/>
      <c r="AO375" s="108"/>
    </row>
    <row r="376" spans="1:41" ht="12" customHeight="1" x14ac:dyDescent="0.2">
      <c r="A376" s="179"/>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c r="AA376" s="108"/>
      <c r="AB376" s="108"/>
      <c r="AC376" s="108"/>
      <c r="AD376" s="108"/>
      <c r="AE376" s="108"/>
      <c r="AF376" s="108"/>
      <c r="AG376" s="108"/>
      <c r="AH376" s="108"/>
      <c r="AI376" s="108"/>
      <c r="AJ376" s="108"/>
      <c r="AK376" s="108"/>
      <c r="AL376" s="108"/>
      <c r="AM376" s="108"/>
      <c r="AN376" s="108"/>
      <c r="AO376" s="108"/>
    </row>
    <row r="377" spans="1:41" ht="12" customHeight="1" x14ac:dyDescent="0.2">
      <c r="A377" s="179"/>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c r="AA377" s="108"/>
      <c r="AB377" s="108"/>
      <c r="AC377" s="108"/>
      <c r="AD377" s="108"/>
      <c r="AE377" s="108"/>
      <c r="AF377" s="108"/>
      <c r="AG377" s="108"/>
      <c r="AH377" s="108"/>
      <c r="AI377" s="108"/>
      <c r="AJ377" s="108"/>
      <c r="AK377" s="108"/>
      <c r="AL377" s="108"/>
      <c r="AM377" s="108"/>
      <c r="AN377" s="108"/>
      <c r="AO377" s="108"/>
    </row>
    <row r="378" spans="1:41" ht="12" customHeight="1" x14ac:dyDescent="0.2">
      <c r="A378" s="179"/>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c r="AA378" s="108"/>
      <c r="AB378" s="108"/>
      <c r="AC378" s="108"/>
      <c r="AD378" s="108"/>
      <c r="AE378" s="108"/>
      <c r="AF378" s="108"/>
      <c r="AG378" s="108"/>
      <c r="AH378" s="108"/>
      <c r="AI378" s="108"/>
      <c r="AJ378" s="108"/>
      <c r="AK378" s="108"/>
      <c r="AL378" s="108"/>
      <c r="AM378" s="108"/>
      <c r="AN378" s="108"/>
      <c r="AO378" s="108"/>
    </row>
    <row r="379" spans="1:41" ht="12" customHeight="1" x14ac:dyDescent="0.2">
      <c r="A379" s="179"/>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c r="AA379" s="108"/>
      <c r="AB379" s="108"/>
      <c r="AC379" s="108"/>
      <c r="AD379" s="108"/>
      <c r="AE379" s="108"/>
      <c r="AF379" s="108"/>
      <c r="AG379" s="108"/>
      <c r="AH379" s="108"/>
      <c r="AI379" s="108"/>
      <c r="AJ379" s="108"/>
      <c r="AK379" s="108"/>
      <c r="AL379" s="108"/>
      <c r="AM379" s="108"/>
      <c r="AN379" s="108"/>
      <c r="AO379" s="108"/>
    </row>
    <row r="380" spans="1:41" ht="12" customHeight="1" x14ac:dyDescent="0.2">
      <c r="A380" s="179"/>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c r="AA380" s="108"/>
      <c r="AB380" s="108"/>
      <c r="AC380" s="108"/>
      <c r="AD380" s="108"/>
      <c r="AE380" s="108"/>
      <c r="AF380" s="108"/>
      <c r="AG380" s="108"/>
      <c r="AH380" s="108"/>
      <c r="AI380" s="108"/>
      <c r="AJ380" s="108"/>
      <c r="AK380" s="108"/>
      <c r="AL380" s="108"/>
      <c r="AM380" s="108"/>
      <c r="AN380" s="108"/>
      <c r="AO380" s="108"/>
    </row>
    <row r="381" spans="1:41" ht="12" customHeight="1" x14ac:dyDescent="0.2">
      <c r="A381" s="179"/>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c r="AA381" s="108"/>
      <c r="AB381" s="108"/>
      <c r="AC381" s="108"/>
      <c r="AD381" s="108"/>
      <c r="AE381" s="108"/>
      <c r="AF381" s="108"/>
      <c r="AG381" s="108"/>
      <c r="AH381" s="108"/>
      <c r="AI381" s="108"/>
      <c r="AJ381" s="108"/>
      <c r="AK381" s="108"/>
      <c r="AL381" s="108"/>
      <c r="AM381" s="108"/>
      <c r="AN381" s="108"/>
      <c r="AO381" s="108"/>
    </row>
    <row r="382" spans="1:41" ht="12" customHeight="1" x14ac:dyDescent="0.2">
      <c r="A382" s="179"/>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c r="AA382" s="108"/>
      <c r="AB382" s="108"/>
      <c r="AC382" s="108"/>
      <c r="AD382" s="108"/>
      <c r="AE382" s="108"/>
      <c r="AF382" s="108"/>
      <c r="AG382" s="108"/>
      <c r="AH382" s="108"/>
      <c r="AI382" s="108"/>
      <c r="AJ382" s="108"/>
      <c r="AK382" s="108"/>
      <c r="AL382" s="108"/>
      <c r="AM382" s="108"/>
      <c r="AN382" s="108"/>
      <c r="AO382" s="108"/>
    </row>
    <row r="383" spans="1:41" ht="12" customHeight="1" x14ac:dyDescent="0.2">
      <c r="A383" s="179"/>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c r="AA383" s="108"/>
      <c r="AB383" s="108"/>
      <c r="AC383" s="108"/>
      <c r="AD383" s="108"/>
      <c r="AE383" s="108"/>
      <c r="AF383" s="108"/>
      <c r="AG383" s="108"/>
      <c r="AH383" s="108"/>
      <c r="AI383" s="108"/>
      <c r="AJ383" s="108"/>
      <c r="AK383" s="108"/>
      <c r="AL383" s="108"/>
      <c r="AM383" s="108"/>
      <c r="AN383" s="108"/>
      <c r="AO383" s="108"/>
    </row>
    <row r="384" spans="1:41" ht="12" customHeight="1" x14ac:dyDescent="0.2">
      <c r="A384" s="179"/>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c r="AA384" s="108"/>
      <c r="AB384" s="108"/>
      <c r="AC384" s="108"/>
      <c r="AD384" s="108"/>
      <c r="AE384" s="108"/>
      <c r="AF384" s="108"/>
      <c r="AG384" s="108"/>
      <c r="AH384" s="108"/>
      <c r="AI384" s="108"/>
      <c r="AJ384" s="108"/>
      <c r="AK384" s="108"/>
      <c r="AL384" s="108"/>
      <c r="AM384" s="108"/>
      <c r="AN384" s="108"/>
      <c r="AO384" s="108"/>
    </row>
    <row r="385" spans="1:41" ht="12" customHeight="1" x14ac:dyDescent="0.2">
      <c r="A385" s="179"/>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c r="AA385" s="108"/>
      <c r="AB385" s="108"/>
      <c r="AC385" s="108"/>
      <c r="AD385" s="108"/>
      <c r="AE385" s="108"/>
      <c r="AF385" s="108"/>
      <c r="AG385" s="108"/>
      <c r="AH385" s="108"/>
      <c r="AI385" s="108"/>
      <c r="AJ385" s="108"/>
      <c r="AK385" s="108"/>
      <c r="AL385" s="108"/>
      <c r="AM385" s="108"/>
      <c r="AN385" s="108"/>
      <c r="AO385" s="108"/>
    </row>
    <row r="386" spans="1:41" ht="12" customHeight="1" x14ac:dyDescent="0.2">
      <c r="A386" s="179"/>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c r="AA386" s="108"/>
      <c r="AB386" s="108"/>
      <c r="AC386" s="108"/>
      <c r="AD386" s="108"/>
      <c r="AE386" s="108"/>
      <c r="AF386" s="108"/>
      <c r="AG386" s="108"/>
      <c r="AH386" s="108"/>
      <c r="AI386" s="108"/>
      <c r="AJ386" s="108"/>
      <c r="AK386" s="108"/>
      <c r="AL386" s="108"/>
      <c r="AM386" s="108"/>
      <c r="AN386" s="108"/>
      <c r="AO386" s="108"/>
    </row>
    <row r="387" spans="1:41" ht="12" customHeight="1" x14ac:dyDescent="0.2">
      <c r="A387" s="179"/>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c r="AA387" s="108"/>
      <c r="AB387" s="108"/>
      <c r="AC387" s="108"/>
      <c r="AD387" s="108"/>
      <c r="AE387" s="108"/>
      <c r="AF387" s="108"/>
      <c r="AG387" s="108"/>
      <c r="AH387" s="108"/>
      <c r="AI387" s="108"/>
      <c r="AJ387" s="108"/>
      <c r="AK387" s="108"/>
      <c r="AL387" s="108"/>
      <c r="AM387" s="108"/>
      <c r="AN387" s="108"/>
      <c r="AO387" s="108"/>
    </row>
    <row r="388" spans="1:41" ht="12" customHeight="1" x14ac:dyDescent="0.2">
      <c r="A388" s="179"/>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c r="AA388" s="108"/>
      <c r="AB388" s="108"/>
      <c r="AC388" s="108"/>
      <c r="AD388" s="108"/>
      <c r="AE388" s="108"/>
      <c r="AF388" s="108"/>
      <c r="AG388" s="108"/>
      <c r="AH388" s="108"/>
      <c r="AI388" s="108"/>
      <c r="AJ388" s="108"/>
      <c r="AK388" s="108"/>
      <c r="AL388" s="108"/>
      <c r="AM388" s="108"/>
      <c r="AN388" s="108"/>
      <c r="AO388" s="108"/>
    </row>
    <row r="389" spans="1:41" ht="12" customHeight="1" x14ac:dyDescent="0.2">
      <c r="A389" s="179"/>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c r="AA389" s="108"/>
      <c r="AB389" s="108"/>
      <c r="AC389" s="108"/>
      <c r="AD389" s="108"/>
      <c r="AE389" s="108"/>
      <c r="AF389" s="108"/>
      <c r="AG389" s="108"/>
      <c r="AH389" s="108"/>
      <c r="AI389" s="108"/>
      <c r="AJ389" s="108"/>
      <c r="AK389" s="108"/>
      <c r="AL389" s="108"/>
      <c r="AM389" s="108"/>
      <c r="AN389" s="108"/>
      <c r="AO389" s="108"/>
    </row>
    <row r="390" spans="1:41" ht="12" customHeight="1" x14ac:dyDescent="0.2">
      <c r="A390" s="179"/>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c r="AA390" s="108"/>
      <c r="AB390" s="108"/>
      <c r="AC390" s="108"/>
      <c r="AD390" s="108"/>
      <c r="AE390" s="108"/>
      <c r="AF390" s="108"/>
      <c r="AG390" s="108"/>
      <c r="AH390" s="108"/>
      <c r="AI390" s="108"/>
      <c r="AJ390" s="108"/>
      <c r="AK390" s="108"/>
      <c r="AL390" s="108"/>
      <c r="AM390" s="108"/>
      <c r="AN390" s="108"/>
      <c r="AO390" s="108"/>
    </row>
    <row r="391" spans="1:41" ht="12" customHeight="1" x14ac:dyDescent="0.2">
      <c r="A391" s="179"/>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c r="AA391" s="108"/>
      <c r="AB391" s="108"/>
      <c r="AC391" s="108"/>
      <c r="AD391" s="108"/>
      <c r="AE391" s="108"/>
      <c r="AF391" s="108"/>
      <c r="AG391" s="108"/>
      <c r="AH391" s="108"/>
      <c r="AI391" s="108"/>
      <c r="AJ391" s="108"/>
      <c r="AK391" s="108"/>
      <c r="AL391" s="108"/>
      <c r="AM391" s="108"/>
      <c r="AN391" s="108"/>
      <c r="AO391" s="108"/>
    </row>
    <row r="392" spans="1:41" ht="12" customHeight="1" x14ac:dyDescent="0.2">
      <c r="A392" s="179"/>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c r="AA392" s="108"/>
      <c r="AB392" s="108"/>
      <c r="AC392" s="108"/>
      <c r="AD392" s="108"/>
      <c r="AE392" s="108"/>
      <c r="AF392" s="108"/>
      <c r="AG392" s="108"/>
      <c r="AH392" s="108"/>
      <c r="AI392" s="108"/>
      <c r="AJ392" s="108"/>
      <c r="AK392" s="108"/>
      <c r="AL392" s="108"/>
      <c r="AM392" s="108"/>
      <c r="AN392" s="108"/>
      <c r="AO392" s="108"/>
    </row>
    <row r="393" spans="1:41" ht="12" customHeight="1" x14ac:dyDescent="0.2">
      <c r="A393" s="179"/>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c r="AA393" s="108"/>
      <c r="AB393" s="108"/>
      <c r="AC393" s="108"/>
      <c r="AD393" s="108"/>
      <c r="AE393" s="108"/>
      <c r="AF393" s="108"/>
      <c r="AG393" s="108"/>
      <c r="AH393" s="108"/>
      <c r="AI393" s="108"/>
      <c r="AJ393" s="108"/>
      <c r="AK393" s="108"/>
      <c r="AL393" s="108"/>
      <c r="AM393" s="108"/>
      <c r="AN393" s="108"/>
      <c r="AO393" s="108"/>
    </row>
    <row r="394" spans="1:41" ht="12" customHeight="1" x14ac:dyDescent="0.2">
      <c r="A394" s="179"/>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c r="AA394" s="108"/>
      <c r="AB394" s="108"/>
      <c r="AC394" s="108"/>
      <c r="AD394" s="108"/>
      <c r="AE394" s="108"/>
      <c r="AF394" s="108"/>
      <c r="AG394" s="108"/>
      <c r="AH394" s="108"/>
      <c r="AI394" s="108"/>
      <c r="AJ394" s="108"/>
      <c r="AK394" s="108"/>
      <c r="AL394" s="108"/>
      <c r="AM394" s="108"/>
      <c r="AN394" s="108"/>
      <c r="AO394" s="108"/>
    </row>
    <row r="395" spans="1:41" ht="12" customHeight="1" x14ac:dyDescent="0.2">
      <c r="A395" s="179"/>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c r="AA395" s="108"/>
      <c r="AB395" s="108"/>
      <c r="AC395" s="108"/>
      <c r="AD395" s="108"/>
      <c r="AE395" s="108"/>
      <c r="AF395" s="108"/>
      <c r="AG395" s="108"/>
      <c r="AH395" s="108"/>
      <c r="AI395" s="108"/>
      <c r="AJ395" s="108"/>
      <c r="AK395" s="108"/>
      <c r="AL395" s="108"/>
      <c r="AM395" s="108"/>
      <c r="AN395" s="108"/>
      <c r="AO395" s="108"/>
    </row>
    <row r="396" spans="1:41" ht="12" customHeight="1" x14ac:dyDescent="0.2">
      <c r="A396" s="179"/>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c r="AA396" s="108"/>
      <c r="AB396" s="108"/>
      <c r="AC396" s="108"/>
      <c r="AD396" s="108"/>
      <c r="AE396" s="108"/>
      <c r="AF396" s="108"/>
      <c r="AG396" s="108"/>
      <c r="AH396" s="108"/>
      <c r="AI396" s="108"/>
      <c r="AJ396" s="108"/>
      <c r="AK396" s="108"/>
      <c r="AL396" s="108"/>
      <c r="AM396" s="108"/>
      <c r="AN396" s="108"/>
      <c r="AO396" s="108"/>
    </row>
    <row r="397" spans="1:41" ht="12" customHeight="1" x14ac:dyDescent="0.2">
      <c r="A397" s="179"/>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c r="AA397" s="108"/>
      <c r="AB397" s="108"/>
      <c r="AC397" s="108"/>
      <c r="AD397" s="108"/>
      <c r="AE397" s="108"/>
      <c r="AF397" s="108"/>
      <c r="AG397" s="108"/>
      <c r="AH397" s="108"/>
      <c r="AI397" s="108"/>
      <c r="AJ397" s="108"/>
      <c r="AK397" s="108"/>
      <c r="AL397" s="108"/>
      <c r="AM397" s="108"/>
      <c r="AN397" s="108"/>
      <c r="AO397" s="108"/>
    </row>
    <row r="398" spans="1:41" ht="12" customHeight="1" x14ac:dyDescent="0.2">
      <c r="A398" s="179"/>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c r="AA398" s="108"/>
      <c r="AB398" s="108"/>
      <c r="AC398" s="108"/>
      <c r="AD398" s="108"/>
      <c r="AE398" s="108"/>
      <c r="AF398" s="108"/>
      <c r="AG398" s="108"/>
      <c r="AH398" s="108"/>
      <c r="AI398" s="108"/>
      <c r="AJ398" s="108"/>
      <c r="AK398" s="108"/>
      <c r="AL398" s="108"/>
      <c r="AM398" s="108"/>
      <c r="AN398" s="108"/>
      <c r="AO398" s="108"/>
    </row>
    <row r="399" spans="1:41" ht="12" customHeight="1" x14ac:dyDescent="0.2">
      <c r="A399" s="179"/>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c r="AA399" s="108"/>
      <c r="AB399" s="108"/>
      <c r="AC399" s="108"/>
      <c r="AD399" s="108"/>
      <c r="AE399" s="108"/>
      <c r="AF399" s="108"/>
      <c r="AG399" s="108"/>
      <c r="AH399" s="108"/>
      <c r="AI399" s="108"/>
      <c r="AJ399" s="108"/>
      <c r="AK399" s="108"/>
      <c r="AL399" s="108"/>
      <c r="AM399" s="108"/>
      <c r="AN399" s="108"/>
      <c r="AO399" s="108"/>
    </row>
    <row r="400" spans="1:41" ht="12" customHeight="1" x14ac:dyDescent="0.2">
      <c r="A400" s="179"/>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c r="AA400" s="108"/>
      <c r="AB400" s="108"/>
      <c r="AC400" s="108"/>
      <c r="AD400" s="108"/>
      <c r="AE400" s="108"/>
      <c r="AF400" s="108"/>
      <c r="AG400" s="108"/>
      <c r="AH400" s="108"/>
      <c r="AI400" s="108"/>
      <c r="AJ400" s="108"/>
      <c r="AK400" s="108"/>
      <c r="AL400" s="108"/>
      <c r="AM400" s="108"/>
      <c r="AN400" s="108"/>
      <c r="AO400" s="108"/>
    </row>
    <row r="401" spans="1:41" ht="12" customHeight="1" x14ac:dyDescent="0.2">
      <c r="A401" s="179"/>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c r="AA401" s="108"/>
      <c r="AB401" s="108"/>
      <c r="AC401" s="108"/>
      <c r="AD401" s="108"/>
      <c r="AE401" s="108"/>
      <c r="AF401" s="108"/>
      <c r="AG401" s="108"/>
      <c r="AH401" s="108"/>
      <c r="AI401" s="108"/>
      <c r="AJ401" s="108"/>
      <c r="AK401" s="108"/>
      <c r="AL401" s="108"/>
      <c r="AM401" s="108"/>
      <c r="AN401" s="108"/>
      <c r="AO401" s="108"/>
    </row>
    <row r="402" spans="1:41" ht="12" customHeight="1" x14ac:dyDescent="0.2">
      <c r="A402" s="179"/>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c r="AA402" s="108"/>
      <c r="AB402" s="108"/>
      <c r="AC402" s="108"/>
      <c r="AD402" s="108"/>
      <c r="AE402" s="108"/>
      <c r="AF402" s="108"/>
      <c r="AG402" s="108"/>
      <c r="AH402" s="108"/>
      <c r="AI402" s="108"/>
      <c r="AJ402" s="108"/>
      <c r="AK402" s="108"/>
      <c r="AL402" s="108"/>
      <c r="AM402" s="108"/>
      <c r="AN402" s="108"/>
      <c r="AO402" s="108"/>
    </row>
    <row r="403" spans="1:41" ht="12" customHeight="1" x14ac:dyDescent="0.2">
      <c r="A403" s="179"/>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c r="AA403" s="108"/>
      <c r="AB403" s="108"/>
      <c r="AC403" s="108"/>
      <c r="AD403" s="108"/>
      <c r="AE403" s="108"/>
      <c r="AF403" s="108"/>
      <c r="AG403" s="108"/>
      <c r="AH403" s="108"/>
      <c r="AI403" s="108"/>
      <c r="AJ403" s="108"/>
      <c r="AK403" s="108"/>
      <c r="AL403" s="108"/>
      <c r="AM403" s="108"/>
      <c r="AN403" s="108"/>
      <c r="AO403" s="108"/>
    </row>
    <row r="404" spans="1:41" ht="12" customHeight="1" x14ac:dyDescent="0.2">
      <c r="A404" s="179"/>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c r="AA404" s="108"/>
      <c r="AB404" s="108"/>
      <c r="AC404" s="108"/>
      <c r="AD404" s="108"/>
      <c r="AE404" s="108"/>
      <c r="AF404" s="108"/>
      <c r="AG404" s="108"/>
      <c r="AH404" s="108"/>
      <c r="AI404" s="108"/>
      <c r="AJ404" s="108"/>
      <c r="AK404" s="108"/>
      <c r="AL404" s="108"/>
      <c r="AM404" s="108"/>
      <c r="AN404" s="108"/>
      <c r="AO404" s="108"/>
    </row>
    <row r="405" spans="1:41" ht="12" customHeight="1" x14ac:dyDescent="0.2">
      <c r="A405" s="179"/>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c r="AA405" s="108"/>
      <c r="AB405" s="108"/>
      <c r="AC405" s="108"/>
      <c r="AD405" s="108"/>
      <c r="AE405" s="108"/>
      <c r="AF405" s="108"/>
      <c r="AG405" s="108"/>
      <c r="AH405" s="108"/>
      <c r="AI405" s="108"/>
      <c r="AJ405" s="108"/>
      <c r="AK405" s="108"/>
      <c r="AL405" s="108"/>
      <c r="AM405" s="108"/>
      <c r="AN405" s="108"/>
      <c r="AO405" s="108"/>
    </row>
    <row r="406" spans="1:41" ht="12" customHeight="1" x14ac:dyDescent="0.2">
      <c r="A406" s="179"/>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c r="AA406" s="108"/>
      <c r="AB406" s="108"/>
      <c r="AC406" s="108"/>
      <c r="AD406" s="108"/>
      <c r="AE406" s="108"/>
      <c r="AF406" s="108"/>
      <c r="AG406" s="108"/>
      <c r="AH406" s="108"/>
      <c r="AI406" s="108"/>
      <c r="AJ406" s="108"/>
      <c r="AK406" s="108"/>
      <c r="AL406" s="108"/>
      <c r="AM406" s="108"/>
      <c r="AN406" s="108"/>
      <c r="AO406" s="108"/>
    </row>
    <row r="407" spans="1:41" ht="12" customHeight="1" x14ac:dyDescent="0.2">
      <c r="A407" s="179"/>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c r="AA407" s="108"/>
      <c r="AB407" s="108"/>
      <c r="AC407" s="108"/>
      <c r="AD407" s="108"/>
      <c r="AE407" s="108"/>
      <c r="AF407" s="108"/>
      <c r="AG407" s="108"/>
      <c r="AH407" s="108"/>
      <c r="AI407" s="108"/>
      <c r="AJ407" s="108"/>
      <c r="AK407" s="108"/>
      <c r="AL407" s="108"/>
      <c r="AM407" s="108"/>
      <c r="AN407" s="108"/>
      <c r="AO407" s="108"/>
    </row>
    <row r="408" spans="1:41" ht="12" customHeight="1" x14ac:dyDescent="0.2">
      <c r="A408" s="179"/>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c r="AA408" s="108"/>
      <c r="AB408" s="108"/>
      <c r="AC408" s="108"/>
      <c r="AD408" s="108"/>
      <c r="AE408" s="108"/>
      <c r="AF408" s="108"/>
      <c r="AG408" s="108"/>
      <c r="AH408" s="108"/>
      <c r="AI408" s="108"/>
      <c r="AJ408" s="108"/>
      <c r="AK408" s="108"/>
      <c r="AL408" s="108"/>
      <c r="AM408" s="108"/>
      <c r="AN408" s="108"/>
      <c r="AO408" s="108"/>
    </row>
    <row r="409" spans="1:41" ht="12" customHeight="1" x14ac:dyDescent="0.2">
      <c r="A409" s="179"/>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c r="AA409" s="108"/>
      <c r="AB409" s="108"/>
      <c r="AC409" s="108"/>
      <c r="AD409" s="108"/>
      <c r="AE409" s="108"/>
      <c r="AF409" s="108"/>
      <c r="AG409" s="108"/>
      <c r="AH409" s="108"/>
      <c r="AI409" s="108"/>
      <c r="AJ409" s="108"/>
      <c r="AK409" s="108"/>
      <c r="AL409" s="108"/>
      <c r="AM409" s="108"/>
      <c r="AN409" s="108"/>
      <c r="AO409" s="108"/>
    </row>
    <row r="410" spans="1:41" ht="12" customHeight="1" x14ac:dyDescent="0.2">
      <c r="A410" s="179"/>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c r="AA410" s="108"/>
      <c r="AB410" s="108"/>
      <c r="AC410" s="108"/>
      <c r="AD410" s="108"/>
      <c r="AE410" s="108"/>
      <c r="AF410" s="108"/>
      <c r="AG410" s="108"/>
      <c r="AH410" s="108"/>
      <c r="AI410" s="108"/>
      <c r="AJ410" s="108"/>
      <c r="AK410" s="108"/>
      <c r="AL410" s="108"/>
      <c r="AM410" s="108"/>
      <c r="AN410" s="108"/>
      <c r="AO410" s="108"/>
    </row>
    <row r="411" spans="1:41" ht="12" customHeight="1" x14ac:dyDescent="0.2">
      <c r="A411" s="179"/>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c r="AA411" s="108"/>
      <c r="AB411" s="108"/>
      <c r="AC411" s="108"/>
      <c r="AD411" s="108"/>
      <c r="AE411" s="108"/>
      <c r="AF411" s="108"/>
      <c r="AG411" s="108"/>
      <c r="AH411" s="108"/>
      <c r="AI411" s="108"/>
      <c r="AJ411" s="108"/>
      <c r="AK411" s="108"/>
      <c r="AL411" s="108"/>
      <c r="AM411" s="108"/>
      <c r="AN411" s="108"/>
      <c r="AO411" s="108"/>
    </row>
    <row r="412" spans="1:41" ht="12" customHeight="1" x14ac:dyDescent="0.2">
      <c r="A412" s="179"/>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c r="AA412" s="108"/>
      <c r="AB412" s="108"/>
      <c r="AC412" s="108"/>
      <c r="AD412" s="108"/>
      <c r="AE412" s="108"/>
      <c r="AF412" s="108"/>
      <c r="AG412" s="108"/>
      <c r="AH412" s="108"/>
      <c r="AI412" s="108"/>
      <c r="AJ412" s="108"/>
      <c r="AK412" s="108"/>
      <c r="AL412" s="108"/>
      <c r="AM412" s="108"/>
      <c r="AN412" s="108"/>
      <c r="AO412" s="108"/>
    </row>
    <row r="413" spans="1:41" ht="12" customHeight="1" x14ac:dyDescent="0.2">
      <c r="A413" s="179"/>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c r="AA413" s="108"/>
      <c r="AB413" s="108"/>
      <c r="AC413" s="108"/>
      <c r="AD413" s="108"/>
      <c r="AE413" s="108"/>
      <c r="AF413" s="108"/>
      <c r="AG413" s="108"/>
      <c r="AH413" s="108"/>
      <c r="AI413" s="108"/>
      <c r="AJ413" s="108"/>
      <c r="AK413" s="108"/>
      <c r="AL413" s="108"/>
      <c r="AM413" s="108"/>
      <c r="AN413" s="108"/>
      <c r="AO413" s="108"/>
    </row>
    <row r="414" spans="1:41" ht="12" customHeight="1" x14ac:dyDescent="0.2">
      <c r="A414" s="179"/>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c r="AA414" s="108"/>
      <c r="AB414" s="108"/>
      <c r="AC414" s="108"/>
      <c r="AD414" s="108"/>
      <c r="AE414" s="108"/>
      <c r="AF414" s="108"/>
      <c r="AG414" s="108"/>
      <c r="AH414" s="108"/>
      <c r="AI414" s="108"/>
      <c r="AJ414" s="108"/>
      <c r="AK414" s="108"/>
      <c r="AL414" s="108"/>
      <c r="AM414" s="108"/>
      <c r="AN414" s="108"/>
      <c r="AO414" s="108"/>
    </row>
    <row r="415" spans="1:41" ht="12" customHeight="1" x14ac:dyDescent="0.2">
      <c r="A415" s="179"/>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c r="AA415" s="108"/>
      <c r="AB415" s="108"/>
      <c r="AC415" s="108"/>
      <c r="AD415" s="108"/>
      <c r="AE415" s="108"/>
      <c r="AF415" s="108"/>
      <c r="AG415" s="108"/>
      <c r="AH415" s="108"/>
      <c r="AI415" s="108"/>
      <c r="AJ415" s="108"/>
      <c r="AK415" s="108"/>
      <c r="AL415" s="108"/>
      <c r="AM415" s="108"/>
      <c r="AN415" s="108"/>
      <c r="AO415" s="108"/>
    </row>
    <row r="416" spans="1:41" ht="12" customHeight="1" x14ac:dyDescent="0.2">
      <c r="A416" s="179"/>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c r="AA416" s="108"/>
      <c r="AB416" s="108"/>
      <c r="AC416" s="108"/>
      <c r="AD416" s="108"/>
      <c r="AE416" s="108"/>
      <c r="AF416" s="108"/>
      <c r="AG416" s="108"/>
      <c r="AH416" s="108"/>
      <c r="AI416" s="108"/>
      <c r="AJ416" s="108"/>
      <c r="AK416" s="108"/>
      <c r="AL416" s="108"/>
      <c r="AM416" s="108"/>
      <c r="AN416" s="108"/>
      <c r="AO416" s="108"/>
    </row>
    <row r="417" spans="1:41" ht="12" customHeight="1" x14ac:dyDescent="0.2">
      <c r="A417" s="179"/>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c r="AA417" s="108"/>
      <c r="AB417" s="108"/>
      <c r="AC417" s="108"/>
      <c r="AD417" s="108"/>
      <c r="AE417" s="108"/>
      <c r="AF417" s="108"/>
      <c r="AG417" s="108"/>
      <c r="AH417" s="108"/>
      <c r="AI417" s="108"/>
      <c r="AJ417" s="108"/>
      <c r="AK417" s="108"/>
      <c r="AL417" s="108"/>
      <c r="AM417" s="108"/>
      <c r="AN417" s="108"/>
      <c r="AO417" s="108"/>
    </row>
    <row r="418" spans="1:41" ht="12" customHeight="1" x14ac:dyDescent="0.2">
      <c r="A418" s="179"/>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c r="AA418" s="108"/>
      <c r="AB418" s="108"/>
      <c r="AC418" s="108"/>
      <c r="AD418" s="108"/>
      <c r="AE418" s="108"/>
      <c r="AF418" s="108"/>
      <c r="AG418" s="108"/>
      <c r="AH418" s="108"/>
      <c r="AI418" s="108"/>
      <c r="AJ418" s="108"/>
      <c r="AK418" s="108"/>
      <c r="AL418" s="108"/>
      <c r="AM418" s="108"/>
      <c r="AN418" s="108"/>
      <c r="AO418" s="108"/>
    </row>
    <row r="419" spans="1:41" ht="12" customHeight="1" x14ac:dyDescent="0.2">
      <c r="A419" s="179"/>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c r="AA419" s="108"/>
      <c r="AB419" s="108"/>
      <c r="AC419" s="108"/>
      <c r="AD419" s="108"/>
      <c r="AE419" s="108"/>
      <c r="AF419" s="108"/>
      <c r="AG419" s="108"/>
      <c r="AH419" s="108"/>
      <c r="AI419" s="108"/>
      <c r="AJ419" s="108"/>
      <c r="AK419" s="108"/>
      <c r="AL419" s="108"/>
      <c r="AM419" s="108"/>
      <c r="AN419" s="108"/>
      <c r="AO419" s="108"/>
    </row>
    <row r="420" spans="1:41" ht="12" customHeight="1" x14ac:dyDescent="0.2">
      <c r="A420" s="179"/>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c r="AA420" s="108"/>
      <c r="AB420" s="108"/>
      <c r="AC420" s="108"/>
      <c r="AD420" s="108"/>
      <c r="AE420" s="108"/>
      <c r="AF420" s="108"/>
      <c r="AG420" s="108"/>
      <c r="AH420" s="108"/>
      <c r="AI420" s="108"/>
      <c r="AJ420" s="108"/>
      <c r="AK420" s="108"/>
      <c r="AL420" s="108"/>
      <c r="AM420" s="108"/>
      <c r="AN420" s="108"/>
      <c r="AO420" s="108"/>
    </row>
    <row r="421" spans="1:41" ht="12" customHeight="1" x14ac:dyDescent="0.2">
      <c r="A421" s="179"/>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c r="AA421" s="108"/>
      <c r="AB421" s="108"/>
      <c r="AC421" s="108"/>
      <c r="AD421" s="108"/>
      <c r="AE421" s="108"/>
      <c r="AF421" s="108"/>
      <c r="AG421" s="108"/>
      <c r="AH421" s="108"/>
      <c r="AI421" s="108"/>
      <c r="AJ421" s="108"/>
      <c r="AK421" s="108"/>
      <c r="AL421" s="108"/>
      <c r="AM421" s="108"/>
      <c r="AN421" s="108"/>
      <c r="AO421" s="108"/>
    </row>
    <row r="422" spans="1:41" ht="12" customHeight="1" x14ac:dyDescent="0.2">
      <c r="A422" s="179"/>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c r="AA422" s="108"/>
      <c r="AB422" s="108"/>
      <c r="AC422" s="108"/>
      <c r="AD422" s="108"/>
      <c r="AE422" s="108"/>
      <c r="AF422" s="108"/>
      <c r="AG422" s="108"/>
      <c r="AH422" s="108"/>
      <c r="AI422" s="108"/>
      <c r="AJ422" s="108"/>
      <c r="AK422" s="108"/>
      <c r="AL422" s="108"/>
      <c r="AM422" s="108"/>
      <c r="AN422" s="108"/>
      <c r="AO422" s="108"/>
    </row>
    <row r="423" spans="1:41" ht="12" customHeight="1" x14ac:dyDescent="0.2">
      <c r="A423" s="179"/>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c r="AA423" s="108"/>
      <c r="AB423" s="108"/>
      <c r="AC423" s="108"/>
      <c r="AD423" s="108"/>
      <c r="AE423" s="108"/>
      <c r="AF423" s="108"/>
      <c r="AG423" s="108"/>
      <c r="AH423" s="108"/>
      <c r="AI423" s="108"/>
      <c r="AJ423" s="108"/>
      <c r="AK423" s="108"/>
      <c r="AL423" s="108"/>
      <c r="AM423" s="108"/>
      <c r="AN423" s="108"/>
      <c r="AO423" s="108"/>
    </row>
    <row r="424" spans="1:41" ht="12" customHeight="1" x14ac:dyDescent="0.2">
      <c r="A424" s="179"/>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c r="AA424" s="108"/>
      <c r="AB424" s="108"/>
      <c r="AC424" s="108"/>
      <c r="AD424" s="108"/>
      <c r="AE424" s="108"/>
      <c r="AF424" s="108"/>
      <c r="AG424" s="108"/>
      <c r="AH424" s="108"/>
      <c r="AI424" s="108"/>
      <c r="AJ424" s="108"/>
      <c r="AK424" s="108"/>
      <c r="AL424" s="108"/>
      <c r="AM424" s="108"/>
      <c r="AN424" s="108"/>
      <c r="AO424" s="108"/>
    </row>
    <row r="425" spans="1:41" ht="12" customHeight="1" x14ac:dyDescent="0.2">
      <c r="A425" s="179"/>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c r="AA425" s="108"/>
      <c r="AB425" s="108"/>
      <c r="AC425" s="108"/>
      <c r="AD425" s="108"/>
      <c r="AE425" s="108"/>
      <c r="AF425" s="108"/>
      <c r="AG425" s="108"/>
      <c r="AH425" s="108"/>
      <c r="AI425" s="108"/>
      <c r="AJ425" s="108"/>
      <c r="AK425" s="108"/>
      <c r="AL425" s="108"/>
      <c r="AM425" s="108"/>
      <c r="AN425" s="108"/>
      <c r="AO425" s="108"/>
    </row>
    <row r="426" spans="1:41" ht="12" customHeight="1" x14ac:dyDescent="0.2">
      <c r="A426" s="179"/>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c r="AA426" s="108"/>
      <c r="AB426" s="108"/>
      <c r="AC426" s="108"/>
      <c r="AD426" s="108"/>
      <c r="AE426" s="108"/>
      <c r="AF426" s="108"/>
      <c r="AG426" s="108"/>
      <c r="AH426" s="108"/>
      <c r="AI426" s="108"/>
      <c r="AJ426" s="108"/>
      <c r="AK426" s="108"/>
      <c r="AL426" s="108"/>
      <c r="AM426" s="108"/>
      <c r="AN426" s="108"/>
      <c r="AO426" s="108"/>
    </row>
    <row r="427" spans="1:41" ht="12" customHeight="1" x14ac:dyDescent="0.2">
      <c r="A427" s="179"/>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c r="AA427" s="108"/>
      <c r="AB427" s="108"/>
      <c r="AC427" s="108"/>
      <c r="AD427" s="108"/>
      <c r="AE427" s="108"/>
      <c r="AF427" s="108"/>
      <c r="AG427" s="108"/>
      <c r="AH427" s="108"/>
      <c r="AI427" s="108"/>
      <c r="AJ427" s="108"/>
      <c r="AK427" s="108"/>
      <c r="AL427" s="108"/>
      <c r="AM427" s="108"/>
      <c r="AN427" s="108"/>
      <c r="AO427" s="108"/>
    </row>
    <row r="428" spans="1:41" ht="12" customHeight="1" x14ac:dyDescent="0.2">
      <c r="A428" s="179"/>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c r="AA428" s="108"/>
      <c r="AB428" s="108"/>
      <c r="AC428" s="108"/>
      <c r="AD428" s="108"/>
      <c r="AE428" s="108"/>
      <c r="AF428" s="108"/>
      <c r="AG428" s="108"/>
      <c r="AH428" s="108"/>
      <c r="AI428" s="108"/>
      <c r="AJ428" s="108"/>
      <c r="AK428" s="108"/>
      <c r="AL428" s="108"/>
      <c r="AM428" s="108"/>
      <c r="AN428" s="108"/>
      <c r="AO428" s="108"/>
    </row>
    <row r="429" spans="1:41" ht="12" customHeight="1" x14ac:dyDescent="0.2">
      <c r="A429" s="179"/>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c r="AA429" s="108"/>
      <c r="AB429" s="108"/>
      <c r="AC429" s="108"/>
      <c r="AD429" s="108"/>
      <c r="AE429" s="108"/>
      <c r="AF429" s="108"/>
      <c r="AG429" s="108"/>
      <c r="AH429" s="108"/>
      <c r="AI429" s="108"/>
      <c r="AJ429" s="108"/>
      <c r="AK429" s="108"/>
      <c r="AL429" s="108"/>
      <c r="AM429" s="108"/>
      <c r="AN429" s="108"/>
      <c r="AO429" s="108"/>
    </row>
    <row r="430" spans="1:41" ht="12" customHeight="1" x14ac:dyDescent="0.2">
      <c r="A430" s="179"/>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c r="AA430" s="108"/>
      <c r="AB430" s="108"/>
      <c r="AC430" s="108"/>
      <c r="AD430" s="108"/>
      <c r="AE430" s="108"/>
      <c r="AF430" s="108"/>
      <c r="AG430" s="108"/>
      <c r="AH430" s="108"/>
      <c r="AI430" s="108"/>
      <c r="AJ430" s="108"/>
      <c r="AK430" s="108"/>
      <c r="AL430" s="108"/>
      <c r="AM430" s="108"/>
      <c r="AN430" s="108"/>
      <c r="AO430" s="108"/>
    </row>
    <row r="431" spans="1:41" ht="12" customHeight="1" x14ac:dyDescent="0.2">
      <c r="A431" s="179"/>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c r="AA431" s="108"/>
      <c r="AB431" s="108"/>
      <c r="AC431" s="108"/>
      <c r="AD431" s="108"/>
      <c r="AE431" s="108"/>
      <c r="AF431" s="108"/>
      <c r="AG431" s="108"/>
      <c r="AH431" s="108"/>
      <c r="AI431" s="108"/>
      <c r="AJ431" s="108"/>
      <c r="AK431" s="108"/>
      <c r="AL431" s="108"/>
      <c r="AM431" s="108"/>
      <c r="AN431" s="108"/>
      <c r="AO431" s="108"/>
    </row>
    <row r="432" spans="1:41" ht="12" customHeight="1" x14ac:dyDescent="0.2">
      <c r="A432" s="179"/>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c r="AA432" s="108"/>
      <c r="AB432" s="108"/>
      <c r="AC432" s="108"/>
      <c r="AD432" s="108"/>
      <c r="AE432" s="108"/>
      <c r="AF432" s="108"/>
      <c r="AG432" s="108"/>
      <c r="AH432" s="108"/>
      <c r="AI432" s="108"/>
      <c r="AJ432" s="108"/>
      <c r="AK432" s="108"/>
      <c r="AL432" s="108"/>
      <c r="AM432" s="108"/>
      <c r="AN432" s="108"/>
      <c r="AO432" s="108"/>
    </row>
    <row r="433" spans="1:41" ht="12" customHeight="1" x14ac:dyDescent="0.2">
      <c r="A433" s="179"/>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c r="AA433" s="108"/>
      <c r="AB433" s="108"/>
      <c r="AC433" s="108"/>
      <c r="AD433" s="108"/>
      <c r="AE433" s="108"/>
      <c r="AF433" s="108"/>
      <c r="AG433" s="108"/>
      <c r="AH433" s="108"/>
      <c r="AI433" s="108"/>
      <c r="AJ433" s="108"/>
      <c r="AK433" s="108"/>
      <c r="AL433" s="108"/>
      <c r="AM433" s="108"/>
      <c r="AN433" s="108"/>
      <c r="AO433" s="108"/>
    </row>
    <row r="434" spans="1:41" ht="12" customHeight="1" x14ac:dyDescent="0.2">
      <c r="A434" s="179"/>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c r="AA434" s="108"/>
      <c r="AB434" s="108"/>
      <c r="AC434" s="108"/>
      <c r="AD434" s="108"/>
      <c r="AE434" s="108"/>
      <c r="AF434" s="108"/>
      <c r="AG434" s="108"/>
      <c r="AH434" s="108"/>
      <c r="AI434" s="108"/>
      <c r="AJ434" s="108"/>
      <c r="AK434" s="108"/>
      <c r="AL434" s="108"/>
      <c r="AM434" s="108"/>
      <c r="AN434" s="108"/>
      <c r="AO434" s="108"/>
    </row>
    <row r="435" spans="1:41" ht="12" customHeight="1" x14ac:dyDescent="0.2">
      <c r="A435" s="179"/>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c r="AA435" s="108"/>
      <c r="AB435" s="108"/>
      <c r="AC435" s="108"/>
      <c r="AD435" s="108"/>
      <c r="AE435" s="108"/>
      <c r="AF435" s="108"/>
      <c r="AG435" s="108"/>
      <c r="AH435" s="108"/>
      <c r="AI435" s="108"/>
      <c r="AJ435" s="108"/>
      <c r="AK435" s="108"/>
      <c r="AL435" s="108"/>
      <c r="AM435" s="108"/>
      <c r="AN435" s="108"/>
      <c r="AO435" s="108"/>
    </row>
    <row r="436" spans="1:41" ht="12" customHeight="1" x14ac:dyDescent="0.2">
      <c r="A436" s="179"/>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c r="AA436" s="108"/>
      <c r="AB436" s="108"/>
      <c r="AC436" s="108"/>
      <c r="AD436" s="108"/>
      <c r="AE436" s="108"/>
      <c r="AF436" s="108"/>
      <c r="AG436" s="108"/>
      <c r="AH436" s="108"/>
      <c r="AI436" s="108"/>
      <c r="AJ436" s="108"/>
      <c r="AK436" s="108"/>
      <c r="AL436" s="108"/>
      <c r="AM436" s="108"/>
      <c r="AN436" s="108"/>
      <c r="AO436" s="108"/>
    </row>
    <row r="437" spans="1:41" ht="12" customHeight="1" x14ac:dyDescent="0.2">
      <c r="A437" s="179"/>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c r="AA437" s="108"/>
      <c r="AB437" s="108"/>
      <c r="AC437" s="108"/>
      <c r="AD437" s="108"/>
      <c r="AE437" s="108"/>
      <c r="AF437" s="108"/>
      <c r="AG437" s="108"/>
      <c r="AH437" s="108"/>
      <c r="AI437" s="108"/>
      <c r="AJ437" s="108"/>
      <c r="AK437" s="108"/>
      <c r="AL437" s="108"/>
      <c r="AM437" s="108"/>
      <c r="AN437" s="108"/>
      <c r="AO437" s="108"/>
    </row>
    <row r="438" spans="1:41" ht="12" customHeight="1" x14ac:dyDescent="0.2">
      <c r="A438" s="179"/>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c r="AA438" s="108"/>
      <c r="AB438" s="108"/>
      <c r="AC438" s="108"/>
      <c r="AD438" s="108"/>
      <c r="AE438" s="108"/>
      <c r="AF438" s="108"/>
      <c r="AG438" s="108"/>
      <c r="AH438" s="108"/>
      <c r="AI438" s="108"/>
      <c r="AJ438" s="108"/>
      <c r="AK438" s="108"/>
      <c r="AL438" s="108"/>
      <c r="AM438" s="108"/>
      <c r="AN438" s="108"/>
      <c r="AO438" s="108"/>
    </row>
    <row r="439" spans="1:41" ht="12" customHeight="1" x14ac:dyDescent="0.2">
      <c r="A439" s="179"/>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c r="AA439" s="108"/>
      <c r="AB439" s="108"/>
      <c r="AC439" s="108"/>
      <c r="AD439" s="108"/>
      <c r="AE439" s="108"/>
      <c r="AF439" s="108"/>
      <c r="AG439" s="108"/>
      <c r="AH439" s="108"/>
      <c r="AI439" s="108"/>
      <c r="AJ439" s="108"/>
      <c r="AK439" s="108"/>
      <c r="AL439" s="108"/>
      <c r="AM439" s="108"/>
      <c r="AN439" s="108"/>
      <c r="AO439" s="108"/>
    </row>
    <row r="440" spans="1:41" ht="12" customHeight="1" x14ac:dyDescent="0.2">
      <c r="A440" s="179"/>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c r="AA440" s="108"/>
      <c r="AB440" s="108"/>
      <c r="AC440" s="108"/>
      <c r="AD440" s="108"/>
      <c r="AE440" s="108"/>
      <c r="AF440" s="108"/>
      <c r="AG440" s="108"/>
      <c r="AH440" s="108"/>
      <c r="AI440" s="108"/>
      <c r="AJ440" s="108"/>
      <c r="AK440" s="108"/>
      <c r="AL440" s="108"/>
      <c r="AM440" s="108"/>
      <c r="AN440" s="108"/>
      <c r="AO440" s="108"/>
    </row>
    <row r="441" spans="1:41" ht="12" customHeight="1" x14ac:dyDescent="0.2">
      <c r="A441" s="179"/>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c r="AA441" s="108"/>
      <c r="AB441" s="108"/>
      <c r="AC441" s="108"/>
      <c r="AD441" s="108"/>
      <c r="AE441" s="108"/>
      <c r="AF441" s="108"/>
      <c r="AG441" s="108"/>
      <c r="AH441" s="108"/>
      <c r="AI441" s="108"/>
      <c r="AJ441" s="108"/>
      <c r="AK441" s="108"/>
      <c r="AL441" s="108"/>
      <c r="AM441" s="108"/>
      <c r="AN441" s="108"/>
      <c r="AO441" s="108"/>
    </row>
    <row r="442" spans="1:41" ht="12" customHeight="1" x14ac:dyDescent="0.2">
      <c r="A442" s="179"/>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c r="AA442" s="108"/>
      <c r="AB442" s="108"/>
      <c r="AC442" s="108"/>
      <c r="AD442" s="108"/>
      <c r="AE442" s="108"/>
      <c r="AF442" s="108"/>
      <c r="AG442" s="108"/>
      <c r="AH442" s="108"/>
      <c r="AI442" s="108"/>
      <c r="AJ442" s="108"/>
      <c r="AK442" s="108"/>
      <c r="AL442" s="108"/>
      <c r="AM442" s="108"/>
      <c r="AN442" s="108"/>
      <c r="AO442" s="108"/>
    </row>
    <row r="443" spans="1:41" ht="12" customHeight="1" x14ac:dyDescent="0.2">
      <c r="A443" s="179"/>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c r="AA443" s="108"/>
      <c r="AB443" s="108"/>
      <c r="AC443" s="108"/>
      <c r="AD443" s="108"/>
      <c r="AE443" s="108"/>
      <c r="AF443" s="108"/>
      <c r="AG443" s="108"/>
      <c r="AH443" s="108"/>
      <c r="AI443" s="108"/>
      <c r="AJ443" s="108"/>
      <c r="AK443" s="108"/>
      <c r="AL443" s="108"/>
      <c r="AM443" s="108"/>
      <c r="AN443" s="108"/>
      <c r="AO443" s="108"/>
    </row>
    <row r="444" spans="1:41" ht="12" customHeight="1" x14ac:dyDescent="0.2">
      <c r="A444" s="179"/>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c r="AA444" s="108"/>
      <c r="AB444" s="108"/>
      <c r="AC444" s="108"/>
      <c r="AD444" s="108"/>
      <c r="AE444" s="108"/>
      <c r="AF444" s="108"/>
      <c r="AG444" s="108"/>
      <c r="AH444" s="108"/>
      <c r="AI444" s="108"/>
      <c r="AJ444" s="108"/>
      <c r="AK444" s="108"/>
      <c r="AL444" s="108"/>
      <c r="AM444" s="108"/>
      <c r="AN444" s="108"/>
      <c r="AO444" s="108"/>
    </row>
    <row r="445" spans="1:41" ht="12" customHeight="1" x14ac:dyDescent="0.2">
      <c r="A445" s="179"/>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c r="AA445" s="108"/>
      <c r="AB445" s="108"/>
      <c r="AC445" s="108"/>
      <c r="AD445" s="108"/>
      <c r="AE445" s="108"/>
      <c r="AF445" s="108"/>
      <c r="AG445" s="108"/>
      <c r="AH445" s="108"/>
      <c r="AI445" s="108"/>
      <c r="AJ445" s="108"/>
      <c r="AK445" s="108"/>
      <c r="AL445" s="108"/>
      <c r="AM445" s="108"/>
      <c r="AN445" s="108"/>
      <c r="AO445" s="108"/>
    </row>
    <row r="446" spans="1:41" ht="12" customHeight="1" x14ac:dyDescent="0.2">
      <c r="A446" s="179"/>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c r="AA446" s="108"/>
      <c r="AB446" s="108"/>
      <c r="AC446" s="108"/>
      <c r="AD446" s="108"/>
      <c r="AE446" s="108"/>
      <c r="AF446" s="108"/>
      <c r="AG446" s="108"/>
      <c r="AH446" s="108"/>
      <c r="AI446" s="108"/>
      <c r="AJ446" s="108"/>
      <c r="AK446" s="108"/>
      <c r="AL446" s="108"/>
      <c r="AM446" s="108"/>
      <c r="AN446" s="108"/>
      <c r="AO446" s="108"/>
    </row>
    <row r="447" spans="1:41" ht="12" customHeight="1" x14ac:dyDescent="0.2">
      <c r="A447" s="179"/>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c r="AA447" s="108"/>
      <c r="AB447" s="108"/>
      <c r="AC447" s="108"/>
      <c r="AD447" s="108"/>
      <c r="AE447" s="108"/>
      <c r="AF447" s="108"/>
      <c r="AG447" s="108"/>
      <c r="AH447" s="108"/>
      <c r="AI447" s="108"/>
      <c r="AJ447" s="108"/>
      <c r="AK447" s="108"/>
      <c r="AL447" s="108"/>
      <c r="AM447" s="108"/>
      <c r="AN447" s="108"/>
      <c r="AO447" s="108"/>
    </row>
    <row r="448" spans="1:41" ht="12" customHeight="1" x14ac:dyDescent="0.2">
      <c r="A448" s="179"/>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c r="AA448" s="108"/>
      <c r="AB448" s="108"/>
      <c r="AC448" s="108"/>
      <c r="AD448" s="108"/>
      <c r="AE448" s="108"/>
      <c r="AF448" s="108"/>
      <c r="AG448" s="108"/>
      <c r="AH448" s="108"/>
      <c r="AI448" s="108"/>
      <c r="AJ448" s="108"/>
      <c r="AK448" s="108"/>
      <c r="AL448" s="108"/>
      <c r="AM448" s="108"/>
      <c r="AN448" s="108"/>
      <c r="AO448" s="108"/>
    </row>
    <row r="449" spans="1:41" ht="12" customHeight="1" x14ac:dyDescent="0.2">
      <c r="A449" s="179"/>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c r="AA449" s="108"/>
      <c r="AB449" s="108"/>
      <c r="AC449" s="108"/>
      <c r="AD449" s="108"/>
      <c r="AE449" s="108"/>
      <c r="AF449" s="108"/>
      <c r="AG449" s="108"/>
      <c r="AH449" s="108"/>
      <c r="AI449" s="108"/>
      <c r="AJ449" s="108"/>
      <c r="AK449" s="108"/>
      <c r="AL449" s="108"/>
      <c r="AM449" s="108"/>
      <c r="AN449" s="108"/>
      <c r="AO449" s="108"/>
    </row>
    <row r="450" spans="1:41" ht="12" customHeight="1" x14ac:dyDescent="0.2">
      <c r="A450" s="179"/>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c r="AA450" s="108"/>
      <c r="AB450" s="108"/>
      <c r="AC450" s="108"/>
      <c r="AD450" s="108"/>
      <c r="AE450" s="108"/>
      <c r="AF450" s="108"/>
      <c r="AG450" s="108"/>
      <c r="AH450" s="108"/>
      <c r="AI450" s="108"/>
      <c r="AJ450" s="108"/>
      <c r="AK450" s="108"/>
      <c r="AL450" s="108"/>
      <c r="AM450" s="108"/>
      <c r="AN450" s="108"/>
      <c r="AO450" s="108"/>
    </row>
    <row r="451" spans="1:41" ht="12" customHeight="1" x14ac:dyDescent="0.2">
      <c r="A451" s="179"/>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c r="AA451" s="108"/>
      <c r="AB451" s="108"/>
      <c r="AC451" s="108"/>
      <c r="AD451" s="108"/>
      <c r="AE451" s="108"/>
      <c r="AF451" s="108"/>
      <c r="AG451" s="108"/>
      <c r="AH451" s="108"/>
      <c r="AI451" s="108"/>
      <c r="AJ451" s="108"/>
      <c r="AK451" s="108"/>
      <c r="AL451" s="108"/>
      <c r="AM451" s="108"/>
      <c r="AN451" s="108"/>
      <c r="AO451" s="108"/>
    </row>
    <row r="452" spans="1:41" ht="12" customHeight="1" x14ac:dyDescent="0.2">
      <c r="A452" s="179"/>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c r="AA452" s="108"/>
      <c r="AB452" s="108"/>
      <c r="AC452" s="108"/>
      <c r="AD452" s="108"/>
      <c r="AE452" s="108"/>
      <c r="AF452" s="108"/>
      <c r="AG452" s="108"/>
      <c r="AH452" s="108"/>
      <c r="AI452" s="108"/>
      <c r="AJ452" s="108"/>
      <c r="AK452" s="108"/>
      <c r="AL452" s="108"/>
      <c r="AM452" s="108"/>
      <c r="AN452" s="108"/>
      <c r="AO452" s="108"/>
    </row>
    <row r="453" spans="1:41" ht="12" customHeight="1" x14ac:dyDescent="0.2">
      <c r="A453" s="179"/>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c r="AA453" s="108"/>
      <c r="AB453" s="108"/>
      <c r="AC453" s="108"/>
      <c r="AD453" s="108"/>
      <c r="AE453" s="108"/>
      <c r="AF453" s="108"/>
      <c r="AG453" s="108"/>
      <c r="AH453" s="108"/>
      <c r="AI453" s="108"/>
      <c r="AJ453" s="108"/>
      <c r="AK453" s="108"/>
      <c r="AL453" s="108"/>
      <c r="AM453" s="108"/>
      <c r="AN453" s="108"/>
      <c r="AO453" s="108"/>
    </row>
    <row r="454" spans="1:41" ht="12" customHeight="1" x14ac:dyDescent="0.2">
      <c r="A454" s="179"/>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c r="AA454" s="108"/>
      <c r="AB454" s="108"/>
      <c r="AC454" s="108"/>
      <c r="AD454" s="108"/>
      <c r="AE454" s="108"/>
      <c r="AF454" s="108"/>
      <c r="AG454" s="108"/>
      <c r="AH454" s="108"/>
      <c r="AI454" s="108"/>
      <c r="AJ454" s="108"/>
      <c r="AK454" s="108"/>
      <c r="AL454" s="108"/>
      <c r="AM454" s="108"/>
      <c r="AN454" s="108"/>
      <c r="AO454" s="108"/>
    </row>
    <row r="455" spans="1:41" ht="12" customHeight="1" x14ac:dyDescent="0.2">
      <c r="A455" s="179"/>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c r="AA455" s="108"/>
      <c r="AB455" s="108"/>
      <c r="AC455" s="108"/>
      <c r="AD455" s="108"/>
      <c r="AE455" s="108"/>
      <c r="AF455" s="108"/>
      <c r="AG455" s="108"/>
      <c r="AH455" s="108"/>
      <c r="AI455" s="108"/>
      <c r="AJ455" s="108"/>
      <c r="AK455" s="108"/>
      <c r="AL455" s="108"/>
      <c r="AM455" s="108"/>
      <c r="AN455" s="108"/>
      <c r="AO455" s="108"/>
    </row>
    <row r="456" spans="1:41" ht="12" customHeight="1" x14ac:dyDescent="0.2">
      <c r="A456" s="179"/>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c r="AA456" s="108"/>
      <c r="AB456" s="108"/>
      <c r="AC456" s="108"/>
      <c r="AD456" s="108"/>
      <c r="AE456" s="108"/>
      <c r="AF456" s="108"/>
      <c r="AG456" s="108"/>
      <c r="AH456" s="108"/>
      <c r="AI456" s="108"/>
      <c r="AJ456" s="108"/>
      <c r="AK456" s="108"/>
      <c r="AL456" s="108"/>
      <c r="AM456" s="108"/>
      <c r="AN456" s="108"/>
      <c r="AO456" s="108"/>
    </row>
    <row r="457" spans="1:41" ht="12" customHeight="1" x14ac:dyDescent="0.2">
      <c r="A457" s="179"/>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c r="AA457" s="108"/>
      <c r="AB457" s="108"/>
      <c r="AC457" s="108"/>
      <c r="AD457" s="108"/>
      <c r="AE457" s="108"/>
      <c r="AF457" s="108"/>
      <c r="AG457" s="108"/>
      <c r="AH457" s="108"/>
      <c r="AI457" s="108"/>
      <c r="AJ457" s="108"/>
      <c r="AK457" s="108"/>
      <c r="AL457" s="108"/>
      <c r="AM457" s="108"/>
      <c r="AN457" s="108"/>
      <c r="AO457" s="108"/>
    </row>
    <row r="458" spans="1:41" ht="12" customHeight="1" x14ac:dyDescent="0.2">
      <c r="A458" s="179"/>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c r="AA458" s="108"/>
      <c r="AB458" s="108"/>
      <c r="AC458" s="108"/>
      <c r="AD458" s="108"/>
      <c r="AE458" s="108"/>
      <c r="AF458" s="108"/>
      <c r="AG458" s="108"/>
      <c r="AH458" s="108"/>
      <c r="AI458" s="108"/>
      <c r="AJ458" s="108"/>
      <c r="AK458" s="108"/>
      <c r="AL458" s="108"/>
      <c r="AM458" s="108"/>
      <c r="AN458" s="108"/>
      <c r="AO458" s="108"/>
    </row>
    <row r="459" spans="1:41" ht="12" customHeight="1" x14ac:dyDescent="0.2">
      <c r="A459" s="179"/>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c r="AA459" s="108"/>
      <c r="AB459" s="108"/>
      <c r="AC459" s="108"/>
      <c r="AD459" s="108"/>
      <c r="AE459" s="108"/>
      <c r="AF459" s="108"/>
      <c r="AG459" s="108"/>
      <c r="AH459" s="108"/>
      <c r="AI459" s="108"/>
      <c r="AJ459" s="108"/>
      <c r="AK459" s="108"/>
      <c r="AL459" s="108"/>
      <c r="AM459" s="108"/>
      <c r="AN459" s="108"/>
      <c r="AO459" s="108"/>
    </row>
    <row r="460" spans="1:41" ht="12" customHeight="1" x14ac:dyDescent="0.2">
      <c r="A460" s="179"/>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c r="AA460" s="108"/>
      <c r="AB460" s="108"/>
      <c r="AC460" s="108"/>
      <c r="AD460" s="108"/>
      <c r="AE460" s="108"/>
      <c r="AF460" s="108"/>
      <c r="AG460" s="108"/>
      <c r="AH460" s="108"/>
      <c r="AI460" s="108"/>
      <c r="AJ460" s="108"/>
      <c r="AK460" s="108"/>
      <c r="AL460" s="108"/>
      <c r="AM460" s="108"/>
      <c r="AN460" s="108"/>
      <c r="AO460" s="108"/>
    </row>
    <row r="461" spans="1:41" ht="12" customHeight="1" x14ac:dyDescent="0.2">
      <c r="A461" s="179"/>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c r="AA461" s="108"/>
      <c r="AB461" s="108"/>
      <c r="AC461" s="108"/>
      <c r="AD461" s="108"/>
      <c r="AE461" s="108"/>
      <c r="AF461" s="108"/>
      <c r="AG461" s="108"/>
      <c r="AH461" s="108"/>
      <c r="AI461" s="108"/>
      <c r="AJ461" s="108"/>
      <c r="AK461" s="108"/>
      <c r="AL461" s="108"/>
      <c r="AM461" s="108"/>
      <c r="AN461" s="108"/>
      <c r="AO461" s="108"/>
    </row>
    <row r="462" spans="1:41" ht="12" customHeight="1" x14ac:dyDescent="0.2">
      <c r="A462" s="179"/>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c r="AA462" s="108"/>
      <c r="AB462" s="108"/>
      <c r="AC462" s="108"/>
      <c r="AD462" s="108"/>
      <c r="AE462" s="108"/>
      <c r="AF462" s="108"/>
      <c r="AG462" s="108"/>
      <c r="AH462" s="108"/>
      <c r="AI462" s="108"/>
      <c r="AJ462" s="108"/>
      <c r="AK462" s="108"/>
      <c r="AL462" s="108"/>
      <c r="AM462" s="108"/>
      <c r="AN462" s="108"/>
      <c r="AO462" s="108"/>
    </row>
    <row r="463" spans="1:41" ht="12" customHeight="1" x14ac:dyDescent="0.2">
      <c r="A463" s="179"/>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c r="AA463" s="108"/>
      <c r="AB463" s="108"/>
      <c r="AC463" s="108"/>
      <c r="AD463" s="108"/>
      <c r="AE463" s="108"/>
      <c r="AF463" s="108"/>
      <c r="AG463" s="108"/>
      <c r="AH463" s="108"/>
      <c r="AI463" s="108"/>
      <c r="AJ463" s="108"/>
      <c r="AK463" s="108"/>
      <c r="AL463" s="108"/>
      <c r="AM463" s="108"/>
      <c r="AN463" s="108"/>
      <c r="AO463" s="108"/>
    </row>
    <row r="464" spans="1:41" ht="12" customHeight="1" x14ac:dyDescent="0.2">
      <c r="A464" s="179"/>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c r="AA464" s="108"/>
      <c r="AB464" s="108"/>
      <c r="AC464" s="108"/>
      <c r="AD464" s="108"/>
      <c r="AE464" s="108"/>
      <c r="AF464" s="108"/>
      <c r="AG464" s="108"/>
      <c r="AH464" s="108"/>
      <c r="AI464" s="108"/>
      <c r="AJ464" s="108"/>
      <c r="AK464" s="108"/>
      <c r="AL464" s="108"/>
      <c r="AM464" s="108"/>
      <c r="AN464" s="108"/>
      <c r="AO464" s="108"/>
    </row>
    <row r="465" spans="1:41" ht="12" customHeight="1" x14ac:dyDescent="0.2">
      <c r="A465" s="179"/>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c r="AA465" s="108"/>
      <c r="AB465" s="108"/>
      <c r="AC465" s="108"/>
      <c r="AD465" s="108"/>
      <c r="AE465" s="108"/>
      <c r="AF465" s="108"/>
      <c r="AG465" s="108"/>
      <c r="AH465" s="108"/>
      <c r="AI465" s="108"/>
      <c r="AJ465" s="108"/>
      <c r="AK465" s="108"/>
      <c r="AL465" s="108"/>
      <c r="AM465" s="108"/>
      <c r="AN465" s="108"/>
      <c r="AO465" s="108"/>
    </row>
    <row r="466" spans="1:41" ht="12" customHeight="1" x14ac:dyDescent="0.2">
      <c r="A466" s="179"/>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c r="AA466" s="108"/>
      <c r="AB466" s="108"/>
      <c r="AC466" s="108"/>
      <c r="AD466" s="108"/>
      <c r="AE466" s="108"/>
      <c r="AF466" s="108"/>
      <c r="AG466" s="108"/>
      <c r="AH466" s="108"/>
      <c r="AI466" s="108"/>
      <c r="AJ466" s="108"/>
      <c r="AK466" s="108"/>
      <c r="AL466" s="108"/>
      <c r="AM466" s="108"/>
      <c r="AN466" s="108"/>
      <c r="AO466" s="108"/>
    </row>
    <row r="467" spans="1:41" ht="12" customHeight="1" x14ac:dyDescent="0.2">
      <c r="A467" s="179"/>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c r="AA467" s="108"/>
      <c r="AB467" s="108"/>
      <c r="AC467" s="108"/>
      <c r="AD467" s="108"/>
      <c r="AE467" s="108"/>
      <c r="AF467" s="108"/>
      <c r="AG467" s="108"/>
      <c r="AH467" s="108"/>
      <c r="AI467" s="108"/>
      <c r="AJ467" s="108"/>
      <c r="AK467" s="108"/>
      <c r="AL467" s="108"/>
      <c r="AM467" s="108"/>
      <c r="AN467" s="108"/>
      <c r="AO467" s="108"/>
    </row>
    <row r="468" spans="1:41" ht="12" customHeight="1" x14ac:dyDescent="0.2">
      <c r="A468" s="179"/>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c r="AA468" s="108"/>
      <c r="AB468" s="108"/>
      <c r="AC468" s="108"/>
      <c r="AD468" s="108"/>
      <c r="AE468" s="108"/>
      <c r="AF468" s="108"/>
      <c r="AG468" s="108"/>
      <c r="AH468" s="108"/>
      <c r="AI468" s="108"/>
      <c r="AJ468" s="108"/>
      <c r="AK468" s="108"/>
      <c r="AL468" s="108"/>
      <c r="AM468" s="108"/>
      <c r="AN468" s="108"/>
      <c r="AO468" s="108"/>
    </row>
    <row r="469" spans="1:41" ht="12" customHeight="1" x14ac:dyDescent="0.2">
      <c r="A469" s="179"/>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c r="AA469" s="108"/>
      <c r="AB469" s="108"/>
      <c r="AC469" s="108"/>
      <c r="AD469" s="108"/>
      <c r="AE469" s="108"/>
      <c r="AF469" s="108"/>
      <c r="AG469" s="108"/>
      <c r="AH469" s="108"/>
      <c r="AI469" s="108"/>
      <c r="AJ469" s="108"/>
      <c r="AK469" s="108"/>
      <c r="AL469" s="108"/>
      <c r="AM469" s="108"/>
      <c r="AN469" s="108"/>
      <c r="AO469" s="108"/>
    </row>
    <row r="470" spans="1:41" ht="12" customHeight="1" x14ac:dyDescent="0.2">
      <c r="A470" s="179"/>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c r="AA470" s="108"/>
      <c r="AB470" s="108"/>
      <c r="AC470" s="108"/>
      <c r="AD470" s="108"/>
      <c r="AE470" s="108"/>
      <c r="AF470" s="108"/>
      <c r="AG470" s="108"/>
      <c r="AH470" s="108"/>
      <c r="AI470" s="108"/>
      <c r="AJ470" s="108"/>
      <c r="AK470" s="108"/>
      <c r="AL470" s="108"/>
      <c r="AM470" s="108"/>
      <c r="AN470" s="108"/>
      <c r="AO470" s="108"/>
    </row>
    <row r="471" spans="1:41" ht="12" customHeight="1" x14ac:dyDescent="0.2">
      <c r="A471" s="179"/>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c r="AA471" s="108"/>
      <c r="AB471" s="108"/>
      <c r="AC471" s="108"/>
      <c r="AD471" s="108"/>
      <c r="AE471" s="108"/>
      <c r="AF471" s="108"/>
      <c r="AG471" s="108"/>
      <c r="AH471" s="108"/>
      <c r="AI471" s="108"/>
      <c r="AJ471" s="108"/>
      <c r="AK471" s="108"/>
      <c r="AL471" s="108"/>
      <c r="AM471" s="108"/>
      <c r="AN471" s="108"/>
      <c r="AO471" s="108"/>
    </row>
    <row r="472" spans="1:41" ht="12" customHeight="1" x14ac:dyDescent="0.2">
      <c r="A472" s="179"/>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c r="AA472" s="108"/>
      <c r="AB472" s="108"/>
      <c r="AC472" s="108"/>
      <c r="AD472" s="108"/>
      <c r="AE472" s="108"/>
      <c r="AF472" s="108"/>
      <c r="AG472" s="108"/>
      <c r="AH472" s="108"/>
      <c r="AI472" s="108"/>
      <c r="AJ472" s="108"/>
      <c r="AK472" s="108"/>
      <c r="AL472" s="108"/>
      <c r="AM472" s="108"/>
      <c r="AN472" s="108"/>
      <c r="AO472" s="108"/>
    </row>
    <row r="473" spans="1:41" ht="12" customHeight="1" x14ac:dyDescent="0.2">
      <c r="A473" s="179"/>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c r="AA473" s="108"/>
      <c r="AB473" s="108"/>
      <c r="AC473" s="108"/>
      <c r="AD473" s="108"/>
      <c r="AE473" s="108"/>
      <c r="AF473" s="108"/>
      <c r="AG473" s="108"/>
      <c r="AH473" s="108"/>
      <c r="AI473" s="108"/>
      <c r="AJ473" s="108"/>
      <c r="AK473" s="108"/>
      <c r="AL473" s="108"/>
      <c r="AM473" s="108"/>
      <c r="AN473" s="108"/>
      <c r="AO473" s="108"/>
    </row>
    <row r="474" spans="1:41" ht="12" customHeight="1" x14ac:dyDescent="0.2">
      <c r="A474" s="179"/>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c r="AA474" s="108"/>
      <c r="AB474" s="108"/>
      <c r="AC474" s="108"/>
      <c r="AD474" s="108"/>
      <c r="AE474" s="108"/>
      <c r="AF474" s="108"/>
      <c r="AG474" s="108"/>
      <c r="AH474" s="108"/>
      <c r="AI474" s="108"/>
      <c r="AJ474" s="108"/>
      <c r="AK474" s="108"/>
      <c r="AL474" s="108"/>
      <c r="AM474" s="108"/>
      <c r="AN474" s="108"/>
      <c r="AO474" s="108"/>
    </row>
    <row r="475" spans="1:41" ht="12" customHeight="1" x14ac:dyDescent="0.2">
      <c r="A475" s="179"/>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c r="AA475" s="108"/>
      <c r="AB475" s="108"/>
      <c r="AC475" s="108"/>
      <c r="AD475" s="108"/>
      <c r="AE475" s="108"/>
      <c r="AF475" s="108"/>
      <c r="AG475" s="108"/>
      <c r="AH475" s="108"/>
      <c r="AI475" s="108"/>
      <c r="AJ475" s="108"/>
      <c r="AK475" s="108"/>
      <c r="AL475" s="108"/>
      <c r="AM475" s="108"/>
      <c r="AN475" s="108"/>
      <c r="AO475" s="108"/>
    </row>
    <row r="476" spans="1:41" ht="12" customHeight="1" x14ac:dyDescent="0.2">
      <c r="A476" s="179"/>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c r="AA476" s="108"/>
      <c r="AB476" s="108"/>
      <c r="AC476" s="108"/>
      <c r="AD476" s="108"/>
      <c r="AE476" s="108"/>
      <c r="AF476" s="108"/>
      <c r="AG476" s="108"/>
      <c r="AH476" s="108"/>
      <c r="AI476" s="108"/>
      <c r="AJ476" s="108"/>
      <c r="AK476" s="108"/>
      <c r="AL476" s="108"/>
      <c r="AM476" s="108"/>
      <c r="AN476" s="108"/>
      <c r="AO476" s="108"/>
    </row>
    <row r="477" spans="1:41" ht="12" customHeight="1" x14ac:dyDescent="0.2">
      <c r="A477" s="179"/>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c r="AA477" s="108"/>
      <c r="AB477" s="108"/>
      <c r="AC477" s="108"/>
      <c r="AD477" s="108"/>
      <c r="AE477" s="108"/>
      <c r="AF477" s="108"/>
      <c r="AG477" s="108"/>
      <c r="AH477" s="108"/>
      <c r="AI477" s="108"/>
      <c r="AJ477" s="108"/>
      <c r="AK477" s="108"/>
      <c r="AL477" s="108"/>
      <c r="AM477" s="108"/>
      <c r="AN477" s="108"/>
      <c r="AO477" s="108"/>
    </row>
    <row r="478" spans="1:41" ht="12" customHeight="1" x14ac:dyDescent="0.2">
      <c r="A478" s="179"/>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c r="AA478" s="108"/>
      <c r="AB478" s="108"/>
      <c r="AC478" s="108"/>
      <c r="AD478" s="108"/>
      <c r="AE478" s="108"/>
      <c r="AF478" s="108"/>
      <c r="AG478" s="108"/>
      <c r="AH478" s="108"/>
      <c r="AI478" s="108"/>
      <c r="AJ478" s="108"/>
      <c r="AK478" s="108"/>
      <c r="AL478" s="108"/>
      <c r="AM478" s="108"/>
      <c r="AN478" s="108"/>
      <c r="AO478" s="108"/>
    </row>
    <row r="479" spans="1:41" ht="12" customHeight="1" x14ac:dyDescent="0.2">
      <c r="A479" s="179"/>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c r="AA479" s="108"/>
      <c r="AB479" s="108"/>
      <c r="AC479" s="108"/>
      <c r="AD479" s="108"/>
      <c r="AE479" s="108"/>
      <c r="AF479" s="108"/>
      <c r="AG479" s="108"/>
      <c r="AH479" s="108"/>
      <c r="AI479" s="108"/>
      <c r="AJ479" s="108"/>
      <c r="AK479" s="108"/>
      <c r="AL479" s="108"/>
      <c r="AM479" s="108"/>
      <c r="AN479" s="108"/>
      <c r="AO479" s="108"/>
    </row>
    <row r="480" spans="1:41" ht="12" customHeight="1" x14ac:dyDescent="0.2">
      <c r="A480" s="179"/>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c r="AA480" s="108"/>
      <c r="AB480" s="108"/>
      <c r="AC480" s="108"/>
      <c r="AD480" s="108"/>
      <c r="AE480" s="108"/>
      <c r="AF480" s="108"/>
      <c r="AG480" s="108"/>
      <c r="AH480" s="108"/>
      <c r="AI480" s="108"/>
      <c r="AJ480" s="108"/>
      <c r="AK480" s="108"/>
      <c r="AL480" s="108"/>
      <c r="AM480" s="108"/>
      <c r="AN480" s="108"/>
      <c r="AO480" s="108"/>
    </row>
    <row r="481" spans="1:41" ht="12" customHeight="1" x14ac:dyDescent="0.2">
      <c r="A481" s="179"/>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c r="AA481" s="108"/>
      <c r="AB481" s="108"/>
      <c r="AC481" s="108"/>
      <c r="AD481" s="108"/>
      <c r="AE481" s="108"/>
      <c r="AF481" s="108"/>
      <c r="AG481" s="108"/>
      <c r="AH481" s="108"/>
      <c r="AI481" s="108"/>
      <c r="AJ481" s="108"/>
      <c r="AK481" s="108"/>
      <c r="AL481" s="108"/>
      <c r="AM481" s="108"/>
      <c r="AN481" s="108"/>
      <c r="AO481" s="108"/>
    </row>
    <row r="482" spans="1:41" ht="12" customHeight="1" x14ac:dyDescent="0.2">
      <c r="A482" s="179"/>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c r="AA482" s="108"/>
      <c r="AB482" s="108"/>
      <c r="AC482" s="108"/>
      <c r="AD482" s="108"/>
      <c r="AE482" s="108"/>
      <c r="AF482" s="108"/>
      <c r="AG482" s="108"/>
      <c r="AH482" s="108"/>
      <c r="AI482" s="108"/>
      <c r="AJ482" s="108"/>
      <c r="AK482" s="108"/>
      <c r="AL482" s="108"/>
      <c r="AM482" s="108"/>
      <c r="AN482" s="108"/>
      <c r="AO482" s="108"/>
    </row>
    <row r="483" spans="1:41" ht="12" customHeight="1" x14ac:dyDescent="0.2">
      <c r="A483" s="179"/>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c r="AA483" s="108"/>
      <c r="AB483" s="108"/>
      <c r="AC483" s="108"/>
      <c r="AD483" s="108"/>
      <c r="AE483" s="108"/>
      <c r="AF483" s="108"/>
      <c r="AG483" s="108"/>
      <c r="AH483" s="108"/>
      <c r="AI483" s="108"/>
      <c r="AJ483" s="108"/>
      <c r="AK483" s="108"/>
      <c r="AL483" s="108"/>
      <c r="AM483" s="108"/>
      <c r="AN483" s="108"/>
      <c r="AO483" s="108"/>
    </row>
    <row r="484" spans="1:41" ht="12" customHeight="1" x14ac:dyDescent="0.2">
      <c r="A484" s="179"/>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c r="AA484" s="108"/>
      <c r="AB484" s="108"/>
      <c r="AC484" s="108"/>
      <c r="AD484" s="108"/>
      <c r="AE484" s="108"/>
      <c r="AF484" s="108"/>
      <c r="AG484" s="108"/>
      <c r="AH484" s="108"/>
      <c r="AI484" s="108"/>
      <c r="AJ484" s="108"/>
      <c r="AK484" s="108"/>
      <c r="AL484" s="108"/>
      <c r="AM484" s="108"/>
      <c r="AN484" s="108"/>
      <c r="AO484" s="108"/>
    </row>
    <row r="485" spans="1:41" ht="12" customHeight="1" x14ac:dyDescent="0.2">
      <c r="A485" s="179"/>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c r="AA485" s="108"/>
      <c r="AB485" s="108"/>
      <c r="AC485" s="108"/>
      <c r="AD485" s="108"/>
      <c r="AE485" s="108"/>
      <c r="AF485" s="108"/>
      <c r="AG485" s="108"/>
      <c r="AH485" s="108"/>
      <c r="AI485" s="108"/>
      <c r="AJ485" s="108"/>
      <c r="AK485" s="108"/>
      <c r="AL485" s="108"/>
      <c r="AM485" s="108"/>
      <c r="AN485" s="108"/>
      <c r="AO485" s="108"/>
    </row>
    <row r="486" spans="1:41" ht="12" customHeight="1" x14ac:dyDescent="0.2">
      <c r="A486" s="179"/>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c r="AA486" s="108"/>
      <c r="AB486" s="108"/>
      <c r="AC486" s="108"/>
      <c r="AD486" s="108"/>
      <c r="AE486" s="108"/>
      <c r="AF486" s="108"/>
      <c r="AG486" s="108"/>
      <c r="AH486" s="108"/>
      <c r="AI486" s="108"/>
      <c r="AJ486" s="108"/>
      <c r="AK486" s="108"/>
      <c r="AL486" s="108"/>
      <c r="AM486" s="108"/>
      <c r="AN486" s="108"/>
      <c r="AO486" s="108"/>
    </row>
    <row r="487" spans="1:41" ht="12" customHeight="1" x14ac:dyDescent="0.2">
      <c r="A487" s="179"/>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c r="AA487" s="108"/>
      <c r="AB487" s="108"/>
      <c r="AC487" s="108"/>
      <c r="AD487" s="108"/>
      <c r="AE487" s="108"/>
      <c r="AF487" s="108"/>
      <c r="AG487" s="108"/>
      <c r="AH487" s="108"/>
      <c r="AI487" s="108"/>
      <c r="AJ487" s="108"/>
      <c r="AK487" s="108"/>
      <c r="AL487" s="108"/>
      <c r="AM487" s="108"/>
      <c r="AN487" s="108"/>
      <c r="AO487" s="108"/>
    </row>
    <row r="488" spans="1:41" ht="12" customHeight="1" x14ac:dyDescent="0.2">
      <c r="A488" s="179"/>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c r="AA488" s="108"/>
      <c r="AB488" s="108"/>
      <c r="AC488" s="108"/>
      <c r="AD488" s="108"/>
      <c r="AE488" s="108"/>
      <c r="AF488" s="108"/>
      <c r="AG488" s="108"/>
      <c r="AH488" s="108"/>
      <c r="AI488" s="108"/>
      <c r="AJ488" s="108"/>
      <c r="AK488" s="108"/>
      <c r="AL488" s="108"/>
      <c r="AM488" s="108"/>
      <c r="AN488" s="108"/>
      <c r="AO488" s="108"/>
    </row>
    <row r="489" spans="1:41" ht="12" customHeight="1" x14ac:dyDescent="0.2">
      <c r="A489" s="179"/>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c r="AA489" s="108"/>
      <c r="AB489" s="108"/>
      <c r="AC489" s="108"/>
      <c r="AD489" s="108"/>
      <c r="AE489" s="108"/>
      <c r="AF489" s="108"/>
      <c r="AG489" s="108"/>
      <c r="AH489" s="108"/>
      <c r="AI489" s="108"/>
      <c r="AJ489" s="108"/>
      <c r="AK489" s="108"/>
      <c r="AL489" s="108"/>
      <c r="AM489" s="108"/>
      <c r="AN489" s="108"/>
      <c r="AO489" s="108"/>
    </row>
    <row r="490" spans="1:41" ht="12" customHeight="1" x14ac:dyDescent="0.2">
      <c r="A490" s="179"/>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c r="AA490" s="108"/>
      <c r="AB490" s="108"/>
      <c r="AC490" s="108"/>
      <c r="AD490" s="108"/>
      <c r="AE490" s="108"/>
      <c r="AF490" s="108"/>
      <c r="AG490" s="108"/>
      <c r="AH490" s="108"/>
      <c r="AI490" s="108"/>
      <c r="AJ490" s="108"/>
      <c r="AK490" s="108"/>
      <c r="AL490" s="108"/>
      <c r="AM490" s="108"/>
      <c r="AN490" s="108"/>
      <c r="AO490" s="108"/>
    </row>
    <row r="491" spans="1:41" ht="12" customHeight="1" x14ac:dyDescent="0.2">
      <c r="A491" s="179"/>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c r="AA491" s="108"/>
      <c r="AB491" s="108"/>
      <c r="AC491" s="108"/>
      <c r="AD491" s="108"/>
      <c r="AE491" s="108"/>
      <c r="AF491" s="108"/>
      <c r="AG491" s="108"/>
      <c r="AH491" s="108"/>
      <c r="AI491" s="108"/>
      <c r="AJ491" s="108"/>
      <c r="AK491" s="108"/>
      <c r="AL491" s="108"/>
      <c r="AM491" s="108"/>
      <c r="AN491" s="108"/>
      <c r="AO491" s="108"/>
    </row>
    <row r="492" spans="1:41" ht="12" customHeight="1" x14ac:dyDescent="0.2">
      <c r="A492" s="179"/>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c r="AA492" s="108"/>
      <c r="AB492" s="108"/>
      <c r="AC492" s="108"/>
      <c r="AD492" s="108"/>
      <c r="AE492" s="108"/>
      <c r="AF492" s="108"/>
      <c r="AG492" s="108"/>
      <c r="AH492" s="108"/>
      <c r="AI492" s="108"/>
      <c r="AJ492" s="108"/>
      <c r="AK492" s="108"/>
      <c r="AL492" s="108"/>
      <c r="AM492" s="108"/>
      <c r="AN492" s="108"/>
      <c r="AO492" s="108"/>
    </row>
    <row r="493" spans="1:41" ht="12" customHeight="1" x14ac:dyDescent="0.2">
      <c r="A493" s="179"/>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c r="AA493" s="108"/>
      <c r="AB493" s="108"/>
      <c r="AC493" s="108"/>
      <c r="AD493" s="108"/>
      <c r="AE493" s="108"/>
      <c r="AF493" s="108"/>
      <c r="AG493" s="108"/>
      <c r="AH493" s="108"/>
      <c r="AI493" s="108"/>
      <c r="AJ493" s="108"/>
      <c r="AK493" s="108"/>
      <c r="AL493" s="108"/>
      <c r="AM493" s="108"/>
      <c r="AN493" s="108"/>
      <c r="AO493" s="108"/>
    </row>
    <row r="494" spans="1:41" ht="12" customHeight="1" x14ac:dyDescent="0.2">
      <c r="A494" s="179"/>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c r="AA494" s="108"/>
      <c r="AB494" s="108"/>
      <c r="AC494" s="108"/>
      <c r="AD494" s="108"/>
      <c r="AE494" s="108"/>
      <c r="AF494" s="108"/>
      <c r="AG494" s="108"/>
      <c r="AH494" s="108"/>
      <c r="AI494" s="108"/>
      <c r="AJ494" s="108"/>
      <c r="AK494" s="108"/>
      <c r="AL494" s="108"/>
      <c r="AM494" s="108"/>
      <c r="AN494" s="108"/>
      <c r="AO494" s="108"/>
    </row>
    <row r="495" spans="1:41" ht="12" customHeight="1" x14ac:dyDescent="0.2">
      <c r="A495" s="179"/>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c r="AA495" s="108"/>
      <c r="AB495" s="108"/>
      <c r="AC495" s="108"/>
      <c r="AD495" s="108"/>
      <c r="AE495" s="108"/>
      <c r="AF495" s="108"/>
      <c r="AG495" s="108"/>
      <c r="AH495" s="108"/>
      <c r="AI495" s="108"/>
      <c r="AJ495" s="108"/>
      <c r="AK495" s="108"/>
      <c r="AL495" s="108"/>
      <c r="AM495" s="108"/>
      <c r="AN495" s="108"/>
      <c r="AO495" s="108"/>
    </row>
    <row r="496" spans="1:41" ht="12" customHeight="1" x14ac:dyDescent="0.2">
      <c r="A496" s="179"/>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c r="AA496" s="108"/>
      <c r="AB496" s="108"/>
      <c r="AC496" s="108"/>
      <c r="AD496" s="108"/>
      <c r="AE496" s="108"/>
      <c r="AF496" s="108"/>
      <c r="AG496" s="108"/>
      <c r="AH496" s="108"/>
      <c r="AI496" s="108"/>
      <c r="AJ496" s="108"/>
      <c r="AK496" s="108"/>
      <c r="AL496" s="108"/>
      <c r="AM496" s="108"/>
      <c r="AN496" s="108"/>
      <c r="AO496" s="108"/>
    </row>
    <row r="497" spans="1:41" ht="12" customHeight="1" x14ac:dyDescent="0.2">
      <c r="A497" s="179"/>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c r="AA497" s="108"/>
      <c r="AB497" s="108"/>
      <c r="AC497" s="108"/>
      <c r="AD497" s="108"/>
      <c r="AE497" s="108"/>
      <c r="AF497" s="108"/>
      <c r="AG497" s="108"/>
      <c r="AH497" s="108"/>
      <c r="AI497" s="108"/>
      <c r="AJ497" s="108"/>
      <c r="AK497" s="108"/>
      <c r="AL497" s="108"/>
      <c r="AM497" s="108"/>
      <c r="AN497" s="108"/>
      <c r="AO497" s="108"/>
    </row>
    <row r="498" spans="1:41" ht="12" customHeight="1" x14ac:dyDescent="0.2">
      <c r="A498" s="179"/>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c r="AA498" s="108"/>
      <c r="AB498" s="108"/>
      <c r="AC498" s="108"/>
      <c r="AD498" s="108"/>
      <c r="AE498" s="108"/>
      <c r="AF498" s="108"/>
      <c r="AG498" s="108"/>
      <c r="AH498" s="108"/>
      <c r="AI498" s="108"/>
      <c r="AJ498" s="108"/>
      <c r="AK498" s="108"/>
      <c r="AL498" s="108"/>
      <c r="AM498" s="108"/>
      <c r="AN498" s="108"/>
      <c r="AO498" s="108"/>
    </row>
    <row r="499" spans="1:41" ht="12" customHeight="1" x14ac:dyDescent="0.2">
      <c r="A499" s="179"/>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c r="AA499" s="108"/>
      <c r="AB499" s="108"/>
      <c r="AC499" s="108"/>
      <c r="AD499" s="108"/>
      <c r="AE499" s="108"/>
      <c r="AF499" s="108"/>
      <c r="AG499" s="108"/>
      <c r="AH499" s="108"/>
      <c r="AI499" s="108"/>
      <c r="AJ499" s="108"/>
      <c r="AK499" s="108"/>
      <c r="AL499" s="108"/>
      <c r="AM499" s="108"/>
      <c r="AN499" s="108"/>
      <c r="AO499" s="108"/>
    </row>
    <row r="500" spans="1:41" ht="12" customHeight="1" x14ac:dyDescent="0.2">
      <c r="A500" s="179"/>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c r="AA500" s="108"/>
      <c r="AB500" s="108"/>
      <c r="AC500" s="108"/>
      <c r="AD500" s="108"/>
      <c r="AE500" s="108"/>
      <c r="AF500" s="108"/>
      <c r="AG500" s="108"/>
      <c r="AH500" s="108"/>
      <c r="AI500" s="108"/>
      <c r="AJ500" s="108"/>
      <c r="AK500" s="108"/>
      <c r="AL500" s="108"/>
      <c r="AM500" s="108"/>
      <c r="AN500" s="108"/>
      <c r="AO500" s="108"/>
    </row>
    <row r="501" spans="1:41" ht="12" customHeight="1" x14ac:dyDescent="0.2">
      <c r="A501" s="179"/>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c r="AA501" s="108"/>
      <c r="AB501" s="108"/>
      <c r="AC501" s="108"/>
      <c r="AD501" s="108"/>
      <c r="AE501" s="108"/>
      <c r="AF501" s="108"/>
      <c r="AG501" s="108"/>
      <c r="AH501" s="108"/>
      <c r="AI501" s="108"/>
      <c r="AJ501" s="108"/>
      <c r="AK501" s="108"/>
      <c r="AL501" s="108"/>
      <c r="AM501" s="108"/>
      <c r="AN501" s="108"/>
      <c r="AO501" s="108"/>
    </row>
    <row r="502" spans="1:41" ht="12" customHeight="1" x14ac:dyDescent="0.2">
      <c r="A502" s="179"/>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c r="AA502" s="108"/>
      <c r="AB502" s="108"/>
      <c r="AC502" s="108"/>
      <c r="AD502" s="108"/>
      <c r="AE502" s="108"/>
      <c r="AF502" s="108"/>
      <c r="AG502" s="108"/>
      <c r="AH502" s="108"/>
      <c r="AI502" s="108"/>
      <c r="AJ502" s="108"/>
      <c r="AK502" s="108"/>
      <c r="AL502" s="108"/>
      <c r="AM502" s="108"/>
      <c r="AN502" s="108"/>
      <c r="AO502" s="108"/>
    </row>
    <row r="503" spans="1:41" ht="12" customHeight="1" x14ac:dyDescent="0.2">
      <c r="A503" s="179"/>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c r="AA503" s="108"/>
      <c r="AB503" s="108"/>
      <c r="AC503" s="108"/>
      <c r="AD503" s="108"/>
      <c r="AE503" s="108"/>
      <c r="AF503" s="108"/>
      <c r="AG503" s="108"/>
      <c r="AH503" s="108"/>
      <c r="AI503" s="108"/>
      <c r="AJ503" s="108"/>
      <c r="AK503" s="108"/>
      <c r="AL503" s="108"/>
      <c r="AM503" s="108"/>
      <c r="AN503" s="108"/>
      <c r="AO503" s="108"/>
    </row>
    <row r="504" spans="1:41" ht="12" customHeight="1" x14ac:dyDescent="0.2">
      <c r="A504" s="179"/>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c r="AA504" s="108"/>
      <c r="AB504" s="108"/>
      <c r="AC504" s="108"/>
      <c r="AD504" s="108"/>
      <c r="AE504" s="108"/>
      <c r="AF504" s="108"/>
      <c r="AG504" s="108"/>
      <c r="AH504" s="108"/>
      <c r="AI504" s="108"/>
      <c r="AJ504" s="108"/>
      <c r="AK504" s="108"/>
      <c r="AL504" s="108"/>
      <c r="AM504" s="108"/>
      <c r="AN504" s="108"/>
      <c r="AO504" s="108"/>
    </row>
    <row r="505" spans="1:41" ht="12" customHeight="1" x14ac:dyDescent="0.2">
      <c r="A505" s="179"/>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c r="AA505" s="108"/>
      <c r="AB505" s="108"/>
      <c r="AC505" s="108"/>
      <c r="AD505" s="108"/>
      <c r="AE505" s="108"/>
      <c r="AF505" s="108"/>
      <c r="AG505" s="108"/>
      <c r="AH505" s="108"/>
      <c r="AI505" s="108"/>
      <c r="AJ505" s="108"/>
      <c r="AK505" s="108"/>
      <c r="AL505" s="108"/>
      <c r="AM505" s="108"/>
      <c r="AN505" s="108"/>
      <c r="AO505" s="108"/>
    </row>
    <row r="506" spans="1:41" ht="12" customHeight="1" x14ac:dyDescent="0.2">
      <c r="A506" s="179"/>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c r="AA506" s="108"/>
      <c r="AB506" s="108"/>
      <c r="AC506" s="108"/>
      <c r="AD506" s="108"/>
      <c r="AE506" s="108"/>
      <c r="AF506" s="108"/>
      <c r="AG506" s="108"/>
      <c r="AH506" s="108"/>
      <c r="AI506" s="108"/>
      <c r="AJ506" s="108"/>
      <c r="AK506" s="108"/>
      <c r="AL506" s="108"/>
      <c r="AM506" s="108"/>
      <c r="AN506" s="108"/>
      <c r="AO506" s="108"/>
    </row>
    <row r="507" spans="1:41" ht="12" customHeight="1" x14ac:dyDescent="0.2">
      <c r="A507" s="179"/>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c r="AA507" s="108"/>
      <c r="AB507" s="108"/>
      <c r="AC507" s="108"/>
      <c r="AD507" s="108"/>
      <c r="AE507" s="108"/>
      <c r="AF507" s="108"/>
      <c r="AG507" s="108"/>
      <c r="AH507" s="108"/>
      <c r="AI507" s="108"/>
      <c r="AJ507" s="108"/>
      <c r="AK507" s="108"/>
      <c r="AL507" s="108"/>
      <c r="AM507" s="108"/>
      <c r="AN507" s="108"/>
      <c r="AO507" s="108"/>
    </row>
    <row r="508" spans="1:41" ht="12" customHeight="1" x14ac:dyDescent="0.2">
      <c r="A508" s="179"/>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c r="AA508" s="108"/>
      <c r="AB508" s="108"/>
      <c r="AC508" s="108"/>
      <c r="AD508" s="108"/>
      <c r="AE508" s="108"/>
      <c r="AF508" s="108"/>
      <c r="AG508" s="108"/>
      <c r="AH508" s="108"/>
      <c r="AI508" s="108"/>
      <c r="AJ508" s="108"/>
      <c r="AK508" s="108"/>
      <c r="AL508" s="108"/>
      <c r="AM508" s="108"/>
      <c r="AN508" s="108"/>
      <c r="AO508" s="108"/>
    </row>
    <row r="509" spans="1:41" ht="12" customHeight="1" x14ac:dyDescent="0.2">
      <c r="A509" s="179"/>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c r="AA509" s="108"/>
      <c r="AB509" s="108"/>
      <c r="AC509" s="108"/>
      <c r="AD509" s="108"/>
      <c r="AE509" s="108"/>
      <c r="AF509" s="108"/>
      <c r="AG509" s="108"/>
      <c r="AH509" s="108"/>
      <c r="AI509" s="108"/>
      <c r="AJ509" s="108"/>
      <c r="AK509" s="108"/>
      <c r="AL509" s="108"/>
      <c r="AM509" s="108"/>
      <c r="AN509" s="108"/>
      <c r="AO509" s="108"/>
    </row>
    <row r="510" spans="1:41" ht="12" customHeight="1" x14ac:dyDescent="0.2">
      <c r="A510" s="179"/>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c r="AA510" s="108"/>
      <c r="AB510" s="108"/>
      <c r="AC510" s="108"/>
      <c r="AD510" s="108"/>
      <c r="AE510" s="108"/>
      <c r="AF510" s="108"/>
      <c r="AG510" s="108"/>
      <c r="AH510" s="108"/>
      <c r="AI510" s="108"/>
      <c r="AJ510" s="108"/>
      <c r="AK510" s="108"/>
      <c r="AL510" s="108"/>
      <c r="AM510" s="108"/>
      <c r="AN510" s="108"/>
      <c r="AO510" s="108"/>
    </row>
    <row r="511" spans="1:41" ht="12" customHeight="1" x14ac:dyDescent="0.2">
      <c r="A511" s="179"/>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c r="AA511" s="108"/>
      <c r="AB511" s="108"/>
      <c r="AC511" s="108"/>
      <c r="AD511" s="108"/>
      <c r="AE511" s="108"/>
      <c r="AF511" s="108"/>
      <c r="AG511" s="108"/>
      <c r="AH511" s="108"/>
      <c r="AI511" s="108"/>
      <c r="AJ511" s="108"/>
      <c r="AK511" s="108"/>
      <c r="AL511" s="108"/>
      <c r="AM511" s="108"/>
      <c r="AN511" s="108"/>
      <c r="AO511" s="108"/>
    </row>
    <row r="512" spans="1:41" ht="12" customHeight="1" x14ac:dyDescent="0.2">
      <c r="A512" s="179"/>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c r="AA512" s="108"/>
      <c r="AB512" s="108"/>
      <c r="AC512" s="108"/>
      <c r="AD512" s="108"/>
      <c r="AE512" s="108"/>
      <c r="AF512" s="108"/>
      <c r="AG512" s="108"/>
      <c r="AH512" s="108"/>
      <c r="AI512" s="108"/>
      <c r="AJ512" s="108"/>
      <c r="AK512" s="108"/>
      <c r="AL512" s="108"/>
      <c r="AM512" s="108"/>
      <c r="AN512" s="108"/>
      <c r="AO512" s="108"/>
    </row>
    <row r="513" spans="1:41" ht="12" customHeight="1" x14ac:dyDescent="0.2">
      <c r="A513" s="179"/>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c r="AA513" s="108"/>
      <c r="AB513" s="108"/>
      <c r="AC513" s="108"/>
      <c r="AD513" s="108"/>
      <c r="AE513" s="108"/>
      <c r="AF513" s="108"/>
      <c r="AG513" s="108"/>
      <c r="AH513" s="108"/>
      <c r="AI513" s="108"/>
      <c r="AJ513" s="108"/>
      <c r="AK513" s="108"/>
      <c r="AL513" s="108"/>
      <c r="AM513" s="108"/>
      <c r="AN513" s="108"/>
      <c r="AO513" s="108"/>
    </row>
    <row r="514" spans="1:41" ht="12" customHeight="1" x14ac:dyDescent="0.2">
      <c r="A514" s="179"/>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c r="AA514" s="108"/>
      <c r="AB514" s="108"/>
      <c r="AC514" s="108"/>
      <c r="AD514" s="108"/>
      <c r="AE514" s="108"/>
      <c r="AF514" s="108"/>
      <c r="AG514" s="108"/>
      <c r="AH514" s="108"/>
      <c r="AI514" s="108"/>
      <c r="AJ514" s="108"/>
      <c r="AK514" s="108"/>
      <c r="AL514" s="108"/>
      <c r="AM514" s="108"/>
      <c r="AN514" s="108"/>
      <c r="AO514" s="108"/>
    </row>
    <row r="515" spans="1:41" ht="12" customHeight="1" x14ac:dyDescent="0.2">
      <c r="A515" s="179"/>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c r="AA515" s="108"/>
      <c r="AB515" s="108"/>
      <c r="AC515" s="108"/>
      <c r="AD515" s="108"/>
      <c r="AE515" s="108"/>
      <c r="AF515" s="108"/>
      <c r="AG515" s="108"/>
      <c r="AH515" s="108"/>
      <c r="AI515" s="108"/>
      <c r="AJ515" s="108"/>
      <c r="AK515" s="108"/>
      <c r="AL515" s="108"/>
      <c r="AM515" s="108"/>
      <c r="AN515" s="108"/>
      <c r="AO515" s="108"/>
    </row>
    <row r="516" spans="1:41" ht="12" customHeight="1" x14ac:dyDescent="0.2">
      <c r="A516" s="179"/>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c r="AA516" s="108"/>
      <c r="AB516" s="108"/>
      <c r="AC516" s="108"/>
      <c r="AD516" s="108"/>
      <c r="AE516" s="108"/>
      <c r="AF516" s="108"/>
      <c r="AG516" s="108"/>
      <c r="AH516" s="108"/>
      <c r="AI516" s="108"/>
      <c r="AJ516" s="108"/>
      <c r="AK516" s="108"/>
      <c r="AL516" s="108"/>
      <c r="AM516" s="108"/>
      <c r="AN516" s="108"/>
      <c r="AO516" s="108"/>
    </row>
    <row r="517" spans="1:41" ht="12" customHeight="1" x14ac:dyDescent="0.2">
      <c r="A517" s="179"/>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c r="AA517" s="108"/>
      <c r="AB517" s="108"/>
      <c r="AC517" s="108"/>
      <c r="AD517" s="108"/>
      <c r="AE517" s="108"/>
      <c r="AF517" s="108"/>
      <c r="AG517" s="108"/>
      <c r="AH517" s="108"/>
      <c r="AI517" s="108"/>
      <c r="AJ517" s="108"/>
      <c r="AK517" s="108"/>
      <c r="AL517" s="108"/>
      <c r="AM517" s="108"/>
      <c r="AN517" s="108"/>
      <c r="AO517" s="108"/>
    </row>
    <row r="518" spans="1:41" ht="12" customHeight="1" x14ac:dyDescent="0.2">
      <c r="A518" s="179"/>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c r="AA518" s="108"/>
      <c r="AB518" s="108"/>
      <c r="AC518" s="108"/>
      <c r="AD518" s="108"/>
      <c r="AE518" s="108"/>
      <c r="AF518" s="108"/>
      <c r="AG518" s="108"/>
      <c r="AH518" s="108"/>
      <c r="AI518" s="108"/>
      <c r="AJ518" s="108"/>
      <c r="AK518" s="108"/>
      <c r="AL518" s="108"/>
      <c r="AM518" s="108"/>
      <c r="AN518" s="108"/>
      <c r="AO518" s="108"/>
    </row>
    <row r="519" spans="1:41" ht="12" customHeight="1" x14ac:dyDescent="0.2">
      <c r="A519" s="179"/>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c r="AA519" s="108"/>
      <c r="AB519" s="108"/>
      <c r="AC519" s="108"/>
      <c r="AD519" s="108"/>
      <c r="AE519" s="108"/>
      <c r="AF519" s="108"/>
      <c r="AG519" s="108"/>
      <c r="AH519" s="108"/>
      <c r="AI519" s="108"/>
      <c r="AJ519" s="108"/>
      <c r="AK519" s="108"/>
      <c r="AL519" s="108"/>
      <c r="AM519" s="108"/>
      <c r="AN519" s="108"/>
      <c r="AO519" s="108"/>
    </row>
    <row r="520" spans="1:41" ht="12" customHeight="1" x14ac:dyDescent="0.2">
      <c r="A520" s="179"/>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c r="AA520" s="108"/>
      <c r="AB520" s="108"/>
      <c r="AC520" s="108"/>
      <c r="AD520" s="108"/>
      <c r="AE520" s="108"/>
      <c r="AF520" s="108"/>
      <c r="AG520" s="108"/>
      <c r="AH520" s="108"/>
      <c r="AI520" s="108"/>
      <c r="AJ520" s="108"/>
      <c r="AK520" s="108"/>
      <c r="AL520" s="108"/>
      <c r="AM520" s="108"/>
      <c r="AN520" s="108"/>
      <c r="AO520" s="108"/>
    </row>
    <row r="521" spans="1:41" ht="12" customHeight="1" x14ac:dyDescent="0.2">
      <c r="A521" s="179"/>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c r="AA521" s="108"/>
      <c r="AB521" s="108"/>
      <c r="AC521" s="108"/>
      <c r="AD521" s="108"/>
      <c r="AE521" s="108"/>
      <c r="AF521" s="108"/>
      <c r="AG521" s="108"/>
      <c r="AH521" s="108"/>
      <c r="AI521" s="108"/>
      <c r="AJ521" s="108"/>
      <c r="AK521" s="108"/>
      <c r="AL521" s="108"/>
      <c r="AM521" s="108"/>
      <c r="AN521" s="108"/>
      <c r="AO521" s="108"/>
    </row>
    <row r="522" spans="1:41" ht="12" customHeight="1" x14ac:dyDescent="0.2">
      <c r="A522" s="179"/>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c r="AA522" s="108"/>
      <c r="AB522" s="108"/>
      <c r="AC522" s="108"/>
      <c r="AD522" s="108"/>
      <c r="AE522" s="108"/>
      <c r="AF522" s="108"/>
      <c r="AG522" s="108"/>
      <c r="AH522" s="108"/>
      <c r="AI522" s="108"/>
      <c r="AJ522" s="108"/>
      <c r="AK522" s="108"/>
      <c r="AL522" s="108"/>
      <c r="AM522" s="108"/>
      <c r="AN522" s="108"/>
      <c r="AO522" s="108"/>
    </row>
    <row r="523" spans="1:41" ht="12" customHeight="1" x14ac:dyDescent="0.2">
      <c r="A523" s="179"/>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c r="AA523" s="108"/>
      <c r="AB523" s="108"/>
      <c r="AC523" s="108"/>
      <c r="AD523" s="108"/>
      <c r="AE523" s="108"/>
      <c r="AF523" s="108"/>
      <c r="AG523" s="108"/>
      <c r="AH523" s="108"/>
      <c r="AI523" s="108"/>
      <c r="AJ523" s="108"/>
      <c r="AK523" s="108"/>
      <c r="AL523" s="108"/>
      <c r="AM523" s="108"/>
      <c r="AN523" s="108"/>
      <c r="AO523" s="108"/>
    </row>
    <row r="524" spans="1:41" ht="12" customHeight="1" x14ac:dyDescent="0.2">
      <c r="A524" s="179"/>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c r="AA524" s="108"/>
      <c r="AB524" s="108"/>
      <c r="AC524" s="108"/>
      <c r="AD524" s="108"/>
      <c r="AE524" s="108"/>
      <c r="AF524" s="108"/>
      <c r="AG524" s="108"/>
      <c r="AH524" s="108"/>
      <c r="AI524" s="108"/>
      <c r="AJ524" s="108"/>
      <c r="AK524" s="108"/>
      <c r="AL524" s="108"/>
      <c r="AM524" s="108"/>
      <c r="AN524" s="108"/>
      <c r="AO524" s="108"/>
    </row>
    <row r="525" spans="1:41" ht="12" customHeight="1" x14ac:dyDescent="0.2">
      <c r="A525" s="179"/>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c r="AA525" s="108"/>
      <c r="AB525" s="108"/>
      <c r="AC525" s="108"/>
      <c r="AD525" s="108"/>
      <c r="AE525" s="108"/>
      <c r="AF525" s="108"/>
      <c r="AG525" s="108"/>
      <c r="AH525" s="108"/>
      <c r="AI525" s="108"/>
      <c r="AJ525" s="108"/>
      <c r="AK525" s="108"/>
      <c r="AL525" s="108"/>
      <c r="AM525" s="108"/>
      <c r="AN525" s="108"/>
      <c r="AO525" s="108"/>
    </row>
    <row r="526" spans="1:41" ht="12" customHeight="1" x14ac:dyDescent="0.2">
      <c r="A526" s="179"/>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c r="AA526" s="108"/>
      <c r="AB526" s="108"/>
      <c r="AC526" s="108"/>
      <c r="AD526" s="108"/>
      <c r="AE526" s="108"/>
      <c r="AF526" s="108"/>
      <c r="AG526" s="108"/>
      <c r="AH526" s="108"/>
      <c r="AI526" s="108"/>
      <c r="AJ526" s="108"/>
      <c r="AK526" s="108"/>
      <c r="AL526" s="108"/>
      <c r="AM526" s="108"/>
      <c r="AN526" s="108"/>
      <c r="AO526" s="108"/>
    </row>
    <row r="527" spans="1:41" ht="12" customHeight="1" x14ac:dyDescent="0.2">
      <c r="A527" s="179"/>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c r="AA527" s="108"/>
      <c r="AB527" s="108"/>
      <c r="AC527" s="108"/>
      <c r="AD527" s="108"/>
      <c r="AE527" s="108"/>
      <c r="AF527" s="108"/>
      <c r="AG527" s="108"/>
      <c r="AH527" s="108"/>
      <c r="AI527" s="108"/>
      <c r="AJ527" s="108"/>
      <c r="AK527" s="108"/>
      <c r="AL527" s="108"/>
      <c r="AM527" s="108"/>
      <c r="AN527" s="108"/>
      <c r="AO527" s="108"/>
    </row>
    <row r="528" spans="1:41" ht="12" customHeight="1" x14ac:dyDescent="0.2">
      <c r="A528" s="179"/>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c r="AA528" s="108"/>
      <c r="AB528" s="108"/>
      <c r="AC528" s="108"/>
      <c r="AD528" s="108"/>
      <c r="AE528" s="108"/>
      <c r="AF528" s="108"/>
      <c r="AG528" s="108"/>
      <c r="AH528" s="108"/>
      <c r="AI528" s="108"/>
      <c r="AJ528" s="108"/>
      <c r="AK528" s="108"/>
      <c r="AL528" s="108"/>
      <c r="AM528" s="108"/>
      <c r="AN528" s="108"/>
      <c r="AO528" s="108"/>
    </row>
    <row r="529" spans="1:41" ht="12" customHeight="1" x14ac:dyDescent="0.2">
      <c r="A529" s="179"/>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c r="AA529" s="108"/>
      <c r="AB529" s="108"/>
      <c r="AC529" s="108"/>
      <c r="AD529" s="108"/>
      <c r="AE529" s="108"/>
      <c r="AF529" s="108"/>
      <c r="AG529" s="108"/>
      <c r="AH529" s="108"/>
      <c r="AI529" s="108"/>
      <c r="AJ529" s="108"/>
      <c r="AK529" s="108"/>
      <c r="AL529" s="108"/>
      <c r="AM529" s="108"/>
      <c r="AN529" s="108"/>
      <c r="AO529" s="108"/>
    </row>
    <row r="530" spans="1:41" ht="12" customHeight="1" x14ac:dyDescent="0.2">
      <c r="A530" s="179"/>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c r="AA530" s="108"/>
      <c r="AB530" s="108"/>
      <c r="AC530" s="108"/>
      <c r="AD530" s="108"/>
      <c r="AE530" s="108"/>
      <c r="AF530" s="108"/>
      <c r="AG530" s="108"/>
      <c r="AH530" s="108"/>
      <c r="AI530" s="108"/>
      <c r="AJ530" s="108"/>
      <c r="AK530" s="108"/>
      <c r="AL530" s="108"/>
      <c r="AM530" s="108"/>
      <c r="AN530" s="108"/>
      <c r="AO530" s="108"/>
    </row>
    <row r="531" spans="1:41" ht="12" customHeight="1" x14ac:dyDescent="0.2">
      <c r="A531" s="179"/>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c r="AA531" s="108"/>
      <c r="AB531" s="108"/>
      <c r="AC531" s="108"/>
      <c r="AD531" s="108"/>
      <c r="AE531" s="108"/>
      <c r="AF531" s="108"/>
      <c r="AG531" s="108"/>
      <c r="AH531" s="108"/>
      <c r="AI531" s="108"/>
      <c r="AJ531" s="108"/>
      <c r="AK531" s="108"/>
      <c r="AL531" s="108"/>
      <c r="AM531" s="108"/>
      <c r="AN531" s="108"/>
      <c r="AO531" s="108"/>
    </row>
    <row r="532" spans="1:41" ht="12" customHeight="1" x14ac:dyDescent="0.2">
      <c r="A532" s="179"/>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c r="AA532" s="108"/>
      <c r="AB532" s="108"/>
      <c r="AC532" s="108"/>
      <c r="AD532" s="108"/>
      <c r="AE532" s="108"/>
      <c r="AF532" s="108"/>
      <c r="AG532" s="108"/>
      <c r="AH532" s="108"/>
      <c r="AI532" s="108"/>
      <c r="AJ532" s="108"/>
      <c r="AK532" s="108"/>
      <c r="AL532" s="108"/>
      <c r="AM532" s="108"/>
      <c r="AN532" s="108"/>
      <c r="AO532" s="108"/>
    </row>
    <row r="533" spans="1:41" ht="12" customHeight="1" x14ac:dyDescent="0.2">
      <c r="A533" s="179"/>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c r="AA533" s="108"/>
      <c r="AB533" s="108"/>
      <c r="AC533" s="108"/>
      <c r="AD533" s="108"/>
      <c r="AE533" s="108"/>
      <c r="AF533" s="108"/>
      <c r="AG533" s="108"/>
      <c r="AH533" s="108"/>
      <c r="AI533" s="108"/>
      <c r="AJ533" s="108"/>
      <c r="AK533" s="108"/>
      <c r="AL533" s="108"/>
      <c r="AM533" s="108"/>
      <c r="AN533" s="108"/>
      <c r="AO533" s="108"/>
    </row>
    <row r="534" spans="1:41" ht="12" customHeight="1" x14ac:dyDescent="0.2">
      <c r="A534" s="179"/>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c r="AA534" s="108"/>
      <c r="AB534" s="108"/>
      <c r="AC534" s="108"/>
      <c r="AD534" s="108"/>
      <c r="AE534" s="108"/>
      <c r="AF534" s="108"/>
      <c r="AG534" s="108"/>
      <c r="AH534" s="108"/>
      <c r="AI534" s="108"/>
      <c r="AJ534" s="108"/>
      <c r="AK534" s="108"/>
      <c r="AL534" s="108"/>
      <c r="AM534" s="108"/>
      <c r="AN534" s="108"/>
      <c r="AO534" s="108"/>
    </row>
    <row r="535" spans="1:41" ht="12" customHeight="1" x14ac:dyDescent="0.2">
      <c r="A535" s="179"/>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c r="AA535" s="108"/>
      <c r="AB535" s="108"/>
      <c r="AC535" s="108"/>
      <c r="AD535" s="108"/>
      <c r="AE535" s="108"/>
      <c r="AF535" s="108"/>
      <c r="AG535" s="108"/>
      <c r="AH535" s="108"/>
      <c r="AI535" s="108"/>
      <c r="AJ535" s="108"/>
      <c r="AK535" s="108"/>
      <c r="AL535" s="108"/>
      <c r="AM535" s="108"/>
      <c r="AN535" s="108"/>
      <c r="AO535" s="108"/>
    </row>
    <row r="536" spans="1:41" ht="12" customHeight="1" x14ac:dyDescent="0.2">
      <c r="A536" s="179"/>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c r="AA536" s="108"/>
      <c r="AB536" s="108"/>
      <c r="AC536" s="108"/>
      <c r="AD536" s="108"/>
      <c r="AE536" s="108"/>
      <c r="AF536" s="108"/>
      <c r="AG536" s="108"/>
      <c r="AH536" s="108"/>
      <c r="AI536" s="108"/>
      <c r="AJ536" s="108"/>
      <c r="AK536" s="108"/>
      <c r="AL536" s="108"/>
      <c r="AM536" s="108"/>
      <c r="AN536" s="108"/>
      <c r="AO536" s="108"/>
    </row>
    <row r="537" spans="1:41" ht="12" customHeight="1" x14ac:dyDescent="0.2">
      <c r="A537" s="179"/>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c r="AA537" s="108"/>
      <c r="AB537" s="108"/>
      <c r="AC537" s="108"/>
      <c r="AD537" s="108"/>
      <c r="AE537" s="108"/>
      <c r="AF537" s="108"/>
      <c r="AG537" s="108"/>
      <c r="AH537" s="108"/>
      <c r="AI537" s="108"/>
      <c r="AJ537" s="108"/>
      <c r="AK537" s="108"/>
      <c r="AL537" s="108"/>
      <c r="AM537" s="108"/>
      <c r="AN537" s="108"/>
      <c r="AO537" s="108"/>
    </row>
    <row r="538" spans="1:41" ht="12" customHeight="1" x14ac:dyDescent="0.2">
      <c r="A538" s="179"/>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c r="AA538" s="108"/>
      <c r="AB538" s="108"/>
      <c r="AC538" s="108"/>
      <c r="AD538" s="108"/>
      <c r="AE538" s="108"/>
      <c r="AF538" s="108"/>
      <c r="AG538" s="108"/>
      <c r="AH538" s="108"/>
      <c r="AI538" s="108"/>
      <c r="AJ538" s="108"/>
      <c r="AK538" s="108"/>
      <c r="AL538" s="108"/>
      <c r="AM538" s="108"/>
      <c r="AN538" s="108"/>
      <c r="AO538" s="108"/>
    </row>
    <row r="539" spans="1:41" ht="12" customHeight="1" x14ac:dyDescent="0.2">
      <c r="A539" s="179"/>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c r="AA539" s="108"/>
      <c r="AB539" s="108"/>
      <c r="AC539" s="108"/>
      <c r="AD539" s="108"/>
      <c r="AE539" s="108"/>
      <c r="AF539" s="108"/>
      <c r="AG539" s="108"/>
      <c r="AH539" s="108"/>
      <c r="AI539" s="108"/>
      <c r="AJ539" s="108"/>
      <c r="AK539" s="108"/>
      <c r="AL539" s="108"/>
      <c r="AM539" s="108"/>
      <c r="AN539" s="108"/>
      <c r="AO539" s="108"/>
    </row>
    <row r="540" spans="1:41" ht="12" customHeight="1" x14ac:dyDescent="0.2">
      <c r="A540" s="179"/>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c r="AA540" s="108"/>
      <c r="AB540" s="108"/>
      <c r="AC540" s="108"/>
      <c r="AD540" s="108"/>
      <c r="AE540" s="108"/>
      <c r="AF540" s="108"/>
      <c r="AG540" s="108"/>
      <c r="AH540" s="108"/>
      <c r="AI540" s="108"/>
      <c r="AJ540" s="108"/>
      <c r="AK540" s="108"/>
      <c r="AL540" s="108"/>
      <c r="AM540" s="108"/>
      <c r="AN540" s="108"/>
      <c r="AO540" s="108"/>
    </row>
    <row r="541" spans="1:41" ht="12" customHeight="1" x14ac:dyDescent="0.2">
      <c r="A541" s="179"/>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c r="AA541" s="108"/>
      <c r="AB541" s="108"/>
      <c r="AC541" s="108"/>
      <c r="AD541" s="108"/>
      <c r="AE541" s="108"/>
      <c r="AF541" s="108"/>
      <c r="AG541" s="108"/>
      <c r="AH541" s="108"/>
      <c r="AI541" s="108"/>
      <c r="AJ541" s="108"/>
      <c r="AK541" s="108"/>
      <c r="AL541" s="108"/>
      <c r="AM541" s="108"/>
      <c r="AN541" s="108"/>
      <c r="AO541" s="108"/>
    </row>
    <row r="542" spans="1:41" ht="12" customHeight="1" x14ac:dyDescent="0.2">
      <c r="A542" s="179"/>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c r="AA542" s="108"/>
      <c r="AB542" s="108"/>
      <c r="AC542" s="108"/>
      <c r="AD542" s="108"/>
      <c r="AE542" s="108"/>
      <c r="AF542" s="108"/>
      <c r="AG542" s="108"/>
      <c r="AH542" s="108"/>
      <c r="AI542" s="108"/>
      <c r="AJ542" s="108"/>
      <c r="AK542" s="108"/>
      <c r="AL542" s="108"/>
      <c r="AM542" s="108"/>
      <c r="AN542" s="108"/>
      <c r="AO542" s="108"/>
    </row>
    <row r="543" spans="1:41" ht="12" customHeight="1" x14ac:dyDescent="0.2">
      <c r="A543" s="179"/>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c r="AA543" s="108"/>
      <c r="AB543" s="108"/>
      <c r="AC543" s="108"/>
      <c r="AD543" s="108"/>
      <c r="AE543" s="108"/>
      <c r="AF543" s="108"/>
      <c r="AG543" s="108"/>
      <c r="AH543" s="108"/>
      <c r="AI543" s="108"/>
      <c r="AJ543" s="108"/>
      <c r="AK543" s="108"/>
      <c r="AL543" s="108"/>
      <c r="AM543" s="108"/>
      <c r="AN543" s="108"/>
      <c r="AO543" s="108"/>
    </row>
    <row r="544" spans="1:41" ht="12" customHeight="1" x14ac:dyDescent="0.2">
      <c r="A544" s="179"/>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c r="AA544" s="108"/>
      <c r="AB544" s="108"/>
      <c r="AC544" s="108"/>
      <c r="AD544" s="108"/>
      <c r="AE544" s="108"/>
      <c r="AF544" s="108"/>
      <c r="AG544" s="108"/>
      <c r="AH544" s="108"/>
      <c r="AI544" s="108"/>
      <c r="AJ544" s="108"/>
      <c r="AK544" s="108"/>
      <c r="AL544" s="108"/>
      <c r="AM544" s="108"/>
      <c r="AN544" s="108"/>
      <c r="AO544" s="108"/>
    </row>
    <row r="545" spans="1:41" ht="12" customHeight="1" x14ac:dyDescent="0.2">
      <c r="A545" s="179"/>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c r="AA545" s="108"/>
      <c r="AB545" s="108"/>
      <c r="AC545" s="108"/>
      <c r="AD545" s="108"/>
      <c r="AE545" s="108"/>
      <c r="AF545" s="108"/>
      <c r="AG545" s="108"/>
      <c r="AH545" s="108"/>
      <c r="AI545" s="108"/>
      <c r="AJ545" s="108"/>
      <c r="AK545" s="108"/>
      <c r="AL545" s="108"/>
      <c r="AM545" s="108"/>
      <c r="AN545" s="108"/>
      <c r="AO545" s="108"/>
    </row>
    <row r="546" spans="1:41" ht="12" customHeight="1" x14ac:dyDescent="0.2">
      <c r="A546" s="179"/>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c r="AA546" s="108"/>
      <c r="AB546" s="108"/>
      <c r="AC546" s="108"/>
      <c r="AD546" s="108"/>
      <c r="AE546" s="108"/>
      <c r="AF546" s="108"/>
      <c r="AG546" s="108"/>
      <c r="AH546" s="108"/>
      <c r="AI546" s="108"/>
      <c r="AJ546" s="108"/>
      <c r="AK546" s="108"/>
      <c r="AL546" s="108"/>
      <c r="AM546" s="108"/>
      <c r="AN546" s="108"/>
      <c r="AO546" s="108"/>
    </row>
    <row r="547" spans="1:41" ht="12" customHeight="1" x14ac:dyDescent="0.2">
      <c r="A547" s="179"/>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c r="AA547" s="108"/>
      <c r="AB547" s="108"/>
      <c r="AC547" s="108"/>
      <c r="AD547" s="108"/>
      <c r="AE547" s="108"/>
      <c r="AF547" s="108"/>
      <c r="AG547" s="108"/>
      <c r="AH547" s="108"/>
      <c r="AI547" s="108"/>
      <c r="AJ547" s="108"/>
      <c r="AK547" s="108"/>
      <c r="AL547" s="108"/>
      <c r="AM547" s="108"/>
      <c r="AN547" s="108"/>
      <c r="AO547" s="108"/>
    </row>
    <row r="548" spans="1:41" ht="12" customHeight="1" x14ac:dyDescent="0.2">
      <c r="A548" s="179"/>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c r="AA548" s="108"/>
      <c r="AB548" s="108"/>
      <c r="AC548" s="108"/>
      <c r="AD548" s="108"/>
      <c r="AE548" s="108"/>
      <c r="AF548" s="108"/>
      <c r="AG548" s="108"/>
      <c r="AH548" s="108"/>
      <c r="AI548" s="108"/>
      <c r="AJ548" s="108"/>
      <c r="AK548" s="108"/>
      <c r="AL548" s="108"/>
      <c r="AM548" s="108"/>
      <c r="AN548" s="108"/>
      <c r="AO548" s="108"/>
    </row>
    <row r="549" spans="1:41" ht="12" customHeight="1" x14ac:dyDescent="0.2">
      <c r="A549" s="179"/>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c r="AA549" s="108"/>
      <c r="AB549" s="108"/>
      <c r="AC549" s="108"/>
      <c r="AD549" s="108"/>
      <c r="AE549" s="108"/>
      <c r="AF549" s="108"/>
      <c r="AG549" s="108"/>
      <c r="AH549" s="108"/>
      <c r="AI549" s="108"/>
      <c r="AJ549" s="108"/>
      <c r="AK549" s="108"/>
      <c r="AL549" s="108"/>
      <c r="AM549" s="108"/>
      <c r="AN549" s="108"/>
      <c r="AO549" s="108"/>
    </row>
    <row r="550" spans="1:41" ht="12" customHeight="1" x14ac:dyDescent="0.2">
      <c r="A550" s="179"/>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c r="AA550" s="108"/>
      <c r="AB550" s="108"/>
      <c r="AC550" s="108"/>
      <c r="AD550" s="108"/>
      <c r="AE550" s="108"/>
      <c r="AF550" s="108"/>
      <c r="AG550" s="108"/>
      <c r="AH550" s="108"/>
      <c r="AI550" s="108"/>
      <c r="AJ550" s="108"/>
      <c r="AK550" s="108"/>
      <c r="AL550" s="108"/>
      <c r="AM550" s="108"/>
      <c r="AN550" s="108"/>
      <c r="AO550" s="108"/>
    </row>
    <row r="551" spans="1:41" ht="12" customHeight="1" x14ac:dyDescent="0.2">
      <c r="A551" s="179"/>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c r="AA551" s="108"/>
      <c r="AB551" s="108"/>
      <c r="AC551" s="108"/>
      <c r="AD551" s="108"/>
      <c r="AE551" s="108"/>
      <c r="AF551" s="108"/>
      <c r="AG551" s="108"/>
      <c r="AH551" s="108"/>
      <c r="AI551" s="108"/>
      <c r="AJ551" s="108"/>
      <c r="AK551" s="108"/>
      <c r="AL551" s="108"/>
      <c r="AM551" s="108"/>
      <c r="AN551" s="108"/>
      <c r="AO551" s="108"/>
    </row>
    <row r="552" spans="1:41" ht="12" customHeight="1" x14ac:dyDescent="0.2">
      <c r="A552" s="179"/>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c r="AA552" s="108"/>
      <c r="AB552" s="108"/>
      <c r="AC552" s="108"/>
      <c r="AD552" s="108"/>
      <c r="AE552" s="108"/>
      <c r="AF552" s="108"/>
      <c r="AG552" s="108"/>
      <c r="AH552" s="108"/>
      <c r="AI552" s="108"/>
      <c r="AJ552" s="108"/>
      <c r="AK552" s="108"/>
      <c r="AL552" s="108"/>
      <c r="AM552" s="108"/>
      <c r="AN552" s="108"/>
      <c r="AO552" s="108"/>
    </row>
    <row r="553" spans="1:41" ht="12" customHeight="1" x14ac:dyDescent="0.2">
      <c r="A553" s="179"/>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c r="AA553" s="108"/>
      <c r="AB553" s="108"/>
      <c r="AC553" s="108"/>
      <c r="AD553" s="108"/>
      <c r="AE553" s="108"/>
      <c r="AF553" s="108"/>
      <c r="AG553" s="108"/>
      <c r="AH553" s="108"/>
      <c r="AI553" s="108"/>
      <c r="AJ553" s="108"/>
      <c r="AK553" s="108"/>
      <c r="AL553" s="108"/>
      <c r="AM553" s="108"/>
      <c r="AN553" s="108"/>
      <c r="AO553" s="108"/>
    </row>
    <row r="554" spans="1:41" ht="12" customHeight="1" x14ac:dyDescent="0.2">
      <c r="A554" s="179"/>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c r="AA554" s="108"/>
      <c r="AB554" s="108"/>
      <c r="AC554" s="108"/>
      <c r="AD554" s="108"/>
      <c r="AE554" s="108"/>
      <c r="AF554" s="108"/>
      <c r="AG554" s="108"/>
      <c r="AH554" s="108"/>
      <c r="AI554" s="108"/>
      <c r="AJ554" s="108"/>
      <c r="AK554" s="108"/>
      <c r="AL554" s="108"/>
      <c r="AM554" s="108"/>
      <c r="AN554" s="108"/>
      <c r="AO554" s="108"/>
    </row>
    <row r="555" spans="1:41" ht="12" customHeight="1" x14ac:dyDescent="0.2">
      <c r="A555" s="179"/>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c r="AA555" s="108"/>
      <c r="AB555" s="108"/>
      <c r="AC555" s="108"/>
      <c r="AD555" s="108"/>
      <c r="AE555" s="108"/>
      <c r="AF555" s="108"/>
      <c r="AG555" s="108"/>
      <c r="AH555" s="108"/>
      <c r="AI555" s="108"/>
      <c r="AJ555" s="108"/>
      <c r="AK555" s="108"/>
      <c r="AL555" s="108"/>
      <c r="AM555" s="108"/>
      <c r="AN555" s="108"/>
      <c r="AO555" s="108"/>
    </row>
    <row r="556" spans="1:41" ht="12" customHeight="1" x14ac:dyDescent="0.2">
      <c r="A556" s="179"/>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c r="AA556" s="108"/>
      <c r="AB556" s="108"/>
      <c r="AC556" s="108"/>
      <c r="AD556" s="108"/>
      <c r="AE556" s="108"/>
      <c r="AF556" s="108"/>
      <c r="AG556" s="108"/>
      <c r="AH556" s="108"/>
      <c r="AI556" s="108"/>
      <c r="AJ556" s="108"/>
      <c r="AK556" s="108"/>
      <c r="AL556" s="108"/>
      <c r="AM556" s="108"/>
      <c r="AN556" s="108"/>
      <c r="AO556" s="108"/>
    </row>
    <row r="557" spans="1:41" ht="12" customHeight="1" x14ac:dyDescent="0.2">
      <c r="A557" s="179"/>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c r="AA557" s="108"/>
      <c r="AB557" s="108"/>
      <c r="AC557" s="108"/>
      <c r="AD557" s="108"/>
      <c r="AE557" s="108"/>
      <c r="AF557" s="108"/>
      <c r="AG557" s="108"/>
      <c r="AH557" s="108"/>
      <c r="AI557" s="108"/>
      <c r="AJ557" s="108"/>
      <c r="AK557" s="108"/>
      <c r="AL557" s="108"/>
      <c r="AM557" s="108"/>
      <c r="AN557" s="108"/>
      <c r="AO557" s="108"/>
    </row>
    <row r="558" spans="1:41" ht="12" customHeight="1" x14ac:dyDescent="0.2">
      <c r="A558" s="179"/>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c r="AA558" s="108"/>
      <c r="AB558" s="108"/>
      <c r="AC558" s="108"/>
      <c r="AD558" s="108"/>
      <c r="AE558" s="108"/>
      <c r="AF558" s="108"/>
      <c r="AG558" s="108"/>
      <c r="AH558" s="108"/>
      <c r="AI558" s="108"/>
      <c r="AJ558" s="108"/>
      <c r="AK558" s="108"/>
      <c r="AL558" s="108"/>
      <c r="AM558" s="108"/>
      <c r="AN558" s="108"/>
      <c r="AO558" s="108"/>
    </row>
    <row r="559" spans="1:41" ht="12" customHeight="1" x14ac:dyDescent="0.2">
      <c r="A559" s="179"/>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c r="AA559" s="108"/>
      <c r="AB559" s="108"/>
      <c r="AC559" s="108"/>
      <c r="AD559" s="108"/>
      <c r="AE559" s="108"/>
      <c r="AF559" s="108"/>
      <c r="AG559" s="108"/>
      <c r="AH559" s="108"/>
      <c r="AI559" s="108"/>
      <c r="AJ559" s="108"/>
      <c r="AK559" s="108"/>
      <c r="AL559" s="108"/>
      <c r="AM559" s="108"/>
      <c r="AN559" s="108"/>
      <c r="AO559" s="108"/>
    </row>
    <row r="560" spans="1:41" ht="12" customHeight="1" x14ac:dyDescent="0.2">
      <c r="A560" s="179"/>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c r="AA560" s="108"/>
      <c r="AB560" s="108"/>
      <c r="AC560" s="108"/>
      <c r="AD560" s="108"/>
      <c r="AE560" s="108"/>
      <c r="AF560" s="108"/>
      <c r="AG560" s="108"/>
      <c r="AH560" s="108"/>
      <c r="AI560" s="108"/>
      <c r="AJ560" s="108"/>
      <c r="AK560" s="108"/>
      <c r="AL560" s="108"/>
      <c r="AM560" s="108"/>
      <c r="AN560" s="108"/>
      <c r="AO560" s="108"/>
    </row>
    <row r="561" spans="1:41" ht="12" customHeight="1" x14ac:dyDescent="0.2">
      <c r="A561" s="179"/>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c r="AA561" s="108"/>
      <c r="AB561" s="108"/>
      <c r="AC561" s="108"/>
      <c r="AD561" s="108"/>
      <c r="AE561" s="108"/>
      <c r="AF561" s="108"/>
      <c r="AG561" s="108"/>
      <c r="AH561" s="108"/>
      <c r="AI561" s="108"/>
      <c r="AJ561" s="108"/>
      <c r="AK561" s="108"/>
      <c r="AL561" s="108"/>
      <c r="AM561" s="108"/>
      <c r="AN561" s="108"/>
      <c r="AO561" s="108"/>
    </row>
    <row r="562" spans="1:41" ht="12" customHeight="1" x14ac:dyDescent="0.2">
      <c r="A562" s="179"/>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c r="AA562" s="108"/>
      <c r="AB562" s="108"/>
      <c r="AC562" s="108"/>
      <c r="AD562" s="108"/>
      <c r="AE562" s="108"/>
      <c r="AF562" s="108"/>
      <c r="AG562" s="108"/>
      <c r="AH562" s="108"/>
      <c r="AI562" s="108"/>
      <c r="AJ562" s="108"/>
      <c r="AK562" s="108"/>
      <c r="AL562" s="108"/>
      <c r="AM562" s="108"/>
      <c r="AN562" s="108"/>
      <c r="AO562" s="108"/>
    </row>
    <row r="563" spans="1:41" ht="12" customHeight="1" x14ac:dyDescent="0.2">
      <c r="A563" s="179"/>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c r="AA563" s="108"/>
      <c r="AB563" s="108"/>
      <c r="AC563" s="108"/>
      <c r="AD563" s="108"/>
      <c r="AE563" s="108"/>
      <c r="AF563" s="108"/>
      <c r="AG563" s="108"/>
      <c r="AH563" s="108"/>
      <c r="AI563" s="108"/>
      <c r="AJ563" s="108"/>
      <c r="AK563" s="108"/>
      <c r="AL563" s="108"/>
      <c r="AM563" s="108"/>
      <c r="AN563" s="108"/>
      <c r="AO563" s="108"/>
    </row>
    <row r="564" spans="1:41" ht="12" customHeight="1" x14ac:dyDescent="0.2">
      <c r="A564" s="179"/>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c r="AA564" s="108"/>
      <c r="AB564" s="108"/>
      <c r="AC564" s="108"/>
      <c r="AD564" s="108"/>
      <c r="AE564" s="108"/>
      <c r="AF564" s="108"/>
      <c r="AG564" s="108"/>
      <c r="AH564" s="108"/>
      <c r="AI564" s="108"/>
      <c r="AJ564" s="108"/>
      <c r="AK564" s="108"/>
      <c r="AL564" s="108"/>
      <c r="AM564" s="108"/>
      <c r="AN564" s="108"/>
      <c r="AO564" s="108"/>
    </row>
    <row r="565" spans="1:41" ht="12" customHeight="1" x14ac:dyDescent="0.2">
      <c r="A565" s="179"/>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c r="AA565" s="108"/>
      <c r="AB565" s="108"/>
      <c r="AC565" s="108"/>
      <c r="AD565" s="108"/>
      <c r="AE565" s="108"/>
      <c r="AF565" s="108"/>
      <c r="AG565" s="108"/>
      <c r="AH565" s="108"/>
      <c r="AI565" s="108"/>
      <c r="AJ565" s="108"/>
      <c r="AK565" s="108"/>
      <c r="AL565" s="108"/>
      <c r="AM565" s="108"/>
      <c r="AN565" s="108"/>
      <c r="AO565" s="108"/>
    </row>
    <row r="566" spans="1:41" ht="12" customHeight="1" x14ac:dyDescent="0.2">
      <c r="A566" s="179"/>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c r="AA566" s="108"/>
      <c r="AB566" s="108"/>
      <c r="AC566" s="108"/>
      <c r="AD566" s="108"/>
      <c r="AE566" s="108"/>
      <c r="AF566" s="108"/>
      <c r="AG566" s="108"/>
      <c r="AH566" s="108"/>
      <c r="AI566" s="108"/>
      <c r="AJ566" s="108"/>
      <c r="AK566" s="108"/>
      <c r="AL566" s="108"/>
      <c r="AM566" s="108"/>
      <c r="AN566" s="108"/>
      <c r="AO566" s="108"/>
    </row>
    <row r="567" spans="1:41" ht="12" customHeight="1" x14ac:dyDescent="0.2">
      <c r="A567" s="179"/>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c r="AA567" s="108"/>
      <c r="AB567" s="108"/>
      <c r="AC567" s="108"/>
      <c r="AD567" s="108"/>
      <c r="AE567" s="108"/>
      <c r="AF567" s="108"/>
      <c r="AG567" s="108"/>
      <c r="AH567" s="108"/>
      <c r="AI567" s="108"/>
      <c r="AJ567" s="108"/>
      <c r="AK567" s="108"/>
      <c r="AL567" s="108"/>
      <c r="AM567" s="108"/>
      <c r="AN567" s="108"/>
      <c r="AO567" s="108"/>
    </row>
    <row r="568" spans="1:41" ht="12" customHeight="1" x14ac:dyDescent="0.2">
      <c r="A568" s="179"/>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c r="AA568" s="108"/>
      <c r="AB568" s="108"/>
      <c r="AC568" s="108"/>
      <c r="AD568" s="108"/>
      <c r="AE568" s="108"/>
      <c r="AF568" s="108"/>
      <c r="AG568" s="108"/>
      <c r="AH568" s="108"/>
      <c r="AI568" s="108"/>
      <c r="AJ568" s="108"/>
      <c r="AK568" s="108"/>
      <c r="AL568" s="108"/>
      <c r="AM568" s="108"/>
      <c r="AN568" s="108"/>
      <c r="AO568" s="108"/>
    </row>
    <row r="569" spans="1:41" ht="12" customHeight="1" x14ac:dyDescent="0.2">
      <c r="A569" s="179"/>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c r="AA569" s="108"/>
      <c r="AB569" s="108"/>
      <c r="AC569" s="108"/>
      <c r="AD569" s="108"/>
      <c r="AE569" s="108"/>
      <c r="AF569" s="108"/>
      <c r="AG569" s="108"/>
      <c r="AH569" s="108"/>
      <c r="AI569" s="108"/>
      <c r="AJ569" s="108"/>
      <c r="AK569" s="108"/>
      <c r="AL569" s="108"/>
      <c r="AM569" s="108"/>
      <c r="AN569" s="108"/>
      <c r="AO569" s="108"/>
    </row>
    <row r="570" spans="1:41" ht="12" customHeight="1" x14ac:dyDescent="0.2">
      <c r="A570" s="179"/>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c r="AA570" s="108"/>
      <c r="AB570" s="108"/>
      <c r="AC570" s="108"/>
      <c r="AD570" s="108"/>
      <c r="AE570" s="108"/>
      <c r="AF570" s="108"/>
      <c r="AG570" s="108"/>
      <c r="AH570" s="108"/>
      <c r="AI570" s="108"/>
      <c r="AJ570" s="108"/>
      <c r="AK570" s="108"/>
      <c r="AL570" s="108"/>
      <c r="AM570" s="108"/>
      <c r="AN570" s="108"/>
      <c r="AO570" s="108"/>
    </row>
    <row r="571" spans="1:41" ht="12" customHeight="1" x14ac:dyDescent="0.2">
      <c r="A571" s="179"/>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c r="AA571" s="108"/>
      <c r="AB571" s="108"/>
      <c r="AC571" s="108"/>
      <c r="AD571" s="108"/>
      <c r="AE571" s="108"/>
      <c r="AF571" s="108"/>
      <c r="AG571" s="108"/>
      <c r="AH571" s="108"/>
      <c r="AI571" s="108"/>
      <c r="AJ571" s="108"/>
      <c r="AK571" s="108"/>
      <c r="AL571" s="108"/>
      <c r="AM571" s="108"/>
      <c r="AN571" s="108"/>
      <c r="AO571" s="108"/>
    </row>
    <row r="572" spans="1:41" ht="12" customHeight="1" x14ac:dyDescent="0.2">
      <c r="A572" s="179"/>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c r="AA572" s="108"/>
      <c r="AB572" s="108"/>
      <c r="AC572" s="108"/>
      <c r="AD572" s="108"/>
      <c r="AE572" s="108"/>
      <c r="AF572" s="108"/>
      <c r="AG572" s="108"/>
      <c r="AH572" s="108"/>
      <c r="AI572" s="108"/>
      <c r="AJ572" s="108"/>
      <c r="AK572" s="108"/>
      <c r="AL572" s="108"/>
      <c r="AM572" s="108"/>
      <c r="AN572" s="108"/>
      <c r="AO572" s="108"/>
    </row>
    <row r="573" spans="1:41" ht="12" customHeight="1" x14ac:dyDescent="0.2">
      <c r="A573" s="179"/>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c r="AA573" s="108"/>
      <c r="AB573" s="108"/>
      <c r="AC573" s="108"/>
      <c r="AD573" s="108"/>
      <c r="AE573" s="108"/>
      <c r="AF573" s="108"/>
      <c r="AG573" s="108"/>
      <c r="AH573" s="108"/>
      <c r="AI573" s="108"/>
      <c r="AJ573" s="108"/>
      <c r="AK573" s="108"/>
      <c r="AL573" s="108"/>
      <c r="AM573" s="108"/>
      <c r="AN573" s="108"/>
      <c r="AO573" s="108"/>
    </row>
    <row r="574" spans="1:41" ht="12" customHeight="1" x14ac:dyDescent="0.2">
      <c r="A574" s="179"/>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c r="AA574" s="108"/>
      <c r="AB574" s="108"/>
      <c r="AC574" s="108"/>
      <c r="AD574" s="108"/>
      <c r="AE574" s="108"/>
      <c r="AF574" s="108"/>
      <c r="AG574" s="108"/>
      <c r="AH574" s="108"/>
      <c r="AI574" s="108"/>
      <c r="AJ574" s="108"/>
      <c r="AK574" s="108"/>
      <c r="AL574" s="108"/>
      <c r="AM574" s="108"/>
      <c r="AN574" s="108"/>
      <c r="AO574" s="108"/>
    </row>
    <row r="575" spans="1:41" ht="12" customHeight="1" x14ac:dyDescent="0.2">
      <c r="A575" s="179"/>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c r="AA575" s="108"/>
      <c r="AB575" s="108"/>
      <c r="AC575" s="108"/>
      <c r="AD575" s="108"/>
      <c r="AE575" s="108"/>
      <c r="AF575" s="108"/>
      <c r="AG575" s="108"/>
      <c r="AH575" s="108"/>
      <c r="AI575" s="108"/>
      <c r="AJ575" s="108"/>
      <c r="AK575" s="108"/>
      <c r="AL575" s="108"/>
      <c r="AM575" s="108"/>
      <c r="AN575" s="108"/>
      <c r="AO575" s="108"/>
    </row>
    <row r="576" spans="1:41" ht="12" customHeight="1" x14ac:dyDescent="0.2">
      <c r="A576" s="179"/>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c r="AA576" s="108"/>
      <c r="AB576" s="108"/>
      <c r="AC576" s="108"/>
      <c r="AD576" s="108"/>
      <c r="AE576" s="108"/>
      <c r="AF576" s="108"/>
      <c r="AG576" s="108"/>
      <c r="AH576" s="108"/>
      <c r="AI576" s="108"/>
      <c r="AJ576" s="108"/>
      <c r="AK576" s="108"/>
      <c r="AL576" s="108"/>
      <c r="AM576" s="108"/>
      <c r="AN576" s="108"/>
      <c r="AO576" s="108"/>
    </row>
    <row r="577" spans="1:41" ht="12" customHeight="1" x14ac:dyDescent="0.2">
      <c r="A577" s="179"/>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c r="AA577" s="108"/>
      <c r="AB577" s="108"/>
      <c r="AC577" s="108"/>
      <c r="AD577" s="108"/>
      <c r="AE577" s="108"/>
      <c r="AF577" s="108"/>
      <c r="AG577" s="108"/>
      <c r="AH577" s="108"/>
      <c r="AI577" s="108"/>
      <c r="AJ577" s="108"/>
      <c r="AK577" s="108"/>
      <c r="AL577" s="108"/>
      <c r="AM577" s="108"/>
      <c r="AN577" s="108"/>
      <c r="AO577" s="108"/>
    </row>
    <row r="578" spans="1:41" ht="12" customHeight="1" x14ac:dyDescent="0.2">
      <c r="A578" s="179"/>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c r="AA578" s="108"/>
      <c r="AB578" s="108"/>
      <c r="AC578" s="108"/>
      <c r="AD578" s="108"/>
      <c r="AE578" s="108"/>
      <c r="AF578" s="108"/>
      <c r="AG578" s="108"/>
      <c r="AH578" s="108"/>
      <c r="AI578" s="108"/>
      <c r="AJ578" s="108"/>
      <c r="AK578" s="108"/>
      <c r="AL578" s="108"/>
      <c r="AM578" s="108"/>
      <c r="AN578" s="108"/>
      <c r="AO578" s="108"/>
    </row>
    <row r="579" spans="1:41" ht="12" customHeight="1" x14ac:dyDescent="0.2">
      <c r="A579" s="179"/>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c r="AA579" s="108"/>
      <c r="AB579" s="108"/>
      <c r="AC579" s="108"/>
      <c r="AD579" s="108"/>
      <c r="AE579" s="108"/>
      <c r="AF579" s="108"/>
      <c r="AG579" s="108"/>
      <c r="AH579" s="108"/>
      <c r="AI579" s="108"/>
      <c r="AJ579" s="108"/>
      <c r="AK579" s="108"/>
      <c r="AL579" s="108"/>
      <c r="AM579" s="108"/>
      <c r="AN579" s="108"/>
      <c r="AO579" s="108"/>
    </row>
    <row r="580" spans="1:41" ht="12" customHeight="1" x14ac:dyDescent="0.2">
      <c r="A580" s="179"/>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c r="AA580" s="108"/>
      <c r="AB580" s="108"/>
      <c r="AC580" s="108"/>
      <c r="AD580" s="108"/>
      <c r="AE580" s="108"/>
      <c r="AF580" s="108"/>
      <c r="AG580" s="108"/>
      <c r="AH580" s="108"/>
      <c r="AI580" s="108"/>
      <c r="AJ580" s="108"/>
      <c r="AK580" s="108"/>
      <c r="AL580" s="108"/>
      <c r="AM580" s="108"/>
      <c r="AN580" s="108"/>
      <c r="AO580" s="108"/>
    </row>
    <row r="581" spans="1:41" ht="12" customHeight="1" x14ac:dyDescent="0.2">
      <c r="A581" s="179"/>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c r="AA581" s="108"/>
      <c r="AB581" s="108"/>
      <c r="AC581" s="108"/>
      <c r="AD581" s="108"/>
      <c r="AE581" s="108"/>
      <c r="AF581" s="108"/>
      <c r="AG581" s="108"/>
      <c r="AH581" s="108"/>
      <c r="AI581" s="108"/>
      <c r="AJ581" s="108"/>
      <c r="AK581" s="108"/>
      <c r="AL581" s="108"/>
      <c r="AM581" s="108"/>
      <c r="AN581" s="108"/>
      <c r="AO581" s="108"/>
    </row>
    <row r="582" spans="1:41" ht="12" customHeight="1" x14ac:dyDescent="0.2">
      <c r="A582" s="179"/>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c r="AA582" s="108"/>
      <c r="AB582" s="108"/>
      <c r="AC582" s="108"/>
      <c r="AD582" s="108"/>
      <c r="AE582" s="108"/>
      <c r="AF582" s="108"/>
      <c r="AG582" s="108"/>
      <c r="AH582" s="108"/>
      <c r="AI582" s="108"/>
      <c r="AJ582" s="108"/>
      <c r="AK582" s="108"/>
      <c r="AL582" s="108"/>
      <c r="AM582" s="108"/>
      <c r="AN582" s="108"/>
      <c r="AO582" s="108"/>
    </row>
    <row r="583" spans="1:41" ht="12" customHeight="1" x14ac:dyDescent="0.2">
      <c r="A583" s="179"/>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c r="AA583" s="108"/>
      <c r="AB583" s="108"/>
      <c r="AC583" s="108"/>
      <c r="AD583" s="108"/>
      <c r="AE583" s="108"/>
      <c r="AF583" s="108"/>
      <c r="AG583" s="108"/>
      <c r="AH583" s="108"/>
      <c r="AI583" s="108"/>
      <c r="AJ583" s="108"/>
      <c r="AK583" s="108"/>
      <c r="AL583" s="108"/>
      <c r="AM583" s="108"/>
      <c r="AN583" s="108"/>
      <c r="AO583" s="108"/>
    </row>
    <row r="584" spans="1:41" ht="12" customHeight="1" x14ac:dyDescent="0.2">
      <c r="A584" s="179"/>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c r="AA584" s="108"/>
      <c r="AB584" s="108"/>
      <c r="AC584" s="108"/>
      <c r="AD584" s="108"/>
      <c r="AE584" s="108"/>
      <c r="AF584" s="108"/>
      <c r="AG584" s="108"/>
      <c r="AH584" s="108"/>
      <c r="AI584" s="108"/>
      <c r="AJ584" s="108"/>
      <c r="AK584" s="108"/>
      <c r="AL584" s="108"/>
      <c r="AM584" s="108"/>
      <c r="AN584" s="108"/>
      <c r="AO584" s="108"/>
    </row>
    <row r="585" spans="1:41" ht="12" customHeight="1" x14ac:dyDescent="0.2">
      <c r="A585" s="179"/>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c r="AA585" s="108"/>
      <c r="AB585" s="108"/>
      <c r="AC585" s="108"/>
      <c r="AD585" s="108"/>
      <c r="AE585" s="108"/>
      <c r="AF585" s="108"/>
      <c r="AG585" s="108"/>
      <c r="AH585" s="108"/>
      <c r="AI585" s="108"/>
      <c r="AJ585" s="108"/>
      <c r="AK585" s="108"/>
      <c r="AL585" s="108"/>
      <c r="AM585" s="108"/>
      <c r="AN585" s="108"/>
      <c r="AO585" s="108"/>
    </row>
    <row r="586" spans="1:41" ht="12" customHeight="1" x14ac:dyDescent="0.2">
      <c r="A586" s="179"/>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c r="AA586" s="108"/>
      <c r="AB586" s="108"/>
      <c r="AC586" s="108"/>
      <c r="AD586" s="108"/>
      <c r="AE586" s="108"/>
      <c r="AF586" s="108"/>
      <c r="AG586" s="108"/>
      <c r="AH586" s="108"/>
      <c r="AI586" s="108"/>
      <c r="AJ586" s="108"/>
      <c r="AK586" s="108"/>
      <c r="AL586" s="108"/>
      <c r="AM586" s="108"/>
      <c r="AN586" s="108"/>
      <c r="AO586" s="108"/>
    </row>
    <row r="587" spans="1:41" ht="12" customHeight="1" x14ac:dyDescent="0.2">
      <c r="A587" s="179"/>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c r="AA587" s="108"/>
      <c r="AB587" s="108"/>
      <c r="AC587" s="108"/>
      <c r="AD587" s="108"/>
      <c r="AE587" s="108"/>
      <c r="AF587" s="108"/>
      <c r="AG587" s="108"/>
      <c r="AH587" s="108"/>
      <c r="AI587" s="108"/>
      <c r="AJ587" s="108"/>
      <c r="AK587" s="108"/>
      <c r="AL587" s="108"/>
      <c r="AM587" s="108"/>
      <c r="AN587" s="108"/>
      <c r="AO587" s="108"/>
    </row>
    <row r="588" spans="1:41" ht="12" customHeight="1" x14ac:dyDescent="0.2">
      <c r="A588" s="179"/>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c r="AA588" s="108"/>
      <c r="AB588" s="108"/>
      <c r="AC588" s="108"/>
      <c r="AD588" s="108"/>
      <c r="AE588" s="108"/>
      <c r="AF588" s="108"/>
      <c r="AG588" s="108"/>
      <c r="AH588" s="108"/>
      <c r="AI588" s="108"/>
      <c r="AJ588" s="108"/>
      <c r="AK588" s="108"/>
      <c r="AL588" s="108"/>
      <c r="AM588" s="108"/>
      <c r="AN588" s="108"/>
      <c r="AO588" s="108"/>
    </row>
    <row r="589" spans="1:41" ht="12" customHeight="1" x14ac:dyDescent="0.2">
      <c r="A589" s="179"/>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c r="AA589" s="108"/>
      <c r="AB589" s="108"/>
      <c r="AC589" s="108"/>
      <c r="AD589" s="108"/>
      <c r="AE589" s="108"/>
      <c r="AF589" s="108"/>
      <c r="AG589" s="108"/>
      <c r="AH589" s="108"/>
      <c r="AI589" s="108"/>
      <c r="AJ589" s="108"/>
      <c r="AK589" s="108"/>
      <c r="AL589" s="108"/>
      <c r="AM589" s="108"/>
      <c r="AN589" s="108"/>
      <c r="AO589" s="108"/>
    </row>
    <row r="590" spans="1:41" ht="12" customHeight="1" x14ac:dyDescent="0.2">
      <c r="A590" s="179"/>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c r="AA590" s="108"/>
      <c r="AB590" s="108"/>
      <c r="AC590" s="108"/>
      <c r="AD590" s="108"/>
      <c r="AE590" s="108"/>
      <c r="AF590" s="108"/>
      <c r="AG590" s="108"/>
      <c r="AH590" s="108"/>
      <c r="AI590" s="108"/>
      <c r="AJ590" s="108"/>
      <c r="AK590" s="108"/>
      <c r="AL590" s="108"/>
      <c r="AM590" s="108"/>
      <c r="AN590" s="108"/>
      <c r="AO590" s="108"/>
    </row>
    <row r="591" spans="1:41" ht="12" customHeight="1" x14ac:dyDescent="0.2">
      <c r="A591" s="179"/>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c r="AA591" s="108"/>
      <c r="AB591" s="108"/>
      <c r="AC591" s="108"/>
      <c r="AD591" s="108"/>
      <c r="AE591" s="108"/>
      <c r="AF591" s="108"/>
      <c r="AG591" s="108"/>
      <c r="AH591" s="108"/>
      <c r="AI591" s="108"/>
      <c r="AJ591" s="108"/>
      <c r="AK591" s="108"/>
      <c r="AL591" s="108"/>
      <c r="AM591" s="108"/>
      <c r="AN591" s="108"/>
      <c r="AO591" s="108"/>
    </row>
    <row r="592" spans="1:41" ht="12" customHeight="1" x14ac:dyDescent="0.2">
      <c r="A592" s="179"/>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c r="AA592" s="108"/>
      <c r="AB592" s="108"/>
      <c r="AC592" s="108"/>
      <c r="AD592" s="108"/>
      <c r="AE592" s="108"/>
      <c r="AF592" s="108"/>
      <c r="AG592" s="108"/>
      <c r="AH592" s="108"/>
      <c r="AI592" s="108"/>
      <c r="AJ592" s="108"/>
      <c r="AK592" s="108"/>
      <c r="AL592" s="108"/>
      <c r="AM592" s="108"/>
      <c r="AN592" s="108"/>
      <c r="AO592" s="108"/>
    </row>
    <row r="593" spans="1:41" ht="12" customHeight="1" x14ac:dyDescent="0.2">
      <c r="A593" s="179"/>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c r="AA593" s="108"/>
      <c r="AB593" s="108"/>
      <c r="AC593" s="108"/>
      <c r="AD593" s="108"/>
      <c r="AE593" s="108"/>
      <c r="AF593" s="108"/>
      <c r="AG593" s="108"/>
      <c r="AH593" s="108"/>
      <c r="AI593" s="108"/>
      <c r="AJ593" s="108"/>
      <c r="AK593" s="108"/>
      <c r="AL593" s="108"/>
      <c r="AM593" s="108"/>
      <c r="AN593" s="108"/>
      <c r="AO593" s="108"/>
    </row>
    <row r="594" spans="1:41" ht="12" customHeight="1" x14ac:dyDescent="0.2">
      <c r="A594" s="179"/>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c r="AA594" s="108"/>
      <c r="AB594" s="108"/>
      <c r="AC594" s="108"/>
      <c r="AD594" s="108"/>
      <c r="AE594" s="108"/>
      <c r="AF594" s="108"/>
      <c r="AG594" s="108"/>
      <c r="AH594" s="108"/>
      <c r="AI594" s="108"/>
      <c r="AJ594" s="108"/>
      <c r="AK594" s="108"/>
      <c r="AL594" s="108"/>
      <c r="AM594" s="108"/>
      <c r="AN594" s="108"/>
      <c r="AO594" s="108"/>
    </row>
    <row r="595" spans="1:41" ht="12" customHeight="1" x14ac:dyDescent="0.2">
      <c r="A595" s="179"/>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c r="AA595" s="108"/>
      <c r="AB595" s="108"/>
      <c r="AC595" s="108"/>
      <c r="AD595" s="108"/>
      <c r="AE595" s="108"/>
      <c r="AF595" s="108"/>
      <c r="AG595" s="108"/>
      <c r="AH595" s="108"/>
      <c r="AI595" s="108"/>
      <c r="AJ595" s="108"/>
      <c r="AK595" s="108"/>
      <c r="AL595" s="108"/>
      <c r="AM595" s="108"/>
      <c r="AN595" s="108"/>
      <c r="AO595" s="108"/>
    </row>
    <row r="596" spans="1:41" ht="12" customHeight="1" x14ac:dyDescent="0.2">
      <c r="A596" s="179"/>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c r="AA596" s="108"/>
      <c r="AB596" s="108"/>
      <c r="AC596" s="108"/>
      <c r="AD596" s="108"/>
      <c r="AE596" s="108"/>
      <c r="AF596" s="108"/>
      <c r="AG596" s="108"/>
      <c r="AH596" s="108"/>
      <c r="AI596" s="108"/>
      <c r="AJ596" s="108"/>
      <c r="AK596" s="108"/>
      <c r="AL596" s="108"/>
      <c r="AM596" s="108"/>
      <c r="AN596" s="108"/>
      <c r="AO596" s="108"/>
    </row>
    <row r="597" spans="1:41" ht="12" customHeight="1" x14ac:dyDescent="0.2">
      <c r="A597" s="179"/>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c r="AA597" s="108"/>
      <c r="AB597" s="108"/>
      <c r="AC597" s="108"/>
      <c r="AD597" s="108"/>
      <c r="AE597" s="108"/>
      <c r="AF597" s="108"/>
      <c r="AG597" s="108"/>
      <c r="AH597" s="108"/>
      <c r="AI597" s="108"/>
      <c r="AJ597" s="108"/>
      <c r="AK597" s="108"/>
      <c r="AL597" s="108"/>
      <c r="AM597" s="108"/>
      <c r="AN597" s="108"/>
      <c r="AO597" s="108"/>
    </row>
    <row r="598" spans="1:41" ht="12" customHeight="1" x14ac:dyDescent="0.2">
      <c r="A598" s="179"/>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c r="AA598" s="108"/>
      <c r="AB598" s="108"/>
      <c r="AC598" s="108"/>
      <c r="AD598" s="108"/>
      <c r="AE598" s="108"/>
      <c r="AF598" s="108"/>
      <c r="AG598" s="108"/>
      <c r="AH598" s="108"/>
      <c r="AI598" s="108"/>
      <c r="AJ598" s="108"/>
      <c r="AK598" s="108"/>
      <c r="AL598" s="108"/>
      <c r="AM598" s="108"/>
      <c r="AN598" s="108"/>
      <c r="AO598" s="108"/>
    </row>
    <row r="599" spans="1:41" ht="12" customHeight="1" x14ac:dyDescent="0.2">
      <c r="A599" s="179"/>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c r="AA599" s="108"/>
      <c r="AB599" s="108"/>
      <c r="AC599" s="108"/>
      <c r="AD599" s="108"/>
      <c r="AE599" s="108"/>
      <c r="AF599" s="108"/>
      <c r="AG599" s="108"/>
      <c r="AH599" s="108"/>
      <c r="AI599" s="108"/>
      <c r="AJ599" s="108"/>
      <c r="AK599" s="108"/>
      <c r="AL599" s="108"/>
      <c r="AM599" s="108"/>
      <c r="AN599" s="108"/>
      <c r="AO599" s="108"/>
    </row>
    <row r="600" spans="1:41" ht="12" customHeight="1" x14ac:dyDescent="0.2">
      <c r="A600" s="179"/>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c r="AA600" s="108"/>
      <c r="AB600" s="108"/>
      <c r="AC600" s="108"/>
      <c r="AD600" s="108"/>
      <c r="AE600" s="108"/>
      <c r="AF600" s="108"/>
      <c r="AG600" s="108"/>
      <c r="AH600" s="108"/>
      <c r="AI600" s="108"/>
      <c r="AJ600" s="108"/>
      <c r="AK600" s="108"/>
      <c r="AL600" s="108"/>
      <c r="AM600" s="108"/>
      <c r="AN600" s="108"/>
      <c r="AO600" s="108"/>
    </row>
    <row r="601" spans="1:41" ht="12" customHeight="1" x14ac:dyDescent="0.2">
      <c r="A601" s="179"/>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c r="AA601" s="108"/>
      <c r="AB601" s="108"/>
      <c r="AC601" s="108"/>
      <c r="AD601" s="108"/>
      <c r="AE601" s="108"/>
      <c r="AF601" s="108"/>
      <c r="AG601" s="108"/>
      <c r="AH601" s="108"/>
      <c r="AI601" s="108"/>
      <c r="AJ601" s="108"/>
      <c r="AK601" s="108"/>
      <c r="AL601" s="108"/>
      <c r="AM601" s="108"/>
      <c r="AN601" s="108"/>
      <c r="AO601" s="108"/>
    </row>
    <row r="602" spans="1:41" ht="12" customHeight="1" x14ac:dyDescent="0.2">
      <c r="A602" s="179"/>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c r="AA602" s="108"/>
      <c r="AB602" s="108"/>
      <c r="AC602" s="108"/>
      <c r="AD602" s="108"/>
      <c r="AE602" s="108"/>
      <c r="AF602" s="108"/>
      <c r="AG602" s="108"/>
      <c r="AH602" s="108"/>
      <c r="AI602" s="108"/>
      <c r="AJ602" s="108"/>
      <c r="AK602" s="108"/>
      <c r="AL602" s="108"/>
      <c r="AM602" s="108"/>
      <c r="AN602" s="108"/>
      <c r="AO602" s="108"/>
    </row>
    <row r="603" spans="1:41" ht="12" customHeight="1" x14ac:dyDescent="0.2">
      <c r="A603" s="179"/>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c r="AA603" s="108"/>
      <c r="AB603" s="108"/>
      <c r="AC603" s="108"/>
      <c r="AD603" s="108"/>
      <c r="AE603" s="108"/>
      <c r="AF603" s="108"/>
      <c r="AG603" s="108"/>
      <c r="AH603" s="108"/>
      <c r="AI603" s="108"/>
      <c r="AJ603" s="108"/>
      <c r="AK603" s="108"/>
      <c r="AL603" s="108"/>
      <c r="AM603" s="108"/>
      <c r="AN603" s="108"/>
      <c r="AO603" s="108"/>
    </row>
    <row r="604" spans="1:41" ht="12" customHeight="1" x14ac:dyDescent="0.2">
      <c r="A604" s="179"/>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c r="AA604" s="108"/>
      <c r="AB604" s="108"/>
      <c r="AC604" s="108"/>
      <c r="AD604" s="108"/>
      <c r="AE604" s="108"/>
      <c r="AF604" s="108"/>
      <c r="AG604" s="108"/>
      <c r="AH604" s="108"/>
      <c r="AI604" s="108"/>
      <c r="AJ604" s="108"/>
      <c r="AK604" s="108"/>
      <c r="AL604" s="108"/>
      <c r="AM604" s="108"/>
      <c r="AN604" s="108"/>
      <c r="AO604" s="108"/>
    </row>
    <row r="605" spans="1:41" ht="12" customHeight="1" x14ac:dyDescent="0.2">
      <c r="A605" s="179"/>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c r="AA605" s="108"/>
      <c r="AB605" s="108"/>
      <c r="AC605" s="108"/>
      <c r="AD605" s="108"/>
      <c r="AE605" s="108"/>
      <c r="AF605" s="108"/>
      <c r="AG605" s="108"/>
      <c r="AH605" s="108"/>
      <c r="AI605" s="108"/>
      <c r="AJ605" s="108"/>
      <c r="AK605" s="108"/>
      <c r="AL605" s="108"/>
      <c r="AM605" s="108"/>
      <c r="AN605" s="108"/>
      <c r="AO605" s="108"/>
    </row>
    <row r="606" spans="1:41" ht="12" customHeight="1" x14ac:dyDescent="0.2">
      <c r="A606" s="179"/>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c r="AA606" s="108"/>
      <c r="AB606" s="108"/>
      <c r="AC606" s="108"/>
      <c r="AD606" s="108"/>
      <c r="AE606" s="108"/>
      <c r="AF606" s="108"/>
      <c r="AG606" s="108"/>
      <c r="AH606" s="108"/>
      <c r="AI606" s="108"/>
      <c r="AJ606" s="108"/>
      <c r="AK606" s="108"/>
      <c r="AL606" s="108"/>
      <c r="AM606" s="108"/>
      <c r="AN606" s="108"/>
      <c r="AO606" s="108"/>
    </row>
    <row r="607" spans="1:41" ht="12" customHeight="1" x14ac:dyDescent="0.2">
      <c r="A607" s="179"/>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c r="AA607" s="108"/>
      <c r="AB607" s="108"/>
      <c r="AC607" s="108"/>
      <c r="AD607" s="108"/>
      <c r="AE607" s="108"/>
      <c r="AF607" s="108"/>
      <c r="AG607" s="108"/>
      <c r="AH607" s="108"/>
      <c r="AI607" s="108"/>
      <c r="AJ607" s="108"/>
      <c r="AK607" s="108"/>
      <c r="AL607" s="108"/>
      <c r="AM607" s="108"/>
      <c r="AN607" s="108"/>
      <c r="AO607" s="108"/>
    </row>
    <row r="608" spans="1:41" ht="12" customHeight="1" x14ac:dyDescent="0.2">
      <c r="A608" s="179"/>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c r="AA608" s="108"/>
      <c r="AB608" s="108"/>
      <c r="AC608" s="108"/>
      <c r="AD608" s="108"/>
      <c r="AE608" s="108"/>
      <c r="AF608" s="108"/>
      <c r="AG608" s="108"/>
      <c r="AH608" s="108"/>
      <c r="AI608" s="108"/>
      <c r="AJ608" s="108"/>
      <c r="AK608" s="108"/>
      <c r="AL608" s="108"/>
      <c r="AM608" s="108"/>
      <c r="AN608" s="108"/>
      <c r="AO608" s="108"/>
    </row>
    <row r="609" spans="1:41" ht="12" customHeight="1" x14ac:dyDescent="0.2">
      <c r="A609" s="179"/>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c r="AA609" s="108"/>
      <c r="AB609" s="108"/>
      <c r="AC609" s="108"/>
      <c r="AD609" s="108"/>
      <c r="AE609" s="108"/>
      <c r="AF609" s="108"/>
      <c r="AG609" s="108"/>
      <c r="AH609" s="108"/>
      <c r="AI609" s="108"/>
      <c r="AJ609" s="108"/>
      <c r="AK609" s="108"/>
      <c r="AL609" s="108"/>
      <c r="AM609" s="108"/>
      <c r="AN609" s="108"/>
      <c r="AO609" s="108"/>
    </row>
    <row r="610" spans="1:41" ht="12" customHeight="1" x14ac:dyDescent="0.2">
      <c r="A610" s="179"/>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c r="AA610" s="108"/>
      <c r="AB610" s="108"/>
      <c r="AC610" s="108"/>
      <c r="AD610" s="108"/>
      <c r="AE610" s="108"/>
      <c r="AF610" s="108"/>
      <c r="AG610" s="108"/>
      <c r="AH610" s="108"/>
      <c r="AI610" s="108"/>
      <c r="AJ610" s="108"/>
      <c r="AK610" s="108"/>
      <c r="AL610" s="108"/>
      <c r="AM610" s="108"/>
      <c r="AN610" s="108"/>
      <c r="AO610" s="108"/>
    </row>
    <row r="611" spans="1:41" ht="12" customHeight="1" x14ac:dyDescent="0.2">
      <c r="A611" s="179"/>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c r="AA611" s="108"/>
      <c r="AB611" s="108"/>
      <c r="AC611" s="108"/>
      <c r="AD611" s="108"/>
      <c r="AE611" s="108"/>
      <c r="AF611" s="108"/>
      <c r="AG611" s="108"/>
      <c r="AH611" s="108"/>
      <c r="AI611" s="108"/>
      <c r="AJ611" s="108"/>
      <c r="AK611" s="108"/>
      <c r="AL611" s="108"/>
      <c r="AM611" s="108"/>
      <c r="AN611" s="108"/>
      <c r="AO611" s="108"/>
    </row>
    <row r="612" spans="1:41" ht="12" customHeight="1" x14ac:dyDescent="0.2">
      <c r="A612" s="179"/>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c r="AA612" s="108"/>
      <c r="AB612" s="108"/>
      <c r="AC612" s="108"/>
      <c r="AD612" s="108"/>
      <c r="AE612" s="108"/>
      <c r="AF612" s="108"/>
      <c r="AG612" s="108"/>
      <c r="AH612" s="108"/>
      <c r="AI612" s="108"/>
      <c r="AJ612" s="108"/>
      <c r="AK612" s="108"/>
      <c r="AL612" s="108"/>
      <c r="AM612" s="108"/>
      <c r="AN612" s="108"/>
      <c r="AO612" s="108"/>
    </row>
    <row r="613" spans="1:41" ht="12" customHeight="1" x14ac:dyDescent="0.2">
      <c r="A613" s="179"/>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c r="AA613" s="108"/>
      <c r="AB613" s="108"/>
      <c r="AC613" s="108"/>
      <c r="AD613" s="108"/>
      <c r="AE613" s="108"/>
      <c r="AF613" s="108"/>
      <c r="AG613" s="108"/>
      <c r="AH613" s="108"/>
      <c r="AI613" s="108"/>
      <c r="AJ613" s="108"/>
      <c r="AK613" s="108"/>
      <c r="AL613" s="108"/>
      <c r="AM613" s="108"/>
      <c r="AN613" s="108"/>
      <c r="AO613" s="108"/>
    </row>
    <row r="614" spans="1:41" ht="12" customHeight="1" x14ac:dyDescent="0.2">
      <c r="A614" s="179"/>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c r="AA614" s="108"/>
      <c r="AB614" s="108"/>
      <c r="AC614" s="108"/>
      <c r="AD614" s="108"/>
      <c r="AE614" s="108"/>
      <c r="AF614" s="108"/>
      <c r="AG614" s="108"/>
      <c r="AH614" s="108"/>
      <c r="AI614" s="108"/>
      <c r="AJ614" s="108"/>
      <c r="AK614" s="108"/>
      <c r="AL614" s="108"/>
      <c r="AM614" s="108"/>
      <c r="AN614" s="108"/>
      <c r="AO614" s="108"/>
    </row>
    <row r="615" spans="1:41" ht="12" customHeight="1" x14ac:dyDescent="0.2">
      <c r="A615" s="179"/>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c r="AA615" s="108"/>
      <c r="AB615" s="108"/>
      <c r="AC615" s="108"/>
      <c r="AD615" s="108"/>
      <c r="AE615" s="108"/>
      <c r="AF615" s="108"/>
      <c r="AG615" s="108"/>
      <c r="AH615" s="108"/>
      <c r="AI615" s="108"/>
      <c r="AJ615" s="108"/>
      <c r="AK615" s="108"/>
      <c r="AL615" s="108"/>
      <c r="AM615" s="108"/>
      <c r="AN615" s="108"/>
      <c r="AO615" s="108"/>
    </row>
    <row r="616" spans="1:41" ht="12" customHeight="1" x14ac:dyDescent="0.2">
      <c r="A616" s="179"/>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c r="AA616" s="108"/>
      <c r="AB616" s="108"/>
      <c r="AC616" s="108"/>
      <c r="AD616" s="108"/>
      <c r="AE616" s="108"/>
      <c r="AF616" s="108"/>
      <c r="AG616" s="108"/>
      <c r="AH616" s="108"/>
      <c r="AI616" s="108"/>
      <c r="AJ616" s="108"/>
      <c r="AK616" s="108"/>
      <c r="AL616" s="108"/>
      <c r="AM616" s="108"/>
      <c r="AN616" s="108"/>
      <c r="AO616" s="108"/>
    </row>
    <row r="617" spans="1:41" ht="12" customHeight="1" x14ac:dyDescent="0.2">
      <c r="A617" s="179"/>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c r="AA617" s="108"/>
      <c r="AB617" s="108"/>
      <c r="AC617" s="108"/>
      <c r="AD617" s="108"/>
      <c r="AE617" s="108"/>
      <c r="AF617" s="108"/>
      <c r="AG617" s="108"/>
      <c r="AH617" s="108"/>
      <c r="AI617" s="108"/>
      <c r="AJ617" s="108"/>
      <c r="AK617" s="108"/>
      <c r="AL617" s="108"/>
      <c r="AM617" s="108"/>
      <c r="AN617" s="108"/>
      <c r="AO617" s="108"/>
    </row>
    <row r="618" spans="1:41" ht="12" customHeight="1" x14ac:dyDescent="0.2">
      <c r="A618" s="179"/>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c r="AA618" s="108"/>
      <c r="AB618" s="108"/>
      <c r="AC618" s="108"/>
      <c r="AD618" s="108"/>
      <c r="AE618" s="108"/>
      <c r="AF618" s="108"/>
      <c r="AG618" s="108"/>
      <c r="AH618" s="108"/>
      <c r="AI618" s="108"/>
      <c r="AJ618" s="108"/>
      <c r="AK618" s="108"/>
      <c r="AL618" s="108"/>
      <c r="AM618" s="108"/>
      <c r="AN618" s="108"/>
      <c r="AO618" s="108"/>
    </row>
    <row r="619" spans="1:41" ht="12" customHeight="1" x14ac:dyDescent="0.2">
      <c r="A619" s="179"/>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c r="AA619" s="108"/>
      <c r="AB619" s="108"/>
      <c r="AC619" s="108"/>
      <c r="AD619" s="108"/>
      <c r="AE619" s="108"/>
      <c r="AF619" s="108"/>
      <c r="AG619" s="108"/>
      <c r="AH619" s="108"/>
      <c r="AI619" s="108"/>
      <c r="AJ619" s="108"/>
      <c r="AK619" s="108"/>
      <c r="AL619" s="108"/>
      <c r="AM619" s="108"/>
      <c r="AN619" s="108"/>
      <c r="AO619" s="108"/>
    </row>
    <row r="620" spans="1:41" ht="12" customHeight="1" x14ac:dyDescent="0.2">
      <c r="A620" s="179"/>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c r="AA620" s="108"/>
      <c r="AB620" s="108"/>
      <c r="AC620" s="108"/>
      <c r="AD620" s="108"/>
      <c r="AE620" s="108"/>
      <c r="AF620" s="108"/>
      <c r="AG620" s="108"/>
      <c r="AH620" s="108"/>
      <c r="AI620" s="108"/>
      <c r="AJ620" s="108"/>
      <c r="AK620" s="108"/>
      <c r="AL620" s="108"/>
      <c r="AM620" s="108"/>
      <c r="AN620" s="108"/>
      <c r="AO620" s="108"/>
    </row>
    <row r="621" spans="1:41" ht="12" customHeight="1" x14ac:dyDescent="0.2">
      <c r="A621" s="179"/>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c r="AA621" s="108"/>
      <c r="AB621" s="108"/>
      <c r="AC621" s="108"/>
      <c r="AD621" s="108"/>
      <c r="AE621" s="108"/>
      <c r="AF621" s="108"/>
      <c r="AG621" s="108"/>
      <c r="AH621" s="108"/>
      <c r="AI621" s="108"/>
      <c r="AJ621" s="108"/>
      <c r="AK621" s="108"/>
      <c r="AL621" s="108"/>
      <c r="AM621" s="108"/>
      <c r="AN621" s="108"/>
      <c r="AO621" s="108"/>
    </row>
    <row r="622" spans="1:41" ht="12" customHeight="1" x14ac:dyDescent="0.2">
      <c r="A622" s="179"/>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c r="AA622" s="108"/>
      <c r="AB622" s="108"/>
      <c r="AC622" s="108"/>
      <c r="AD622" s="108"/>
      <c r="AE622" s="108"/>
      <c r="AF622" s="108"/>
      <c r="AG622" s="108"/>
      <c r="AH622" s="108"/>
      <c r="AI622" s="108"/>
      <c r="AJ622" s="108"/>
      <c r="AK622" s="108"/>
      <c r="AL622" s="108"/>
      <c r="AM622" s="108"/>
      <c r="AN622" s="108"/>
      <c r="AO622" s="108"/>
    </row>
    <row r="623" spans="1:41" ht="12" customHeight="1" x14ac:dyDescent="0.2">
      <c r="A623" s="179"/>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c r="AA623" s="108"/>
      <c r="AB623" s="108"/>
      <c r="AC623" s="108"/>
      <c r="AD623" s="108"/>
      <c r="AE623" s="108"/>
      <c r="AF623" s="108"/>
      <c r="AG623" s="108"/>
      <c r="AH623" s="108"/>
      <c r="AI623" s="108"/>
      <c r="AJ623" s="108"/>
      <c r="AK623" s="108"/>
      <c r="AL623" s="108"/>
      <c r="AM623" s="108"/>
      <c r="AN623" s="108"/>
      <c r="AO623" s="108"/>
    </row>
    <row r="624" spans="1:41" ht="12" customHeight="1" x14ac:dyDescent="0.2">
      <c r="A624" s="179"/>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c r="AA624" s="108"/>
      <c r="AB624" s="108"/>
      <c r="AC624" s="108"/>
      <c r="AD624" s="108"/>
      <c r="AE624" s="108"/>
      <c r="AF624" s="108"/>
      <c r="AG624" s="108"/>
      <c r="AH624" s="108"/>
      <c r="AI624" s="108"/>
      <c r="AJ624" s="108"/>
      <c r="AK624" s="108"/>
      <c r="AL624" s="108"/>
      <c r="AM624" s="108"/>
      <c r="AN624" s="108"/>
      <c r="AO624" s="108"/>
    </row>
    <row r="625" spans="1:41" ht="12" customHeight="1" x14ac:dyDescent="0.2">
      <c r="A625" s="179"/>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c r="AA625" s="108"/>
      <c r="AB625" s="108"/>
      <c r="AC625" s="108"/>
      <c r="AD625" s="108"/>
      <c r="AE625" s="108"/>
      <c r="AF625" s="108"/>
      <c r="AG625" s="108"/>
      <c r="AH625" s="108"/>
      <c r="AI625" s="108"/>
      <c r="AJ625" s="108"/>
      <c r="AK625" s="108"/>
      <c r="AL625" s="108"/>
      <c r="AM625" s="108"/>
      <c r="AN625" s="108"/>
      <c r="AO625" s="108"/>
    </row>
    <row r="626" spans="1:41" ht="12" customHeight="1" x14ac:dyDescent="0.2">
      <c r="A626" s="179"/>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c r="AA626" s="108"/>
      <c r="AB626" s="108"/>
      <c r="AC626" s="108"/>
      <c r="AD626" s="108"/>
      <c r="AE626" s="108"/>
      <c r="AF626" s="108"/>
      <c r="AG626" s="108"/>
      <c r="AH626" s="108"/>
      <c r="AI626" s="108"/>
      <c r="AJ626" s="108"/>
      <c r="AK626" s="108"/>
      <c r="AL626" s="108"/>
      <c r="AM626" s="108"/>
      <c r="AN626" s="108"/>
      <c r="AO626" s="108"/>
    </row>
    <row r="627" spans="1:41" ht="12" customHeight="1" x14ac:dyDescent="0.2">
      <c r="A627" s="179"/>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c r="AA627" s="108"/>
      <c r="AB627" s="108"/>
      <c r="AC627" s="108"/>
      <c r="AD627" s="108"/>
      <c r="AE627" s="108"/>
      <c r="AF627" s="108"/>
      <c r="AG627" s="108"/>
      <c r="AH627" s="108"/>
      <c r="AI627" s="108"/>
      <c r="AJ627" s="108"/>
      <c r="AK627" s="108"/>
      <c r="AL627" s="108"/>
      <c r="AM627" s="108"/>
      <c r="AN627" s="108"/>
      <c r="AO627" s="108"/>
    </row>
    <row r="628" spans="1:41" ht="12" customHeight="1" x14ac:dyDescent="0.2">
      <c r="A628" s="179"/>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c r="AA628" s="108"/>
      <c r="AB628" s="108"/>
      <c r="AC628" s="108"/>
      <c r="AD628" s="108"/>
      <c r="AE628" s="108"/>
      <c r="AF628" s="108"/>
      <c r="AG628" s="108"/>
      <c r="AH628" s="108"/>
      <c r="AI628" s="108"/>
      <c r="AJ628" s="108"/>
      <c r="AK628" s="108"/>
      <c r="AL628" s="108"/>
      <c r="AM628" s="108"/>
      <c r="AN628" s="108"/>
      <c r="AO628" s="108"/>
    </row>
    <row r="629" spans="1:41" ht="12" customHeight="1" x14ac:dyDescent="0.2">
      <c r="A629" s="179"/>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c r="AA629" s="108"/>
      <c r="AB629" s="108"/>
      <c r="AC629" s="108"/>
      <c r="AD629" s="108"/>
      <c r="AE629" s="108"/>
      <c r="AF629" s="108"/>
      <c r="AG629" s="108"/>
      <c r="AH629" s="108"/>
      <c r="AI629" s="108"/>
      <c r="AJ629" s="108"/>
      <c r="AK629" s="108"/>
      <c r="AL629" s="108"/>
      <c r="AM629" s="108"/>
      <c r="AN629" s="108"/>
      <c r="AO629" s="108"/>
    </row>
    <row r="630" spans="1:41" ht="12" customHeight="1" x14ac:dyDescent="0.2">
      <c r="A630" s="179"/>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c r="AA630" s="108"/>
      <c r="AB630" s="108"/>
      <c r="AC630" s="108"/>
      <c r="AD630" s="108"/>
      <c r="AE630" s="108"/>
      <c r="AF630" s="108"/>
      <c r="AG630" s="108"/>
      <c r="AH630" s="108"/>
      <c r="AI630" s="108"/>
      <c r="AJ630" s="108"/>
      <c r="AK630" s="108"/>
      <c r="AL630" s="108"/>
      <c r="AM630" s="108"/>
      <c r="AN630" s="108"/>
      <c r="AO630" s="108"/>
    </row>
    <row r="631" spans="1:41" ht="12" customHeight="1" x14ac:dyDescent="0.2">
      <c r="A631" s="179"/>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c r="AA631" s="108"/>
      <c r="AB631" s="108"/>
      <c r="AC631" s="108"/>
      <c r="AD631" s="108"/>
      <c r="AE631" s="108"/>
      <c r="AF631" s="108"/>
      <c r="AG631" s="108"/>
      <c r="AH631" s="108"/>
      <c r="AI631" s="108"/>
      <c r="AJ631" s="108"/>
      <c r="AK631" s="108"/>
      <c r="AL631" s="108"/>
      <c r="AM631" s="108"/>
      <c r="AN631" s="108"/>
      <c r="AO631" s="108"/>
    </row>
    <row r="632" spans="1:41" ht="12" customHeight="1" x14ac:dyDescent="0.2">
      <c r="A632" s="179"/>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c r="AA632" s="108"/>
      <c r="AB632" s="108"/>
      <c r="AC632" s="108"/>
      <c r="AD632" s="108"/>
      <c r="AE632" s="108"/>
      <c r="AF632" s="108"/>
      <c r="AG632" s="108"/>
      <c r="AH632" s="108"/>
      <c r="AI632" s="108"/>
      <c r="AJ632" s="108"/>
      <c r="AK632" s="108"/>
      <c r="AL632" s="108"/>
      <c r="AM632" s="108"/>
      <c r="AN632" s="108"/>
      <c r="AO632" s="108"/>
    </row>
    <row r="633" spans="1:41" ht="12" customHeight="1" x14ac:dyDescent="0.2">
      <c r="A633" s="179"/>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c r="AA633" s="108"/>
      <c r="AB633" s="108"/>
      <c r="AC633" s="108"/>
      <c r="AD633" s="108"/>
      <c r="AE633" s="108"/>
      <c r="AF633" s="108"/>
      <c r="AG633" s="108"/>
      <c r="AH633" s="108"/>
      <c r="AI633" s="108"/>
      <c r="AJ633" s="108"/>
      <c r="AK633" s="108"/>
      <c r="AL633" s="108"/>
      <c r="AM633" s="108"/>
      <c r="AN633" s="108"/>
      <c r="AO633" s="108"/>
    </row>
    <row r="634" spans="1:41" ht="12" customHeight="1" x14ac:dyDescent="0.2">
      <c r="A634" s="179"/>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c r="AA634" s="108"/>
      <c r="AB634" s="108"/>
      <c r="AC634" s="108"/>
      <c r="AD634" s="108"/>
      <c r="AE634" s="108"/>
      <c r="AF634" s="108"/>
      <c r="AG634" s="108"/>
      <c r="AH634" s="108"/>
      <c r="AI634" s="108"/>
      <c r="AJ634" s="108"/>
      <c r="AK634" s="108"/>
      <c r="AL634" s="108"/>
      <c r="AM634" s="108"/>
      <c r="AN634" s="108"/>
      <c r="AO634" s="108"/>
    </row>
    <row r="635" spans="1:41" ht="12" customHeight="1" x14ac:dyDescent="0.2">
      <c r="A635" s="179"/>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c r="AA635" s="108"/>
      <c r="AB635" s="108"/>
      <c r="AC635" s="108"/>
      <c r="AD635" s="108"/>
      <c r="AE635" s="108"/>
      <c r="AF635" s="108"/>
      <c r="AG635" s="108"/>
      <c r="AH635" s="108"/>
      <c r="AI635" s="108"/>
      <c r="AJ635" s="108"/>
      <c r="AK635" s="108"/>
      <c r="AL635" s="108"/>
      <c r="AM635" s="108"/>
      <c r="AN635" s="108"/>
      <c r="AO635" s="108"/>
    </row>
    <row r="636" spans="1:41" ht="12" customHeight="1" x14ac:dyDescent="0.2">
      <c r="A636" s="179"/>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c r="AA636" s="108"/>
      <c r="AB636" s="108"/>
      <c r="AC636" s="108"/>
      <c r="AD636" s="108"/>
      <c r="AE636" s="108"/>
      <c r="AF636" s="108"/>
      <c r="AG636" s="108"/>
      <c r="AH636" s="108"/>
      <c r="AI636" s="108"/>
      <c r="AJ636" s="108"/>
      <c r="AK636" s="108"/>
      <c r="AL636" s="108"/>
      <c r="AM636" s="108"/>
      <c r="AN636" s="108"/>
      <c r="AO636" s="108"/>
    </row>
    <row r="637" spans="1:41" ht="12" customHeight="1" x14ac:dyDescent="0.2">
      <c r="A637" s="179"/>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c r="AA637" s="108"/>
      <c r="AB637" s="108"/>
      <c r="AC637" s="108"/>
      <c r="AD637" s="108"/>
      <c r="AE637" s="108"/>
      <c r="AF637" s="108"/>
      <c r="AG637" s="108"/>
      <c r="AH637" s="108"/>
      <c r="AI637" s="108"/>
      <c r="AJ637" s="108"/>
      <c r="AK637" s="108"/>
      <c r="AL637" s="108"/>
      <c r="AM637" s="108"/>
      <c r="AN637" s="108"/>
      <c r="AO637" s="108"/>
    </row>
    <row r="638" spans="1:41" ht="12" customHeight="1" x14ac:dyDescent="0.2">
      <c r="A638" s="179"/>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c r="AA638" s="108"/>
      <c r="AB638" s="108"/>
      <c r="AC638" s="108"/>
      <c r="AD638" s="108"/>
      <c r="AE638" s="108"/>
      <c r="AF638" s="108"/>
      <c r="AG638" s="108"/>
      <c r="AH638" s="108"/>
      <c r="AI638" s="108"/>
      <c r="AJ638" s="108"/>
      <c r="AK638" s="108"/>
      <c r="AL638" s="108"/>
      <c r="AM638" s="108"/>
      <c r="AN638" s="108"/>
      <c r="AO638" s="108"/>
    </row>
    <row r="639" spans="1:41" ht="12" customHeight="1" x14ac:dyDescent="0.2">
      <c r="A639" s="179"/>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c r="AA639" s="108"/>
      <c r="AB639" s="108"/>
      <c r="AC639" s="108"/>
      <c r="AD639" s="108"/>
      <c r="AE639" s="108"/>
      <c r="AF639" s="108"/>
      <c r="AG639" s="108"/>
      <c r="AH639" s="108"/>
      <c r="AI639" s="108"/>
      <c r="AJ639" s="108"/>
      <c r="AK639" s="108"/>
      <c r="AL639" s="108"/>
      <c r="AM639" s="108"/>
      <c r="AN639" s="108"/>
      <c r="AO639" s="108"/>
    </row>
    <row r="640" spans="1:41" ht="12" customHeight="1" x14ac:dyDescent="0.2">
      <c r="A640" s="179"/>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c r="AA640" s="108"/>
      <c r="AB640" s="108"/>
      <c r="AC640" s="108"/>
      <c r="AD640" s="108"/>
      <c r="AE640" s="108"/>
      <c r="AF640" s="108"/>
      <c r="AG640" s="108"/>
      <c r="AH640" s="108"/>
      <c r="AI640" s="108"/>
      <c r="AJ640" s="108"/>
      <c r="AK640" s="108"/>
      <c r="AL640" s="108"/>
      <c r="AM640" s="108"/>
      <c r="AN640" s="108"/>
      <c r="AO640" s="108"/>
    </row>
    <row r="641" spans="1:41" ht="12" customHeight="1" x14ac:dyDescent="0.2">
      <c r="A641" s="179"/>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c r="AA641" s="108"/>
      <c r="AB641" s="108"/>
      <c r="AC641" s="108"/>
      <c r="AD641" s="108"/>
      <c r="AE641" s="108"/>
      <c r="AF641" s="108"/>
      <c r="AG641" s="108"/>
      <c r="AH641" s="108"/>
      <c r="AI641" s="108"/>
      <c r="AJ641" s="108"/>
      <c r="AK641" s="108"/>
      <c r="AL641" s="108"/>
      <c r="AM641" s="108"/>
      <c r="AN641" s="108"/>
      <c r="AO641" s="108"/>
    </row>
    <row r="642" spans="1:41" ht="12" customHeight="1" x14ac:dyDescent="0.2">
      <c r="A642" s="179"/>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c r="AA642" s="108"/>
      <c r="AB642" s="108"/>
      <c r="AC642" s="108"/>
      <c r="AD642" s="108"/>
      <c r="AE642" s="108"/>
      <c r="AF642" s="108"/>
      <c r="AG642" s="108"/>
      <c r="AH642" s="108"/>
      <c r="AI642" s="108"/>
      <c r="AJ642" s="108"/>
      <c r="AK642" s="108"/>
      <c r="AL642" s="108"/>
      <c r="AM642" s="108"/>
      <c r="AN642" s="108"/>
      <c r="AO642" s="108"/>
    </row>
    <row r="643" spans="1:41" ht="12" customHeight="1" x14ac:dyDescent="0.2">
      <c r="A643" s="179"/>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c r="AA643" s="108"/>
      <c r="AB643" s="108"/>
      <c r="AC643" s="108"/>
      <c r="AD643" s="108"/>
      <c r="AE643" s="108"/>
      <c r="AF643" s="108"/>
      <c r="AG643" s="108"/>
      <c r="AH643" s="108"/>
      <c r="AI643" s="108"/>
      <c r="AJ643" s="108"/>
      <c r="AK643" s="108"/>
      <c r="AL643" s="108"/>
      <c r="AM643" s="108"/>
      <c r="AN643" s="108"/>
      <c r="AO643" s="108"/>
    </row>
    <row r="644" spans="1:41" ht="12" customHeight="1" x14ac:dyDescent="0.2">
      <c r="A644" s="179"/>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c r="AA644" s="108"/>
      <c r="AB644" s="108"/>
      <c r="AC644" s="108"/>
      <c r="AD644" s="108"/>
      <c r="AE644" s="108"/>
      <c r="AF644" s="108"/>
      <c r="AG644" s="108"/>
      <c r="AH644" s="108"/>
      <c r="AI644" s="108"/>
      <c r="AJ644" s="108"/>
      <c r="AK644" s="108"/>
      <c r="AL644" s="108"/>
      <c r="AM644" s="108"/>
      <c r="AN644" s="108"/>
      <c r="AO644" s="108"/>
    </row>
    <row r="645" spans="1:41" ht="12" customHeight="1" x14ac:dyDescent="0.2">
      <c r="A645" s="179"/>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c r="AA645" s="108"/>
      <c r="AB645" s="108"/>
      <c r="AC645" s="108"/>
      <c r="AD645" s="108"/>
      <c r="AE645" s="108"/>
      <c r="AF645" s="108"/>
      <c r="AG645" s="108"/>
      <c r="AH645" s="108"/>
      <c r="AI645" s="108"/>
      <c r="AJ645" s="108"/>
      <c r="AK645" s="108"/>
      <c r="AL645" s="108"/>
      <c r="AM645" s="108"/>
      <c r="AN645" s="108"/>
      <c r="AO645" s="108"/>
    </row>
    <row r="646" spans="1:41" ht="12" customHeight="1" x14ac:dyDescent="0.2">
      <c r="A646" s="179"/>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c r="AA646" s="108"/>
      <c r="AB646" s="108"/>
      <c r="AC646" s="108"/>
      <c r="AD646" s="108"/>
      <c r="AE646" s="108"/>
      <c r="AF646" s="108"/>
      <c r="AG646" s="108"/>
      <c r="AH646" s="108"/>
      <c r="AI646" s="108"/>
      <c r="AJ646" s="108"/>
      <c r="AK646" s="108"/>
      <c r="AL646" s="108"/>
      <c r="AM646" s="108"/>
      <c r="AN646" s="108"/>
      <c r="AO646" s="108"/>
    </row>
    <row r="647" spans="1:41" ht="12" customHeight="1" x14ac:dyDescent="0.2">
      <c r="A647" s="179"/>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c r="AA647" s="108"/>
      <c r="AB647" s="108"/>
      <c r="AC647" s="108"/>
      <c r="AD647" s="108"/>
      <c r="AE647" s="108"/>
      <c r="AF647" s="108"/>
      <c r="AG647" s="108"/>
      <c r="AH647" s="108"/>
      <c r="AI647" s="108"/>
      <c r="AJ647" s="108"/>
      <c r="AK647" s="108"/>
      <c r="AL647" s="108"/>
      <c r="AM647" s="108"/>
      <c r="AN647" s="108"/>
      <c r="AO647" s="108"/>
    </row>
    <row r="648" spans="1:41" ht="12" customHeight="1" x14ac:dyDescent="0.2">
      <c r="A648" s="179"/>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c r="AA648" s="108"/>
      <c r="AB648" s="108"/>
      <c r="AC648" s="108"/>
      <c r="AD648" s="108"/>
      <c r="AE648" s="108"/>
      <c r="AF648" s="108"/>
      <c r="AG648" s="108"/>
      <c r="AH648" s="108"/>
      <c r="AI648" s="108"/>
      <c r="AJ648" s="108"/>
      <c r="AK648" s="108"/>
      <c r="AL648" s="108"/>
      <c r="AM648" s="108"/>
      <c r="AN648" s="108"/>
      <c r="AO648" s="108"/>
    </row>
    <row r="649" spans="1:41" ht="12" customHeight="1" x14ac:dyDescent="0.2">
      <c r="A649" s="179"/>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c r="AA649" s="108"/>
      <c r="AB649" s="108"/>
      <c r="AC649" s="108"/>
      <c r="AD649" s="108"/>
      <c r="AE649" s="108"/>
      <c r="AF649" s="108"/>
      <c r="AG649" s="108"/>
      <c r="AH649" s="108"/>
      <c r="AI649" s="108"/>
      <c r="AJ649" s="108"/>
      <c r="AK649" s="108"/>
      <c r="AL649" s="108"/>
      <c r="AM649" s="108"/>
      <c r="AN649" s="108"/>
      <c r="AO649" s="108"/>
    </row>
    <row r="650" spans="1:41" ht="12" customHeight="1" x14ac:dyDescent="0.2">
      <c r="A650" s="179"/>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c r="AA650" s="108"/>
      <c r="AB650" s="108"/>
      <c r="AC650" s="108"/>
      <c r="AD650" s="108"/>
      <c r="AE650" s="108"/>
      <c r="AF650" s="108"/>
      <c r="AG650" s="108"/>
      <c r="AH650" s="108"/>
      <c r="AI650" s="108"/>
      <c r="AJ650" s="108"/>
      <c r="AK650" s="108"/>
      <c r="AL650" s="108"/>
      <c r="AM650" s="108"/>
      <c r="AN650" s="108"/>
      <c r="AO650" s="108"/>
    </row>
    <row r="651" spans="1:41" ht="12" customHeight="1" x14ac:dyDescent="0.2">
      <c r="A651" s="179"/>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c r="AA651" s="108"/>
      <c r="AB651" s="108"/>
      <c r="AC651" s="108"/>
      <c r="AD651" s="108"/>
      <c r="AE651" s="108"/>
      <c r="AF651" s="108"/>
      <c r="AG651" s="108"/>
      <c r="AH651" s="108"/>
      <c r="AI651" s="108"/>
      <c r="AJ651" s="108"/>
      <c r="AK651" s="108"/>
      <c r="AL651" s="108"/>
      <c r="AM651" s="108"/>
      <c r="AN651" s="108"/>
      <c r="AO651" s="108"/>
    </row>
    <row r="652" spans="1:41" ht="12" customHeight="1" x14ac:dyDescent="0.2">
      <c r="A652" s="179"/>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c r="AA652" s="108"/>
      <c r="AB652" s="108"/>
      <c r="AC652" s="108"/>
      <c r="AD652" s="108"/>
      <c r="AE652" s="108"/>
      <c r="AF652" s="108"/>
      <c r="AG652" s="108"/>
      <c r="AH652" s="108"/>
      <c r="AI652" s="108"/>
      <c r="AJ652" s="108"/>
      <c r="AK652" s="108"/>
      <c r="AL652" s="108"/>
      <c r="AM652" s="108"/>
      <c r="AN652" s="108"/>
      <c r="AO652" s="108"/>
    </row>
    <row r="653" spans="1:41" ht="12" customHeight="1" x14ac:dyDescent="0.2">
      <c r="A653" s="179"/>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c r="AA653" s="108"/>
      <c r="AB653" s="108"/>
      <c r="AC653" s="108"/>
      <c r="AD653" s="108"/>
      <c r="AE653" s="108"/>
      <c r="AF653" s="108"/>
      <c r="AG653" s="108"/>
      <c r="AH653" s="108"/>
      <c r="AI653" s="108"/>
      <c r="AJ653" s="108"/>
      <c r="AK653" s="108"/>
      <c r="AL653" s="108"/>
      <c r="AM653" s="108"/>
      <c r="AN653" s="108"/>
      <c r="AO653" s="108"/>
    </row>
    <row r="654" spans="1:41" ht="12" customHeight="1" x14ac:dyDescent="0.2">
      <c r="A654" s="179"/>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c r="AA654" s="108"/>
      <c r="AB654" s="108"/>
      <c r="AC654" s="108"/>
      <c r="AD654" s="108"/>
      <c r="AE654" s="108"/>
      <c r="AF654" s="108"/>
      <c r="AG654" s="108"/>
      <c r="AH654" s="108"/>
      <c r="AI654" s="108"/>
      <c r="AJ654" s="108"/>
      <c r="AK654" s="108"/>
      <c r="AL654" s="108"/>
      <c r="AM654" s="108"/>
      <c r="AN654" s="108"/>
      <c r="AO654" s="108"/>
    </row>
    <row r="655" spans="1:41" ht="12" customHeight="1" x14ac:dyDescent="0.2">
      <c r="A655" s="179"/>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c r="AA655" s="108"/>
      <c r="AB655" s="108"/>
      <c r="AC655" s="108"/>
      <c r="AD655" s="108"/>
      <c r="AE655" s="108"/>
      <c r="AF655" s="108"/>
      <c r="AG655" s="108"/>
      <c r="AH655" s="108"/>
      <c r="AI655" s="108"/>
      <c r="AJ655" s="108"/>
      <c r="AK655" s="108"/>
      <c r="AL655" s="108"/>
      <c r="AM655" s="108"/>
      <c r="AN655" s="108"/>
      <c r="AO655" s="108"/>
    </row>
    <row r="656" spans="1:41" ht="12" customHeight="1" x14ac:dyDescent="0.2">
      <c r="A656" s="179"/>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c r="AA656" s="108"/>
      <c r="AB656" s="108"/>
      <c r="AC656" s="108"/>
      <c r="AD656" s="108"/>
      <c r="AE656" s="108"/>
      <c r="AF656" s="108"/>
      <c r="AG656" s="108"/>
      <c r="AH656" s="108"/>
      <c r="AI656" s="108"/>
      <c r="AJ656" s="108"/>
      <c r="AK656" s="108"/>
      <c r="AL656" s="108"/>
      <c r="AM656" s="108"/>
      <c r="AN656" s="108"/>
      <c r="AO656" s="108"/>
    </row>
    <row r="657" spans="1:41" ht="12" customHeight="1" x14ac:dyDescent="0.2">
      <c r="A657" s="179"/>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c r="AA657" s="108"/>
      <c r="AB657" s="108"/>
      <c r="AC657" s="108"/>
      <c r="AD657" s="108"/>
      <c r="AE657" s="108"/>
      <c r="AF657" s="108"/>
      <c r="AG657" s="108"/>
      <c r="AH657" s="108"/>
      <c r="AI657" s="108"/>
      <c r="AJ657" s="108"/>
      <c r="AK657" s="108"/>
      <c r="AL657" s="108"/>
      <c r="AM657" s="108"/>
      <c r="AN657" s="108"/>
      <c r="AO657" s="108"/>
    </row>
    <row r="658" spans="1:41" ht="12" customHeight="1" x14ac:dyDescent="0.2">
      <c r="A658" s="179"/>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c r="AA658" s="108"/>
      <c r="AB658" s="108"/>
      <c r="AC658" s="108"/>
      <c r="AD658" s="108"/>
      <c r="AE658" s="108"/>
      <c r="AF658" s="108"/>
      <c r="AG658" s="108"/>
      <c r="AH658" s="108"/>
      <c r="AI658" s="108"/>
      <c r="AJ658" s="108"/>
      <c r="AK658" s="108"/>
      <c r="AL658" s="108"/>
      <c r="AM658" s="108"/>
      <c r="AN658" s="108"/>
      <c r="AO658" s="108"/>
    </row>
    <row r="659" spans="1:41" ht="12" customHeight="1" x14ac:dyDescent="0.2">
      <c r="A659" s="179"/>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c r="AA659" s="108"/>
      <c r="AB659" s="108"/>
      <c r="AC659" s="108"/>
      <c r="AD659" s="108"/>
      <c r="AE659" s="108"/>
      <c r="AF659" s="108"/>
      <c r="AG659" s="108"/>
      <c r="AH659" s="108"/>
      <c r="AI659" s="108"/>
      <c r="AJ659" s="108"/>
      <c r="AK659" s="108"/>
      <c r="AL659" s="108"/>
      <c r="AM659" s="108"/>
      <c r="AN659" s="108"/>
      <c r="AO659" s="108"/>
    </row>
    <row r="660" spans="1:41" ht="12" customHeight="1" x14ac:dyDescent="0.2">
      <c r="A660" s="179"/>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c r="AA660" s="108"/>
      <c r="AB660" s="108"/>
      <c r="AC660" s="108"/>
      <c r="AD660" s="108"/>
      <c r="AE660" s="108"/>
      <c r="AF660" s="108"/>
      <c r="AG660" s="108"/>
      <c r="AH660" s="108"/>
      <c r="AI660" s="108"/>
      <c r="AJ660" s="108"/>
      <c r="AK660" s="108"/>
      <c r="AL660" s="108"/>
      <c r="AM660" s="108"/>
      <c r="AN660" s="108"/>
      <c r="AO660" s="108"/>
    </row>
    <row r="661" spans="1:41" ht="12" customHeight="1" x14ac:dyDescent="0.2">
      <c r="A661" s="179"/>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c r="AA661" s="108"/>
      <c r="AB661" s="108"/>
      <c r="AC661" s="108"/>
      <c r="AD661" s="108"/>
      <c r="AE661" s="108"/>
      <c r="AF661" s="108"/>
      <c r="AG661" s="108"/>
      <c r="AH661" s="108"/>
      <c r="AI661" s="108"/>
      <c r="AJ661" s="108"/>
      <c r="AK661" s="108"/>
      <c r="AL661" s="108"/>
      <c r="AM661" s="108"/>
      <c r="AN661" s="108"/>
      <c r="AO661" s="108"/>
    </row>
    <row r="662" spans="1:41" ht="12" customHeight="1" x14ac:dyDescent="0.2">
      <c r="A662" s="179"/>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c r="AA662" s="108"/>
      <c r="AB662" s="108"/>
      <c r="AC662" s="108"/>
      <c r="AD662" s="108"/>
      <c r="AE662" s="108"/>
      <c r="AF662" s="108"/>
      <c r="AG662" s="108"/>
      <c r="AH662" s="108"/>
      <c r="AI662" s="108"/>
      <c r="AJ662" s="108"/>
      <c r="AK662" s="108"/>
      <c r="AL662" s="108"/>
      <c r="AM662" s="108"/>
      <c r="AN662" s="108"/>
      <c r="AO662" s="108"/>
    </row>
    <row r="663" spans="1:41" ht="12" customHeight="1" x14ac:dyDescent="0.2">
      <c r="A663" s="179"/>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c r="AA663" s="108"/>
      <c r="AB663" s="108"/>
      <c r="AC663" s="108"/>
      <c r="AD663" s="108"/>
      <c r="AE663" s="108"/>
      <c r="AF663" s="108"/>
      <c r="AG663" s="108"/>
      <c r="AH663" s="108"/>
      <c r="AI663" s="108"/>
      <c r="AJ663" s="108"/>
      <c r="AK663" s="108"/>
      <c r="AL663" s="108"/>
      <c r="AM663" s="108"/>
      <c r="AN663" s="108"/>
      <c r="AO663" s="108"/>
    </row>
    <row r="664" spans="1:41" ht="12" customHeight="1" x14ac:dyDescent="0.2">
      <c r="A664" s="179"/>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c r="AA664" s="108"/>
      <c r="AB664" s="108"/>
      <c r="AC664" s="108"/>
      <c r="AD664" s="108"/>
      <c r="AE664" s="108"/>
      <c r="AF664" s="108"/>
      <c r="AG664" s="108"/>
      <c r="AH664" s="108"/>
      <c r="AI664" s="108"/>
      <c r="AJ664" s="108"/>
      <c r="AK664" s="108"/>
      <c r="AL664" s="108"/>
      <c r="AM664" s="108"/>
      <c r="AN664" s="108"/>
      <c r="AO664" s="108"/>
    </row>
    <row r="665" spans="1:41" ht="12" customHeight="1" x14ac:dyDescent="0.2">
      <c r="A665" s="179"/>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c r="AA665" s="108"/>
      <c r="AB665" s="108"/>
      <c r="AC665" s="108"/>
      <c r="AD665" s="108"/>
      <c r="AE665" s="108"/>
      <c r="AF665" s="108"/>
      <c r="AG665" s="108"/>
      <c r="AH665" s="108"/>
      <c r="AI665" s="108"/>
      <c r="AJ665" s="108"/>
      <c r="AK665" s="108"/>
      <c r="AL665" s="108"/>
      <c r="AM665" s="108"/>
      <c r="AN665" s="108"/>
      <c r="AO665" s="108"/>
    </row>
    <row r="666" spans="1:41" ht="12" customHeight="1" x14ac:dyDescent="0.2">
      <c r="A666" s="179"/>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c r="AA666" s="108"/>
      <c r="AB666" s="108"/>
      <c r="AC666" s="108"/>
      <c r="AD666" s="108"/>
      <c r="AE666" s="108"/>
      <c r="AF666" s="108"/>
      <c r="AG666" s="108"/>
      <c r="AH666" s="108"/>
      <c r="AI666" s="108"/>
      <c r="AJ666" s="108"/>
      <c r="AK666" s="108"/>
      <c r="AL666" s="108"/>
      <c r="AM666" s="108"/>
      <c r="AN666" s="108"/>
      <c r="AO666" s="108"/>
    </row>
    <row r="667" spans="1:41" ht="12" customHeight="1" x14ac:dyDescent="0.2">
      <c r="A667" s="179"/>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c r="AA667" s="108"/>
      <c r="AB667" s="108"/>
      <c r="AC667" s="108"/>
      <c r="AD667" s="108"/>
      <c r="AE667" s="108"/>
      <c r="AF667" s="108"/>
      <c r="AG667" s="108"/>
      <c r="AH667" s="108"/>
      <c r="AI667" s="108"/>
      <c r="AJ667" s="108"/>
      <c r="AK667" s="108"/>
      <c r="AL667" s="108"/>
      <c r="AM667" s="108"/>
      <c r="AN667" s="108"/>
      <c r="AO667" s="108"/>
    </row>
    <row r="668" spans="1:41" ht="12" customHeight="1" x14ac:dyDescent="0.2">
      <c r="A668" s="179"/>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c r="AA668" s="108"/>
      <c r="AB668" s="108"/>
      <c r="AC668" s="108"/>
      <c r="AD668" s="108"/>
      <c r="AE668" s="108"/>
      <c r="AF668" s="108"/>
      <c r="AG668" s="108"/>
      <c r="AH668" s="108"/>
      <c r="AI668" s="108"/>
      <c r="AJ668" s="108"/>
      <c r="AK668" s="108"/>
      <c r="AL668" s="108"/>
      <c r="AM668" s="108"/>
      <c r="AN668" s="108"/>
      <c r="AO668" s="108"/>
    </row>
    <row r="669" spans="1:41" ht="12" customHeight="1" x14ac:dyDescent="0.2">
      <c r="A669" s="179"/>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c r="AA669" s="108"/>
      <c r="AB669" s="108"/>
      <c r="AC669" s="108"/>
      <c r="AD669" s="108"/>
      <c r="AE669" s="108"/>
      <c r="AF669" s="108"/>
      <c r="AG669" s="108"/>
      <c r="AH669" s="108"/>
      <c r="AI669" s="108"/>
      <c r="AJ669" s="108"/>
      <c r="AK669" s="108"/>
      <c r="AL669" s="108"/>
      <c r="AM669" s="108"/>
      <c r="AN669" s="108"/>
      <c r="AO669" s="108"/>
    </row>
    <row r="670" spans="1:41" ht="12" customHeight="1" x14ac:dyDescent="0.2">
      <c r="A670" s="179"/>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c r="AA670" s="108"/>
      <c r="AB670" s="108"/>
      <c r="AC670" s="108"/>
      <c r="AD670" s="108"/>
      <c r="AE670" s="108"/>
      <c r="AF670" s="108"/>
      <c r="AG670" s="108"/>
      <c r="AH670" s="108"/>
      <c r="AI670" s="108"/>
      <c r="AJ670" s="108"/>
      <c r="AK670" s="108"/>
      <c r="AL670" s="108"/>
      <c r="AM670" s="108"/>
      <c r="AN670" s="108"/>
      <c r="AO670" s="108"/>
    </row>
    <row r="671" spans="1:41" ht="12" customHeight="1" x14ac:dyDescent="0.2">
      <c r="A671" s="179"/>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c r="AA671" s="108"/>
      <c r="AB671" s="108"/>
      <c r="AC671" s="108"/>
      <c r="AD671" s="108"/>
      <c r="AE671" s="108"/>
      <c r="AF671" s="108"/>
      <c r="AG671" s="108"/>
      <c r="AH671" s="108"/>
      <c r="AI671" s="108"/>
      <c r="AJ671" s="108"/>
      <c r="AK671" s="108"/>
      <c r="AL671" s="108"/>
      <c r="AM671" s="108"/>
      <c r="AN671" s="108"/>
      <c r="AO671" s="108"/>
    </row>
    <row r="672" spans="1:41" ht="12" customHeight="1" x14ac:dyDescent="0.2">
      <c r="A672" s="179"/>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c r="AA672" s="108"/>
      <c r="AB672" s="108"/>
      <c r="AC672" s="108"/>
      <c r="AD672" s="108"/>
      <c r="AE672" s="108"/>
      <c r="AF672" s="108"/>
      <c r="AG672" s="108"/>
      <c r="AH672" s="108"/>
      <c r="AI672" s="108"/>
      <c r="AJ672" s="108"/>
      <c r="AK672" s="108"/>
      <c r="AL672" s="108"/>
      <c r="AM672" s="108"/>
      <c r="AN672" s="108"/>
      <c r="AO672" s="108"/>
    </row>
    <row r="673" spans="1:41" ht="12" customHeight="1" x14ac:dyDescent="0.2">
      <c r="A673" s="179"/>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c r="AA673" s="108"/>
      <c r="AB673" s="108"/>
      <c r="AC673" s="108"/>
      <c r="AD673" s="108"/>
      <c r="AE673" s="108"/>
      <c r="AF673" s="108"/>
      <c r="AG673" s="108"/>
      <c r="AH673" s="108"/>
      <c r="AI673" s="108"/>
      <c r="AJ673" s="108"/>
      <c r="AK673" s="108"/>
      <c r="AL673" s="108"/>
      <c r="AM673" s="108"/>
      <c r="AN673" s="108"/>
      <c r="AO673" s="108"/>
    </row>
    <row r="674" spans="1:41" ht="12" customHeight="1" x14ac:dyDescent="0.2">
      <c r="A674" s="179"/>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c r="AA674" s="108"/>
      <c r="AB674" s="108"/>
      <c r="AC674" s="108"/>
      <c r="AD674" s="108"/>
      <c r="AE674" s="108"/>
      <c r="AF674" s="108"/>
      <c r="AG674" s="108"/>
      <c r="AH674" s="108"/>
      <c r="AI674" s="108"/>
      <c r="AJ674" s="108"/>
      <c r="AK674" s="108"/>
      <c r="AL674" s="108"/>
      <c r="AM674" s="108"/>
      <c r="AN674" s="108"/>
      <c r="AO674" s="108"/>
    </row>
    <row r="675" spans="1:41" ht="12" customHeight="1" x14ac:dyDescent="0.2">
      <c r="A675" s="179"/>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c r="AA675" s="108"/>
      <c r="AB675" s="108"/>
      <c r="AC675" s="108"/>
      <c r="AD675" s="108"/>
      <c r="AE675" s="108"/>
      <c r="AF675" s="108"/>
      <c r="AG675" s="108"/>
      <c r="AH675" s="108"/>
      <c r="AI675" s="108"/>
      <c r="AJ675" s="108"/>
      <c r="AK675" s="108"/>
      <c r="AL675" s="108"/>
      <c r="AM675" s="108"/>
      <c r="AN675" s="108"/>
      <c r="AO675" s="108"/>
    </row>
    <row r="676" spans="1:41" ht="12" customHeight="1" x14ac:dyDescent="0.2">
      <c r="A676" s="179"/>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c r="AA676" s="108"/>
      <c r="AB676" s="108"/>
      <c r="AC676" s="108"/>
      <c r="AD676" s="108"/>
      <c r="AE676" s="108"/>
      <c r="AF676" s="108"/>
      <c r="AG676" s="108"/>
      <c r="AH676" s="108"/>
      <c r="AI676" s="108"/>
      <c r="AJ676" s="108"/>
      <c r="AK676" s="108"/>
      <c r="AL676" s="108"/>
      <c r="AM676" s="108"/>
      <c r="AN676" s="108"/>
      <c r="AO676" s="108"/>
    </row>
    <row r="677" spans="1:41" ht="12" customHeight="1" x14ac:dyDescent="0.2">
      <c r="A677" s="179"/>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c r="AA677" s="108"/>
      <c r="AB677" s="108"/>
      <c r="AC677" s="108"/>
      <c r="AD677" s="108"/>
      <c r="AE677" s="108"/>
      <c r="AF677" s="108"/>
      <c r="AG677" s="108"/>
      <c r="AH677" s="108"/>
      <c r="AI677" s="108"/>
      <c r="AJ677" s="108"/>
      <c r="AK677" s="108"/>
      <c r="AL677" s="108"/>
      <c r="AM677" s="108"/>
      <c r="AN677" s="108"/>
      <c r="AO677" s="108"/>
    </row>
    <row r="678" spans="1:41" ht="12" customHeight="1" x14ac:dyDescent="0.2">
      <c r="A678" s="179"/>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c r="AA678" s="108"/>
      <c r="AB678" s="108"/>
      <c r="AC678" s="108"/>
      <c r="AD678" s="108"/>
      <c r="AE678" s="108"/>
      <c r="AF678" s="108"/>
      <c r="AG678" s="108"/>
      <c r="AH678" s="108"/>
      <c r="AI678" s="108"/>
      <c r="AJ678" s="108"/>
      <c r="AK678" s="108"/>
      <c r="AL678" s="108"/>
      <c r="AM678" s="108"/>
      <c r="AN678" s="108"/>
      <c r="AO678" s="108"/>
    </row>
    <row r="679" spans="1:41" ht="12" customHeight="1" x14ac:dyDescent="0.2">
      <c r="A679" s="179"/>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c r="AA679" s="108"/>
      <c r="AB679" s="108"/>
      <c r="AC679" s="108"/>
      <c r="AD679" s="108"/>
      <c r="AE679" s="108"/>
      <c r="AF679" s="108"/>
      <c r="AG679" s="108"/>
      <c r="AH679" s="108"/>
      <c r="AI679" s="108"/>
      <c r="AJ679" s="108"/>
      <c r="AK679" s="108"/>
      <c r="AL679" s="108"/>
      <c r="AM679" s="108"/>
      <c r="AN679" s="108"/>
      <c r="AO679" s="108"/>
    </row>
    <row r="680" spans="1:41" ht="12" customHeight="1" x14ac:dyDescent="0.2">
      <c r="A680" s="179"/>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c r="AA680" s="108"/>
      <c r="AB680" s="108"/>
      <c r="AC680" s="108"/>
      <c r="AD680" s="108"/>
      <c r="AE680" s="108"/>
      <c r="AF680" s="108"/>
      <c r="AG680" s="108"/>
      <c r="AH680" s="108"/>
      <c r="AI680" s="108"/>
      <c r="AJ680" s="108"/>
      <c r="AK680" s="108"/>
      <c r="AL680" s="108"/>
      <c r="AM680" s="108"/>
      <c r="AN680" s="108"/>
      <c r="AO680" s="108"/>
    </row>
    <row r="681" spans="1:41" ht="12" customHeight="1" x14ac:dyDescent="0.2">
      <c r="A681" s="179"/>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c r="AA681" s="108"/>
      <c r="AB681" s="108"/>
      <c r="AC681" s="108"/>
      <c r="AD681" s="108"/>
      <c r="AE681" s="108"/>
      <c r="AF681" s="108"/>
      <c r="AG681" s="108"/>
      <c r="AH681" s="108"/>
      <c r="AI681" s="108"/>
      <c r="AJ681" s="108"/>
      <c r="AK681" s="108"/>
      <c r="AL681" s="108"/>
      <c r="AM681" s="108"/>
      <c r="AN681" s="108"/>
      <c r="AO681" s="108"/>
    </row>
    <row r="682" spans="1:41" ht="12" customHeight="1" x14ac:dyDescent="0.2">
      <c r="A682" s="179"/>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c r="AA682" s="108"/>
      <c r="AB682" s="108"/>
      <c r="AC682" s="108"/>
      <c r="AD682" s="108"/>
      <c r="AE682" s="108"/>
      <c r="AF682" s="108"/>
      <c r="AG682" s="108"/>
      <c r="AH682" s="108"/>
      <c r="AI682" s="108"/>
      <c r="AJ682" s="108"/>
      <c r="AK682" s="108"/>
      <c r="AL682" s="108"/>
      <c r="AM682" s="108"/>
      <c r="AN682" s="108"/>
      <c r="AO682" s="108"/>
    </row>
    <row r="683" spans="1:41" ht="12" customHeight="1" x14ac:dyDescent="0.2">
      <c r="A683" s="179"/>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c r="AA683" s="108"/>
      <c r="AB683" s="108"/>
      <c r="AC683" s="108"/>
      <c r="AD683" s="108"/>
      <c r="AE683" s="108"/>
      <c r="AF683" s="108"/>
      <c r="AG683" s="108"/>
      <c r="AH683" s="108"/>
      <c r="AI683" s="108"/>
      <c r="AJ683" s="108"/>
      <c r="AK683" s="108"/>
      <c r="AL683" s="108"/>
      <c r="AM683" s="108"/>
      <c r="AN683" s="108"/>
      <c r="AO683" s="108"/>
    </row>
    <row r="684" spans="1:41" ht="12" customHeight="1" x14ac:dyDescent="0.2">
      <c r="A684" s="179"/>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c r="AA684" s="108"/>
      <c r="AB684" s="108"/>
      <c r="AC684" s="108"/>
      <c r="AD684" s="108"/>
      <c r="AE684" s="108"/>
      <c r="AF684" s="108"/>
      <c r="AG684" s="108"/>
      <c r="AH684" s="108"/>
      <c r="AI684" s="108"/>
      <c r="AJ684" s="108"/>
      <c r="AK684" s="108"/>
      <c r="AL684" s="108"/>
      <c r="AM684" s="108"/>
      <c r="AN684" s="108"/>
      <c r="AO684" s="108"/>
    </row>
    <row r="685" spans="1:41" ht="12" customHeight="1" x14ac:dyDescent="0.2">
      <c r="A685" s="179"/>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c r="AA685" s="108"/>
      <c r="AB685" s="108"/>
      <c r="AC685" s="108"/>
      <c r="AD685" s="108"/>
      <c r="AE685" s="108"/>
      <c r="AF685" s="108"/>
      <c r="AG685" s="108"/>
      <c r="AH685" s="108"/>
      <c r="AI685" s="108"/>
      <c r="AJ685" s="108"/>
      <c r="AK685" s="108"/>
      <c r="AL685" s="108"/>
      <c r="AM685" s="108"/>
      <c r="AN685" s="108"/>
      <c r="AO685" s="108"/>
    </row>
    <row r="686" spans="1:41" ht="12" customHeight="1" x14ac:dyDescent="0.2">
      <c r="A686" s="179"/>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c r="AA686" s="108"/>
      <c r="AB686" s="108"/>
      <c r="AC686" s="108"/>
      <c r="AD686" s="108"/>
      <c r="AE686" s="108"/>
      <c r="AF686" s="108"/>
      <c r="AG686" s="108"/>
      <c r="AH686" s="108"/>
      <c r="AI686" s="108"/>
      <c r="AJ686" s="108"/>
      <c r="AK686" s="108"/>
      <c r="AL686" s="108"/>
      <c r="AM686" s="108"/>
      <c r="AN686" s="108"/>
      <c r="AO686" s="108"/>
    </row>
    <row r="687" spans="1:41" ht="12" customHeight="1" x14ac:dyDescent="0.2">
      <c r="A687" s="179"/>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c r="AA687" s="108"/>
      <c r="AB687" s="108"/>
      <c r="AC687" s="108"/>
      <c r="AD687" s="108"/>
      <c r="AE687" s="108"/>
      <c r="AF687" s="108"/>
      <c r="AG687" s="108"/>
      <c r="AH687" s="108"/>
      <c r="AI687" s="108"/>
      <c r="AJ687" s="108"/>
      <c r="AK687" s="108"/>
      <c r="AL687" s="108"/>
      <c r="AM687" s="108"/>
      <c r="AN687" s="108"/>
      <c r="AO687" s="108"/>
    </row>
    <row r="688" spans="1:41" ht="12" customHeight="1" x14ac:dyDescent="0.2">
      <c r="A688" s="179"/>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c r="AA688" s="108"/>
      <c r="AB688" s="108"/>
      <c r="AC688" s="108"/>
      <c r="AD688" s="108"/>
      <c r="AE688" s="108"/>
      <c r="AF688" s="108"/>
      <c r="AG688" s="108"/>
      <c r="AH688" s="108"/>
      <c r="AI688" s="108"/>
      <c r="AJ688" s="108"/>
      <c r="AK688" s="108"/>
      <c r="AL688" s="108"/>
      <c r="AM688" s="108"/>
      <c r="AN688" s="108"/>
      <c r="AO688" s="108"/>
    </row>
    <row r="689" spans="1:41" ht="12" customHeight="1" x14ac:dyDescent="0.2">
      <c r="A689" s="179"/>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c r="AA689" s="108"/>
      <c r="AB689" s="108"/>
      <c r="AC689" s="108"/>
      <c r="AD689" s="108"/>
      <c r="AE689" s="108"/>
      <c r="AF689" s="108"/>
      <c r="AG689" s="108"/>
      <c r="AH689" s="108"/>
      <c r="AI689" s="108"/>
      <c r="AJ689" s="108"/>
      <c r="AK689" s="108"/>
      <c r="AL689" s="108"/>
      <c r="AM689" s="108"/>
      <c r="AN689" s="108"/>
      <c r="AO689" s="108"/>
    </row>
    <row r="690" spans="1:41" ht="12" customHeight="1" x14ac:dyDescent="0.2">
      <c r="A690" s="179"/>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c r="AA690" s="108"/>
      <c r="AB690" s="108"/>
      <c r="AC690" s="108"/>
      <c r="AD690" s="108"/>
      <c r="AE690" s="108"/>
      <c r="AF690" s="108"/>
      <c r="AG690" s="108"/>
      <c r="AH690" s="108"/>
      <c r="AI690" s="108"/>
      <c r="AJ690" s="108"/>
      <c r="AK690" s="108"/>
      <c r="AL690" s="108"/>
      <c r="AM690" s="108"/>
      <c r="AN690" s="108"/>
      <c r="AO690" s="108"/>
    </row>
    <row r="691" spans="1:41" ht="12" customHeight="1" x14ac:dyDescent="0.2">
      <c r="A691" s="179"/>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c r="AA691" s="108"/>
      <c r="AB691" s="108"/>
      <c r="AC691" s="108"/>
      <c r="AD691" s="108"/>
      <c r="AE691" s="108"/>
      <c r="AF691" s="108"/>
      <c r="AG691" s="108"/>
      <c r="AH691" s="108"/>
      <c r="AI691" s="108"/>
      <c r="AJ691" s="108"/>
      <c r="AK691" s="108"/>
      <c r="AL691" s="108"/>
      <c r="AM691" s="108"/>
      <c r="AN691" s="108"/>
      <c r="AO691" s="108"/>
    </row>
    <row r="692" spans="1:41" ht="12" customHeight="1" x14ac:dyDescent="0.2">
      <c r="A692" s="179"/>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c r="AA692" s="108"/>
      <c r="AB692" s="108"/>
      <c r="AC692" s="108"/>
      <c r="AD692" s="108"/>
      <c r="AE692" s="108"/>
      <c r="AF692" s="108"/>
      <c r="AG692" s="108"/>
      <c r="AH692" s="108"/>
      <c r="AI692" s="108"/>
      <c r="AJ692" s="108"/>
      <c r="AK692" s="108"/>
      <c r="AL692" s="108"/>
      <c r="AM692" s="108"/>
      <c r="AN692" s="108"/>
      <c r="AO692" s="108"/>
    </row>
    <row r="693" spans="1:41" ht="12" customHeight="1" x14ac:dyDescent="0.2">
      <c r="A693" s="179"/>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c r="AA693" s="108"/>
      <c r="AB693" s="108"/>
      <c r="AC693" s="108"/>
      <c r="AD693" s="108"/>
      <c r="AE693" s="108"/>
      <c r="AF693" s="108"/>
      <c r="AG693" s="108"/>
      <c r="AH693" s="108"/>
      <c r="AI693" s="108"/>
      <c r="AJ693" s="108"/>
      <c r="AK693" s="108"/>
      <c r="AL693" s="108"/>
      <c r="AM693" s="108"/>
      <c r="AN693" s="108"/>
      <c r="AO693" s="108"/>
    </row>
    <row r="694" spans="1:41" ht="12" customHeight="1" x14ac:dyDescent="0.2">
      <c r="A694" s="179"/>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c r="AA694" s="108"/>
      <c r="AB694" s="108"/>
      <c r="AC694" s="108"/>
      <c r="AD694" s="108"/>
      <c r="AE694" s="108"/>
      <c r="AF694" s="108"/>
      <c r="AG694" s="108"/>
      <c r="AH694" s="108"/>
      <c r="AI694" s="108"/>
      <c r="AJ694" s="108"/>
      <c r="AK694" s="108"/>
      <c r="AL694" s="108"/>
      <c r="AM694" s="108"/>
      <c r="AN694" s="108"/>
      <c r="AO694" s="108"/>
    </row>
    <row r="695" spans="1:41" ht="12" customHeight="1" x14ac:dyDescent="0.2">
      <c r="A695" s="179"/>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c r="AA695" s="108"/>
      <c r="AB695" s="108"/>
      <c r="AC695" s="108"/>
      <c r="AD695" s="108"/>
      <c r="AE695" s="108"/>
      <c r="AF695" s="108"/>
      <c r="AG695" s="108"/>
      <c r="AH695" s="108"/>
      <c r="AI695" s="108"/>
      <c r="AJ695" s="108"/>
      <c r="AK695" s="108"/>
      <c r="AL695" s="108"/>
      <c r="AM695" s="108"/>
      <c r="AN695" s="108"/>
      <c r="AO695" s="108"/>
    </row>
    <row r="696" spans="1:41" ht="12" customHeight="1" x14ac:dyDescent="0.2">
      <c r="A696" s="179"/>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c r="AA696" s="108"/>
      <c r="AB696" s="108"/>
      <c r="AC696" s="108"/>
      <c r="AD696" s="108"/>
      <c r="AE696" s="108"/>
      <c r="AF696" s="108"/>
      <c r="AG696" s="108"/>
      <c r="AH696" s="108"/>
      <c r="AI696" s="108"/>
      <c r="AJ696" s="108"/>
      <c r="AK696" s="108"/>
      <c r="AL696" s="108"/>
      <c r="AM696" s="108"/>
      <c r="AN696" s="108"/>
      <c r="AO696" s="108"/>
    </row>
    <row r="697" spans="1:41" ht="12" customHeight="1" x14ac:dyDescent="0.2">
      <c r="A697" s="179"/>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c r="AA697" s="108"/>
      <c r="AB697" s="108"/>
      <c r="AC697" s="108"/>
      <c r="AD697" s="108"/>
      <c r="AE697" s="108"/>
      <c r="AF697" s="108"/>
      <c r="AG697" s="108"/>
      <c r="AH697" s="108"/>
      <c r="AI697" s="108"/>
      <c r="AJ697" s="108"/>
      <c r="AK697" s="108"/>
      <c r="AL697" s="108"/>
      <c r="AM697" s="108"/>
      <c r="AN697" s="108"/>
      <c r="AO697" s="108"/>
    </row>
    <row r="698" spans="1:41" ht="12" customHeight="1" x14ac:dyDescent="0.2">
      <c r="A698" s="179"/>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c r="AA698" s="108"/>
      <c r="AB698" s="108"/>
      <c r="AC698" s="108"/>
      <c r="AD698" s="108"/>
      <c r="AE698" s="108"/>
      <c r="AF698" s="108"/>
      <c r="AG698" s="108"/>
      <c r="AH698" s="108"/>
      <c r="AI698" s="108"/>
      <c r="AJ698" s="108"/>
      <c r="AK698" s="108"/>
      <c r="AL698" s="108"/>
      <c r="AM698" s="108"/>
      <c r="AN698" s="108"/>
      <c r="AO698" s="108"/>
    </row>
    <row r="699" spans="1:41" ht="12" customHeight="1" x14ac:dyDescent="0.2">
      <c r="A699" s="179"/>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c r="AA699" s="108"/>
      <c r="AB699" s="108"/>
      <c r="AC699" s="108"/>
      <c r="AD699" s="108"/>
      <c r="AE699" s="108"/>
      <c r="AF699" s="108"/>
      <c r="AG699" s="108"/>
      <c r="AH699" s="108"/>
      <c r="AI699" s="108"/>
      <c r="AJ699" s="108"/>
      <c r="AK699" s="108"/>
      <c r="AL699" s="108"/>
      <c r="AM699" s="108"/>
      <c r="AN699" s="108"/>
      <c r="AO699" s="108"/>
    </row>
    <row r="700" spans="1:41" ht="12" customHeight="1" x14ac:dyDescent="0.2">
      <c r="A700" s="179"/>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c r="AA700" s="108"/>
      <c r="AB700" s="108"/>
      <c r="AC700" s="108"/>
      <c r="AD700" s="108"/>
      <c r="AE700" s="108"/>
      <c r="AF700" s="108"/>
      <c r="AG700" s="108"/>
      <c r="AH700" s="108"/>
      <c r="AI700" s="108"/>
      <c r="AJ700" s="108"/>
      <c r="AK700" s="108"/>
      <c r="AL700" s="108"/>
      <c r="AM700" s="108"/>
      <c r="AN700" s="108"/>
      <c r="AO700" s="108"/>
    </row>
    <row r="701" spans="1:41" ht="12" customHeight="1" x14ac:dyDescent="0.2">
      <c r="A701" s="179"/>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c r="AA701" s="108"/>
      <c r="AB701" s="108"/>
      <c r="AC701" s="108"/>
      <c r="AD701" s="108"/>
      <c r="AE701" s="108"/>
      <c r="AF701" s="108"/>
      <c r="AG701" s="108"/>
      <c r="AH701" s="108"/>
      <c r="AI701" s="108"/>
      <c r="AJ701" s="108"/>
      <c r="AK701" s="108"/>
      <c r="AL701" s="108"/>
      <c r="AM701" s="108"/>
      <c r="AN701" s="108"/>
      <c r="AO701" s="108"/>
    </row>
    <row r="702" spans="1:41" ht="12" customHeight="1" x14ac:dyDescent="0.2">
      <c r="A702" s="179"/>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c r="AA702" s="108"/>
      <c r="AB702" s="108"/>
      <c r="AC702" s="108"/>
      <c r="AD702" s="108"/>
      <c r="AE702" s="108"/>
      <c r="AF702" s="108"/>
      <c r="AG702" s="108"/>
      <c r="AH702" s="108"/>
      <c r="AI702" s="108"/>
      <c r="AJ702" s="108"/>
      <c r="AK702" s="108"/>
      <c r="AL702" s="108"/>
      <c r="AM702" s="108"/>
      <c r="AN702" s="108"/>
      <c r="AO702" s="108"/>
    </row>
    <row r="703" spans="1:41" ht="12" customHeight="1" x14ac:dyDescent="0.2">
      <c r="A703" s="179"/>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c r="AA703" s="108"/>
      <c r="AB703" s="108"/>
      <c r="AC703" s="108"/>
      <c r="AD703" s="108"/>
      <c r="AE703" s="108"/>
      <c r="AF703" s="108"/>
      <c r="AG703" s="108"/>
      <c r="AH703" s="108"/>
      <c r="AI703" s="108"/>
      <c r="AJ703" s="108"/>
      <c r="AK703" s="108"/>
      <c r="AL703" s="108"/>
      <c r="AM703" s="108"/>
      <c r="AN703" s="108"/>
      <c r="AO703" s="108"/>
    </row>
    <row r="704" spans="1:41" ht="12" customHeight="1" x14ac:dyDescent="0.2">
      <c r="A704" s="179"/>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c r="AA704" s="108"/>
      <c r="AB704" s="108"/>
      <c r="AC704" s="108"/>
      <c r="AD704" s="108"/>
      <c r="AE704" s="108"/>
      <c r="AF704" s="108"/>
      <c r="AG704" s="108"/>
      <c r="AH704" s="108"/>
      <c r="AI704" s="108"/>
      <c r="AJ704" s="108"/>
      <c r="AK704" s="108"/>
      <c r="AL704" s="108"/>
      <c r="AM704" s="108"/>
      <c r="AN704" s="108"/>
      <c r="AO704" s="108"/>
    </row>
    <row r="705" spans="1:41" ht="12" customHeight="1" x14ac:dyDescent="0.2">
      <c r="A705" s="179"/>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c r="AA705" s="108"/>
      <c r="AB705" s="108"/>
      <c r="AC705" s="108"/>
      <c r="AD705" s="108"/>
      <c r="AE705" s="108"/>
      <c r="AF705" s="108"/>
      <c r="AG705" s="108"/>
      <c r="AH705" s="108"/>
      <c r="AI705" s="108"/>
      <c r="AJ705" s="108"/>
      <c r="AK705" s="108"/>
      <c r="AL705" s="108"/>
      <c r="AM705" s="108"/>
      <c r="AN705" s="108"/>
      <c r="AO705" s="108"/>
    </row>
    <row r="706" spans="1:41" ht="12" customHeight="1" x14ac:dyDescent="0.2">
      <c r="A706" s="179"/>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c r="AA706" s="108"/>
      <c r="AB706" s="108"/>
      <c r="AC706" s="108"/>
      <c r="AD706" s="108"/>
      <c r="AE706" s="108"/>
      <c r="AF706" s="108"/>
      <c r="AG706" s="108"/>
      <c r="AH706" s="108"/>
      <c r="AI706" s="108"/>
      <c r="AJ706" s="108"/>
      <c r="AK706" s="108"/>
      <c r="AL706" s="108"/>
      <c r="AM706" s="108"/>
      <c r="AN706" s="108"/>
      <c r="AO706" s="108"/>
    </row>
    <row r="707" spans="1:41" ht="12" customHeight="1" x14ac:dyDescent="0.2">
      <c r="A707" s="179"/>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c r="AA707" s="108"/>
      <c r="AB707" s="108"/>
      <c r="AC707" s="108"/>
      <c r="AD707" s="108"/>
      <c r="AE707" s="108"/>
      <c r="AF707" s="108"/>
      <c r="AG707" s="108"/>
      <c r="AH707" s="108"/>
      <c r="AI707" s="108"/>
      <c r="AJ707" s="108"/>
      <c r="AK707" s="108"/>
      <c r="AL707" s="108"/>
      <c r="AM707" s="108"/>
      <c r="AN707" s="108"/>
      <c r="AO707" s="108"/>
    </row>
    <row r="708" spans="1:41" ht="12" customHeight="1" x14ac:dyDescent="0.2">
      <c r="A708" s="179"/>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c r="AA708" s="108"/>
      <c r="AB708" s="108"/>
      <c r="AC708" s="108"/>
      <c r="AD708" s="108"/>
      <c r="AE708" s="108"/>
      <c r="AF708" s="108"/>
      <c r="AG708" s="108"/>
      <c r="AH708" s="108"/>
      <c r="AI708" s="108"/>
      <c r="AJ708" s="108"/>
      <c r="AK708" s="108"/>
      <c r="AL708" s="108"/>
      <c r="AM708" s="108"/>
      <c r="AN708" s="108"/>
      <c r="AO708" s="108"/>
    </row>
    <row r="709" spans="1:41" ht="12" customHeight="1" x14ac:dyDescent="0.2">
      <c r="A709" s="179"/>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c r="AA709" s="108"/>
      <c r="AB709" s="108"/>
      <c r="AC709" s="108"/>
      <c r="AD709" s="108"/>
      <c r="AE709" s="108"/>
      <c r="AF709" s="108"/>
      <c r="AG709" s="108"/>
      <c r="AH709" s="108"/>
      <c r="AI709" s="108"/>
      <c r="AJ709" s="108"/>
      <c r="AK709" s="108"/>
      <c r="AL709" s="108"/>
      <c r="AM709" s="108"/>
      <c r="AN709" s="108"/>
      <c r="AO709" s="108"/>
    </row>
    <row r="710" spans="1:41" ht="12" customHeight="1" x14ac:dyDescent="0.2">
      <c r="A710" s="179"/>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c r="AA710" s="108"/>
      <c r="AB710" s="108"/>
      <c r="AC710" s="108"/>
      <c r="AD710" s="108"/>
      <c r="AE710" s="108"/>
      <c r="AF710" s="108"/>
      <c r="AG710" s="108"/>
      <c r="AH710" s="108"/>
      <c r="AI710" s="108"/>
      <c r="AJ710" s="108"/>
      <c r="AK710" s="108"/>
      <c r="AL710" s="108"/>
      <c r="AM710" s="108"/>
      <c r="AN710" s="108"/>
      <c r="AO710" s="108"/>
    </row>
    <row r="711" spans="1:41" ht="12" customHeight="1" x14ac:dyDescent="0.2">
      <c r="A711" s="179"/>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c r="AA711" s="108"/>
      <c r="AB711" s="108"/>
      <c r="AC711" s="108"/>
      <c r="AD711" s="108"/>
      <c r="AE711" s="108"/>
      <c r="AF711" s="108"/>
      <c r="AG711" s="108"/>
      <c r="AH711" s="108"/>
      <c r="AI711" s="108"/>
      <c r="AJ711" s="108"/>
      <c r="AK711" s="108"/>
      <c r="AL711" s="108"/>
      <c r="AM711" s="108"/>
      <c r="AN711" s="108"/>
      <c r="AO711" s="108"/>
    </row>
    <row r="712" spans="1:41" ht="12" customHeight="1" x14ac:dyDescent="0.2">
      <c r="A712" s="179"/>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c r="AA712" s="108"/>
      <c r="AB712" s="108"/>
      <c r="AC712" s="108"/>
      <c r="AD712" s="108"/>
      <c r="AE712" s="108"/>
      <c r="AF712" s="108"/>
      <c r="AG712" s="108"/>
      <c r="AH712" s="108"/>
      <c r="AI712" s="108"/>
      <c r="AJ712" s="108"/>
      <c r="AK712" s="108"/>
      <c r="AL712" s="108"/>
      <c r="AM712" s="108"/>
      <c r="AN712" s="108"/>
      <c r="AO712" s="108"/>
    </row>
    <row r="713" spans="1:41" ht="12" customHeight="1" x14ac:dyDescent="0.2">
      <c r="A713" s="179"/>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c r="AA713" s="108"/>
      <c r="AB713" s="108"/>
      <c r="AC713" s="108"/>
      <c r="AD713" s="108"/>
      <c r="AE713" s="108"/>
      <c r="AF713" s="108"/>
      <c r="AG713" s="108"/>
      <c r="AH713" s="108"/>
      <c r="AI713" s="108"/>
      <c r="AJ713" s="108"/>
      <c r="AK713" s="108"/>
      <c r="AL713" s="108"/>
      <c r="AM713" s="108"/>
      <c r="AN713" s="108"/>
      <c r="AO713" s="108"/>
    </row>
    <row r="714" spans="1:41" ht="12" customHeight="1" x14ac:dyDescent="0.2">
      <c r="A714" s="179"/>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c r="AA714" s="108"/>
      <c r="AB714" s="108"/>
      <c r="AC714" s="108"/>
      <c r="AD714" s="108"/>
      <c r="AE714" s="108"/>
      <c r="AF714" s="108"/>
      <c r="AG714" s="108"/>
      <c r="AH714" s="108"/>
      <c r="AI714" s="108"/>
      <c r="AJ714" s="108"/>
      <c r="AK714" s="108"/>
      <c r="AL714" s="108"/>
      <c r="AM714" s="108"/>
      <c r="AN714" s="108"/>
      <c r="AO714" s="108"/>
    </row>
    <row r="715" spans="1:41" ht="12" customHeight="1" x14ac:dyDescent="0.2">
      <c r="A715" s="179"/>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c r="AA715" s="108"/>
      <c r="AB715" s="108"/>
      <c r="AC715" s="108"/>
      <c r="AD715" s="108"/>
      <c r="AE715" s="108"/>
      <c r="AF715" s="108"/>
      <c r="AG715" s="108"/>
      <c r="AH715" s="108"/>
      <c r="AI715" s="108"/>
      <c r="AJ715" s="108"/>
      <c r="AK715" s="108"/>
      <c r="AL715" s="108"/>
      <c r="AM715" s="108"/>
      <c r="AN715" s="108"/>
      <c r="AO715" s="108"/>
    </row>
    <row r="716" spans="1:41" ht="12" customHeight="1" x14ac:dyDescent="0.2">
      <c r="A716" s="179"/>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c r="AA716" s="108"/>
      <c r="AB716" s="108"/>
      <c r="AC716" s="108"/>
      <c r="AD716" s="108"/>
      <c r="AE716" s="108"/>
      <c r="AF716" s="108"/>
      <c r="AG716" s="108"/>
      <c r="AH716" s="108"/>
      <c r="AI716" s="108"/>
      <c r="AJ716" s="108"/>
      <c r="AK716" s="108"/>
      <c r="AL716" s="108"/>
      <c r="AM716" s="108"/>
      <c r="AN716" s="108"/>
      <c r="AO716" s="108"/>
    </row>
    <row r="717" spans="1:41" ht="12" customHeight="1" x14ac:dyDescent="0.2">
      <c r="A717" s="179"/>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c r="AA717" s="108"/>
      <c r="AB717" s="108"/>
      <c r="AC717" s="108"/>
      <c r="AD717" s="108"/>
      <c r="AE717" s="108"/>
      <c r="AF717" s="108"/>
      <c r="AG717" s="108"/>
      <c r="AH717" s="108"/>
      <c r="AI717" s="108"/>
      <c r="AJ717" s="108"/>
      <c r="AK717" s="108"/>
      <c r="AL717" s="108"/>
      <c r="AM717" s="108"/>
      <c r="AN717" s="108"/>
      <c r="AO717" s="108"/>
    </row>
    <row r="718" spans="1:41" ht="12" customHeight="1" x14ac:dyDescent="0.2">
      <c r="A718" s="179"/>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c r="AA718" s="108"/>
      <c r="AB718" s="108"/>
      <c r="AC718" s="108"/>
      <c r="AD718" s="108"/>
      <c r="AE718" s="108"/>
      <c r="AF718" s="108"/>
      <c r="AG718" s="108"/>
      <c r="AH718" s="108"/>
      <c r="AI718" s="108"/>
      <c r="AJ718" s="108"/>
      <c r="AK718" s="108"/>
      <c r="AL718" s="108"/>
      <c r="AM718" s="108"/>
      <c r="AN718" s="108"/>
      <c r="AO718" s="108"/>
    </row>
    <row r="719" spans="1:41" ht="12" customHeight="1" x14ac:dyDescent="0.2">
      <c r="A719" s="179"/>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c r="AA719" s="108"/>
      <c r="AB719" s="108"/>
      <c r="AC719" s="108"/>
      <c r="AD719" s="108"/>
      <c r="AE719" s="108"/>
      <c r="AF719" s="108"/>
      <c r="AG719" s="108"/>
      <c r="AH719" s="108"/>
      <c r="AI719" s="108"/>
      <c r="AJ719" s="108"/>
      <c r="AK719" s="108"/>
      <c r="AL719" s="108"/>
      <c r="AM719" s="108"/>
      <c r="AN719" s="108"/>
      <c r="AO719" s="108"/>
    </row>
    <row r="720" spans="1:41" ht="12" customHeight="1" x14ac:dyDescent="0.2">
      <c r="A720" s="179"/>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c r="AA720" s="108"/>
      <c r="AB720" s="108"/>
      <c r="AC720" s="108"/>
      <c r="AD720" s="108"/>
      <c r="AE720" s="108"/>
      <c r="AF720" s="108"/>
      <c r="AG720" s="108"/>
      <c r="AH720" s="108"/>
      <c r="AI720" s="108"/>
      <c r="AJ720" s="108"/>
      <c r="AK720" s="108"/>
      <c r="AL720" s="108"/>
      <c r="AM720" s="108"/>
      <c r="AN720" s="108"/>
      <c r="AO720" s="108"/>
    </row>
    <row r="721" spans="1:41" ht="12" customHeight="1" x14ac:dyDescent="0.2">
      <c r="A721" s="179"/>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c r="AA721" s="108"/>
      <c r="AB721" s="108"/>
      <c r="AC721" s="108"/>
      <c r="AD721" s="108"/>
      <c r="AE721" s="108"/>
      <c r="AF721" s="108"/>
      <c r="AG721" s="108"/>
      <c r="AH721" s="108"/>
      <c r="AI721" s="108"/>
      <c r="AJ721" s="108"/>
      <c r="AK721" s="108"/>
      <c r="AL721" s="108"/>
      <c r="AM721" s="108"/>
      <c r="AN721" s="108"/>
      <c r="AO721" s="108"/>
    </row>
    <row r="722" spans="1:41" ht="12" customHeight="1" x14ac:dyDescent="0.2">
      <c r="A722" s="179"/>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c r="AA722" s="108"/>
      <c r="AB722" s="108"/>
      <c r="AC722" s="108"/>
      <c r="AD722" s="108"/>
      <c r="AE722" s="108"/>
      <c r="AF722" s="108"/>
      <c r="AG722" s="108"/>
      <c r="AH722" s="108"/>
      <c r="AI722" s="108"/>
      <c r="AJ722" s="108"/>
      <c r="AK722" s="108"/>
      <c r="AL722" s="108"/>
      <c r="AM722" s="108"/>
      <c r="AN722" s="108"/>
      <c r="AO722" s="108"/>
    </row>
    <row r="723" spans="1:41" ht="12" customHeight="1" x14ac:dyDescent="0.2">
      <c r="A723" s="179"/>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c r="AA723" s="108"/>
      <c r="AB723" s="108"/>
      <c r="AC723" s="108"/>
      <c r="AD723" s="108"/>
      <c r="AE723" s="108"/>
      <c r="AF723" s="108"/>
      <c r="AG723" s="108"/>
      <c r="AH723" s="108"/>
      <c r="AI723" s="108"/>
      <c r="AJ723" s="108"/>
      <c r="AK723" s="108"/>
      <c r="AL723" s="108"/>
      <c r="AM723" s="108"/>
      <c r="AN723" s="108"/>
      <c r="AO723" s="108"/>
    </row>
    <row r="724" spans="1:41" ht="12" customHeight="1" x14ac:dyDescent="0.2">
      <c r="A724" s="179"/>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c r="AA724" s="108"/>
      <c r="AB724" s="108"/>
      <c r="AC724" s="108"/>
      <c r="AD724" s="108"/>
      <c r="AE724" s="108"/>
      <c r="AF724" s="108"/>
      <c r="AG724" s="108"/>
      <c r="AH724" s="108"/>
      <c r="AI724" s="108"/>
      <c r="AJ724" s="108"/>
      <c r="AK724" s="108"/>
      <c r="AL724" s="108"/>
      <c r="AM724" s="108"/>
      <c r="AN724" s="108"/>
      <c r="AO724" s="108"/>
    </row>
    <row r="725" spans="1:41" ht="12" customHeight="1" x14ac:dyDescent="0.2">
      <c r="A725" s="179"/>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c r="AA725" s="108"/>
      <c r="AB725" s="108"/>
      <c r="AC725" s="108"/>
      <c r="AD725" s="108"/>
      <c r="AE725" s="108"/>
      <c r="AF725" s="108"/>
      <c r="AG725" s="108"/>
      <c r="AH725" s="108"/>
      <c r="AI725" s="108"/>
      <c r="AJ725" s="108"/>
      <c r="AK725" s="108"/>
      <c r="AL725" s="108"/>
      <c r="AM725" s="108"/>
      <c r="AN725" s="108"/>
      <c r="AO725" s="108"/>
    </row>
    <row r="726" spans="1:41" ht="12" customHeight="1" x14ac:dyDescent="0.2">
      <c r="A726" s="179"/>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c r="AA726" s="108"/>
      <c r="AB726" s="108"/>
      <c r="AC726" s="108"/>
      <c r="AD726" s="108"/>
      <c r="AE726" s="108"/>
      <c r="AF726" s="108"/>
      <c r="AG726" s="108"/>
      <c r="AH726" s="108"/>
      <c r="AI726" s="108"/>
      <c r="AJ726" s="108"/>
      <c r="AK726" s="108"/>
      <c r="AL726" s="108"/>
      <c r="AM726" s="108"/>
      <c r="AN726" s="108"/>
      <c r="AO726" s="108"/>
    </row>
    <row r="727" spans="1:41" ht="12" customHeight="1" x14ac:dyDescent="0.2">
      <c r="A727" s="179"/>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c r="AA727" s="108"/>
      <c r="AB727" s="108"/>
      <c r="AC727" s="108"/>
      <c r="AD727" s="108"/>
      <c r="AE727" s="108"/>
      <c r="AF727" s="108"/>
      <c r="AG727" s="108"/>
      <c r="AH727" s="108"/>
      <c r="AI727" s="108"/>
      <c r="AJ727" s="108"/>
      <c r="AK727" s="108"/>
      <c r="AL727" s="108"/>
      <c r="AM727" s="108"/>
      <c r="AN727" s="108"/>
      <c r="AO727" s="108"/>
    </row>
    <row r="728" spans="1:41" ht="12" customHeight="1" x14ac:dyDescent="0.2">
      <c r="A728" s="179"/>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c r="AA728" s="108"/>
      <c r="AB728" s="108"/>
      <c r="AC728" s="108"/>
      <c r="AD728" s="108"/>
      <c r="AE728" s="108"/>
      <c r="AF728" s="108"/>
      <c r="AG728" s="108"/>
      <c r="AH728" s="108"/>
      <c r="AI728" s="108"/>
      <c r="AJ728" s="108"/>
      <c r="AK728" s="108"/>
      <c r="AL728" s="108"/>
      <c r="AM728" s="108"/>
      <c r="AN728" s="108"/>
      <c r="AO728" s="108"/>
    </row>
    <row r="729" spans="1:41" ht="12" customHeight="1" x14ac:dyDescent="0.2">
      <c r="A729" s="179"/>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c r="AA729" s="108"/>
      <c r="AB729" s="108"/>
      <c r="AC729" s="108"/>
      <c r="AD729" s="108"/>
      <c r="AE729" s="108"/>
      <c r="AF729" s="108"/>
      <c r="AG729" s="108"/>
      <c r="AH729" s="108"/>
      <c r="AI729" s="108"/>
      <c r="AJ729" s="108"/>
      <c r="AK729" s="108"/>
      <c r="AL729" s="108"/>
      <c r="AM729" s="108"/>
      <c r="AN729" s="108"/>
      <c r="AO729" s="108"/>
    </row>
    <row r="730" spans="1:41" ht="12" customHeight="1" x14ac:dyDescent="0.2">
      <c r="A730" s="179"/>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c r="AA730" s="108"/>
      <c r="AB730" s="108"/>
      <c r="AC730" s="108"/>
      <c r="AD730" s="108"/>
      <c r="AE730" s="108"/>
      <c r="AF730" s="108"/>
      <c r="AG730" s="108"/>
      <c r="AH730" s="108"/>
      <c r="AI730" s="108"/>
      <c r="AJ730" s="108"/>
      <c r="AK730" s="108"/>
      <c r="AL730" s="108"/>
      <c r="AM730" s="108"/>
      <c r="AN730" s="108"/>
      <c r="AO730" s="108"/>
    </row>
    <row r="731" spans="1:41" ht="12" customHeight="1" x14ac:dyDescent="0.2">
      <c r="A731" s="179"/>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c r="AA731" s="108"/>
      <c r="AB731" s="108"/>
      <c r="AC731" s="108"/>
      <c r="AD731" s="108"/>
      <c r="AE731" s="108"/>
      <c r="AF731" s="108"/>
      <c r="AG731" s="108"/>
      <c r="AH731" s="108"/>
      <c r="AI731" s="108"/>
      <c r="AJ731" s="108"/>
      <c r="AK731" s="108"/>
      <c r="AL731" s="108"/>
      <c r="AM731" s="108"/>
      <c r="AN731" s="108"/>
      <c r="AO731" s="108"/>
    </row>
    <row r="732" spans="1:41" ht="12" customHeight="1" x14ac:dyDescent="0.2">
      <c r="A732" s="179"/>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c r="AA732" s="108"/>
      <c r="AB732" s="108"/>
      <c r="AC732" s="108"/>
      <c r="AD732" s="108"/>
      <c r="AE732" s="108"/>
      <c r="AF732" s="108"/>
      <c r="AG732" s="108"/>
      <c r="AH732" s="108"/>
      <c r="AI732" s="108"/>
      <c r="AJ732" s="108"/>
      <c r="AK732" s="108"/>
      <c r="AL732" s="108"/>
      <c r="AM732" s="108"/>
      <c r="AN732" s="108"/>
      <c r="AO732" s="108"/>
    </row>
    <row r="733" spans="1:41" ht="12" customHeight="1" x14ac:dyDescent="0.2">
      <c r="A733" s="179"/>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c r="AA733" s="108"/>
      <c r="AB733" s="108"/>
      <c r="AC733" s="108"/>
      <c r="AD733" s="108"/>
      <c r="AE733" s="108"/>
      <c r="AF733" s="108"/>
      <c r="AG733" s="108"/>
      <c r="AH733" s="108"/>
      <c r="AI733" s="108"/>
      <c r="AJ733" s="108"/>
      <c r="AK733" s="108"/>
      <c r="AL733" s="108"/>
      <c r="AM733" s="108"/>
      <c r="AN733" s="108"/>
      <c r="AO733" s="108"/>
    </row>
    <row r="734" spans="1:41" ht="12" customHeight="1" x14ac:dyDescent="0.2">
      <c r="A734" s="179"/>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c r="AA734" s="108"/>
      <c r="AB734" s="108"/>
      <c r="AC734" s="108"/>
      <c r="AD734" s="108"/>
      <c r="AE734" s="108"/>
      <c r="AF734" s="108"/>
      <c r="AG734" s="108"/>
      <c r="AH734" s="108"/>
      <c r="AI734" s="108"/>
      <c r="AJ734" s="108"/>
      <c r="AK734" s="108"/>
      <c r="AL734" s="108"/>
      <c r="AM734" s="108"/>
      <c r="AN734" s="108"/>
      <c r="AO734" s="108"/>
    </row>
    <row r="735" spans="1:41" ht="12" customHeight="1" x14ac:dyDescent="0.2">
      <c r="A735" s="179"/>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c r="AA735" s="108"/>
      <c r="AB735" s="108"/>
      <c r="AC735" s="108"/>
      <c r="AD735" s="108"/>
      <c r="AE735" s="108"/>
      <c r="AF735" s="108"/>
      <c r="AG735" s="108"/>
      <c r="AH735" s="108"/>
      <c r="AI735" s="108"/>
      <c r="AJ735" s="108"/>
      <c r="AK735" s="108"/>
      <c r="AL735" s="108"/>
      <c r="AM735" s="108"/>
      <c r="AN735" s="108"/>
      <c r="AO735" s="108"/>
    </row>
    <row r="736" spans="1:41" ht="12" customHeight="1" x14ac:dyDescent="0.2">
      <c r="A736" s="179"/>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c r="AA736" s="108"/>
      <c r="AB736" s="108"/>
      <c r="AC736" s="108"/>
      <c r="AD736" s="108"/>
      <c r="AE736" s="108"/>
      <c r="AF736" s="108"/>
      <c r="AG736" s="108"/>
      <c r="AH736" s="108"/>
      <c r="AI736" s="108"/>
      <c r="AJ736" s="108"/>
      <c r="AK736" s="108"/>
      <c r="AL736" s="108"/>
      <c r="AM736" s="108"/>
      <c r="AN736" s="108"/>
      <c r="AO736" s="108"/>
    </row>
    <row r="737" spans="1:41" ht="12" customHeight="1" x14ac:dyDescent="0.2">
      <c r="A737" s="179"/>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c r="AA737" s="108"/>
      <c r="AB737" s="108"/>
      <c r="AC737" s="108"/>
      <c r="AD737" s="108"/>
      <c r="AE737" s="108"/>
      <c r="AF737" s="108"/>
      <c r="AG737" s="108"/>
      <c r="AH737" s="108"/>
      <c r="AI737" s="108"/>
      <c r="AJ737" s="108"/>
      <c r="AK737" s="108"/>
      <c r="AL737" s="108"/>
      <c r="AM737" s="108"/>
      <c r="AN737" s="108"/>
      <c r="AO737" s="108"/>
    </row>
    <row r="738" spans="1:41" ht="12" customHeight="1" x14ac:dyDescent="0.2">
      <c r="A738" s="179"/>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c r="AA738" s="108"/>
      <c r="AB738" s="108"/>
      <c r="AC738" s="108"/>
      <c r="AD738" s="108"/>
      <c r="AE738" s="108"/>
      <c r="AF738" s="108"/>
      <c r="AG738" s="108"/>
      <c r="AH738" s="108"/>
      <c r="AI738" s="108"/>
      <c r="AJ738" s="108"/>
      <c r="AK738" s="108"/>
      <c r="AL738" s="108"/>
      <c r="AM738" s="108"/>
      <c r="AN738" s="108"/>
      <c r="AO738" s="108"/>
    </row>
    <row r="739" spans="1:41" ht="12" customHeight="1" x14ac:dyDescent="0.2">
      <c r="A739" s="179"/>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c r="AA739" s="108"/>
      <c r="AB739" s="108"/>
      <c r="AC739" s="108"/>
      <c r="AD739" s="108"/>
      <c r="AE739" s="108"/>
      <c r="AF739" s="108"/>
      <c r="AG739" s="108"/>
      <c r="AH739" s="108"/>
      <c r="AI739" s="108"/>
      <c r="AJ739" s="108"/>
      <c r="AK739" s="108"/>
      <c r="AL739" s="108"/>
      <c r="AM739" s="108"/>
      <c r="AN739" s="108"/>
      <c r="AO739" s="108"/>
    </row>
    <row r="740" spans="1:41" ht="12" customHeight="1" x14ac:dyDescent="0.2">
      <c r="A740" s="179"/>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c r="AA740" s="108"/>
      <c r="AB740" s="108"/>
      <c r="AC740" s="108"/>
      <c r="AD740" s="108"/>
      <c r="AE740" s="108"/>
      <c r="AF740" s="108"/>
      <c r="AG740" s="108"/>
      <c r="AH740" s="108"/>
      <c r="AI740" s="108"/>
      <c r="AJ740" s="108"/>
      <c r="AK740" s="108"/>
      <c r="AL740" s="108"/>
      <c r="AM740" s="108"/>
      <c r="AN740" s="108"/>
      <c r="AO740" s="108"/>
    </row>
    <row r="741" spans="1:41" ht="12" customHeight="1" x14ac:dyDescent="0.2">
      <c r="A741" s="179"/>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c r="AA741" s="108"/>
      <c r="AB741" s="108"/>
      <c r="AC741" s="108"/>
      <c r="AD741" s="108"/>
      <c r="AE741" s="108"/>
      <c r="AF741" s="108"/>
      <c r="AG741" s="108"/>
      <c r="AH741" s="108"/>
      <c r="AI741" s="108"/>
      <c r="AJ741" s="108"/>
      <c r="AK741" s="108"/>
      <c r="AL741" s="108"/>
      <c r="AM741" s="108"/>
      <c r="AN741" s="108"/>
      <c r="AO741" s="108"/>
    </row>
    <row r="742" spans="1:41" ht="12" customHeight="1" x14ac:dyDescent="0.2">
      <c r="A742" s="179"/>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c r="AA742" s="108"/>
      <c r="AB742" s="108"/>
      <c r="AC742" s="108"/>
      <c r="AD742" s="108"/>
      <c r="AE742" s="108"/>
      <c r="AF742" s="108"/>
      <c r="AG742" s="108"/>
      <c r="AH742" s="108"/>
      <c r="AI742" s="108"/>
      <c r="AJ742" s="108"/>
      <c r="AK742" s="108"/>
      <c r="AL742" s="108"/>
      <c r="AM742" s="108"/>
      <c r="AN742" s="108"/>
      <c r="AO742" s="108"/>
    </row>
    <row r="743" spans="1:41" ht="12" customHeight="1" x14ac:dyDescent="0.2">
      <c r="A743" s="179"/>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c r="AA743" s="108"/>
      <c r="AB743" s="108"/>
      <c r="AC743" s="108"/>
      <c r="AD743" s="108"/>
      <c r="AE743" s="108"/>
      <c r="AF743" s="108"/>
      <c r="AG743" s="108"/>
      <c r="AH743" s="108"/>
      <c r="AI743" s="108"/>
      <c r="AJ743" s="108"/>
      <c r="AK743" s="108"/>
      <c r="AL743" s="108"/>
      <c r="AM743" s="108"/>
      <c r="AN743" s="108"/>
      <c r="AO743" s="108"/>
    </row>
    <row r="744" spans="1:41" ht="12" customHeight="1" x14ac:dyDescent="0.2">
      <c r="A744" s="179"/>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c r="AA744" s="108"/>
      <c r="AB744" s="108"/>
      <c r="AC744" s="108"/>
      <c r="AD744" s="108"/>
      <c r="AE744" s="108"/>
      <c r="AF744" s="108"/>
      <c r="AG744" s="108"/>
      <c r="AH744" s="108"/>
      <c r="AI744" s="108"/>
      <c r="AJ744" s="108"/>
      <c r="AK744" s="108"/>
      <c r="AL744" s="108"/>
      <c r="AM744" s="108"/>
      <c r="AN744" s="108"/>
      <c r="AO744" s="108"/>
    </row>
    <row r="745" spans="1:41" ht="12" customHeight="1" x14ac:dyDescent="0.2">
      <c r="A745" s="179"/>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c r="AA745" s="108"/>
      <c r="AB745" s="108"/>
      <c r="AC745" s="108"/>
      <c r="AD745" s="108"/>
      <c r="AE745" s="108"/>
      <c r="AF745" s="108"/>
      <c r="AG745" s="108"/>
      <c r="AH745" s="108"/>
      <c r="AI745" s="108"/>
      <c r="AJ745" s="108"/>
      <c r="AK745" s="108"/>
      <c r="AL745" s="108"/>
      <c r="AM745" s="108"/>
      <c r="AN745" s="108"/>
      <c r="AO745" s="108"/>
    </row>
    <row r="746" spans="1:41" ht="12" customHeight="1" x14ac:dyDescent="0.2">
      <c r="A746" s="179"/>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c r="AA746" s="108"/>
      <c r="AB746" s="108"/>
      <c r="AC746" s="108"/>
      <c r="AD746" s="108"/>
      <c r="AE746" s="108"/>
      <c r="AF746" s="108"/>
      <c r="AG746" s="108"/>
      <c r="AH746" s="108"/>
      <c r="AI746" s="108"/>
      <c r="AJ746" s="108"/>
      <c r="AK746" s="108"/>
      <c r="AL746" s="108"/>
      <c r="AM746" s="108"/>
      <c r="AN746" s="108"/>
      <c r="AO746" s="108"/>
    </row>
    <row r="747" spans="1:41" ht="12" customHeight="1" x14ac:dyDescent="0.2">
      <c r="A747" s="179"/>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c r="AA747" s="108"/>
      <c r="AB747" s="108"/>
      <c r="AC747" s="108"/>
      <c r="AD747" s="108"/>
      <c r="AE747" s="108"/>
      <c r="AF747" s="108"/>
      <c r="AG747" s="108"/>
      <c r="AH747" s="108"/>
      <c r="AI747" s="108"/>
      <c r="AJ747" s="108"/>
      <c r="AK747" s="108"/>
      <c r="AL747" s="108"/>
      <c r="AM747" s="108"/>
      <c r="AN747" s="108"/>
      <c r="AO747" s="108"/>
    </row>
    <row r="748" spans="1:41" ht="12" customHeight="1" x14ac:dyDescent="0.2">
      <c r="A748" s="179"/>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c r="AA748" s="108"/>
      <c r="AB748" s="108"/>
      <c r="AC748" s="108"/>
      <c r="AD748" s="108"/>
      <c r="AE748" s="108"/>
      <c r="AF748" s="108"/>
      <c r="AG748" s="108"/>
      <c r="AH748" s="108"/>
      <c r="AI748" s="108"/>
      <c r="AJ748" s="108"/>
      <c r="AK748" s="108"/>
      <c r="AL748" s="108"/>
      <c r="AM748" s="108"/>
      <c r="AN748" s="108"/>
      <c r="AO748" s="108"/>
    </row>
    <row r="749" spans="1:41" ht="12" customHeight="1" x14ac:dyDescent="0.2">
      <c r="A749" s="179"/>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c r="AA749" s="108"/>
      <c r="AB749" s="108"/>
      <c r="AC749" s="108"/>
      <c r="AD749" s="108"/>
      <c r="AE749" s="108"/>
      <c r="AF749" s="108"/>
      <c r="AG749" s="108"/>
      <c r="AH749" s="108"/>
      <c r="AI749" s="108"/>
      <c r="AJ749" s="108"/>
      <c r="AK749" s="108"/>
      <c r="AL749" s="108"/>
      <c r="AM749" s="108"/>
      <c r="AN749" s="108"/>
      <c r="AO749" s="108"/>
    </row>
    <row r="750" spans="1:41" ht="12" customHeight="1" x14ac:dyDescent="0.2">
      <c r="A750" s="179"/>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c r="AA750" s="108"/>
      <c r="AB750" s="108"/>
      <c r="AC750" s="108"/>
      <c r="AD750" s="108"/>
      <c r="AE750" s="108"/>
      <c r="AF750" s="108"/>
      <c r="AG750" s="108"/>
      <c r="AH750" s="108"/>
      <c r="AI750" s="108"/>
      <c r="AJ750" s="108"/>
      <c r="AK750" s="108"/>
      <c r="AL750" s="108"/>
      <c r="AM750" s="108"/>
      <c r="AN750" s="108"/>
      <c r="AO750" s="108"/>
    </row>
    <row r="751" spans="1:41" ht="12" customHeight="1" x14ac:dyDescent="0.2">
      <c r="A751" s="179"/>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c r="AA751" s="108"/>
      <c r="AB751" s="108"/>
      <c r="AC751" s="108"/>
      <c r="AD751" s="108"/>
      <c r="AE751" s="108"/>
      <c r="AF751" s="108"/>
      <c r="AG751" s="108"/>
      <c r="AH751" s="108"/>
      <c r="AI751" s="108"/>
      <c r="AJ751" s="108"/>
      <c r="AK751" s="108"/>
      <c r="AL751" s="108"/>
      <c r="AM751" s="108"/>
      <c r="AN751" s="108"/>
      <c r="AO751" s="108"/>
    </row>
    <row r="752" spans="1:41" ht="12" customHeight="1" x14ac:dyDescent="0.2">
      <c r="A752" s="179"/>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c r="AA752" s="108"/>
      <c r="AB752" s="108"/>
      <c r="AC752" s="108"/>
      <c r="AD752" s="108"/>
      <c r="AE752" s="108"/>
      <c r="AF752" s="108"/>
      <c r="AG752" s="108"/>
      <c r="AH752" s="108"/>
      <c r="AI752" s="108"/>
      <c r="AJ752" s="108"/>
      <c r="AK752" s="108"/>
      <c r="AL752" s="108"/>
      <c r="AM752" s="108"/>
      <c r="AN752" s="108"/>
      <c r="AO752" s="108"/>
    </row>
    <row r="753" spans="1:41" ht="12" customHeight="1" x14ac:dyDescent="0.2">
      <c r="A753" s="179"/>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c r="AA753" s="108"/>
      <c r="AB753" s="108"/>
      <c r="AC753" s="108"/>
      <c r="AD753" s="108"/>
      <c r="AE753" s="108"/>
      <c r="AF753" s="108"/>
      <c r="AG753" s="108"/>
      <c r="AH753" s="108"/>
      <c r="AI753" s="108"/>
      <c r="AJ753" s="108"/>
      <c r="AK753" s="108"/>
      <c r="AL753" s="108"/>
      <c r="AM753" s="108"/>
      <c r="AN753" s="108"/>
      <c r="AO753" s="108"/>
    </row>
    <row r="754" spans="1:41" ht="12" customHeight="1" x14ac:dyDescent="0.2">
      <c r="A754" s="179"/>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c r="AA754" s="108"/>
      <c r="AB754" s="108"/>
      <c r="AC754" s="108"/>
      <c r="AD754" s="108"/>
      <c r="AE754" s="108"/>
      <c r="AF754" s="108"/>
      <c r="AG754" s="108"/>
      <c r="AH754" s="108"/>
      <c r="AI754" s="108"/>
      <c r="AJ754" s="108"/>
      <c r="AK754" s="108"/>
      <c r="AL754" s="108"/>
      <c r="AM754" s="108"/>
      <c r="AN754" s="108"/>
      <c r="AO754" s="108"/>
    </row>
    <row r="755" spans="1:41" ht="12" customHeight="1" x14ac:dyDescent="0.2">
      <c r="A755" s="179"/>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c r="AA755" s="108"/>
      <c r="AB755" s="108"/>
      <c r="AC755" s="108"/>
      <c r="AD755" s="108"/>
      <c r="AE755" s="108"/>
      <c r="AF755" s="108"/>
      <c r="AG755" s="108"/>
      <c r="AH755" s="108"/>
      <c r="AI755" s="108"/>
      <c r="AJ755" s="108"/>
      <c r="AK755" s="108"/>
      <c r="AL755" s="108"/>
      <c r="AM755" s="108"/>
      <c r="AN755" s="108"/>
      <c r="AO755" s="108"/>
    </row>
    <row r="756" spans="1:41" ht="12" customHeight="1" x14ac:dyDescent="0.2">
      <c r="A756" s="179"/>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c r="AA756" s="108"/>
      <c r="AB756" s="108"/>
      <c r="AC756" s="108"/>
      <c r="AD756" s="108"/>
      <c r="AE756" s="108"/>
      <c r="AF756" s="108"/>
      <c r="AG756" s="108"/>
      <c r="AH756" s="108"/>
      <c r="AI756" s="108"/>
      <c r="AJ756" s="108"/>
      <c r="AK756" s="108"/>
      <c r="AL756" s="108"/>
      <c r="AM756" s="108"/>
      <c r="AN756" s="108"/>
      <c r="AO756" s="108"/>
    </row>
    <row r="757" spans="1:41" ht="12" customHeight="1" x14ac:dyDescent="0.2">
      <c r="A757" s="179"/>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c r="AA757" s="108"/>
      <c r="AB757" s="108"/>
      <c r="AC757" s="108"/>
      <c r="AD757" s="108"/>
      <c r="AE757" s="108"/>
      <c r="AF757" s="108"/>
      <c r="AG757" s="108"/>
      <c r="AH757" s="108"/>
      <c r="AI757" s="108"/>
      <c r="AJ757" s="108"/>
      <c r="AK757" s="108"/>
      <c r="AL757" s="108"/>
      <c r="AM757" s="108"/>
      <c r="AN757" s="108"/>
      <c r="AO757" s="108"/>
    </row>
    <row r="758" spans="1:41" ht="12" customHeight="1" x14ac:dyDescent="0.2">
      <c r="A758" s="179"/>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c r="AA758" s="108"/>
      <c r="AB758" s="108"/>
      <c r="AC758" s="108"/>
      <c r="AD758" s="108"/>
      <c r="AE758" s="108"/>
      <c r="AF758" s="108"/>
      <c r="AG758" s="108"/>
      <c r="AH758" s="108"/>
      <c r="AI758" s="108"/>
      <c r="AJ758" s="108"/>
      <c r="AK758" s="108"/>
      <c r="AL758" s="108"/>
      <c r="AM758" s="108"/>
      <c r="AN758" s="108"/>
      <c r="AO758" s="108"/>
    </row>
    <row r="759" spans="1:41" ht="12" customHeight="1" x14ac:dyDescent="0.2">
      <c r="A759" s="179"/>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c r="AA759" s="108"/>
      <c r="AB759" s="108"/>
      <c r="AC759" s="108"/>
      <c r="AD759" s="108"/>
      <c r="AE759" s="108"/>
      <c r="AF759" s="108"/>
      <c r="AG759" s="108"/>
      <c r="AH759" s="108"/>
      <c r="AI759" s="108"/>
      <c r="AJ759" s="108"/>
      <c r="AK759" s="108"/>
      <c r="AL759" s="108"/>
      <c r="AM759" s="108"/>
      <c r="AN759" s="108"/>
      <c r="AO759" s="108"/>
    </row>
    <row r="760" spans="1:41" ht="12" customHeight="1" x14ac:dyDescent="0.2">
      <c r="A760" s="179"/>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c r="AA760" s="108"/>
      <c r="AB760" s="108"/>
      <c r="AC760" s="108"/>
      <c r="AD760" s="108"/>
      <c r="AE760" s="108"/>
      <c r="AF760" s="108"/>
      <c r="AG760" s="108"/>
      <c r="AH760" s="108"/>
      <c r="AI760" s="108"/>
      <c r="AJ760" s="108"/>
      <c r="AK760" s="108"/>
      <c r="AL760" s="108"/>
      <c r="AM760" s="108"/>
      <c r="AN760" s="108"/>
      <c r="AO760" s="108"/>
    </row>
    <row r="761" spans="1:41" ht="12" customHeight="1" x14ac:dyDescent="0.2">
      <c r="A761" s="179"/>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c r="AA761" s="108"/>
      <c r="AB761" s="108"/>
      <c r="AC761" s="108"/>
      <c r="AD761" s="108"/>
      <c r="AE761" s="108"/>
      <c r="AF761" s="108"/>
      <c r="AG761" s="108"/>
      <c r="AH761" s="108"/>
      <c r="AI761" s="108"/>
      <c r="AJ761" s="108"/>
      <c r="AK761" s="108"/>
      <c r="AL761" s="108"/>
      <c r="AM761" s="108"/>
      <c r="AN761" s="108"/>
      <c r="AO761" s="108"/>
    </row>
    <row r="762" spans="1:41" ht="12" customHeight="1" x14ac:dyDescent="0.2">
      <c r="A762" s="179"/>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c r="AA762" s="108"/>
      <c r="AB762" s="108"/>
      <c r="AC762" s="108"/>
      <c r="AD762" s="108"/>
      <c r="AE762" s="108"/>
      <c r="AF762" s="108"/>
      <c r="AG762" s="108"/>
      <c r="AH762" s="108"/>
      <c r="AI762" s="108"/>
      <c r="AJ762" s="108"/>
      <c r="AK762" s="108"/>
      <c r="AL762" s="108"/>
      <c r="AM762" s="108"/>
      <c r="AN762" s="108"/>
      <c r="AO762" s="108"/>
    </row>
    <row r="763" spans="1:41" ht="12" customHeight="1" x14ac:dyDescent="0.2">
      <c r="A763" s="179"/>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c r="AA763" s="108"/>
      <c r="AB763" s="108"/>
      <c r="AC763" s="108"/>
      <c r="AD763" s="108"/>
      <c r="AE763" s="108"/>
      <c r="AF763" s="108"/>
      <c r="AG763" s="108"/>
      <c r="AH763" s="108"/>
      <c r="AI763" s="108"/>
      <c r="AJ763" s="108"/>
      <c r="AK763" s="108"/>
      <c r="AL763" s="108"/>
      <c r="AM763" s="108"/>
      <c r="AN763" s="108"/>
      <c r="AO763" s="108"/>
    </row>
    <row r="764" spans="1:41" ht="12" customHeight="1" x14ac:dyDescent="0.2">
      <c r="A764" s="179"/>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c r="AA764" s="108"/>
      <c r="AB764" s="108"/>
      <c r="AC764" s="108"/>
      <c r="AD764" s="108"/>
      <c r="AE764" s="108"/>
      <c r="AF764" s="108"/>
      <c r="AG764" s="108"/>
      <c r="AH764" s="108"/>
      <c r="AI764" s="108"/>
      <c r="AJ764" s="108"/>
      <c r="AK764" s="108"/>
      <c r="AL764" s="108"/>
      <c r="AM764" s="108"/>
      <c r="AN764" s="108"/>
      <c r="AO764" s="108"/>
    </row>
    <row r="765" spans="1:41" ht="12" customHeight="1" x14ac:dyDescent="0.2">
      <c r="A765" s="179"/>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c r="AA765" s="108"/>
      <c r="AB765" s="108"/>
      <c r="AC765" s="108"/>
      <c r="AD765" s="108"/>
      <c r="AE765" s="108"/>
      <c r="AF765" s="108"/>
      <c r="AG765" s="108"/>
      <c r="AH765" s="108"/>
      <c r="AI765" s="108"/>
      <c r="AJ765" s="108"/>
      <c r="AK765" s="108"/>
      <c r="AL765" s="108"/>
      <c r="AM765" s="108"/>
      <c r="AN765" s="108"/>
      <c r="AO765" s="108"/>
    </row>
    <row r="766" spans="1:41" ht="12" customHeight="1" x14ac:dyDescent="0.2">
      <c r="A766" s="179"/>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c r="AA766" s="108"/>
      <c r="AB766" s="108"/>
      <c r="AC766" s="108"/>
      <c r="AD766" s="108"/>
      <c r="AE766" s="108"/>
      <c r="AF766" s="108"/>
      <c r="AG766" s="108"/>
      <c r="AH766" s="108"/>
      <c r="AI766" s="108"/>
      <c r="AJ766" s="108"/>
      <c r="AK766" s="108"/>
      <c r="AL766" s="108"/>
      <c r="AM766" s="108"/>
      <c r="AN766" s="108"/>
      <c r="AO766" s="108"/>
    </row>
    <row r="767" spans="1:41" ht="12" customHeight="1" x14ac:dyDescent="0.2">
      <c r="A767" s="179"/>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c r="AA767" s="108"/>
      <c r="AB767" s="108"/>
      <c r="AC767" s="108"/>
      <c r="AD767" s="108"/>
      <c r="AE767" s="108"/>
      <c r="AF767" s="108"/>
      <c r="AG767" s="108"/>
      <c r="AH767" s="108"/>
      <c r="AI767" s="108"/>
      <c r="AJ767" s="108"/>
      <c r="AK767" s="108"/>
      <c r="AL767" s="108"/>
      <c r="AM767" s="108"/>
      <c r="AN767" s="108"/>
      <c r="AO767" s="108"/>
    </row>
    <row r="768" spans="1:41" ht="12" customHeight="1" x14ac:dyDescent="0.2">
      <c r="A768" s="179"/>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c r="AA768" s="108"/>
      <c r="AB768" s="108"/>
      <c r="AC768" s="108"/>
      <c r="AD768" s="108"/>
      <c r="AE768" s="108"/>
      <c r="AF768" s="108"/>
      <c r="AG768" s="108"/>
      <c r="AH768" s="108"/>
      <c r="AI768" s="108"/>
      <c r="AJ768" s="108"/>
      <c r="AK768" s="108"/>
      <c r="AL768" s="108"/>
      <c r="AM768" s="108"/>
      <c r="AN768" s="108"/>
      <c r="AO768" s="108"/>
    </row>
    <row r="769" spans="1:41" ht="12" customHeight="1" x14ac:dyDescent="0.2">
      <c r="A769" s="179"/>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c r="AA769" s="108"/>
      <c r="AB769" s="108"/>
      <c r="AC769" s="108"/>
      <c r="AD769" s="108"/>
      <c r="AE769" s="108"/>
      <c r="AF769" s="108"/>
      <c r="AG769" s="108"/>
      <c r="AH769" s="108"/>
      <c r="AI769" s="108"/>
      <c r="AJ769" s="108"/>
      <c r="AK769" s="108"/>
      <c r="AL769" s="108"/>
      <c r="AM769" s="108"/>
      <c r="AN769" s="108"/>
      <c r="AO769" s="108"/>
    </row>
    <row r="770" spans="1:41" ht="12" customHeight="1" x14ac:dyDescent="0.2">
      <c r="A770" s="179"/>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c r="AA770" s="108"/>
      <c r="AB770" s="108"/>
      <c r="AC770" s="108"/>
      <c r="AD770" s="108"/>
      <c r="AE770" s="108"/>
      <c r="AF770" s="108"/>
      <c r="AG770" s="108"/>
      <c r="AH770" s="108"/>
      <c r="AI770" s="108"/>
      <c r="AJ770" s="108"/>
      <c r="AK770" s="108"/>
      <c r="AL770" s="108"/>
      <c r="AM770" s="108"/>
      <c r="AN770" s="108"/>
      <c r="AO770" s="108"/>
    </row>
    <row r="771" spans="1:41" ht="12" customHeight="1" x14ac:dyDescent="0.2">
      <c r="A771" s="179"/>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c r="AA771" s="108"/>
      <c r="AB771" s="108"/>
      <c r="AC771" s="108"/>
      <c r="AD771" s="108"/>
      <c r="AE771" s="108"/>
      <c r="AF771" s="108"/>
      <c r="AG771" s="108"/>
      <c r="AH771" s="108"/>
      <c r="AI771" s="108"/>
      <c r="AJ771" s="108"/>
      <c r="AK771" s="108"/>
      <c r="AL771" s="108"/>
      <c r="AM771" s="108"/>
      <c r="AN771" s="108"/>
      <c r="AO771" s="108"/>
    </row>
    <row r="772" spans="1:41" ht="12" customHeight="1" x14ac:dyDescent="0.2">
      <c r="A772" s="179"/>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c r="AA772" s="108"/>
      <c r="AB772" s="108"/>
      <c r="AC772" s="108"/>
      <c r="AD772" s="108"/>
      <c r="AE772" s="108"/>
      <c r="AF772" s="108"/>
      <c r="AG772" s="108"/>
      <c r="AH772" s="108"/>
      <c r="AI772" s="108"/>
      <c r="AJ772" s="108"/>
      <c r="AK772" s="108"/>
      <c r="AL772" s="108"/>
      <c r="AM772" s="108"/>
      <c r="AN772" s="108"/>
      <c r="AO772" s="108"/>
    </row>
    <row r="773" spans="1:41" ht="12" customHeight="1" x14ac:dyDescent="0.2">
      <c r="A773" s="179"/>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c r="AA773" s="108"/>
      <c r="AB773" s="108"/>
      <c r="AC773" s="108"/>
      <c r="AD773" s="108"/>
      <c r="AE773" s="108"/>
      <c r="AF773" s="108"/>
      <c r="AG773" s="108"/>
      <c r="AH773" s="108"/>
      <c r="AI773" s="108"/>
      <c r="AJ773" s="108"/>
      <c r="AK773" s="108"/>
      <c r="AL773" s="108"/>
      <c r="AM773" s="108"/>
      <c r="AN773" s="108"/>
      <c r="AO773" s="108"/>
    </row>
    <row r="774" spans="1:41" ht="12" customHeight="1" x14ac:dyDescent="0.2">
      <c r="A774" s="179"/>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c r="AA774" s="108"/>
      <c r="AB774" s="108"/>
      <c r="AC774" s="108"/>
      <c r="AD774" s="108"/>
      <c r="AE774" s="108"/>
      <c r="AF774" s="108"/>
      <c r="AG774" s="108"/>
      <c r="AH774" s="108"/>
      <c r="AI774" s="108"/>
      <c r="AJ774" s="108"/>
      <c r="AK774" s="108"/>
      <c r="AL774" s="108"/>
      <c r="AM774" s="108"/>
      <c r="AN774" s="108"/>
      <c r="AO774" s="108"/>
    </row>
    <row r="775" spans="1:41" ht="12" customHeight="1" x14ac:dyDescent="0.2">
      <c r="A775" s="179"/>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c r="AA775" s="108"/>
      <c r="AB775" s="108"/>
      <c r="AC775" s="108"/>
      <c r="AD775" s="108"/>
      <c r="AE775" s="108"/>
      <c r="AF775" s="108"/>
      <c r="AG775" s="108"/>
      <c r="AH775" s="108"/>
      <c r="AI775" s="108"/>
      <c r="AJ775" s="108"/>
      <c r="AK775" s="108"/>
      <c r="AL775" s="108"/>
      <c r="AM775" s="108"/>
      <c r="AN775" s="108"/>
      <c r="AO775" s="108"/>
    </row>
    <row r="776" spans="1:41" ht="12" customHeight="1" x14ac:dyDescent="0.2">
      <c r="A776" s="179"/>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c r="AA776" s="108"/>
      <c r="AB776" s="108"/>
      <c r="AC776" s="108"/>
      <c r="AD776" s="108"/>
      <c r="AE776" s="108"/>
      <c r="AF776" s="108"/>
      <c r="AG776" s="108"/>
      <c r="AH776" s="108"/>
      <c r="AI776" s="108"/>
      <c r="AJ776" s="108"/>
      <c r="AK776" s="108"/>
      <c r="AL776" s="108"/>
      <c r="AM776" s="108"/>
      <c r="AN776" s="108"/>
      <c r="AO776" s="108"/>
    </row>
    <row r="777" spans="1:41" ht="12" customHeight="1" x14ac:dyDescent="0.2">
      <c r="A777" s="179"/>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c r="AA777" s="108"/>
      <c r="AB777" s="108"/>
      <c r="AC777" s="108"/>
      <c r="AD777" s="108"/>
      <c r="AE777" s="108"/>
      <c r="AF777" s="108"/>
      <c r="AG777" s="108"/>
      <c r="AH777" s="108"/>
      <c r="AI777" s="108"/>
      <c r="AJ777" s="108"/>
      <c r="AK777" s="108"/>
      <c r="AL777" s="108"/>
      <c r="AM777" s="108"/>
      <c r="AN777" s="108"/>
      <c r="AO777" s="108"/>
    </row>
    <row r="778" spans="1:41" ht="12" customHeight="1" x14ac:dyDescent="0.2">
      <c r="A778" s="179"/>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c r="AA778" s="108"/>
      <c r="AB778" s="108"/>
      <c r="AC778" s="108"/>
      <c r="AD778" s="108"/>
      <c r="AE778" s="108"/>
      <c r="AF778" s="108"/>
      <c r="AG778" s="108"/>
      <c r="AH778" s="108"/>
      <c r="AI778" s="108"/>
      <c r="AJ778" s="108"/>
      <c r="AK778" s="108"/>
      <c r="AL778" s="108"/>
      <c r="AM778" s="108"/>
      <c r="AN778" s="108"/>
      <c r="AO778" s="108"/>
    </row>
    <row r="779" spans="1:41" ht="12" customHeight="1" x14ac:dyDescent="0.2">
      <c r="A779" s="179"/>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c r="AA779" s="108"/>
      <c r="AB779" s="108"/>
      <c r="AC779" s="108"/>
      <c r="AD779" s="108"/>
      <c r="AE779" s="108"/>
      <c r="AF779" s="108"/>
      <c r="AG779" s="108"/>
      <c r="AH779" s="108"/>
      <c r="AI779" s="108"/>
      <c r="AJ779" s="108"/>
      <c r="AK779" s="108"/>
      <c r="AL779" s="108"/>
      <c r="AM779" s="108"/>
      <c r="AN779" s="108"/>
      <c r="AO779" s="108"/>
    </row>
    <row r="780" spans="1:41" ht="12" customHeight="1" x14ac:dyDescent="0.2">
      <c r="A780" s="179"/>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c r="AA780" s="108"/>
      <c r="AB780" s="108"/>
      <c r="AC780" s="108"/>
      <c r="AD780" s="108"/>
      <c r="AE780" s="108"/>
      <c r="AF780" s="108"/>
      <c r="AG780" s="108"/>
      <c r="AH780" s="108"/>
      <c r="AI780" s="108"/>
      <c r="AJ780" s="108"/>
      <c r="AK780" s="108"/>
      <c r="AL780" s="108"/>
      <c r="AM780" s="108"/>
      <c r="AN780" s="108"/>
      <c r="AO780" s="108"/>
    </row>
    <row r="781" spans="1:41" ht="12" customHeight="1" x14ac:dyDescent="0.2">
      <c r="A781" s="179"/>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c r="AA781" s="108"/>
      <c r="AB781" s="108"/>
      <c r="AC781" s="108"/>
      <c r="AD781" s="108"/>
      <c r="AE781" s="108"/>
      <c r="AF781" s="108"/>
      <c r="AG781" s="108"/>
      <c r="AH781" s="108"/>
      <c r="AI781" s="108"/>
      <c r="AJ781" s="108"/>
      <c r="AK781" s="108"/>
      <c r="AL781" s="108"/>
      <c r="AM781" s="108"/>
      <c r="AN781" s="108"/>
      <c r="AO781" s="108"/>
    </row>
    <row r="782" spans="1:41" ht="12" customHeight="1" x14ac:dyDescent="0.2">
      <c r="A782" s="179"/>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c r="AA782" s="108"/>
      <c r="AB782" s="108"/>
      <c r="AC782" s="108"/>
      <c r="AD782" s="108"/>
      <c r="AE782" s="108"/>
      <c r="AF782" s="108"/>
      <c r="AG782" s="108"/>
      <c r="AH782" s="108"/>
      <c r="AI782" s="108"/>
      <c r="AJ782" s="108"/>
      <c r="AK782" s="108"/>
      <c r="AL782" s="108"/>
      <c r="AM782" s="108"/>
      <c r="AN782" s="108"/>
      <c r="AO782" s="108"/>
    </row>
    <row r="783" spans="1:41" ht="12" customHeight="1" x14ac:dyDescent="0.2">
      <c r="A783" s="179"/>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c r="AA783" s="108"/>
      <c r="AB783" s="108"/>
      <c r="AC783" s="108"/>
      <c r="AD783" s="108"/>
      <c r="AE783" s="108"/>
      <c r="AF783" s="108"/>
      <c r="AG783" s="108"/>
      <c r="AH783" s="108"/>
      <c r="AI783" s="108"/>
      <c r="AJ783" s="108"/>
      <c r="AK783" s="108"/>
      <c r="AL783" s="108"/>
      <c r="AM783" s="108"/>
      <c r="AN783" s="108"/>
      <c r="AO783" s="108"/>
    </row>
    <row r="784" spans="1:41" ht="12" customHeight="1" x14ac:dyDescent="0.2">
      <c r="A784" s="179"/>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c r="AA784" s="108"/>
      <c r="AB784" s="108"/>
      <c r="AC784" s="108"/>
      <c r="AD784" s="108"/>
      <c r="AE784" s="108"/>
      <c r="AF784" s="108"/>
      <c r="AG784" s="108"/>
      <c r="AH784" s="108"/>
      <c r="AI784" s="108"/>
      <c r="AJ784" s="108"/>
      <c r="AK784" s="108"/>
      <c r="AL784" s="108"/>
      <c r="AM784" s="108"/>
      <c r="AN784" s="108"/>
      <c r="AO784" s="108"/>
    </row>
    <row r="785" spans="1:41" ht="12" customHeight="1" x14ac:dyDescent="0.2">
      <c r="A785" s="179"/>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c r="AA785" s="108"/>
      <c r="AB785" s="108"/>
      <c r="AC785" s="108"/>
      <c r="AD785" s="108"/>
      <c r="AE785" s="108"/>
      <c r="AF785" s="108"/>
      <c r="AG785" s="108"/>
      <c r="AH785" s="108"/>
      <c r="AI785" s="108"/>
      <c r="AJ785" s="108"/>
      <c r="AK785" s="108"/>
      <c r="AL785" s="108"/>
      <c r="AM785" s="108"/>
      <c r="AN785" s="108"/>
      <c r="AO785" s="108"/>
    </row>
    <row r="786" spans="1:41" ht="12" customHeight="1" x14ac:dyDescent="0.2">
      <c r="A786" s="179"/>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c r="AA786" s="108"/>
      <c r="AB786" s="108"/>
      <c r="AC786" s="108"/>
      <c r="AD786" s="108"/>
      <c r="AE786" s="108"/>
      <c r="AF786" s="108"/>
      <c r="AG786" s="108"/>
      <c r="AH786" s="108"/>
      <c r="AI786" s="108"/>
      <c r="AJ786" s="108"/>
      <c r="AK786" s="108"/>
      <c r="AL786" s="108"/>
      <c r="AM786" s="108"/>
      <c r="AN786" s="108"/>
      <c r="AO786" s="108"/>
    </row>
    <row r="787" spans="1:41" ht="12" customHeight="1" x14ac:dyDescent="0.2">
      <c r="A787" s="179"/>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c r="AA787" s="108"/>
      <c r="AB787" s="108"/>
      <c r="AC787" s="108"/>
      <c r="AD787" s="108"/>
      <c r="AE787" s="108"/>
      <c r="AF787" s="108"/>
      <c r="AG787" s="108"/>
      <c r="AH787" s="108"/>
      <c r="AI787" s="108"/>
      <c r="AJ787" s="108"/>
      <c r="AK787" s="108"/>
      <c r="AL787" s="108"/>
      <c r="AM787" s="108"/>
      <c r="AN787" s="108"/>
      <c r="AO787" s="108"/>
    </row>
    <row r="788" spans="1:41" ht="12" customHeight="1" x14ac:dyDescent="0.2">
      <c r="A788" s="179"/>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c r="AA788" s="108"/>
      <c r="AB788" s="108"/>
      <c r="AC788" s="108"/>
      <c r="AD788" s="108"/>
      <c r="AE788" s="108"/>
      <c r="AF788" s="108"/>
      <c r="AG788" s="108"/>
      <c r="AH788" s="108"/>
      <c r="AI788" s="108"/>
      <c r="AJ788" s="108"/>
      <c r="AK788" s="108"/>
      <c r="AL788" s="108"/>
      <c r="AM788" s="108"/>
      <c r="AN788" s="108"/>
      <c r="AO788" s="108"/>
    </row>
    <row r="789" spans="1:41" ht="12" customHeight="1" x14ac:dyDescent="0.2">
      <c r="A789" s="179"/>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c r="AA789" s="108"/>
      <c r="AB789" s="108"/>
      <c r="AC789" s="108"/>
      <c r="AD789" s="108"/>
      <c r="AE789" s="108"/>
      <c r="AF789" s="108"/>
      <c r="AG789" s="108"/>
      <c r="AH789" s="108"/>
      <c r="AI789" s="108"/>
      <c r="AJ789" s="108"/>
      <c r="AK789" s="108"/>
      <c r="AL789" s="108"/>
      <c r="AM789" s="108"/>
      <c r="AN789" s="108"/>
      <c r="AO789" s="108"/>
    </row>
    <row r="790" spans="1:41" ht="12" customHeight="1" x14ac:dyDescent="0.2">
      <c r="A790" s="179"/>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c r="AA790" s="108"/>
      <c r="AB790" s="108"/>
      <c r="AC790" s="108"/>
      <c r="AD790" s="108"/>
      <c r="AE790" s="108"/>
      <c r="AF790" s="108"/>
      <c r="AG790" s="108"/>
      <c r="AH790" s="108"/>
      <c r="AI790" s="108"/>
      <c r="AJ790" s="108"/>
      <c r="AK790" s="108"/>
      <c r="AL790" s="108"/>
      <c r="AM790" s="108"/>
      <c r="AN790" s="108"/>
      <c r="AO790" s="108"/>
    </row>
    <row r="791" spans="1:41" ht="12" customHeight="1" x14ac:dyDescent="0.2">
      <c r="A791" s="179"/>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c r="AA791" s="108"/>
      <c r="AB791" s="108"/>
      <c r="AC791" s="108"/>
      <c r="AD791" s="108"/>
      <c r="AE791" s="108"/>
      <c r="AF791" s="108"/>
      <c r="AG791" s="108"/>
      <c r="AH791" s="108"/>
      <c r="AI791" s="108"/>
      <c r="AJ791" s="108"/>
      <c r="AK791" s="108"/>
      <c r="AL791" s="108"/>
      <c r="AM791" s="108"/>
      <c r="AN791" s="108"/>
      <c r="AO791" s="108"/>
    </row>
    <row r="792" spans="1:41" ht="12" customHeight="1" x14ac:dyDescent="0.2">
      <c r="A792" s="179"/>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c r="AA792" s="108"/>
      <c r="AB792" s="108"/>
      <c r="AC792" s="108"/>
      <c r="AD792" s="108"/>
      <c r="AE792" s="108"/>
      <c r="AF792" s="108"/>
      <c r="AG792" s="108"/>
      <c r="AH792" s="108"/>
      <c r="AI792" s="108"/>
      <c r="AJ792" s="108"/>
      <c r="AK792" s="108"/>
      <c r="AL792" s="108"/>
      <c r="AM792" s="108"/>
      <c r="AN792" s="108"/>
      <c r="AO792" s="108"/>
    </row>
    <row r="793" spans="1:41" ht="12" customHeight="1" x14ac:dyDescent="0.2">
      <c r="A793" s="179"/>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c r="AA793" s="108"/>
      <c r="AB793" s="108"/>
      <c r="AC793" s="108"/>
      <c r="AD793" s="108"/>
      <c r="AE793" s="108"/>
      <c r="AF793" s="108"/>
      <c r="AG793" s="108"/>
      <c r="AH793" s="108"/>
      <c r="AI793" s="108"/>
      <c r="AJ793" s="108"/>
      <c r="AK793" s="108"/>
      <c r="AL793" s="108"/>
      <c r="AM793" s="108"/>
      <c r="AN793" s="108"/>
      <c r="AO793" s="108"/>
    </row>
    <row r="794" spans="1:41" ht="12" customHeight="1" x14ac:dyDescent="0.2">
      <c r="A794" s="179"/>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c r="AA794" s="108"/>
      <c r="AB794" s="108"/>
      <c r="AC794" s="108"/>
      <c r="AD794" s="108"/>
      <c r="AE794" s="108"/>
      <c r="AF794" s="108"/>
      <c r="AG794" s="108"/>
      <c r="AH794" s="108"/>
      <c r="AI794" s="108"/>
      <c r="AJ794" s="108"/>
      <c r="AK794" s="108"/>
      <c r="AL794" s="108"/>
      <c r="AM794" s="108"/>
      <c r="AN794" s="108"/>
      <c r="AO794" s="108"/>
    </row>
    <row r="795" spans="1:41" ht="12" customHeight="1" x14ac:dyDescent="0.2">
      <c r="A795" s="179"/>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c r="AA795" s="108"/>
      <c r="AB795" s="108"/>
      <c r="AC795" s="108"/>
      <c r="AD795" s="108"/>
      <c r="AE795" s="108"/>
      <c r="AF795" s="108"/>
      <c r="AG795" s="108"/>
      <c r="AH795" s="108"/>
      <c r="AI795" s="108"/>
      <c r="AJ795" s="108"/>
      <c r="AK795" s="108"/>
      <c r="AL795" s="108"/>
      <c r="AM795" s="108"/>
      <c r="AN795" s="108"/>
      <c r="AO795" s="108"/>
    </row>
    <row r="796" spans="1:41" ht="12" customHeight="1" x14ac:dyDescent="0.2">
      <c r="A796" s="179"/>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c r="AA796" s="108"/>
      <c r="AB796" s="108"/>
      <c r="AC796" s="108"/>
      <c r="AD796" s="108"/>
      <c r="AE796" s="108"/>
      <c r="AF796" s="108"/>
      <c r="AG796" s="108"/>
      <c r="AH796" s="108"/>
      <c r="AI796" s="108"/>
      <c r="AJ796" s="108"/>
      <c r="AK796" s="108"/>
      <c r="AL796" s="108"/>
      <c r="AM796" s="108"/>
      <c r="AN796" s="108"/>
      <c r="AO796" s="108"/>
    </row>
    <row r="797" spans="1:41" ht="12" customHeight="1" x14ac:dyDescent="0.2">
      <c r="A797" s="179"/>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c r="AA797" s="108"/>
      <c r="AB797" s="108"/>
      <c r="AC797" s="108"/>
      <c r="AD797" s="108"/>
      <c r="AE797" s="108"/>
      <c r="AF797" s="108"/>
      <c r="AG797" s="108"/>
      <c r="AH797" s="108"/>
      <c r="AI797" s="108"/>
      <c r="AJ797" s="108"/>
      <c r="AK797" s="108"/>
      <c r="AL797" s="108"/>
      <c r="AM797" s="108"/>
      <c r="AN797" s="108"/>
      <c r="AO797" s="108"/>
    </row>
    <row r="798" spans="1:41" ht="12" customHeight="1" x14ac:dyDescent="0.2">
      <c r="A798" s="179"/>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c r="AA798" s="108"/>
      <c r="AB798" s="108"/>
      <c r="AC798" s="108"/>
      <c r="AD798" s="108"/>
      <c r="AE798" s="108"/>
      <c r="AF798" s="108"/>
      <c r="AG798" s="108"/>
      <c r="AH798" s="108"/>
      <c r="AI798" s="108"/>
      <c r="AJ798" s="108"/>
      <c r="AK798" s="108"/>
      <c r="AL798" s="108"/>
      <c r="AM798" s="108"/>
      <c r="AN798" s="108"/>
      <c r="AO798" s="108"/>
    </row>
    <row r="799" spans="1:41" ht="12" customHeight="1" x14ac:dyDescent="0.2">
      <c r="A799" s="179"/>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c r="AA799" s="108"/>
      <c r="AB799" s="108"/>
      <c r="AC799" s="108"/>
      <c r="AD799" s="108"/>
      <c r="AE799" s="108"/>
      <c r="AF799" s="108"/>
      <c r="AG799" s="108"/>
      <c r="AH799" s="108"/>
      <c r="AI799" s="108"/>
      <c r="AJ799" s="108"/>
      <c r="AK799" s="108"/>
      <c r="AL799" s="108"/>
      <c r="AM799" s="108"/>
      <c r="AN799" s="108"/>
      <c r="AO799" s="108"/>
    </row>
    <row r="800" spans="1:41" ht="12" customHeight="1" x14ac:dyDescent="0.2">
      <c r="A800" s="179"/>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c r="AA800" s="108"/>
      <c r="AB800" s="108"/>
      <c r="AC800" s="108"/>
      <c r="AD800" s="108"/>
      <c r="AE800" s="108"/>
      <c r="AF800" s="108"/>
      <c r="AG800" s="108"/>
      <c r="AH800" s="108"/>
      <c r="AI800" s="108"/>
      <c r="AJ800" s="108"/>
      <c r="AK800" s="108"/>
      <c r="AL800" s="108"/>
      <c r="AM800" s="108"/>
      <c r="AN800" s="108"/>
      <c r="AO800" s="108"/>
    </row>
    <row r="801" spans="1:41" ht="12" customHeight="1" x14ac:dyDescent="0.2">
      <c r="A801" s="179"/>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c r="AA801" s="108"/>
      <c r="AB801" s="108"/>
      <c r="AC801" s="108"/>
      <c r="AD801" s="108"/>
      <c r="AE801" s="108"/>
      <c r="AF801" s="108"/>
      <c r="AG801" s="108"/>
      <c r="AH801" s="108"/>
      <c r="AI801" s="108"/>
      <c r="AJ801" s="108"/>
      <c r="AK801" s="108"/>
      <c r="AL801" s="108"/>
      <c r="AM801" s="108"/>
      <c r="AN801" s="108"/>
      <c r="AO801" s="108"/>
    </row>
    <row r="802" spans="1:41" ht="12" customHeight="1" x14ac:dyDescent="0.2">
      <c r="A802" s="179"/>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c r="AA802" s="108"/>
      <c r="AB802" s="108"/>
      <c r="AC802" s="108"/>
      <c r="AD802" s="108"/>
      <c r="AE802" s="108"/>
      <c r="AF802" s="108"/>
      <c r="AG802" s="108"/>
      <c r="AH802" s="108"/>
      <c r="AI802" s="108"/>
      <c r="AJ802" s="108"/>
      <c r="AK802" s="108"/>
      <c r="AL802" s="108"/>
      <c r="AM802" s="108"/>
      <c r="AN802" s="108"/>
      <c r="AO802" s="108"/>
    </row>
    <row r="803" spans="1:41" ht="12" customHeight="1" x14ac:dyDescent="0.2">
      <c r="A803" s="179"/>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c r="AA803" s="108"/>
      <c r="AB803" s="108"/>
      <c r="AC803" s="108"/>
      <c r="AD803" s="108"/>
      <c r="AE803" s="108"/>
      <c r="AF803" s="108"/>
      <c r="AG803" s="108"/>
      <c r="AH803" s="108"/>
      <c r="AI803" s="108"/>
      <c r="AJ803" s="108"/>
      <c r="AK803" s="108"/>
      <c r="AL803" s="108"/>
      <c r="AM803" s="108"/>
      <c r="AN803" s="108"/>
      <c r="AO803" s="108"/>
    </row>
    <row r="804" spans="1:41" ht="12" customHeight="1" x14ac:dyDescent="0.2">
      <c r="A804" s="179"/>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c r="AA804" s="108"/>
      <c r="AB804" s="108"/>
      <c r="AC804" s="108"/>
      <c r="AD804" s="108"/>
      <c r="AE804" s="108"/>
      <c r="AF804" s="108"/>
      <c r="AG804" s="108"/>
      <c r="AH804" s="108"/>
      <c r="AI804" s="108"/>
      <c r="AJ804" s="108"/>
      <c r="AK804" s="108"/>
      <c r="AL804" s="108"/>
      <c r="AM804" s="108"/>
      <c r="AN804" s="108"/>
      <c r="AO804" s="108"/>
    </row>
    <row r="805" spans="1:41" ht="12" customHeight="1" x14ac:dyDescent="0.2">
      <c r="A805" s="179"/>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c r="AA805" s="108"/>
      <c r="AB805" s="108"/>
      <c r="AC805" s="108"/>
      <c r="AD805" s="108"/>
      <c r="AE805" s="108"/>
      <c r="AF805" s="108"/>
      <c r="AG805" s="108"/>
      <c r="AH805" s="108"/>
      <c r="AI805" s="108"/>
      <c r="AJ805" s="108"/>
      <c r="AK805" s="108"/>
      <c r="AL805" s="108"/>
      <c r="AM805" s="108"/>
      <c r="AN805" s="108"/>
      <c r="AO805" s="108"/>
    </row>
    <row r="806" spans="1:41" ht="12" customHeight="1" x14ac:dyDescent="0.2">
      <c r="A806" s="179"/>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c r="AA806" s="108"/>
      <c r="AB806" s="108"/>
      <c r="AC806" s="108"/>
      <c r="AD806" s="108"/>
      <c r="AE806" s="108"/>
      <c r="AF806" s="108"/>
      <c r="AG806" s="108"/>
      <c r="AH806" s="108"/>
      <c r="AI806" s="108"/>
      <c r="AJ806" s="108"/>
      <c r="AK806" s="108"/>
      <c r="AL806" s="108"/>
      <c r="AM806" s="108"/>
      <c r="AN806" s="108"/>
      <c r="AO806" s="108"/>
    </row>
    <row r="807" spans="1:41" ht="12" customHeight="1" x14ac:dyDescent="0.2">
      <c r="A807" s="179"/>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c r="AA807" s="108"/>
      <c r="AB807" s="108"/>
      <c r="AC807" s="108"/>
      <c r="AD807" s="108"/>
      <c r="AE807" s="108"/>
      <c r="AF807" s="108"/>
      <c r="AG807" s="108"/>
      <c r="AH807" s="108"/>
      <c r="AI807" s="108"/>
      <c r="AJ807" s="108"/>
      <c r="AK807" s="108"/>
      <c r="AL807" s="108"/>
      <c r="AM807" s="108"/>
      <c r="AN807" s="108"/>
      <c r="AO807" s="108"/>
    </row>
    <row r="808" spans="1:41" ht="12" customHeight="1" x14ac:dyDescent="0.2">
      <c r="A808" s="179"/>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c r="AA808" s="108"/>
      <c r="AB808" s="108"/>
      <c r="AC808" s="108"/>
      <c r="AD808" s="108"/>
      <c r="AE808" s="108"/>
      <c r="AF808" s="108"/>
      <c r="AG808" s="108"/>
      <c r="AH808" s="108"/>
      <c r="AI808" s="108"/>
      <c r="AJ808" s="108"/>
      <c r="AK808" s="108"/>
      <c r="AL808" s="108"/>
      <c r="AM808" s="108"/>
      <c r="AN808" s="108"/>
      <c r="AO808" s="108"/>
    </row>
    <row r="809" spans="1:41" ht="12" customHeight="1" x14ac:dyDescent="0.2">
      <c r="A809" s="179"/>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c r="AA809" s="108"/>
      <c r="AB809" s="108"/>
      <c r="AC809" s="108"/>
      <c r="AD809" s="108"/>
      <c r="AE809" s="108"/>
      <c r="AF809" s="108"/>
      <c r="AG809" s="108"/>
      <c r="AH809" s="108"/>
      <c r="AI809" s="108"/>
      <c r="AJ809" s="108"/>
      <c r="AK809" s="108"/>
      <c r="AL809" s="108"/>
      <c r="AM809" s="108"/>
      <c r="AN809" s="108"/>
      <c r="AO809" s="108"/>
    </row>
    <row r="810" spans="1:41" ht="12" customHeight="1" x14ac:dyDescent="0.2">
      <c r="A810" s="179"/>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c r="AA810" s="108"/>
      <c r="AB810" s="108"/>
      <c r="AC810" s="108"/>
      <c r="AD810" s="108"/>
      <c r="AE810" s="108"/>
      <c r="AF810" s="108"/>
      <c r="AG810" s="108"/>
      <c r="AH810" s="108"/>
      <c r="AI810" s="108"/>
      <c r="AJ810" s="108"/>
      <c r="AK810" s="108"/>
      <c r="AL810" s="108"/>
      <c r="AM810" s="108"/>
      <c r="AN810" s="108"/>
      <c r="AO810" s="108"/>
    </row>
    <row r="811" spans="1:41" ht="12" customHeight="1" x14ac:dyDescent="0.2">
      <c r="A811" s="179"/>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c r="AA811" s="108"/>
      <c r="AB811" s="108"/>
      <c r="AC811" s="108"/>
      <c r="AD811" s="108"/>
      <c r="AE811" s="108"/>
      <c r="AF811" s="108"/>
      <c r="AG811" s="108"/>
      <c r="AH811" s="108"/>
      <c r="AI811" s="108"/>
      <c r="AJ811" s="108"/>
      <c r="AK811" s="108"/>
      <c r="AL811" s="108"/>
      <c r="AM811" s="108"/>
      <c r="AN811" s="108"/>
      <c r="AO811" s="108"/>
    </row>
    <row r="812" spans="1:41" ht="12" customHeight="1" x14ac:dyDescent="0.2">
      <c r="A812" s="179"/>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c r="AA812" s="108"/>
      <c r="AB812" s="108"/>
      <c r="AC812" s="108"/>
      <c r="AD812" s="108"/>
      <c r="AE812" s="108"/>
      <c r="AF812" s="108"/>
      <c r="AG812" s="108"/>
      <c r="AH812" s="108"/>
      <c r="AI812" s="108"/>
      <c r="AJ812" s="108"/>
      <c r="AK812" s="108"/>
      <c r="AL812" s="108"/>
      <c r="AM812" s="108"/>
      <c r="AN812" s="108"/>
      <c r="AO812" s="108"/>
    </row>
    <row r="813" spans="1:41" ht="12" customHeight="1" x14ac:dyDescent="0.2">
      <c r="A813" s="179"/>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c r="AA813" s="108"/>
      <c r="AB813" s="108"/>
      <c r="AC813" s="108"/>
      <c r="AD813" s="108"/>
      <c r="AE813" s="108"/>
      <c r="AF813" s="108"/>
      <c r="AG813" s="108"/>
      <c r="AH813" s="108"/>
      <c r="AI813" s="108"/>
      <c r="AJ813" s="108"/>
      <c r="AK813" s="108"/>
      <c r="AL813" s="108"/>
      <c r="AM813" s="108"/>
      <c r="AN813" s="108"/>
      <c r="AO813" s="108"/>
    </row>
    <row r="814" spans="1:41" ht="12" customHeight="1" x14ac:dyDescent="0.2">
      <c r="A814" s="179"/>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c r="AA814" s="108"/>
      <c r="AB814" s="108"/>
      <c r="AC814" s="108"/>
      <c r="AD814" s="108"/>
      <c r="AE814" s="108"/>
      <c r="AF814" s="108"/>
      <c r="AG814" s="108"/>
      <c r="AH814" s="108"/>
      <c r="AI814" s="108"/>
      <c r="AJ814" s="108"/>
      <c r="AK814" s="108"/>
      <c r="AL814" s="108"/>
      <c r="AM814" s="108"/>
      <c r="AN814" s="108"/>
      <c r="AO814" s="108"/>
    </row>
    <row r="815" spans="1:41" ht="12" customHeight="1" x14ac:dyDescent="0.2">
      <c r="A815" s="179"/>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c r="AA815" s="108"/>
      <c r="AB815" s="108"/>
      <c r="AC815" s="108"/>
      <c r="AD815" s="108"/>
      <c r="AE815" s="108"/>
      <c r="AF815" s="108"/>
      <c r="AG815" s="108"/>
      <c r="AH815" s="108"/>
      <c r="AI815" s="108"/>
      <c r="AJ815" s="108"/>
      <c r="AK815" s="108"/>
      <c r="AL815" s="108"/>
      <c r="AM815" s="108"/>
      <c r="AN815" s="108"/>
      <c r="AO815" s="108"/>
    </row>
    <row r="816" spans="1:41" ht="12" customHeight="1" x14ac:dyDescent="0.2">
      <c r="A816" s="179"/>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c r="AA816" s="108"/>
      <c r="AB816" s="108"/>
      <c r="AC816" s="108"/>
      <c r="AD816" s="108"/>
      <c r="AE816" s="108"/>
      <c r="AF816" s="108"/>
      <c r="AG816" s="108"/>
      <c r="AH816" s="108"/>
      <c r="AI816" s="108"/>
      <c r="AJ816" s="108"/>
      <c r="AK816" s="108"/>
      <c r="AL816" s="108"/>
      <c r="AM816" s="108"/>
      <c r="AN816" s="108"/>
      <c r="AO816" s="108"/>
    </row>
    <row r="817" spans="1:41" ht="12" customHeight="1" x14ac:dyDescent="0.2">
      <c r="A817" s="179"/>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c r="AA817" s="108"/>
      <c r="AB817" s="108"/>
      <c r="AC817" s="108"/>
      <c r="AD817" s="108"/>
      <c r="AE817" s="108"/>
      <c r="AF817" s="108"/>
      <c r="AG817" s="108"/>
      <c r="AH817" s="108"/>
      <c r="AI817" s="108"/>
      <c r="AJ817" s="108"/>
      <c r="AK817" s="108"/>
      <c r="AL817" s="108"/>
      <c r="AM817" s="108"/>
      <c r="AN817" s="108"/>
      <c r="AO817" s="108"/>
    </row>
    <row r="818" spans="1:41" ht="12" customHeight="1" x14ac:dyDescent="0.2">
      <c r="A818" s="179"/>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c r="AA818" s="108"/>
      <c r="AB818" s="108"/>
      <c r="AC818" s="108"/>
      <c r="AD818" s="108"/>
      <c r="AE818" s="108"/>
      <c r="AF818" s="108"/>
      <c r="AG818" s="108"/>
      <c r="AH818" s="108"/>
      <c r="AI818" s="108"/>
      <c r="AJ818" s="108"/>
      <c r="AK818" s="108"/>
      <c r="AL818" s="108"/>
      <c r="AM818" s="108"/>
      <c r="AN818" s="108"/>
      <c r="AO818" s="108"/>
    </row>
    <row r="819" spans="1:41" ht="12" customHeight="1" x14ac:dyDescent="0.2">
      <c r="A819" s="179"/>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c r="AA819" s="108"/>
      <c r="AB819" s="108"/>
      <c r="AC819" s="108"/>
      <c r="AD819" s="108"/>
      <c r="AE819" s="108"/>
      <c r="AF819" s="108"/>
      <c r="AG819" s="108"/>
      <c r="AH819" s="108"/>
      <c r="AI819" s="108"/>
      <c r="AJ819" s="108"/>
      <c r="AK819" s="108"/>
      <c r="AL819" s="108"/>
      <c r="AM819" s="108"/>
      <c r="AN819" s="108"/>
      <c r="AO819" s="108"/>
    </row>
    <row r="820" spans="1:41" ht="12" customHeight="1" x14ac:dyDescent="0.2">
      <c r="A820" s="179"/>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c r="AA820" s="108"/>
      <c r="AB820" s="108"/>
      <c r="AC820" s="108"/>
      <c r="AD820" s="108"/>
      <c r="AE820" s="108"/>
      <c r="AF820" s="108"/>
      <c r="AG820" s="108"/>
      <c r="AH820" s="108"/>
      <c r="AI820" s="108"/>
      <c r="AJ820" s="108"/>
      <c r="AK820" s="108"/>
      <c r="AL820" s="108"/>
      <c r="AM820" s="108"/>
      <c r="AN820" s="108"/>
      <c r="AO820" s="108"/>
    </row>
    <row r="821" spans="1:41" ht="12" customHeight="1" x14ac:dyDescent="0.2">
      <c r="A821" s="179"/>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c r="AA821" s="108"/>
      <c r="AB821" s="108"/>
      <c r="AC821" s="108"/>
      <c r="AD821" s="108"/>
      <c r="AE821" s="108"/>
      <c r="AF821" s="108"/>
      <c r="AG821" s="108"/>
      <c r="AH821" s="108"/>
      <c r="AI821" s="108"/>
      <c r="AJ821" s="108"/>
      <c r="AK821" s="108"/>
      <c r="AL821" s="108"/>
      <c r="AM821" s="108"/>
      <c r="AN821" s="108"/>
      <c r="AO821" s="108"/>
    </row>
    <row r="822" spans="1:41" ht="12" customHeight="1" x14ac:dyDescent="0.2">
      <c r="A822" s="179"/>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c r="AA822" s="108"/>
      <c r="AB822" s="108"/>
      <c r="AC822" s="108"/>
      <c r="AD822" s="108"/>
      <c r="AE822" s="108"/>
      <c r="AF822" s="108"/>
      <c r="AG822" s="108"/>
      <c r="AH822" s="108"/>
      <c r="AI822" s="108"/>
      <c r="AJ822" s="108"/>
      <c r="AK822" s="108"/>
      <c r="AL822" s="108"/>
      <c r="AM822" s="108"/>
      <c r="AN822" s="108"/>
      <c r="AO822" s="108"/>
    </row>
    <row r="823" spans="1:41" ht="12" customHeight="1" x14ac:dyDescent="0.2">
      <c r="A823" s="179"/>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c r="AA823" s="108"/>
      <c r="AB823" s="108"/>
      <c r="AC823" s="108"/>
      <c r="AD823" s="108"/>
      <c r="AE823" s="108"/>
      <c r="AF823" s="108"/>
      <c r="AG823" s="108"/>
      <c r="AH823" s="108"/>
      <c r="AI823" s="108"/>
      <c r="AJ823" s="108"/>
      <c r="AK823" s="108"/>
      <c r="AL823" s="108"/>
      <c r="AM823" s="108"/>
      <c r="AN823" s="108"/>
      <c r="AO823" s="108"/>
    </row>
    <row r="824" spans="1:41" ht="12" customHeight="1" x14ac:dyDescent="0.2">
      <c r="A824" s="179"/>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c r="AA824" s="108"/>
      <c r="AB824" s="108"/>
      <c r="AC824" s="108"/>
      <c r="AD824" s="108"/>
      <c r="AE824" s="108"/>
      <c r="AF824" s="108"/>
      <c r="AG824" s="108"/>
      <c r="AH824" s="108"/>
      <c r="AI824" s="108"/>
      <c r="AJ824" s="108"/>
      <c r="AK824" s="108"/>
      <c r="AL824" s="108"/>
      <c r="AM824" s="108"/>
      <c r="AN824" s="108"/>
      <c r="AO824" s="108"/>
    </row>
    <row r="825" spans="1:41" ht="12" customHeight="1" x14ac:dyDescent="0.2">
      <c r="A825" s="179"/>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c r="AA825" s="108"/>
      <c r="AB825" s="108"/>
      <c r="AC825" s="108"/>
      <c r="AD825" s="108"/>
      <c r="AE825" s="108"/>
      <c r="AF825" s="108"/>
      <c r="AG825" s="108"/>
      <c r="AH825" s="108"/>
      <c r="AI825" s="108"/>
      <c r="AJ825" s="108"/>
      <c r="AK825" s="108"/>
      <c r="AL825" s="108"/>
      <c r="AM825" s="108"/>
      <c r="AN825" s="108"/>
      <c r="AO825" s="108"/>
    </row>
    <row r="826" spans="1:41" ht="12" customHeight="1" x14ac:dyDescent="0.2">
      <c r="A826" s="179"/>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c r="AA826" s="108"/>
      <c r="AB826" s="108"/>
      <c r="AC826" s="108"/>
      <c r="AD826" s="108"/>
      <c r="AE826" s="108"/>
      <c r="AF826" s="108"/>
      <c r="AG826" s="108"/>
      <c r="AH826" s="108"/>
      <c r="AI826" s="108"/>
      <c r="AJ826" s="108"/>
      <c r="AK826" s="108"/>
      <c r="AL826" s="108"/>
      <c r="AM826" s="108"/>
      <c r="AN826" s="108"/>
      <c r="AO826" s="108"/>
    </row>
    <row r="827" spans="1:41" ht="12" customHeight="1" x14ac:dyDescent="0.2">
      <c r="A827" s="179"/>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c r="AA827" s="108"/>
      <c r="AB827" s="108"/>
      <c r="AC827" s="108"/>
      <c r="AD827" s="108"/>
      <c r="AE827" s="108"/>
      <c r="AF827" s="108"/>
      <c r="AG827" s="108"/>
      <c r="AH827" s="108"/>
      <c r="AI827" s="108"/>
      <c r="AJ827" s="108"/>
      <c r="AK827" s="108"/>
      <c r="AL827" s="108"/>
      <c r="AM827" s="108"/>
      <c r="AN827" s="108"/>
      <c r="AO827" s="108"/>
    </row>
    <row r="828" spans="1:41" ht="12" customHeight="1" x14ac:dyDescent="0.2">
      <c r="A828" s="179"/>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c r="AA828" s="108"/>
      <c r="AB828" s="108"/>
      <c r="AC828" s="108"/>
      <c r="AD828" s="108"/>
      <c r="AE828" s="108"/>
      <c r="AF828" s="108"/>
      <c r="AG828" s="108"/>
      <c r="AH828" s="108"/>
      <c r="AI828" s="108"/>
      <c r="AJ828" s="108"/>
      <c r="AK828" s="108"/>
      <c r="AL828" s="108"/>
      <c r="AM828" s="108"/>
      <c r="AN828" s="108"/>
      <c r="AO828" s="108"/>
    </row>
    <row r="829" spans="1:41" ht="12" customHeight="1" x14ac:dyDescent="0.2">
      <c r="A829" s="179"/>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c r="AA829" s="108"/>
      <c r="AB829" s="108"/>
      <c r="AC829" s="108"/>
      <c r="AD829" s="108"/>
      <c r="AE829" s="108"/>
      <c r="AF829" s="108"/>
      <c r="AG829" s="108"/>
      <c r="AH829" s="108"/>
      <c r="AI829" s="108"/>
      <c r="AJ829" s="108"/>
      <c r="AK829" s="108"/>
      <c r="AL829" s="108"/>
      <c r="AM829" s="108"/>
      <c r="AN829" s="108"/>
      <c r="AO829" s="108"/>
    </row>
    <row r="830" spans="1:41" ht="12" customHeight="1" x14ac:dyDescent="0.2">
      <c r="A830" s="179"/>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c r="AA830" s="108"/>
      <c r="AB830" s="108"/>
      <c r="AC830" s="108"/>
      <c r="AD830" s="108"/>
      <c r="AE830" s="108"/>
      <c r="AF830" s="108"/>
      <c r="AG830" s="108"/>
      <c r="AH830" s="108"/>
      <c r="AI830" s="108"/>
      <c r="AJ830" s="108"/>
      <c r="AK830" s="108"/>
      <c r="AL830" s="108"/>
      <c r="AM830" s="108"/>
      <c r="AN830" s="108"/>
      <c r="AO830" s="108"/>
    </row>
    <row r="831" spans="1:41" ht="12" customHeight="1" x14ac:dyDescent="0.2">
      <c r="A831" s="179"/>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c r="AA831" s="108"/>
      <c r="AB831" s="108"/>
      <c r="AC831" s="108"/>
      <c r="AD831" s="108"/>
      <c r="AE831" s="108"/>
      <c r="AF831" s="108"/>
      <c r="AG831" s="108"/>
      <c r="AH831" s="108"/>
      <c r="AI831" s="108"/>
      <c r="AJ831" s="108"/>
      <c r="AK831" s="108"/>
      <c r="AL831" s="108"/>
      <c r="AM831" s="108"/>
      <c r="AN831" s="108"/>
      <c r="AO831" s="108"/>
    </row>
    <row r="832" spans="1:41" ht="12" customHeight="1" x14ac:dyDescent="0.2">
      <c r="A832" s="179"/>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c r="AA832" s="108"/>
      <c r="AB832" s="108"/>
      <c r="AC832" s="108"/>
      <c r="AD832" s="108"/>
      <c r="AE832" s="108"/>
      <c r="AF832" s="108"/>
      <c r="AG832" s="108"/>
      <c r="AH832" s="108"/>
      <c r="AI832" s="108"/>
      <c r="AJ832" s="108"/>
      <c r="AK832" s="108"/>
      <c r="AL832" s="108"/>
      <c r="AM832" s="108"/>
      <c r="AN832" s="108"/>
      <c r="AO832" s="108"/>
    </row>
    <row r="833" spans="1:41" ht="12" customHeight="1" x14ac:dyDescent="0.2">
      <c r="A833" s="179"/>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c r="AA833" s="108"/>
      <c r="AB833" s="108"/>
      <c r="AC833" s="108"/>
      <c r="AD833" s="108"/>
      <c r="AE833" s="108"/>
      <c r="AF833" s="108"/>
      <c r="AG833" s="108"/>
      <c r="AH833" s="108"/>
      <c r="AI833" s="108"/>
      <c r="AJ833" s="108"/>
      <c r="AK833" s="108"/>
      <c r="AL833" s="108"/>
      <c r="AM833" s="108"/>
      <c r="AN833" s="108"/>
      <c r="AO833" s="108"/>
    </row>
    <row r="834" spans="1:41" ht="12" customHeight="1" x14ac:dyDescent="0.2">
      <c r="A834" s="179"/>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c r="AA834" s="108"/>
      <c r="AB834" s="108"/>
      <c r="AC834" s="108"/>
      <c r="AD834" s="108"/>
      <c r="AE834" s="108"/>
      <c r="AF834" s="108"/>
      <c r="AG834" s="108"/>
      <c r="AH834" s="108"/>
      <c r="AI834" s="108"/>
      <c r="AJ834" s="108"/>
      <c r="AK834" s="108"/>
      <c r="AL834" s="108"/>
      <c r="AM834" s="108"/>
      <c r="AN834" s="108"/>
      <c r="AO834" s="108"/>
    </row>
    <row r="835" spans="1:41" ht="12" customHeight="1" x14ac:dyDescent="0.2">
      <c r="A835" s="179"/>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c r="AA835" s="108"/>
      <c r="AB835" s="108"/>
      <c r="AC835" s="108"/>
      <c r="AD835" s="108"/>
      <c r="AE835" s="108"/>
      <c r="AF835" s="108"/>
      <c r="AG835" s="108"/>
      <c r="AH835" s="108"/>
      <c r="AI835" s="108"/>
      <c r="AJ835" s="108"/>
      <c r="AK835" s="108"/>
      <c r="AL835" s="108"/>
      <c r="AM835" s="108"/>
      <c r="AN835" s="108"/>
      <c r="AO835" s="108"/>
    </row>
    <row r="836" spans="1:41" ht="12" customHeight="1" x14ac:dyDescent="0.2">
      <c r="A836" s="179"/>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c r="AA836" s="108"/>
      <c r="AB836" s="108"/>
      <c r="AC836" s="108"/>
      <c r="AD836" s="108"/>
      <c r="AE836" s="108"/>
      <c r="AF836" s="108"/>
      <c r="AG836" s="108"/>
      <c r="AH836" s="108"/>
      <c r="AI836" s="108"/>
      <c r="AJ836" s="108"/>
      <c r="AK836" s="108"/>
      <c r="AL836" s="108"/>
      <c r="AM836" s="108"/>
      <c r="AN836" s="108"/>
      <c r="AO836" s="108"/>
    </row>
    <row r="837" spans="1:41" ht="12" customHeight="1" x14ac:dyDescent="0.2">
      <c r="A837" s="179"/>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c r="AA837" s="108"/>
      <c r="AB837" s="108"/>
      <c r="AC837" s="108"/>
      <c r="AD837" s="108"/>
      <c r="AE837" s="108"/>
      <c r="AF837" s="108"/>
      <c r="AG837" s="108"/>
      <c r="AH837" s="108"/>
      <c r="AI837" s="108"/>
      <c r="AJ837" s="108"/>
      <c r="AK837" s="108"/>
      <c r="AL837" s="108"/>
      <c r="AM837" s="108"/>
      <c r="AN837" s="108"/>
      <c r="AO837" s="108"/>
    </row>
    <row r="838" spans="1:41" ht="12" customHeight="1" x14ac:dyDescent="0.2">
      <c r="A838" s="179"/>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c r="AA838" s="108"/>
      <c r="AB838" s="108"/>
      <c r="AC838" s="108"/>
      <c r="AD838" s="108"/>
      <c r="AE838" s="108"/>
      <c r="AF838" s="108"/>
      <c r="AG838" s="108"/>
      <c r="AH838" s="108"/>
      <c r="AI838" s="108"/>
      <c r="AJ838" s="108"/>
      <c r="AK838" s="108"/>
      <c r="AL838" s="108"/>
      <c r="AM838" s="108"/>
      <c r="AN838" s="108"/>
      <c r="AO838" s="108"/>
    </row>
    <row r="839" spans="1:41" ht="12" customHeight="1" x14ac:dyDescent="0.2">
      <c r="A839" s="179"/>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c r="AA839" s="108"/>
      <c r="AB839" s="108"/>
      <c r="AC839" s="108"/>
      <c r="AD839" s="108"/>
      <c r="AE839" s="108"/>
      <c r="AF839" s="108"/>
      <c r="AG839" s="108"/>
      <c r="AH839" s="108"/>
      <c r="AI839" s="108"/>
      <c r="AJ839" s="108"/>
      <c r="AK839" s="108"/>
      <c r="AL839" s="108"/>
      <c r="AM839" s="108"/>
      <c r="AN839" s="108"/>
      <c r="AO839" s="108"/>
    </row>
    <row r="840" spans="1:41" ht="12" customHeight="1" x14ac:dyDescent="0.2">
      <c r="A840" s="179"/>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c r="AA840" s="108"/>
      <c r="AB840" s="108"/>
      <c r="AC840" s="108"/>
      <c r="AD840" s="108"/>
      <c r="AE840" s="108"/>
      <c r="AF840" s="108"/>
      <c r="AG840" s="108"/>
      <c r="AH840" s="108"/>
      <c r="AI840" s="108"/>
      <c r="AJ840" s="108"/>
      <c r="AK840" s="108"/>
      <c r="AL840" s="108"/>
      <c r="AM840" s="108"/>
      <c r="AN840" s="108"/>
      <c r="AO840" s="108"/>
    </row>
    <row r="841" spans="1:41" ht="12" customHeight="1" x14ac:dyDescent="0.2">
      <c r="A841" s="179"/>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c r="AA841" s="108"/>
      <c r="AB841" s="108"/>
      <c r="AC841" s="108"/>
      <c r="AD841" s="108"/>
      <c r="AE841" s="108"/>
      <c r="AF841" s="108"/>
      <c r="AG841" s="108"/>
      <c r="AH841" s="108"/>
      <c r="AI841" s="108"/>
      <c r="AJ841" s="108"/>
      <c r="AK841" s="108"/>
      <c r="AL841" s="108"/>
      <c r="AM841" s="108"/>
      <c r="AN841" s="108"/>
      <c r="AO841" s="108"/>
    </row>
    <row r="842" spans="1:41" ht="12" customHeight="1" x14ac:dyDescent="0.2">
      <c r="A842" s="179"/>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c r="AA842" s="108"/>
      <c r="AB842" s="108"/>
      <c r="AC842" s="108"/>
      <c r="AD842" s="108"/>
      <c r="AE842" s="108"/>
      <c r="AF842" s="108"/>
      <c r="AG842" s="108"/>
      <c r="AH842" s="108"/>
      <c r="AI842" s="108"/>
      <c r="AJ842" s="108"/>
      <c r="AK842" s="108"/>
      <c r="AL842" s="108"/>
      <c r="AM842" s="108"/>
      <c r="AN842" s="108"/>
      <c r="AO842" s="108"/>
    </row>
    <row r="843" spans="1:41" ht="12" customHeight="1" x14ac:dyDescent="0.2">
      <c r="A843" s="179"/>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c r="AA843" s="108"/>
      <c r="AB843" s="108"/>
      <c r="AC843" s="108"/>
      <c r="AD843" s="108"/>
      <c r="AE843" s="108"/>
      <c r="AF843" s="108"/>
      <c r="AG843" s="108"/>
      <c r="AH843" s="108"/>
      <c r="AI843" s="108"/>
      <c r="AJ843" s="108"/>
      <c r="AK843" s="108"/>
      <c r="AL843" s="108"/>
      <c r="AM843" s="108"/>
      <c r="AN843" s="108"/>
      <c r="AO843" s="108"/>
    </row>
    <row r="844" spans="1:41" ht="12" customHeight="1" x14ac:dyDescent="0.2">
      <c r="A844" s="179"/>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c r="AA844" s="108"/>
      <c r="AB844" s="108"/>
      <c r="AC844" s="108"/>
      <c r="AD844" s="108"/>
      <c r="AE844" s="108"/>
      <c r="AF844" s="108"/>
      <c r="AG844" s="108"/>
      <c r="AH844" s="108"/>
      <c r="AI844" s="108"/>
      <c r="AJ844" s="108"/>
      <c r="AK844" s="108"/>
      <c r="AL844" s="108"/>
      <c r="AM844" s="108"/>
      <c r="AN844" s="108"/>
      <c r="AO844" s="108"/>
    </row>
    <row r="845" spans="1:41" ht="12" customHeight="1" x14ac:dyDescent="0.2">
      <c r="A845" s="179"/>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c r="AA845" s="108"/>
      <c r="AB845" s="108"/>
      <c r="AC845" s="108"/>
      <c r="AD845" s="108"/>
      <c r="AE845" s="108"/>
      <c r="AF845" s="108"/>
      <c r="AG845" s="108"/>
      <c r="AH845" s="108"/>
      <c r="AI845" s="108"/>
      <c r="AJ845" s="108"/>
      <c r="AK845" s="108"/>
      <c r="AL845" s="108"/>
      <c r="AM845" s="108"/>
      <c r="AN845" s="108"/>
      <c r="AO845" s="108"/>
    </row>
    <row r="846" spans="1:41" ht="12" customHeight="1" x14ac:dyDescent="0.2">
      <c r="A846" s="179"/>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c r="AA846" s="108"/>
      <c r="AB846" s="108"/>
      <c r="AC846" s="108"/>
      <c r="AD846" s="108"/>
      <c r="AE846" s="108"/>
      <c r="AF846" s="108"/>
      <c r="AG846" s="108"/>
      <c r="AH846" s="108"/>
      <c r="AI846" s="108"/>
      <c r="AJ846" s="108"/>
      <c r="AK846" s="108"/>
      <c r="AL846" s="108"/>
      <c r="AM846" s="108"/>
      <c r="AN846" s="108"/>
      <c r="AO846" s="108"/>
    </row>
    <row r="847" spans="1:41" ht="12" customHeight="1" x14ac:dyDescent="0.2">
      <c r="A847" s="179"/>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c r="AA847" s="108"/>
      <c r="AB847" s="108"/>
      <c r="AC847" s="108"/>
      <c r="AD847" s="108"/>
      <c r="AE847" s="108"/>
      <c r="AF847" s="108"/>
      <c r="AG847" s="108"/>
      <c r="AH847" s="108"/>
      <c r="AI847" s="108"/>
      <c r="AJ847" s="108"/>
      <c r="AK847" s="108"/>
      <c r="AL847" s="108"/>
      <c r="AM847" s="108"/>
      <c r="AN847" s="108"/>
      <c r="AO847" s="108"/>
    </row>
    <row r="848" spans="1:41" ht="12" customHeight="1" x14ac:dyDescent="0.2">
      <c r="A848" s="179"/>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c r="AA848" s="108"/>
      <c r="AB848" s="108"/>
      <c r="AC848" s="108"/>
      <c r="AD848" s="108"/>
      <c r="AE848" s="108"/>
      <c r="AF848" s="108"/>
      <c r="AG848" s="108"/>
      <c r="AH848" s="108"/>
      <c r="AI848" s="108"/>
      <c r="AJ848" s="108"/>
      <c r="AK848" s="108"/>
      <c r="AL848" s="108"/>
      <c r="AM848" s="108"/>
      <c r="AN848" s="108"/>
      <c r="AO848" s="108"/>
    </row>
    <row r="849" spans="1:41" ht="12" customHeight="1" x14ac:dyDescent="0.2">
      <c r="A849" s="179"/>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c r="AA849" s="108"/>
      <c r="AB849" s="108"/>
      <c r="AC849" s="108"/>
      <c r="AD849" s="108"/>
      <c r="AE849" s="108"/>
      <c r="AF849" s="108"/>
      <c r="AG849" s="108"/>
      <c r="AH849" s="108"/>
      <c r="AI849" s="108"/>
      <c r="AJ849" s="108"/>
      <c r="AK849" s="108"/>
      <c r="AL849" s="108"/>
      <c r="AM849" s="108"/>
      <c r="AN849" s="108"/>
      <c r="AO849" s="108"/>
    </row>
    <row r="850" spans="1:41" ht="12" customHeight="1" x14ac:dyDescent="0.2">
      <c r="A850" s="179"/>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c r="AA850" s="108"/>
      <c r="AB850" s="108"/>
      <c r="AC850" s="108"/>
      <c r="AD850" s="108"/>
      <c r="AE850" s="108"/>
      <c r="AF850" s="108"/>
      <c r="AG850" s="108"/>
      <c r="AH850" s="108"/>
      <c r="AI850" s="108"/>
      <c r="AJ850" s="108"/>
      <c r="AK850" s="108"/>
      <c r="AL850" s="108"/>
      <c r="AM850" s="108"/>
      <c r="AN850" s="108"/>
      <c r="AO850" s="108"/>
    </row>
    <row r="851" spans="1:41" ht="12" customHeight="1" x14ac:dyDescent="0.2">
      <c r="A851" s="179"/>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c r="AA851" s="108"/>
      <c r="AB851" s="108"/>
      <c r="AC851" s="108"/>
      <c r="AD851" s="108"/>
      <c r="AE851" s="108"/>
      <c r="AF851" s="108"/>
      <c r="AG851" s="108"/>
      <c r="AH851" s="108"/>
      <c r="AI851" s="108"/>
      <c r="AJ851" s="108"/>
      <c r="AK851" s="108"/>
      <c r="AL851" s="108"/>
      <c r="AM851" s="108"/>
      <c r="AN851" s="108"/>
      <c r="AO851" s="108"/>
    </row>
    <row r="852" spans="1:41" ht="12" customHeight="1" x14ac:dyDescent="0.2">
      <c r="A852" s="179"/>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c r="AA852" s="108"/>
      <c r="AB852" s="108"/>
      <c r="AC852" s="108"/>
      <c r="AD852" s="108"/>
      <c r="AE852" s="108"/>
      <c r="AF852" s="108"/>
      <c r="AG852" s="108"/>
      <c r="AH852" s="108"/>
      <c r="AI852" s="108"/>
      <c r="AJ852" s="108"/>
      <c r="AK852" s="108"/>
      <c r="AL852" s="108"/>
      <c r="AM852" s="108"/>
      <c r="AN852" s="108"/>
      <c r="AO852" s="108"/>
    </row>
    <row r="853" spans="1:41" ht="12" customHeight="1" x14ac:dyDescent="0.2">
      <c r="A853" s="179"/>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c r="AA853" s="108"/>
      <c r="AB853" s="108"/>
      <c r="AC853" s="108"/>
      <c r="AD853" s="108"/>
      <c r="AE853" s="108"/>
      <c r="AF853" s="108"/>
      <c r="AG853" s="108"/>
      <c r="AH853" s="108"/>
      <c r="AI853" s="108"/>
      <c r="AJ853" s="108"/>
      <c r="AK853" s="108"/>
      <c r="AL853" s="108"/>
      <c r="AM853" s="108"/>
      <c r="AN853" s="108"/>
      <c r="AO853" s="108"/>
    </row>
    <row r="854" spans="1:41" ht="12" customHeight="1" x14ac:dyDescent="0.2">
      <c r="A854" s="179"/>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c r="AA854" s="108"/>
      <c r="AB854" s="108"/>
      <c r="AC854" s="108"/>
      <c r="AD854" s="108"/>
      <c r="AE854" s="108"/>
      <c r="AF854" s="108"/>
      <c r="AG854" s="108"/>
      <c r="AH854" s="108"/>
      <c r="AI854" s="108"/>
      <c r="AJ854" s="108"/>
      <c r="AK854" s="108"/>
      <c r="AL854" s="108"/>
      <c r="AM854" s="108"/>
      <c r="AN854" s="108"/>
      <c r="AO854" s="108"/>
    </row>
    <row r="855" spans="1:41" ht="12" customHeight="1" x14ac:dyDescent="0.2">
      <c r="A855" s="179"/>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c r="AA855" s="108"/>
      <c r="AB855" s="108"/>
      <c r="AC855" s="108"/>
      <c r="AD855" s="108"/>
      <c r="AE855" s="108"/>
      <c r="AF855" s="108"/>
      <c r="AG855" s="108"/>
      <c r="AH855" s="108"/>
      <c r="AI855" s="108"/>
      <c r="AJ855" s="108"/>
      <c r="AK855" s="108"/>
      <c r="AL855" s="108"/>
      <c r="AM855" s="108"/>
      <c r="AN855" s="108"/>
      <c r="AO855" s="108"/>
    </row>
    <row r="856" spans="1:41" ht="12" customHeight="1" x14ac:dyDescent="0.2">
      <c r="A856" s="179"/>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c r="AA856" s="108"/>
      <c r="AB856" s="108"/>
      <c r="AC856" s="108"/>
      <c r="AD856" s="108"/>
      <c r="AE856" s="108"/>
      <c r="AF856" s="108"/>
      <c r="AG856" s="108"/>
      <c r="AH856" s="108"/>
      <c r="AI856" s="108"/>
      <c r="AJ856" s="108"/>
      <c r="AK856" s="108"/>
      <c r="AL856" s="108"/>
      <c r="AM856" s="108"/>
      <c r="AN856" s="108"/>
      <c r="AO856" s="108"/>
    </row>
    <row r="857" spans="1:41" ht="12" customHeight="1" x14ac:dyDescent="0.2">
      <c r="A857" s="179"/>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c r="AA857" s="108"/>
      <c r="AB857" s="108"/>
      <c r="AC857" s="108"/>
      <c r="AD857" s="108"/>
      <c r="AE857" s="108"/>
      <c r="AF857" s="108"/>
      <c r="AG857" s="108"/>
      <c r="AH857" s="108"/>
      <c r="AI857" s="108"/>
      <c r="AJ857" s="108"/>
      <c r="AK857" s="108"/>
      <c r="AL857" s="108"/>
      <c r="AM857" s="108"/>
      <c r="AN857" s="108"/>
      <c r="AO857" s="108"/>
    </row>
    <row r="858" spans="1:41" ht="12" customHeight="1" x14ac:dyDescent="0.2">
      <c r="A858" s="179"/>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c r="AA858" s="108"/>
      <c r="AB858" s="108"/>
      <c r="AC858" s="108"/>
      <c r="AD858" s="108"/>
      <c r="AE858" s="108"/>
      <c r="AF858" s="108"/>
      <c r="AG858" s="108"/>
      <c r="AH858" s="108"/>
      <c r="AI858" s="108"/>
      <c r="AJ858" s="108"/>
      <c r="AK858" s="108"/>
      <c r="AL858" s="108"/>
      <c r="AM858" s="108"/>
      <c r="AN858" s="108"/>
      <c r="AO858" s="108"/>
    </row>
    <row r="859" spans="1:41" ht="12" customHeight="1" x14ac:dyDescent="0.2">
      <c r="A859" s="179"/>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c r="AA859" s="108"/>
      <c r="AB859" s="108"/>
      <c r="AC859" s="108"/>
      <c r="AD859" s="108"/>
      <c r="AE859" s="108"/>
      <c r="AF859" s="108"/>
      <c r="AG859" s="108"/>
      <c r="AH859" s="108"/>
      <c r="AI859" s="108"/>
      <c r="AJ859" s="108"/>
      <c r="AK859" s="108"/>
      <c r="AL859" s="108"/>
      <c r="AM859" s="108"/>
      <c r="AN859" s="108"/>
      <c r="AO859" s="108"/>
    </row>
    <row r="860" spans="1:41" ht="12" customHeight="1" x14ac:dyDescent="0.2">
      <c r="A860" s="179"/>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c r="AA860" s="108"/>
      <c r="AB860" s="108"/>
      <c r="AC860" s="108"/>
      <c r="AD860" s="108"/>
      <c r="AE860" s="108"/>
      <c r="AF860" s="108"/>
      <c r="AG860" s="108"/>
      <c r="AH860" s="108"/>
      <c r="AI860" s="108"/>
      <c r="AJ860" s="108"/>
      <c r="AK860" s="108"/>
      <c r="AL860" s="108"/>
      <c r="AM860" s="108"/>
      <c r="AN860" s="108"/>
      <c r="AO860" s="108"/>
    </row>
    <row r="861" spans="1:41" ht="12" customHeight="1" x14ac:dyDescent="0.2">
      <c r="A861" s="179"/>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c r="AA861" s="108"/>
      <c r="AB861" s="108"/>
      <c r="AC861" s="108"/>
      <c r="AD861" s="108"/>
      <c r="AE861" s="108"/>
      <c r="AF861" s="108"/>
      <c r="AG861" s="108"/>
      <c r="AH861" s="108"/>
      <c r="AI861" s="108"/>
      <c r="AJ861" s="108"/>
      <c r="AK861" s="108"/>
      <c r="AL861" s="108"/>
      <c r="AM861" s="108"/>
      <c r="AN861" s="108"/>
      <c r="AO861" s="108"/>
    </row>
    <row r="862" spans="1:41" ht="12" customHeight="1" x14ac:dyDescent="0.2">
      <c r="A862" s="179"/>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c r="AA862" s="108"/>
      <c r="AB862" s="108"/>
      <c r="AC862" s="108"/>
      <c r="AD862" s="108"/>
      <c r="AE862" s="108"/>
      <c r="AF862" s="108"/>
      <c r="AG862" s="108"/>
      <c r="AH862" s="108"/>
      <c r="AI862" s="108"/>
      <c r="AJ862" s="108"/>
      <c r="AK862" s="108"/>
      <c r="AL862" s="108"/>
      <c r="AM862" s="108"/>
      <c r="AN862" s="108"/>
      <c r="AO862" s="108"/>
    </row>
    <row r="863" spans="1:41" ht="12" customHeight="1" x14ac:dyDescent="0.2">
      <c r="A863" s="179"/>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c r="AA863" s="108"/>
      <c r="AB863" s="108"/>
      <c r="AC863" s="108"/>
      <c r="AD863" s="108"/>
      <c r="AE863" s="108"/>
      <c r="AF863" s="108"/>
      <c r="AG863" s="108"/>
      <c r="AH863" s="108"/>
      <c r="AI863" s="108"/>
      <c r="AJ863" s="108"/>
      <c r="AK863" s="108"/>
      <c r="AL863" s="108"/>
      <c r="AM863" s="108"/>
      <c r="AN863" s="108"/>
      <c r="AO863" s="108"/>
    </row>
    <row r="864" spans="1:41" ht="12" customHeight="1" x14ac:dyDescent="0.2">
      <c r="A864" s="179"/>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c r="AA864" s="108"/>
      <c r="AB864" s="108"/>
      <c r="AC864" s="108"/>
      <c r="AD864" s="108"/>
      <c r="AE864" s="108"/>
      <c r="AF864" s="108"/>
      <c r="AG864" s="108"/>
      <c r="AH864" s="108"/>
      <c r="AI864" s="108"/>
      <c r="AJ864" s="108"/>
      <c r="AK864" s="108"/>
      <c r="AL864" s="108"/>
      <c r="AM864" s="108"/>
      <c r="AN864" s="108"/>
      <c r="AO864" s="108"/>
    </row>
    <row r="865" spans="1:41" ht="12" customHeight="1" x14ac:dyDescent="0.2">
      <c r="A865" s="179"/>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c r="AA865" s="108"/>
      <c r="AB865" s="108"/>
      <c r="AC865" s="108"/>
      <c r="AD865" s="108"/>
      <c r="AE865" s="108"/>
      <c r="AF865" s="108"/>
      <c r="AG865" s="108"/>
      <c r="AH865" s="108"/>
      <c r="AI865" s="108"/>
      <c r="AJ865" s="108"/>
      <c r="AK865" s="108"/>
      <c r="AL865" s="108"/>
      <c r="AM865" s="108"/>
      <c r="AN865" s="108"/>
      <c r="AO865" s="108"/>
    </row>
    <row r="866" spans="1:41" ht="12" customHeight="1" x14ac:dyDescent="0.2">
      <c r="A866" s="179"/>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c r="AA866" s="108"/>
      <c r="AB866" s="108"/>
      <c r="AC866" s="108"/>
      <c r="AD866" s="108"/>
      <c r="AE866" s="108"/>
      <c r="AF866" s="108"/>
      <c r="AG866" s="108"/>
      <c r="AH866" s="108"/>
      <c r="AI866" s="108"/>
      <c r="AJ866" s="108"/>
      <c r="AK866" s="108"/>
      <c r="AL866" s="108"/>
      <c r="AM866" s="108"/>
      <c r="AN866" s="108"/>
      <c r="AO866" s="108"/>
    </row>
    <row r="867" spans="1:41" ht="12" customHeight="1" x14ac:dyDescent="0.2">
      <c r="A867" s="179"/>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c r="AA867" s="108"/>
      <c r="AB867" s="108"/>
      <c r="AC867" s="108"/>
      <c r="AD867" s="108"/>
      <c r="AE867" s="108"/>
      <c r="AF867" s="108"/>
      <c r="AG867" s="108"/>
      <c r="AH867" s="108"/>
      <c r="AI867" s="108"/>
      <c r="AJ867" s="108"/>
      <c r="AK867" s="108"/>
      <c r="AL867" s="108"/>
      <c r="AM867" s="108"/>
      <c r="AN867" s="108"/>
      <c r="AO867" s="108"/>
    </row>
    <row r="868" spans="1:41" ht="12" customHeight="1" x14ac:dyDescent="0.2">
      <c r="A868" s="179"/>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c r="AA868" s="108"/>
      <c r="AB868" s="108"/>
      <c r="AC868" s="108"/>
      <c r="AD868" s="108"/>
      <c r="AE868" s="108"/>
      <c r="AF868" s="108"/>
      <c r="AG868" s="108"/>
      <c r="AH868" s="108"/>
      <c r="AI868" s="108"/>
      <c r="AJ868" s="108"/>
      <c r="AK868" s="108"/>
      <c r="AL868" s="108"/>
      <c r="AM868" s="108"/>
      <c r="AN868" s="108"/>
      <c r="AO868" s="108"/>
    </row>
    <row r="869" spans="1:41" ht="12" customHeight="1" x14ac:dyDescent="0.2">
      <c r="A869" s="179"/>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c r="AA869" s="108"/>
      <c r="AB869" s="108"/>
      <c r="AC869" s="108"/>
      <c r="AD869" s="108"/>
      <c r="AE869" s="108"/>
      <c r="AF869" s="108"/>
      <c r="AG869" s="108"/>
      <c r="AH869" s="108"/>
      <c r="AI869" s="108"/>
      <c r="AJ869" s="108"/>
      <c r="AK869" s="108"/>
      <c r="AL869" s="108"/>
      <c r="AM869" s="108"/>
      <c r="AN869" s="108"/>
      <c r="AO869" s="108"/>
    </row>
    <row r="870" spans="1:41" ht="12" customHeight="1" x14ac:dyDescent="0.2">
      <c r="A870" s="179"/>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c r="AA870" s="108"/>
      <c r="AB870" s="108"/>
      <c r="AC870" s="108"/>
      <c r="AD870" s="108"/>
      <c r="AE870" s="108"/>
      <c r="AF870" s="108"/>
      <c r="AG870" s="108"/>
      <c r="AH870" s="108"/>
      <c r="AI870" s="108"/>
      <c r="AJ870" s="108"/>
      <c r="AK870" s="108"/>
      <c r="AL870" s="108"/>
      <c r="AM870" s="108"/>
      <c r="AN870" s="108"/>
      <c r="AO870" s="108"/>
    </row>
    <row r="871" spans="1:41" ht="12" customHeight="1" x14ac:dyDescent="0.2">
      <c r="A871" s="179"/>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c r="AA871" s="108"/>
      <c r="AB871" s="108"/>
      <c r="AC871" s="108"/>
      <c r="AD871" s="108"/>
      <c r="AE871" s="108"/>
      <c r="AF871" s="108"/>
      <c r="AG871" s="108"/>
      <c r="AH871" s="108"/>
      <c r="AI871" s="108"/>
      <c r="AJ871" s="108"/>
      <c r="AK871" s="108"/>
      <c r="AL871" s="108"/>
      <c r="AM871" s="108"/>
      <c r="AN871" s="108"/>
      <c r="AO871" s="108"/>
    </row>
    <row r="872" spans="1:41" ht="12" customHeight="1" x14ac:dyDescent="0.2">
      <c r="A872" s="179"/>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c r="AA872" s="108"/>
      <c r="AB872" s="108"/>
      <c r="AC872" s="108"/>
      <c r="AD872" s="108"/>
      <c r="AE872" s="108"/>
      <c r="AF872" s="108"/>
      <c r="AG872" s="108"/>
      <c r="AH872" s="108"/>
      <c r="AI872" s="108"/>
      <c r="AJ872" s="108"/>
      <c r="AK872" s="108"/>
      <c r="AL872" s="108"/>
      <c r="AM872" s="108"/>
      <c r="AN872" s="108"/>
      <c r="AO872" s="108"/>
    </row>
    <row r="873" spans="1:41" ht="12" customHeight="1" x14ac:dyDescent="0.2">
      <c r="A873" s="179"/>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c r="AA873" s="108"/>
      <c r="AB873" s="108"/>
      <c r="AC873" s="108"/>
      <c r="AD873" s="108"/>
      <c r="AE873" s="108"/>
      <c r="AF873" s="108"/>
      <c r="AG873" s="108"/>
      <c r="AH873" s="108"/>
      <c r="AI873" s="108"/>
      <c r="AJ873" s="108"/>
      <c r="AK873" s="108"/>
      <c r="AL873" s="108"/>
      <c r="AM873" s="108"/>
      <c r="AN873" s="108"/>
      <c r="AO873" s="108"/>
    </row>
    <row r="874" spans="1:41" ht="12" customHeight="1" x14ac:dyDescent="0.2">
      <c r="A874" s="179"/>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c r="AA874" s="108"/>
      <c r="AB874" s="108"/>
      <c r="AC874" s="108"/>
      <c r="AD874" s="108"/>
      <c r="AE874" s="108"/>
      <c r="AF874" s="108"/>
      <c r="AG874" s="108"/>
      <c r="AH874" s="108"/>
      <c r="AI874" s="108"/>
      <c r="AJ874" s="108"/>
      <c r="AK874" s="108"/>
      <c r="AL874" s="108"/>
      <c r="AM874" s="108"/>
      <c r="AN874" s="108"/>
      <c r="AO874" s="108"/>
    </row>
    <row r="875" spans="1:41" ht="12" customHeight="1" x14ac:dyDescent="0.2">
      <c r="A875" s="179"/>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c r="AA875" s="108"/>
      <c r="AB875" s="108"/>
      <c r="AC875" s="108"/>
      <c r="AD875" s="108"/>
      <c r="AE875" s="108"/>
      <c r="AF875" s="108"/>
      <c r="AG875" s="108"/>
      <c r="AH875" s="108"/>
      <c r="AI875" s="108"/>
      <c r="AJ875" s="108"/>
      <c r="AK875" s="108"/>
      <c r="AL875" s="108"/>
      <c r="AM875" s="108"/>
      <c r="AN875" s="108"/>
      <c r="AO875" s="108"/>
    </row>
    <row r="876" spans="1:41" ht="12" customHeight="1" x14ac:dyDescent="0.2">
      <c r="A876" s="179"/>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c r="AA876" s="108"/>
      <c r="AB876" s="108"/>
      <c r="AC876" s="108"/>
      <c r="AD876" s="108"/>
      <c r="AE876" s="108"/>
      <c r="AF876" s="108"/>
      <c r="AG876" s="108"/>
      <c r="AH876" s="108"/>
      <c r="AI876" s="108"/>
      <c r="AJ876" s="108"/>
      <c r="AK876" s="108"/>
      <c r="AL876" s="108"/>
      <c r="AM876" s="108"/>
      <c r="AN876" s="108"/>
      <c r="AO876" s="108"/>
    </row>
    <row r="877" spans="1:41" ht="12" customHeight="1" x14ac:dyDescent="0.2">
      <c r="A877" s="179"/>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c r="AA877" s="108"/>
      <c r="AB877" s="108"/>
      <c r="AC877" s="108"/>
      <c r="AD877" s="108"/>
      <c r="AE877" s="108"/>
      <c r="AF877" s="108"/>
      <c r="AG877" s="108"/>
      <c r="AH877" s="108"/>
      <c r="AI877" s="108"/>
      <c r="AJ877" s="108"/>
      <c r="AK877" s="108"/>
      <c r="AL877" s="108"/>
      <c r="AM877" s="108"/>
      <c r="AN877" s="108"/>
      <c r="AO877" s="108"/>
    </row>
    <row r="878" spans="1:41" ht="12" customHeight="1" x14ac:dyDescent="0.2">
      <c r="A878" s="179"/>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c r="AA878" s="108"/>
      <c r="AB878" s="108"/>
      <c r="AC878" s="108"/>
      <c r="AD878" s="108"/>
      <c r="AE878" s="108"/>
      <c r="AF878" s="108"/>
      <c r="AG878" s="108"/>
      <c r="AH878" s="108"/>
      <c r="AI878" s="108"/>
      <c r="AJ878" s="108"/>
      <c r="AK878" s="108"/>
      <c r="AL878" s="108"/>
      <c r="AM878" s="108"/>
      <c r="AN878" s="108"/>
      <c r="AO878" s="108"/>
    </row>
    <row r="879" spans="1:41" ht="12" customHeight="1" x14ac:dyDescent="0.2">
      <c r="A879" s="179"/>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c r="AA879" s="108"/>
      <c r="AB879" s="108"/>
      <c r="AC879" s="108"/>
      <c r="AD879" s="108"/>
      <c r="AE879" s="108"/>
      <c r="AF879" s="108"/>
      <c r="AG879" s="108"/>
      <c r="AH879" s="108"/>
      <c r="AI879" s="108"/>
      <c r="AJ879" s="108"/>
      <c r="AK879" s="108"/>
      <c r="AL879" s="108"/>
      <c r="AM879" s="108"/>
      <c r="AN879" s="108"/>
      <c r="AO879" s="108"/>
    </row>
    <row r="880" spans="1:41" ht="12" customHeight="1" x14ac:dyDescent="0.2">
      <c r="A880" s="179"/>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c r="AA880" s="108"/>
      <c r="AB880" s="108"/>
      <c r="AC880" s="108"/>
      <c r="AD880" s="108"/>
      <c r="AE880" s="108"/>
      <c r="AF880" s="108"/>
      <c r="AG880" s="108"/>
      <c r="AH880" s="108"/>
      <c r="AI880" s="108"/>
      <c r="AJ880" s="108"/>
      <c r="AK880" s="108"/>
      <c r="AL880" s="108"/>
      <c r="AM880" s="108"/>
      <c r="AN880" s="108"/>
      <c r="AO880" s="108"/>
    </row>
    <row r="881" spans="1:41" ht="12" customHeight="1" x14ac:dyDescent="0.2">
      <c r="A881" s="179"/>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c r="AA881" s="108"/>
      <c r="AB881" s="108"/>
      <c r="AC881" s="108"/>
      <c r="AD881" s="108"/>
      <c r="AE881" s="108"/>
      <c r="AF881" s="108"/>
      <c r="AG881" s="108"/>
      <c r="AH881" s="108"/>
      <c r="AI881" s="108"/>
      <c r="AJ881" s="108"/>
      <c r="AK881" s="108"/>
      <c r="AL881" s="108"/>
      <c r="AM881" s="108"/>
      <c r="AN881" s="108"/>
      <c r="AO881" s="108"/>
    </row>
    <row r="882" spans="1:41" ht="12" customHeight="1" x14ac:dyDescent="0.2">
      <c r="A882" s="179"/>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c r="AA882" s="108"/>
      <c r="AB882" s="108"/>
      <c r="AC882" s="108"/>
      <c r="AD882" s="108"/>
      <c r="AE882" s="108"/>
      <c r="AF882" s="108"/>
      <c r="AG882" s="108"/>
      <c r="AH882" s="108"/>
      <c r="AI882" s="108"/>
      <c r="AJ882" s="108"/>
      <c r="AK882" s="108"/>
      <c r="AL882" s="108"/>
      <c r="AM882" s="108"/>
      <c r="AN882" s="108"/>
      <c r="AO882" s="108"/>
    </row>
    <row r="883" spans="1:41" ht="12" customHeight="1" x14ac:dyDescent="0.2">
      <c r="A883" s="179"/>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c r="AA883" s="108"/>
      <c r="AB883" s="108"/>
      <c r="AC883" s="108"/>
      <c r="AD883" s="108"/>
      <c r="AE883" s="108"/>
      <c r="AF883" s="108"/>
      <c r="AG883" s="108"/>
      <c r="AH883" s="108"/>
      <c r="AI883" s="108"/>
      <c r="AJ883" s="108"/>
      <c r="AK883" s="108"/>
      <c r="AL883" s="108"/>
      <c r="AM883" s="108"/>
      <c r="AN883" s="108"/>
      <c r="AO883" s="108"/>
    </row>
    <row r="884" spans="1:41" ht="12" customHeight="1" x14ac:dyDescent="0.2">
      <c r="A884" s="179"/>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c r="AA884" s="108"/>
      <c r="AB884" s="108"/>
      <c r="AC884" s="108"/>
      <c r="AD884" s="108"/>
      <c r="AE884" s="108"/>
      <c r="AF884" s="108"/>
      <c r="AG884" s="108"/>
      <c r="AH884" s="108"/>
      <c r="AI884" s="108"/>
      <c r="AJ884" s="108"/>
      <c r="AK884" s="108"/>
      <c r="AL884" s="108"/>
      <c r="AM884" s="108"/>
      <c r="AN884" s="108"/>
      <c r="AO884" s="108"/>
    </row>
    <row r="885" spans="1:41" ht="12" customHeight="1" x14ac:dyDescent="0.2">
      <c r="A885" s="179"/>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c r="AA885" s="108"/>
      <c r="AB885" s="108"/>
      <c r="AC885" s="108"/>
      <c r="AD885" s="108"/>
      <c r="AE885" s="108"/>
      <c r="AF885" s="108"/>
      <c r="AG885" s="108"/>
      <c r="AH885" s="108"/>
      <c r="AI885" s="108"/>
      <c r="AJ885" s="108"/>
      <c r="AK885" s="108"/>
      <c r="AL885" s="108"/>
      <c r="AM885" s="108"/>
      <c r="AN885" s="108"/>
      <c r="AO885" s="108"/>
    </row>
    <row r="886" spans="1:41" ht="12" customHeight="1" x14ac:dyDescent="0.2">
      <c r="A886" s="179"/>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c r="AA886" s="108"/>
      <c r="AB886" s="108"/>
      <c r="AC886" s="108"/>
      <c r="AD886" s="108"/>
      <c r="AE886" s="108"/>
      <c r="AF886" s="108"/>
      <c r="AG886" s="108"/>
      <c r="AH886" s="108"/>
      <c r="AI886" s="108"/>
      <c r="AJ886" s="108"/>
      <c r="AK886" s="108"/>
      <c r="AL886" s="108"/>
      <c r="AM886" s="108"/>
      <c r="AN886" s="108"/>
      <c r="AO886" s="108"/>
    </row>
    <row r="887" spans="1:41" ht="12" customHeight="1" x14ac:dyDescent="0.2">
      <c r="A887" s="179"/>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c r="AA887" s="108"/>
      <c r="AB887" s="108"/>
      <c r="AC887" s="108"/>
      <c r="AD887" s="108"/>
      <c r="AE887" s="108"/>
      <c r="AF887" s="108"/>
      <c r="AG887" s="108"/>
      <c r="AH887" s="108"/>
      <c r="AI887" s="108"/>
      <c r="AJ887" s="108"/>
      <c r="AK887" s="108"/>
      <c r="AL887" s="108"/>
      <c r="AM887" s="108"/>
      <c r="AN887" s="108"/>
      <c r="AO887" s="108"/>
    </row>
    <row r="888" spans="1:41" ht="12" customHeight="1" x14ac:dyDescent="0.2">
      <c r="A888" s="179"/>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c r="AA888" s="108"/>
      <c r="AB888" s="108"/>
      <c r="AC888" s="108"/>
      <c r="AD888" s="108"/>
      <c r="AE888" s="108"/>
      <c r="AF888" s="108"/>
      <c r="AG888" s="108"/>
      <c r="AH888" s="108"/>
      <c r="AI888" s="108"/>
      <c r="AJ888" s="108"/>
      <c r="AK888" s="108"/>
      <c r="AL888" s="108"/>
      <c r="AM888" s="108"/>
      <c r="AN888" s="108"/>
      <c r="AO888" s="108"/>
    </row>
    <row r="889" spans="1:41" ht="12" customHeight="1" x14ac:dyDescent="0.2">
      <c r="A889" s="179"/>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c r="AA889" s="108"/>
      <c r="AB889" s="108"/>
      <c r="AC889" s="108"/>
      <c r="AD889" s="108"/>
      <c r="AE889" s="108"/>
      <c r="AF889" s="108"/>
      <c r="AG889" s="108"/>
      <c r="AH889" s="108"/>
      <c r="AI889" s="108"/>
      <c r="AJ889" s="108"/>
      <c r="AK889" s="108"/>
      <c r="AL889" s="108"/>
      <c r="AM889" s="108"/>
      <c r="AN889" s="108"/>
      <c r="AO889" s="108"/>
    </row>
    <row r="890" spans="1:41" ht="12" customHeight="1" x14ac:dyDescent="0.2">
      <c r="A890" s="179"/>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c r="AA890" s="108"/>
      <c r="AB890" s="108"/>
      <c r="AC890" s="108"/>
      <c r="AD890" s="108"/>
      <c r="AE890" s="108"/>
      <c r="AF890" s="108"/>
      <c r="AG890" s="108"/>
      <c r="AH890" s="108"/>
      <c r="AI890" s="108"/>
      <c r="AJ890" s="108"/>
      <c r="AK890" s="108"/>
      <c r="AL890" s="108"/>
      <c r="AM890" s="108"/>
      <c r="AN890" s="108"/>
      <c r="AO890" s="108"/>
    </row>
    <row r="891" spans="1:41" ht="12" customHeight="1" x14ac:dyDescent="0.2">
      <c r="A891" s="179"/>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c r="AA891" s="108"/>
      <c r="AB891" s="108"/>
      <c r="AC891" s="108"/>
      <c r="AD891" s="108"/>
      <c r="AE891" s="108"/>
      <c r="AF891" s="108"/>
      <c r="AG891" s="108"/>
      <c r="AH891" s="108"/>
      <c r="AI891" s="108"/>
      <c r="AJ891" s="108"/>
      <c r="AK891" s="108"/>
      <c r="AL891" s="108"/>
      <c r="AM891" s="108"/>
      <c r="AN891" s="108"/>
      <c r="AO891" s="108"/>
    </row>
    <row r="892" spans="1:41" ht="12" customHeight="1" x14ac:dyDescent="0.2">
      <c r="A892" s="179"/>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c r="AA892" s="108"/>
      <c r="AB892" s="108"/>
      <c r="AC892" s="108"/>
      <c r="AD892" s="108"/>
      <c r="AE892" s="108"/>
      <c r="AF892" s="108"/>
      <c r="AG892" s="108"/>
      <c r="AH892" s="108"/>
      <c r="AI892" s="108"/>
      <c r="AJ892" s="108"/>
      <c r="AK892" s="108"/>
      <c r="AL892" s="108"/>
      <c r="AM892" s="108"/>
      <c r="AN892" s="108"/>
      <c r="AO892" s="108"/>
    </row>
    <row r="893" spans="1:41" ht="12" customHeight="1" x14ac:dyDescent="0.2">
      <c r="A893" s="179"/>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c r="AA893" s="108"/>
      <c r="AB893" s="108"/>
      <c r="AC893" s="108"/>
      <c r="AD893" s="108"/>
      <c r="AE893" s="108"/>
      <c r="AF893" s="108"/>
      <c r="AG893" s="108"/>
      <c r="AH893" s="108"/>
      <c r="AI893" s="108"/>
      <c r="AJ893" s="108"/>
      <c r="AK893" s="108"/>
      <c r="AL893" s="108"/>
      <c r="AM893" s="108"/>
      <c r="AN893" s="108"/>
      <c r="AO893" s="108"/>
    </row>
    <row r="894" spans="1:41" ht="12" customHeight="1" x14ac:dyDescent="0.2">
      <c r="A894" s="179"/>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c r="AA894" s="108"/>
      <c r="AB894" s="108"/>
      <c r="AC894" s="108"/>
      <c r="AD894" s="108"/>
      <c r="AE894" s="108"/>
      <c r="AF894" s="108"/>
      <c r="AG894" s="108"/>
      <c r="AH894" s="108"/>
      <c r="AI894" s="108"/>
      <c r="AJ894" s="108"/>
      <c r="AK894" s="108"/>
      <c r="AL894" s="108"/>
      <c r="AM894" s="108"/>
      <c r="AN894" s="108"/>
      <c r="AO894" s="108"/>
    </row>
    <row r="895" spans="1:41" ht="12" customHeight="1" x14ac:dyDescent="0.2">
      <c r="A895" s="179"/>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c r="AA895" s="108"/>
      <c r="AB895" s="108"/>
      <c r="AC895" s="108"/>
      <c r="AD895" s="108"/>
      <c r="AE895" s="108"/>
      <c r="AF895" s="108"/>
      <c r="AG895" s="108"/>
      <c r="AH895" s="108"/>
      <c r="AI895" s="108"/>
      <c r="AJ895" s="108"/>
      <c r="AK895" s="108"/>
      <c r="AL895" s="108"/>
      <c r="AM895" s="108"/>
      <c r="AN895" s="108"/>
      <c r="AO895" s="108"/>
    </row>
    <row r="896" spans="1:41" ht="12" customHeight="1" x14ac:dyDescent="0.2">
      <c r="A896" s="179"/>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c r="AA896" s="108"/>
      <c r="AB896" s="108"/>
      <c r="AC896" s="108"/>
      <c r="AD896" s="108"/>
      <c r="AE896" s="108"/>
      <c r="AF896" s="108"/>
      <c r="AG896" s="108"/>
      <c r="AH896" s="108"/>
      <c r="AI896" s="108"/>
      <c r="AJ896" s="108"/>
      <c r="AK896" s="108"/>
      <c r="AL896" s="108"/>
      <c r="AM896" s="108"/>
      <c r="AN896" s="108"/>
      <c r="AO896" s="108"/>
    </row>
    <row r="897" spans="1:41" ht="12" customHeight="1" x14ac:dyDescent="0.2">
      <c r="A897" s="179"/>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c r="AA897" s="108"/>
      <c r="AB897" s="108"/>
      <c r="AC897" s="108"/>
      <c r="AD897" s="108"/>
      <c r="AE897" s="108"/>
      <c r="AF897" s="108"/>
      <c r="AG897" s="108"/>
      <c r="AH897" s="108"/>
      <c r="AI897" s="108"/>
      <c r="AJ897" s="108"/>
      <c r="AK897" s="108"/>
      <c r="AL897" s="108"/>
      <c r="AM897" s="108"/>
      <c r="AN897" s="108"/>
      <c r="AO897" s="108"/>
    </row>
    <row r="898" spans="1:41" ht="12" customHeight="1" x14ac:dyDescent="0.2">
      <c r="A898" s="179"/>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c r="AA898" s="108"/>
      <c r="AB898" s="108"/>
      <c r="AC898" s="108"/>
      <c r="AD898" s="108"/>
      <c r="AE898" s="108"/>
      <c r="AF898" s="108"/>
      <c r="AG898" s="108"/>
      <c r="AH898" s="108"/>
      <c r="AI898" s="108"/>
      <c r="AJ898" s="108"/>
      <c r="AK898" s="108"/>
      <c r="AL898" s="108"/>
      <c r="AM898" s="108"/>
      <c r="AN898" s="108"/>
      <c r="AO898" s="108"/>
    </row>
    <row r="899" spans="1:41" ht="12" customHeight="1" x14ac:dyDescent="0.2">
      <c r="A899" s="179"/>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c r="AA899" s="108"/>
      <c r="AB899" s="108"/>
      <c r="AC899" s="108"/>
      <c r="AD899" s="108"/>
      <c r="AE899" s="108"/>
      <c r="AF899" s="108"/>
      <c r="AG899" s="108"/>
      <c r="AH899" s="108"/>
      <c r="AI899" s="108"/>
      <c r="AJ899" s="108"/>
      <c r="AK899" s="108"/>
      <c r="AL899" s="108"/>
      <c r="AM899" s="108"/>
      <c r="AN899" s="108"/>
      <c r="AO899" s="108"/>
    </row>
    <row r="900" spans="1:41" ht="12" customHeight="1" x14ac:dyDescent="0.2">
      <c r="A900" s="179"/>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c r="AA900" s="108"/>
      <c r="AB900" s="108"/>
      <c r="AC900" s="108"/>
      <c r="AD900" s="108"/>
      <c r="AE900" s="108"/>
      <c r="AF900" s="108"/>
      <c r="AG900" s="108"/>
      <c r="AH900" s="108"/>
      <c r="AI900" s="108"/>
      <c r="AJ900" s="108"/>
      <c r="AK900" s="108"/>
      <c r="AL900" s="108"/>
      <c r="AM900" s="108"/>
      <c r="AN900" s="108"/>
      <c r="AO900" s="108"/>
    </row>
    <row r="901" spans="1:41" ht="12" customHeight="1" x14ac:dyDescent="0.2">
      <c r="A901" s="179"/>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c r="AA901" s="108"/>
      <c r="AB901" s="108"/>
      <c r="AC901" s="108"/>
      <c r="AD901" s="108"/>
      <c r="AE901" s="108"/>
      <c r="AF901" s="108"/>
      <c r="AG901" s="108"/>
      <c r="AH901" s="108"/>
      <c r="AI901" s="108"/>
      <c r="AJ901" s="108"/>
      <c r="AK901" s="108"/>
      <c r="AL901" s="108"/>
      <c r="AM901" s="108"/>
      <c r="AN901" s="108"/>
      <c r="AO901" s="108"/>
    </row>
    <row r="902" spans="1:41" ht="12" customHeight="1" x14ac:dyDescent="0.2">
      <c r="A902" s="179"/>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c r="AA902" s="108"/>
      <c r="AB902" s="108"/>
      <c r="AC902" s="108"/>
      <c r="AD902" s="108"/>
      <c r="AE902" s="108"/>
      <c r="AF902" s="108"/>
      <c r="AG902" s="108"/>
      <c r="AH902" s="108"/>
      <c r="AI902" s="108"/>
      <c r="AJ902" s="108"/>
      <c r="AK902" s="108"/>
      <c r="AL902" s="108"/>
      <c r="AM902" s="108"/>
      <c r="AN902" s="108"/>
      <c r="AO902" s="108"/>
    </row>
    <row r="903" spans="1:41" ht="12" customHeight="1" x14ac:dyDescent="0.2">
      <c r="A903" s="179"/>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c r="AA903" s="108"/>
      <c r="AB903" s="108"/>
      <c r="AC903" s="108"/>
      <c r="AD903" s="108"/>
      <c r="AE903" s="108"/>
      <c r="AF903" s="108"/>
      <c r="AG903" s="108"/>
      <c r="AH903" s="108"/>
      <c r="AI903" s="108"/>
      <c r="AJ903" s="108"/>
      <c r="AK903" s="108"/>
      <c r="AL903" s="108"/>
      <c r="AM903" s="108"/>
      <c r="AN903" s="108"/>
      <c r="AO903" s="108"/>
    </row>
    <row r="904" spans="1:41" ht="12" customHeight="1" x14ac:dyDescent="0.2">
      <c r="A904" s="179"/>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c r="AA904" s="108"/>
      <c r="AB904" s="108"/>
      <c r="AC904" s="108"/>
      <c r="AD904" s="108"/>
      <c r="AE904" s="108"/>
      <c r="AF904" s="108"/>
      <c r="AG904" s="108"/>
      <c r="AH904" s="108"/>
      <c r="AI904" s="108"/>
      <c r="AJ904" s="108"/>
      <c r="AK904" s="108"/>
      <c r="AL904" s="108"/>
      <c r="AM904" s="108"/>
      <c r="AN904" s="108"/>
      <c r="AO904" s="108"/>
    </row>
    <row r="905" spans="1:41" ht="12" customHeight="1" x14ac:dyDescent="0.2">
      <c r="A905" s="179"/>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c r="AA905" s="108"/>
      <c r="AB905" s="108"/>
      <c r="AC905" s="108"/>
      <c r="AD905" s="108"/>
      <c r="AE905" s="108"/>
      <c r="AF905" s="108"/>
      <c r="AG905" s="108"/>
      <c r="AH905" s="108"/>
      <c r="AI905" s="108"/>
      <c r="AJ905" s="108"/>
      <c r="AK905" s="108"/>
      <c r="AL905" s="108"/>
      <c r="AM905" s="108"/>
      <c r="AN905" s="108"/>
      <c r="AO905" s="108"/>
    </row>
    <row r="906" spans="1:41" ht="12" customHeight="1" x14ac:dyDescent="0.2">
      <c r="A906" s="179"/>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c r="AA906" s="108"/>
      <c r="AB906" s="108"/>
      <c r="AC906" s="108"/>
      <c r="AD906" s="108"/>
      <c r="AE906" s="108"/>
      <c r="AF906" s="108"/>
      <c r="AG906" s="108"/>
      <c r="AH906" s="108"/>
      <c r="AI906" s="108"/>
      <c r="AJ906" s="108"/>
      <c r="AK906" s="108"/>
      <c r="AL906" s="108"/>
      <c r="AM906" s="108"/>
      <c r="AN906" s="108"/>
      <c r="AO906" s="108"/>
    </row>
    <row r="907" spans="1:41" ht="12" customHeight="1" x14ac:dyDescent="0.2">
      <c r="A907" s="179"/>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c r="AA907" s="108"/>
      <c r="AB907" s="108"/>
      <c r="AC907" s="108"/>
      <c r="AD907" s="108"/>
      <c r="AE907" s="108"/>
      <c r="AF907" s="108"/>
      <c r="AG907" s="108"/>
      <c r="AH907" s="108"/>
      <c r="AI907" s="108"/>
      <c r="AJ907" s="108"/>
      <c r="AK907" s="108"/>
      <c r="AL907" s="108"/>
      <c r="AM907" s="108"/>
      <c r="AN907" s="108"/>
      <c r="AO907" s="108"/>
    </row>
    <row r="908" spans="1:41" ht="12" customHeight="1" x14ac:dyDescent="0.2">
      <c r="A908" s="179"/>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c r="AA908" s="108"/>
      <c r="AB908" s="108"/>
      <c r="AC908" s="108"/>
      <c r="AD908" s="108"/>
      <c r="AE908" s="108"/>
      <c r="AF908" s="108"/>
      <c r="AG908" s="108"/>
      <c r="AH908" s="108"/>
      <c r="AI908" s="108"/>
      <c r="AJ908" s="108"/>
      <c r="AK908" s="108"/>
      <c r="AL908" s="108"/>
      <c r="AM908" s="108"/>
      <c r="AN908" s="108"/>
      <c r="AO908" s="108"/>
    </row>
    <row r="909" spans="1:41" ht="12" customHeight="1" x14ac:dyDescent="0.2">
      <c r="A909" s="179"/>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c r="AA909" s="108"/>
      <c r="AB909" s="108"/>
      <c r="AC909" s="108"/>
      <c r="AD909" s="108"/>
      <c r="AE909" s="108"/>
      <c r="AF909" s="108"/>
      <c r="AG909" s="108"/>
      <c r="AH909" s="108"/>
      <c r="AI909" s="108"/>
      <c r="AJ909" s="108"/>
      <c r="AK909" s="108"/>
      <c r="AL909" s="108"/>
      <c r="AM909" s="108"/>
      <c r="AN909" s="108"/>
      <c r="AO909" s="108"/>
    </row>
    <row r="910" spans="1:41" ht="12" customHeight="1" x14ac:dyDescent="0.2">
      <c r="A910" s="179"/>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c r="AA910" s="108"/>
      <c r="AB910" s="108"/>
      <c r="AC910" s="108"/>
      <c r="AD910" s="108"/>
      <c r="AE910" s="108"/>
      <c r="AF910" s="108"/>
      <c r="AG910" s="108"/>
      <c r="AH910" s="108"/>
      <c r="AI910" s="108"/>
      <c r="AJ910" s="108"/>
      <c r="AK910" s="108"/>
      <c r="AL910" s="108"/>
      <c r="AM910" s="108"/>
      <c r="AN910" s="108"/>
      <c r="AO910" s="108"/>
    </row>
    <row r="911" spans="1:41" ht="12" customHeight="1" x14ac:dyDescent="0.2">
      <c r="A911" s="179"/>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c r="AA911" s="108"/>
      <c r="AB911" s="108"/>
      <c r="AC911" s="108"/>
      <c r="AD911" s="108"/>
      <c r="AE911" s="108"/>
      <c r="AF911" s="108"/>
      <c r="AG911" s="108"/>
      <c r="AH911" s="108"/>
      <c r="AI911" s="108"/>
      <c r="AJ911" s="108"/>
      <c r="AK911" s="108"/>
      <c r="AL911" s="108"/>
      <c r="AM911" s="108"/>
      <c r="AN911" s="108"/>
      <c r="AO911" s="108"/>
    </row>
    <row r="912" spans="1:41" ht="12" customHeight="1" x14ac:dyDescent="0.2">
      <c r="A912" s="179"/>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c r="AA912" s="108"/>
      <c r="AB912" s="108"/>
      <c r="AC912" s="108"/>
      <c r="AD912" s="108"/>
      <c r="AE912" s="108"/>
      <c r="AF912" s="108"/>
      <c r="AG912" s="108"/>
      <c r="AH912" s="108"/>
      <c r="AI912" s="108"/>
      <c r="AJ912" s="108"/>
      <c r="AK912" s="108"/>
      <c r="AL912" s="108"/>
      <c r="AM912" s="108"/>
      <c r="AN912" s="108"/>
      <c r="AO912" s="108"/>
    </row>
    <row r="913" spans="1:41" ht="12" customHeight="1" x14ac:dyDescent="0.2">
      <c r="A913" s="179"/>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c r="AA913" s="108"/>
      <c r="AB913" s="108"/>
      <c r="AC913" s="108"/>
      <c r="AD913" s="108"/>
      <c r="AE913" s="108"/>
      <c r="AF913" s="108"/>
      <c r="AG913" s="108"/>
      <c r="AH913" s="108"/>
      <c r="AI913" s="108"/>
      <c r="AJ913" s="108"/>
      <c r="AK913" s="108"/>
      <c r="AL913" s="108"/>
      <c r="AM913" s="108"/>
      <c r="AN913" s="108"/>
      <c r="AO913" s="108"/>
    </row>
    <row r="914" spans="1:41" ht="12" customHeight="1" x14ac:dyDescent="0.2">
      <c r="A914" s="179"/>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c r="AA914" s="108"/>
      <c r="AB914" s="108"/>
      <c r="AC914" s="108"/>
      <c r="AD914" s="108"/>
      <c r="AE914" s="108"/>
      <c r="AF914" s="108"/>
      <c r="AG914" s="108"/>
      <c r="AH914" s="108"/>
      <c r="AI914" s="108"/>
      <c r="AJ914" s="108"/>
      <c r="AK914" s="108"/>
      <c r="AL914" s="108"/>
      <c r="AM914" s="108"/>
      <c r="AN914" s="108"/>
      <c r="AO914" s="108"/>
    </row>
    <row r="915" spans="1:41" ht="12" customHeight="1" x14ac:dyDescent="0.2">
      <c r="A915" s="179"/>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c r="AA915" s="108"/>
      <c r="AB915" s="108"/>
      <c r="AC915" s="108"/>
      <c r="AD915" s="108"/>
      <c r="AE915" s="108"/>
      <c r="AF915" s="108"/>
      <c r="AG915" s="108"/>
      <c r="AH915" s="108"/>
      <c r="AI915" s="108"/>
      <c r="AJ915" s="108"/>
      <c r="AK915" s="108"/>
      <c r="AL915" s="108"/>
      <c r="AM915" s="108"/>
      <c r="AN915" s="108"/>
      <c r="AO915" s="108"/>
    </row>
    <row r="916" spans="1:41" ht="12" customHeight="1" x14ac:dyDescent="0.2">
      <c r="A916" s="179"/>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c r="AA916" s="108"/>
      <c r="AB916" s="108"/>
      <c r="AC916" s="108"/>
      <c r="AD916" s="108"/>
      <c r="AE916" s="108"/>
      <c r="AF916" s="108"/>
      <c r="AG916" s="108"/>
      <c r="AH916" s="108"/>
      <c r="AI916" s="108"/>
      <c r="AJ916" s="108"/>
      <c r="AK916" s="108"/>
      <c r="AL916" s="108"/>
      <c r="AM916" s="108"/>
      <c r="AN916" s="108"/>
      <c r="AO916" s="108"/>
    </row>
    <row r="917" spans="1:41" ht="12" customHeight="1" x14ac:dyDescent="0.2">
      <c r="A917" s="179"/>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c r="AA917" s="108"/>
      <c r="AB917" s="108"/>
      <c r="AC917" s="108"/>
      <c r="AD917" s="108"/>
      <c r="AE917" s="108"/>
      <c r="AF917" s="108"/>
      <c r="AG917" s="108"/>
      <c r="AH917" s="108"/>
      <c r="AI917" s="108"/>
      <c r="AJ917" s="108"/>
      <c r="AK917" s="108"/>
      <c r="AL917" s="108"/>
      <c r="AM917" s="108"/>
      <c r="AN917" s="108"/>
      <c r="AO917" s="108"/>
    </row>
    <row r="918" spans="1:41" ht="12" customHeight="1" x14ac:dyDescent="0.2">
      <c r="A918" s="179"/>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c r="AA918" s="108"/>
      <c r="AB918" s="108"/>
      <c r="AC918" s="108"/>
      <c r="AD918" s="108"/>
      <c r="AE918" s="108"/>
      <c r="AF918" s="108"/>
      <c r="AG918" s="108"/>
      <c r="AH918" s="108"/>
      <c r="AI918" s="108"/>
      <c r="AJ918" s="108"/>
      <c r="AK918" s="108"/>
      <c r="AL918" s="108"/>
      <c r="AM918" s="108"/>
      <c r="AN918" s="108"/>
      <c r="AO918" s="108"/>
    </row>
    <row r="919" spans="1:41" ht="12" customHeight="1" x14ac:dyDescent="0.2">
      <c r="A919" s="179"/>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c r="AA919" s="108"/>
      <c r="AB919" s="108"/>
      <c r="AC919" s="108"/>
      <c r="AD919" s="108"/>
      <c r="AE919" s="108"/>
      <c r="AF919" s="108"/>
      <c r="AG919" s="108"/>
      <c r="AH919" s="108"/>
      <c r="AI919" s="108"/>
      <c r="AJ919" s="108"/>
      <c r="AK919" s="108"/>
      <c r="AL919" s="108"/>
      <c r="AM919" s="108"/>
      <c r="AN919" s="108"/>
      <c r="AO919" s="108"/>
    </row>
    <row r="920" spans="1:41" ht="12" customHeight="1" x14ac:dyDescent="0.2">
      <c r="A920" s="179"/>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c r="AA920" s="108"/>
      <c r="AB920" s="108"/>
      <c r="AC920" s="108"/>
      <c r="AD920" s="108"/>
      <c r="AE920" s="108"/>
      <c r="AF920" s="108"/>
      <c r="AG920" s="108"/>
      <c r="AH920" s="108"/>
      <c r="AI920" s="108"/>
      <c r="AJ920" s="108"/>
      <c r="AK920" s="108"/>
      <c r="AL920" s="108"/>
      <c r="AM920" s="108"/>
      <c r="AN920" s="108"/>
      <c r="AO920" s="108"/>
    </row>
    <row r="921" spans="1:41" ht="12" customHeight="1" x14ac:dyDescent="0.2">
      <c r="A921" s="179"/>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c r="AA921" s="108"/>
      <c r="AB921" s="108"/>
      <c r="AC921" s="108"/>
      <c r="AD921" s="108"/>
      <c r="AE921" s="108"/>
      <c r="AF921" s="108"/>
      <c r="AG921" s="108"/>
      <c r="AH921" s="108"/>
      <c r="AI921" s="108"/>
      <c r="AJ921" s="108"/>
      <c r="AK921" s="108"/>
      <c r="AL921" s="108"/>
      <c r="AM921" s="108"/>
      <c r="AN921" s="108"/>
      <c r="AO921" s="108"/>
    </row>
    <row r="922" spans="1:41" ht="12" customHeight="1" x14ac:dyDescent="0.2">
      <c r="A922" s="179"/>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c r="AA922" s="108"/>
      <c r="AB922" s="108"/>
      <c r="AC922" s="108"/>
      <c r="AD922" s="108"/>
      <c r="AE922" s="108"/>
      <c r="AF922" s="108"/>
      <c r="AG922" s="108"/>
      <c r="AH922" s="108"/>
      <c r="AI922" s="108"/>
      <c r="AJ922" s="108"/>
      <c r="AK922" s="108"/>
      <c r="AL922" s="108"/>
      <c r="AM922" s="108"/>
      <c r="AN922" s="108"/>
      <c r="AO922" s="108"/>
    </row>
    <row r="923" spans="1:41" ht="12" customHeight="1" x14ac:dyDescent="0.2">
      <c r="A923" s="179"/>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c r="AA923" s="108"/>
      <c r="AB923" s="108"/>
      <c r="AC923" s="108"/>
      <c r="AD923" s="108"/>
      <c r="AE923" s="108"/>
      <c r="AF923" s="108"/>
      <c r="AG923" s="108"/>
      <c r="AH923" s="108"/>
      <c r="AI923" s="108"/>
      <c r="AJ923" s="108"/>
      <c r="AK923" s="108"/>
      <c r="AL923" s="108"/>
      <c r="AM923" s="108"/>
      <c r="AN923" s="108"/>
      <c r="AO923" s="108"/>
    </row>
    <row r="924" spans="1:41" ht="12" customHeight="1" x14ac:dyDescent="0.2">
      <c r="A924" s="179"/>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c r="AA924" s="108"/>
      <c r="AB924" s="108"/>
      <c r="AC924" s="108"/>
      <c r="AD924" s="108"/>
      <c r="AE924" s="108"/>
      <c r="AF924" s="108"/>
      <c r="AG924" s="108"/>
      <c r="AH924" s="108"/>
      <c r="AI924" s="108"/>
      <c r="AJ924" s="108"/>
      <c r="AK924" s="108"/>
      <c r="AL924" s="108"/>
      <c r="AM924" s="108"/>
      <c r="AN924" s="108"/>
      <c r="AO924" s="108"/>
    </row>
    <row r="925" spans="1:41" ht="12" customHeight="1" x14ac:dyDescent="0.2">
      <c r="A925" s="179"/>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c r="AA925" s="108"/>
      <c r="AB925" s="108"/>
      <c r="AC925" s="108"/>
      <c r="AD925" s="108"/>
      <c r="AE925" s="108"/>
      <c r="AF925" s="108"/>
      <c r="AG925" s="108"/>
      <c r="AH925" s="108"/>
      <c r="AI925" s="108"/>
      <c r="AJ925" s="108"/>
      <c r="AK925" s="108"/>
      <c r="AL925" s="108"/>
      <c r="AM925" s="108"/>
      <c r="AN925" s="108"/>
      <c r="AO925" s="108"/>
    </row>
    <row r="926" spans="1:41" ht="12" customHeight="1" x14ac:dyDescent="0.2">
      <c r="A926" s="179"/>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c r="AA926" s="108"/>
      <c r="AB926" s="108"/>
      <c r="AC926" s="108"/>
      <c r="AD926" s="108"/>
      <c r="AE926" s="108"/>
      <c r="AF926" s="108"/>
      <c r="AG926" s="108"/>
      <c r="AH926" s="108"/>
      <c r="AI926" s="108"/>
      <c r="AJ926" s="108"/>
      <c r="AK926" s="108"/>
      <c r="AL926" s="108"/>
      <c r="AM926" s="108"/>
      <c r="AN926" s="108"/>
      <c r="AO926" s="108"/>
    </row>
    <row r="927" spans="1:41" ht="12" customHeight="1" x14ac:dyDescent="0.2">
      <c r="A927" s="179"/>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c r="AA927" s="108"/>
      <c r="AB927" s="108"/>
      <c r="AC927" s="108"/>
      <c r="AD927" s="108"/>
      <c r="AE927" s="108"/>
      <c r="AF927" s="108"/>
      <c r="AG927" s="108"/>
      <c r="AH927" s="108"/>
      <c r="AI927" s="108"/>
      <c r="AJ927" s="108"/>
      <c r="AK927" s="108"/>
      <c r="AL927" s="108"/>
      <c r="AM927" s="108"/>
      <c r="AN927" s="108"/>
      <c r="AO927" s="108"/>
    </row>
    <row r="928" spans="1:41" ht="12" customHeight="1" x14ac:dyDescent="0.2">
      <c r="A928" s="179"/>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c r="AA928" s="108"/>
      <c r="AB928" s="108"/>
      <c r="AC928" s="108"/>
      <c r="AD928" s="108"/>
      <c r="AE928" s="108"/>
      <c r="AF928" s="108"/>
      <c r="AG928" s="108"/>
      <c r="AH928" s="108"/>
      <c r="AI928" s="108"/>
      <c r="AJ928" s="108"/>
      <c r="AK928" s="108"/>
      <c r="AL928" s="108"/>
      <c r="AM928" s="108"/>
      <c r="AN928" s="108"/>
      <c r="AO928" s="108"/>
    </row>
    <row r="929" spans="1:41" ht="12" customHeight="1" x14ac:dyDescent="0.2">
      <c r="A929" s="179"/>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c r="AA929" s="108"/>
      <c r="AB929" s="108"/>
      <c r="AC929" s="108"/>
      <c r="AD929" s="108"/>
      <c r="AE929" s="108"/>
      <c r="AF929" s="108"/>
      <c r="AG929" s="108"/>
      <c r="AH929" s="108"/>
      <c r="AI929" s="108"/>
      <c r="AJ929" s="108"/>
      <c r="AK929" s="108"/>
      <c r="AL929" s="108"/>
      <c r="AM929" s="108"/>
      <c r="AN929" s="108"/>
      <c r="AO929" s="108"/>
    </row>
    <row r="930" spans="1:41" ht="12" customHeight="1" x14ac:dyDescent="0.2">
      <c r="A930" s="179"/>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c r="AA930" s="108"/>
      <c r="AB930" s="108"/>
      <c r="AC930" s="108"/>
      <c r="AD930" s="108"/>
      <c r="AE930" s="108"/>
      <c r="AF930" s="108"/>
      <c r="AG930" s="108"/>
      <c r="AH930" s="108"/>
      <c r="AI930" s="108"/>
      <c r="AJ930" s="108"/>
      <c r="AK930" s="108"/>
      <c r="AL930" s="108"/>
      <c r="AM930" s="108"/>
      <c r="AN930" s="108"/>
      <c r="AO930" s="108"/>
    </row>
    <row r="931" spans="1:41" ht="12" customHeight="1" x14ac:dyDescent="0.2">
      <c r="A931" s="179"/>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c r="AA931" s="108"/>
      <c r="AB931" s="108"/>
      <c r="AC931" s="108"/>
      <c r="AD931" s="108"/>
      <c r="AE931" s="108"/>
      <c r="AF931" s="108"/>
      <c r="AG931" s="108"/>
      <c r="AH931" s="108"/>
      <c r="AI931" s="108"/>
      <c r="AJ931" s="108"/>
      <c r="AK931" s="108"/>
      <c r="AL931" s="108"/>
      <c r="AM931" s="108"/>
      <c r="AN931" s="108"/>
      <c r="AO931" s="108"/>
    </row>
    <row r="932" spans="1:41" ht="12" customHeight="1" x14ac:dyDescent="0.2">
      <c r="A932" s="179"/>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c r="AA932" s="108"/>
      <c r="AB932" s="108"/>
      <c r="AC932" s="108"/>
      <c r="AD932" s="108"/>
      <c r="AE932" s="108"/>
      <c r="AF932" s="108"/>
      <c r="AG932" s="108"/>
      <c r="AH932" s="108"/>
      <c r="AI932" s="108"/>
      <c r="AJ932" s="108"/>
      <c r="AK932" s="108"/>
      <c r="AL932" s="108"/>
      <c r="AM932" s="108"/>
      <c r="AN932" s="108"/>
      <c r="AO932" s="108"/>
    </row>
    <row r="933" spans="1:41" ht="12" customHeight="1" x14ac:dyDescent="0.2">
      <c r="A933" s="179"/>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c r="AA933" s="108"/>
      <c r="AB933" s="108"/>
      <c r="AC933" s="108"/>
      <c r="AD933" s="108"/>
      <c r="AE933" s="108"/>
      <c r="AF933" s="108"/>
      <c r="AG933" s="108"/>
      <c r="AH933" s="108"/>
      <c r="AI933" s="108"/>
      <c r="AJ933" s="108"/>
      <c r="AK933" s="108"/>
      <c r="AL933" s="108"/>
      <c r="AM933" s="108"/>
      <c r="AN933" s="108"/>
      <c r="AO933" s="108"/>
    </row>
    <row r="934" spans="1:41" ht="12" customHeight="1" x14ac:dyDescent="0.2">
      <c r="A934" s="179"/>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c r="AA934" s="108"/>
      <c r="AB934" s="108"/>
      <c r="AC934" s="108"/>
      <c r="AD934" s="108"/>
      <c r="AE934" s="108"/>
      <c r="AF934" s="108"/>
      <c r="AG934" s="108"/>
      <c r="AH934" s="108"/>
      <c r="AI934" s="108"/>
      <c r="AJ934" s="108"/>
      <c r="AK934" s="108"/>
      <c r="AL934" s="108"/>
      <c r="AM934" s="108"/>
      <c r="AN934" s="108"/>
      <c r="AO934" s="108"/>
    </row>
    <row r="935" spans="1:41" ht="12" customHeight="1" x14ac:dyDescent="0.2">
      <c r="A935" s="179"/>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c r="AA935" s="108"/>
      <c r="AB935" s="108"/>
      <c r="AC935" s="108"/>
      <c r="AD935" s="108"/>
      <c r="AE935" s="108"/>
      <c r="AF935" s="108"/>
      <c r="AG935" s="108"/>
      <c r="AH935" s="108"/>
      <c r="AI935" s="108"/>
      <c r="AJ935" s="108"/>
      <c r="AK935" s="108"/>
      <c r="AL935" s="108"/>
      <c r="AM935" s="108"/>
      <c r="AN935" s="108"/>
      <c r="AO935" s="108"/>
    </row>
    <row r="936" spans="1:41" ht="12" customHeight="1" x14ac:dyDescent="0.2">
      <c r="A936" s="179"/>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c r="AA936" s="108"/>
      <c r="AB936" s="108"/>
      <c r="AC936" s="108"/>
      <c r="AD936" s="108"/>
      <c r="AE936" s="108"/>
      <c r="AF936" s="108"/>
      <c r="AG936" s="108"/>
      <c r="AH936" s="108"/>
      <c r="AI936" s="108"/>
      <c r="AJ936" s="108"/>
      <c r="AK936" s="108"/>
      <c r="AL936" s="108"/>
      <c r="AM936" s="108"/>
      <c r="AN936" s="108"/>
      <c r="AO936" s="108"/>
    </row>
    <row r="937" spans="1:41" ht="12" customHeight="1" x14ac:dyDescent="0.2">
      <c r="A937" s="179"/>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c r="AA937" s="108"/>
      <c r="AB937" s="108"/>
      <c r="AC937" s="108"/>
      <c r="AD937" s="108"/>
      <c r="AE937" s="108"/>
      <c r="AF937" s="108"/>
      <c r="AG937" s="108"/>
      <c r="AH937" s="108"/>
      <c r="AI937" s="108"/>
      <c r="AJ937" s="108"/>
      <c r="AK937" s="108"/>
      <c r="AL937" s="108"/>
      <c r="AM937" s="108"/>
      <c r="AN937" s="108"/>
      <c r="AO937" s="108"/>
    </row>
    <row r="938" spans="1:41" ht="12" customHeight="1" x14ac:dyDescent="0.2">
      <c r="A938" s="179"/>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c r="AA938" s="108"/>
      <c r="AB938" s="108"/>
      <c r="AC938" s="108"/>
      <c r="AD938" s="108"/>
      <c r="AE938" s="108"/>
      <c r="AF938" s="108"/>
      <c r="AG938" s="108"/>
      <c r="AH938" s="108"/>
      <c r="AI938" s="108"/>
      <c r="AJ938" s="108"/>
      <c r="AK938" s="108"/>
      <c r="AL938" s="108"/>
      <c r="AM938" s="108"/>
      <c r="AN938" s="108"/>
      <c r="AO938" s="108"/>
    </row>
    <row r="939" spans="1:41" ht="12" customHeight="1" x14ac:dyDescent="0.2">
      <c r="A939" s="179"/>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c r="AA939" s="108"/>
      <c r="AB939" s="108"/>
      <c r="AC939" s="108"/>
      <c r="AD939" s="108"/>
      <c r="AE939" s="108"/>
      <c r="AF939" s="108"/>
      <c r="AG939" s="108"/>
      <c r="AH939" s="108"/>
      <c r="AI939" s="108"/>
      <c r="AJ939" s="108"/>
      <c r="AK939" s="108"/>
      <c r="AL939" s="108"/>
      <c r="AM939" s="108"/>
      <c r="AN939" s="108"/>
      <c r="AO939" s="108"/>
    </row>
    <row r="940" spans="1:41" ht="12" customHeight="1" x14ac:dyDescent="0.2">
      <c r="A940" s="179"/>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c r="AA940" s="108"/>
      <c r="AB940" s="108"/>
      <c r="AC940" s="108"/>
      <c r="AD940" s="108"/>
      <c r="AE940" s="108"/>
      <c r="AF940" s="108"/>
      <c r="AG940" s="108"/>
      <c r="AH940" s="108"/>
      <c r="AI940" s="108"/>
      <c r="AJ940" s="108"/>
      <c r="AK940" s="108"/>
      <c r="AL940" s="108"/>
      <c r="AM940" s="108"/>
      <c r="AN940" s="108"/>
      <c r="AO940" s="108"/>
    </row>
    <row r="941" spans="1:41" ht="12" customHeight="1" x14ac:dyDescent="0.2">
      <c r="A941" s="179"/>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c r="AA941" s="108"/>
      <c r="AB941" s="108"/>
      <c r="AC941" s="108"/>
      <c r="AD941" s="108"/>
      <c r="AE941" s="108"/>
      <c r="AF941" s="108"/>
      <c r="AG941" s="108"/>
      <c r="AH941" s="108"/>
      <c r="AI941" s="108"/>
      <c r="AJ941" s="108"/>
      <c r="AK941" s="108"/>
      <c r="AL941" s="108"/>
      <c r="AM941" s="108"/>
      <c r="AN941" s="108"/>
      <c r="AO941" s="108"/>
    </row>
    <row r="942" spans="1:41" ht="12" customHeight="1" x14ac:dyDescent="0.2">
      <c r="A942" s="179"/>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c r="AA942" s="108"/>
      <c r="AB942" s="108"/>
      <c r="AC942" s="108"/>
      <c r="AD942" s="108"/>
      <c r="AE942" s="108"/>
      <c r="AF942" s="108"/>
      <c r="AG942" s="108"/>
      <c r="AH942" s="108"/>
      <c r="AI942" s="108"/>
      <c r="AJ942" s="108"/>
      <c r="AK942" s="108"/>
      <c r="AL942" s="108"/>
      <c r="AM942" s="108"/>
      <c r="AN942" s="108"/>
      <c r="AO942" s="108"/>
    </row>
    <row r="943" spans="1:41" ht="12" customHeight="1" x14ac:dyDescent="0.2">
      <c r="A943" s="179"/>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c r="AA943" s="108"/>
      <c r="AB943" s="108"/>
      <c r="AC943" s="108"/>
      <c r="AD943" s="108"/>
      <c r="AE943" s="108"/>
      <c r="AF943" s="108"/>
      <c r="AG943" s="108"/>
      <c r="AH943" s="108"/>
      <c r="AI943" s="108"/>
      <c r="AJ943" s="108"/>
      <c r="AK943" s="108"/>
      <c r="AL943" s="108"/>
      <c r="AM943" s="108"/>
      <c r="AN943" s="108"/>
      <c r="AO943" s="108"/>
    </row>
    <row r="944" spans="1:41" ht="12" customHeight="1" x14ac:dyDescent="0.2">
      <c r="A944" s="179"/>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c r="AA944" s="108"/>
      <c r="AB944" s="108"/>
      <c r="AC944" s="108"/>
      <c r="AD944" s="108"/>
      <c r="AE944" s="108"/>
      <c r="AF944" s="108"/>
      <c r="AG944" s="108"/>
      <c r="AH944" s="108"/>
      <c r="AI944" s="108"/>
      <c r="AJ944" s="108"/>
      <c r="AK944" s="108"/>
      <c r="AL944" s="108"/>
      <c r="AM944" s="108"/>
      <c r="AN944" s="108"/>
      <c r="AO944" s="108"/>
    </row>
    <row r="945" spans="1:41" ht="12" customHeight="1" x14ac:dyDescent="0.2">
      <c r="A945" s="179"/>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c r="AA945" s="108"/>
      <c r="AB945" s="108"/>
      <c r="AC945" s="108"/>
      <c r="AD945" s="108"/>
      <c r="AE945" s="108"/>
      <c r="AF945" s="108"/>
      <c r="AG945" s="108"/>
      <c r="AH945" s="108"/>
      <c r="AI945" s="108"/>
      <c r="AJ945" s="108"/>
      <c r="AK945" s="108"/>
      <c r="AL945" s="108"/>
      <c r="AM945" s="108"/>
      <c r="AN945" s="108"/>
      <c r="AO945" s="108"/>
    </row>
    <row r="946" spans="1:41" ht="12" customHeight="1" x14ac:dyDescent="0.2">
      <c r="A946" s="179"/>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c r="AA946" s="108"/>
      <c r="AB946" s="108"/>
      <c r="AC946" s="108"/>
      <c r="AD946" s="108"/>
      <c r="AE946" s="108"/>
      <c r="AF946" s="108"/>
      <c r="AG946" s="108"/>
      <c r="AH946" s="108"/>
      <c r="AI946" s="108"/>
      <c r="AJ946" s="108"/>
      <c r="AK946" s="108"/>
      <c r="AL946" s="108"/>
      <c r="AM946" s="108"/>
      <c r="AN946" s="108"/>
      <c r="AO946" s="108"/>
    </row>
    <row r="947" spans="1:41" ht="12" customHeight="1" x14ac:dyDescent="0.2">
      <c r="A947" s="179"/>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c r="AA947" s="108"/>
      <c r="AB947" s="108"/>
      <c r="AC947" s="108"/>
      <c r="AD947" s="108"/>
      <c r="AE947" s="108"/>
      <c r="AF947" s="108"/>
      <c r="AG947" s="108"/>
      <c r="AH947" s="108"/>
      <c r="AI947" s="108"/>
      <c r="AJ947" s="108"/>
      <c r="AK947" s="108"/>
      <c r="AL947" s="108"/>
      <c r="AM947" s="108"/>
      <c r="AN947" s="108"/>
      <c r="AO947" s="108"/>
    </row>
    <row r="948" spans="1:41" ht="12" customHeight="1" x14ac:dyDescent="0.2">
      <c r="A948" s="179"/>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c r="AA948" s="108"/>
      <c r="AB948" s="108"/>
      <c r="AC948" s="108"/>
      <c r="AD948" s="108"/>
      <c r="AE948" s="108"/>
      <c r="AF948" s="108"/>
      <c r="AG948" s="108"/>
      <c r="AH948" s="108"/>
      <c r="AI948" s="108"/>
      <c r="AJ948" s="108"/>
      <c r="AK948" s="108"/>
      <c r="AL948" s="108"/>
      <c r="AM948" s="108"/>
      <c r="AN948" s="108"/>
      <c r="AO948" s="108"/>
    </row>
    <row r="949" spans="1:41" ht="12" customHeight="1" x14ac:dyDescent="0.2">
      <c r="A949" s="179"/>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c r="AA949" s="108"/>
      <c r="AB949" s="108"/>
      <c r="AC949" s="108"/>
      <c r="AD949" s="108"/>
      <c r="AE949" s="108"/>
      <c r="AF949" s="108"/>
      <c r="AG949" s="108"/>
      <c r="AH949" s="108"/>
      <c r="AI949" s="108"/>
      <c r="AJ949" s="108"/>
      <c r="AK949" s="108"/>
      <c r="AL949" s="108"/>
      <c r="AM949" s="108"/>
      <c r="AN949" s="108"/>
      <c r="AO949" s="108"/>
    </row>
    <row r="950" spans="1:41" ht="12" customHeight="1" x14ac:dyDescent="0.2">
      <c r="A950" s="179"/>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c r="AA950" s="108"/>
      <c r="AB950" s="108"/>
      <c r="AC950" s="108"/>
      <c r="AD950" s="108"/>
      <c r="AE950" s="108"/>
      <c r="AF950" s="108"/>
      <c r="AG950" s="108"/>
      <c r="AH950" s="108"/>
      <c r="AI950" s="108"/>
      <c r="AJ950" s="108"/>
      <c r="AK950" s="108"/>
      <c r="AL950" s="108"/>
      <c r="AM950" s="108"/>
      <c r="AN950" s="108"/>
      <c r="AO950" s="108"/>
    </row>
    <row r="951" spans="1:41" ht="12" customHeight="1" x14ac:dyDescent="0.2">
      <c r="A951" s="179"/>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c r="AA951" s="108"/>
      <c r="AB951" s="108"/>
      <c r="AC951" s="108"/>
      <c r="AD951" s="108"/>
      <c r="AE951" s="108"/>
      <c r="AF951" s="108"/>
      <c r="AG951" s="108"/>
      <c r="AH951" s="108"/>
      <c r="AI951" s="108"/>
      <c r="AJ951" s="108"/>
      <c r="AK951" s="108"/>
      <c r="AL951" s="108"/>
      <c r="AM951" s="108"/>
      <c r="AN951" s="108"/>
      <c r="AO951" s="108"/>
    </row>
    <row r="952" spans="1:41" ht="12" customHeight="1" x14ac:dyDescent="0.2">
      <c r="A952" s="179"/>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c r="AA952" s="108"/>
      <c r="AB952" s="108"/>
      <c r="AC952" s="108"/>
      <c r="AD952" s="108"/>
      <c r="AE952" s="108"/>
      <c r="AF952" s="108"/>
      <c r="AG952" s="108"/>
      <c r="AH952" s="108"/>
      <c r="AI952" s="108"/>
      <c r="AJ952" s="108"/>
      <c r="AK952" s="108"/>
      <c r="AL952" s="108"/>
      <c r="AM952" s="108"/>
      <c r="AN952" s="108"/>
      <c r="AO952" s="108"/>
    </row>
    <row r="953" spans="1:41" ht="12" customHeight="1" x14ac:dyDescent="0.2">
      <c r="A953" s="179"/>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c r="AA953" s="108"/>
      <c r="AB953" s="108"/>
      <c r="AC953" s="108"/>
      <c r="AD953" s="108"/>
      <c r="AE953" s="108"/>
      <c r="AF953" s="108"/>
      <c r="AG953" s="108"/>
      <c r="AH953" s="108"/>
      <c r="AI953" s="108"/>
      <c r="AJ953" s="108"/>
      <c r="AK953" s="108"/>
      <c r="AL953" s="108"/>
      <c r="AM953" s="108"/>
      <c r="AN953" s="108"/>
      <c r="AO953" s="108"/>
    </row>
    <row r="954" spans="1:41" ht="12" customHeight="1" x14ac:dyDescent="0.2">
      <c r="A954" s="179"/>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c r="AA954" s="108"/>
      <c r="AB954" s="108"/>
      <c r="AC954" s="108"/>
      <c r="AD954" s="108"/>
      <c r="AE954" s="108"/>
      <c r="AF954" s="108"/>
      <c r="AG954" s="108"/>
      <c r="AH954" s="108"/>
      <c r="AI954" s="108"/>
      <c r="AJ954" s="108"/>
      <c r="AK954" s="108"/>
      <c r="AL954" s="108"/>
      <c r="AM954" s="108"/>
      <c r="AN954" s="108"/>
      <c r="AO954" s="108"/>
    </row>
    <row r="955" spans="1:41" ht="12" customHeight="1" x14ac:dyDescent="0.2">
      <c r="A955" s="179"/>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c r="AA955" s="108"/>
      <c r="AB955" s="108"/>
      <c r="AC955" s="108"/>
      <c r="AD955" s="108"/>
      <c r="AE955" s="108"/>
      <c r="AF955" s="108"/>
      <c r="AG955" s="108"/>
      <c r="AH955" s="108"/>
      <c r="AI955" s="108"/>
      <c r="AJ955" s="108"/>
      <c r="AK955" s="108"/>
      <c r="AL955" s="108"/>
      <c r="AM955" s="108"/>
      <c r="AN955" s="108"/>
      <c r="AO955" s="108"/>
    </row>
    <row r="956" spans="1:41" ht="12" customHeight="1" x14ac:dyDescent="0.2">
      <c r="A956" s="179"/>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c r="AA956" s="108"/>
      <c r="AB956" s="108"/>
      <c r="AC956" s="108"/>
      <c r="AD956" s="108"/>
      <c r="AE956" s="108"/>
      <c r="AF956" s="108"/>
      <c r="AG956" s="108"/>
      <c r="AH956" s="108"/>
      <c r="AI956" s="108"/>
      <c r="AJ956" s="108"/>
      <c r="AK956" s="108"/>
      <c r="AL956" s="108"/>
      <c r="AM956" s="108"/>
      <c r="AN956" s="108"/>
      <c r="AO956" s="108"/>
    </row>
    <row r="957" spans="1:41" ht="12" customHeight="1" x14ac:dyDescent="0.2">
      <c r="A957" s="179"/>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c r="AA957" s="108"/>
      <c r="AB957" s="108"/>
      <c r="AC957" s="108"/>
      <c r="AD957" s="108"/>
      <c r="AE957" s="108"/>
      <c r="AF957" s="108"/>
      <c r="AG957" s="108"/>
      <c r="AH957" s="108"/>
      <c r="AI957" s="108"/>
      <c r="AJ957" s="108"/>
      <c r="AK957" s="108"/>
      <c r="AL957" s="108"/>
      <c r="AM957" s="108"/>
      <c r="AN957" s="108"/>
      <c r="AO957" s="108"/>
    </row>
    <row r="958" spans="1:41" ht="12" customHeight="1" x14ac:dyDescent="0.2">
      <c r="A958" s="179"/>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c r="AA958" s="108"/>
      <c r="AB958" s="108"/>
      <c r="AC958" s="108"/>
      <c r="AD958" s="108"/>
      <c r="AE958" s="108"/>
      <c r="AF958" s="108"/>
      <c r="AG958" s="108"/>
      <c r="AH958" s="108"/>
      <c r="AI958" s="108"/>
      <c r="AJ958" s="108"/>
      <c r="AK958" s="108"/>
      <c r="AL958" s="108"/>
      <c r="AM958" s="108"/>
      <c r="AN958" s="108"/>
      <c r="AO958" s="108"/>
    </row>
    <row r="959" spans="1:41" ht="12" customHeight="1" x14ac:dyDescent="0.2">
      <c r="A959" s="179"/>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c r="AA959" s="108"/>
      <c r="AB959" s="108"/>
      <c r="AC959" s="108"/>
      <c r="AD959" s="108"/>
      <c r="AE959" s="108"/>
      <c r="AF959" s="108"/>
      <c r="AG959" s="108"/>
      <c r="AH959" s="108"/>
      <c r="AI959" s="108"/>
      <c r="AJ959" s="108"/>
      <c r="AK959" s="108"/>
      <c r="AL959" s="108"/>
      <c r="AM959" s="108"/>
      <c r="AN959" s="108"/>
      <c r="AO959" s="108"/>
    </row>
    <row r="960" spans="1:41" ht="12" customHeight="1" x14ac:dyDescent="0.2">
      <c r="A960" s="179"/>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c r="AA960" s="108"/>
      <c r="AB960" s="108"/>
      <c r="AC960" s="108"/>
      <c r="AD960" s="108"/>
      <c r="AE960" s="108"/>
      <c r="AF960" s="108"/>
      <c r="AG960" s="108"/>
      <c r="AH960" s="108"/>
      <c r="AI960" s="108"/>
      <c r="AJ960" s="108"/>
      <c r="AK960" s="108"/>
      <c r="AL960" s="108"/>
      <c r="AM960" s="108"/>
      <c r="AN960" s="108"/>
      <c r="AO960" s="108"/>
    </row>
    <row r="961" spans="1:41" ht="12" customHeight="1" x14ac:dyDescent="0.2">
      <c r="A961" s="179"/>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c r="AA961" s="108"/>
      <c r="AB961" s="108"/>
      <c r="AC961" s="108"/>
      <c r="AD961" s="108"/>
      <c r="AE961" s="108"/>
      <c r="AF961" s="108"/>
      <c r="AG961" s="108"/>
      <c r="AH961" s="108"/>
      <c r="AI961" s="108"/>
      <c r="AJ961" s="108"/>
      <c r="AK961" s="108"/>
      <c r="AL961" s="108"/>
      <c r="AM961" s="108"/>
      <c r="AN961" s="108"/>
      <c r="AO961" s="108"/>
    </row>
    <row r="962" spans="1:41" ht="12" customHeight="1" x14ac:dyDescent="0.2">
      <c r="A962" s="179"/>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c r="AA962" s="108"/>
      <c r="AB962" s="108"/>
      <c r="AC962" s="108"/>
      <c r="AD962" s="108"/>
      <c r="AE962" s="108"/>
      <c r="AF962" s="108"/>
      <c r="AG962" s="108"/>
      <c r="AH962" s="108"/>
      <c r="AI962" s="108"/>
      <c r="AJ962" s="108"/>
      <c r="AK962" s="108"/>
      <c r="AL962" s="108"/>
      <c r="AM962" s="108"/>
      <c r="AN962" s="108"/>
      <c r="AO962" s="108"/>
    </row>
    <row r="963" spans="1:41" ht="12" customHeight="1" x14ac:dyDescent="0.2">
      <c r="A963" s="179"/>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c r="AA963" s="108"/>
      <c r="AB963" s="108"/>
      <c r="AC963" s="108"/>
      <c r="AD963" s="108"/>
      <c r="AE963" s="108"/>
      <c r="AF963" s="108"/>
      <c r="AG963" s="108"/>
      <c r="AH963" s="108"/>
      <c r="AI963" s="108"/>
      <c r="AJ963" s="108"/>
      <c r="AK963" s="108"/>
      <c r="AL963" s="108"/>
      <c r="AM963" s="108"/>
      <c r="AN963" s="108"/>
      <c r="AO963" s="108"/>
    </row>
    <row r="964" spans="1:41" ht="12" customHeight="1" x14ac:dyDescent="0.2">
      <c r="A964" s="179"/>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c r="AA964" s="108"/>
      <c r="AB964" s="108"/>
      <c r="AC964" s="108"/>
      <c r="AD964" s="108"/>
      <c r="AE964" s="108"/>
      <c r="AF964" s="108"/>
      <c r="AG964" s="108"/>
      <c r="AH964" s="108"/>
      <c r="AI964" s="108"/>
      <c r="AJ964" s="108"/>
      <c r="AK964" s="108"/>
      <c r="AL964" s="108"/>
      <c r="AM964" s="108"/>
      <c r="AN964" s="108"/>
      <c r="AO964" s="108"/>
    </row>
    <row r="965" spans="1:41" ht="12" customHeight="1" x14ac:dyDescent="0.2">
      <c r="A965" s="179"/>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c r="AA965" s="108"/>
      <c r="AB965" s="108"/>
      <c r="AC965" s="108"/>
      <c r="AD965" s="108"/>
      <c r="AE965" s="108"/>
      <c r="AF965" s="108"/>
      <c r="AG965" s="108"/>
      <c r="AH965" s="108"/>
      <c r="AI965" s="108"/>
      <c r="AJ965" s="108"/>
      <c r="AK965" s="108"/>
      <c r="AL965" s="108"/>
      <c r="AM965" s="108"/>
      <c r="AN965" s="108"/>
      <c r="AO965" s="108"/>
    </row>
    <row r="966" spans="1:41" ht="12" customHeight="1" x14ac:dyDescent="0.2">
      <c r="A966" s="179"/>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c r="AA966" s="108"/>
      <c r="AB966" s="108"/>
      <c r="AC966" s="108"/>
      <c r="AD966" s="108"/>
      <c r="AE966" s="108"/>
      <c r="AF966" s="108"/>
      <c r="AG966" s="108"/>
      <c r="AH966" s="108"/>
      <c r="AI966" s="108"/>
      <c r="AJ966" s="108"/>
      <c r="AK966" s="108"/>
      <c r="AL966" s="108"/>
      <c r="AM966" s="108"/>
      <c r="AN966" s="108"/>
      <c r="AO966" s="108"/>
    </row>
    <row r="967" spans="1:41" ht="12" customHeight="1" x14ac:dyDescent="0.2">
      <c r="A967" s="179"/>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c r="AA967" s="108"/>
      <c r="AB967" s="108"/>
      <c r="AC967" s="108"/>
      <c r="AD967" s="108"/>
      <c r="AE967" s="108"/>
      <c r="AF967" s="108"/>
      <c r="AG967" s="108"/>
      <c r="AH967" s="108"/>
      <c r="AI967" s="108"/>
      <c r="AJ967" s="108"/>
      <c r="AK967" s="108"/>
      <c r="AL967" s="108"/>
      <c r="AM967" s="108"/>
      <c r="AN967" s="108"/>
      <c r="AO967" s="108"/>
    </row>
    <row r="968" spans="1:41" ht="12" customHeight="1" x14ac:dyDescent="0.2">
      <c r="A968" s="179"/>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c r="AA968" s="108"/>
      <c r="AB968" s="108"/>
      <c r="AC968" s="108"/>
      <c r="AD968" s="108"/>
      <c r="AE968" s="108"/>
      <c r="AF968" s="108"/>
      <c r="AG968" s="108"/>
      <c r="AH968" s="108"/>
      <c r="AI968" s="108"/>
      <c r="AJ968" s="108"/>
      <c r="AK968" s="108"/>
      <c r="AL968" s="108"/>
      <c r="AM968" s="108"/>
      <c r="AN968" s="108"/>
      <c r="AO968" s="108"/>
    </row>
    <row r="969" spans="1:41" ht="12" customHeight="1" x14ac:dyDescent="0.2">
      <c r="A969" s="179"/>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c r="AA969" s="108"/>
      <c r="AB969" s="108"/>
      <c r="AC969" s="108"/>
      <c r="AD969" s="108"/>
      <c r="AE969" s="108"/>
      <c r="AF969" s="108"/>
      <c r="AG969" s="108"/>
      <c r="AH969" s="108"/>
      <c r="AI969" s="108"/>
      <c r="AJ969" s="108"/>
      <c r="AK969" s="108"/>
      <c r="AL969" s="108"/>
      <c r="AM969" s="108"/>
      <c r="AN969" s="108"/>
      <c r="AO969" s="108"/>
    </row>
    <row r="970" spans="1:41" ht="12" customHeight="1" x14ac:dyDescent="0.2">
      <c r="A970" s="179"/>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c r="AA970" s="108"/>
      <c r="AB970" s="108"/>
      <c r="AC970" s="108"/>
      <c r="AD970" s="108"/>
      <c r="AE970" s="108"/>
      <c r="AF970" s="108"/>
      <c r="AG970" s="108"/>
      <c r="AH970" s="108"/>
      <c r="AI970" s="108"/>
      <c r="AJ970" s="108"/>
      <c r="AK970" s="108"/>
      <c r="AL970" s="108"/>
      <c r="AM970" s="108"/>
      <c r="AN970" s="108"/>
      <c r="AO970" s="108"/>
    </row>
    <row r="971" spans="1:41" ht="12" customHeight="1" x14ac:dyDescent="0.2">
      <c r="A971" s="179"/>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c r="AA971" s="108"/>
      <c r="AB971" s="108"/>
      <c r="AC971" s="108"/>
      <c r="AD971" s="108"/>
      <c r="AE971" s="108"/>
      <c r="AF971" s="108"/>
      <c r="AG971" s="108"/>
      <c r="AH971" s="108"/>
      <c r="AI971" s="108"/>
      <c r="AJ971" s="108"/>
      <c r="AK971" s="108"/>
      <c r="AL971" s="108"/>
      <c r="AM971" s="108"/>
      <c r="AN971" s="108"/>
      <c r="AO971" s="108"/>
    </row>
    <row r="972" spans="1:41" ht="12" customHeight="1" x14ac:dyDescent="0.2">
      <c r="A972" s="179"/>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c r="AA972" s="108"/>
      <c r="AB972" s="108"/>
      <c r="AC972" s="108"/>
      <c r="AD972" s="108"/>
      <c r="AE972" s="108"/>
      <c r="AF972" s="108"/>
      <c r="AG972" s="108"/>
      <c r="AH972" s="108"/>
      <c r="AI972" s="108"/>
      <c r="AJ972" s="108"/>
      <c r="AK972" s="108"/>
      <c r="AL972" s="108"/>
      <c r="AM972" s="108"/>
      <c r="AN972" s="108"/>
      <c r="AO972" s="108"/>
    </row>
    <row r="973" spans="1:41" ht="12" customHeight="1" x14ac:dyDescent="0.2">
      <c r="A973" s="179"/>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c r="AA973" s="108"/>
      <c r="AB973" s="108"/>
      <c r="AC973" s="108"/>
      <c r="AD973" s="108"/>
      <c r="AE973" s="108"/>
      <c r="AF973" s="108"/>
      <c r="AG973" s="108"/>
      <c r="AH973" s="108"/>
      <c r="AI973" s="108"/>
      <c r="AJ973" s="108"/>
      <c r="AK973" s="108"/>
      <c r="AL973" s="108"/>
      <c r="AM973" s="108"/>
      <c r="AN973" s="108"/>
      <c r="AO973" s="108"/>
    </row>
    <row r="974" spans="1:41" ht="12" customHeight="1" x14ac:dyDescent="0.2">
      <c r="A974" s="179"/>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c r="AA974" s="108"/>
      <c r="AB974" s="108"/>
      <c r="AC974" s="108"/>
      <c r="AD974" s="108"/>
      <c r="AE974" s="108"/>
      <c r="AF974" s="108"/>
      <c r="AG974" s="108"/>
      <c r="AH974" s="108"/>
      <c r="AI974" s="108"/>
      <c r="AJ974" s="108"/>
      <c r="AK974" s="108"/>
      <c r="AL974" s="108"/>
      <c r="AM974" s="108"/>
      <c r="AN974" s="108"/>
      <c r="AO974" s="108"/>
    </row>
    <row r="975" spans="1:41" ht="12" customHeight="1" x14ac:dyDescent="0.2">
      <c r="A975" s="179"/>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c r="AA975" s="108"/>
      <c r="AB975" s="108"/>
      <c r="AC975" s="108"/>
      <c r="AD975" s="108"/>
      <c r="AE975" s="108"/>
      <c r="AF975" s="108"/>
      <c r="AG975" s="108"/>
      <c r="AH975" s="108"/>
      <c r="AI975" s="108"/>
      <c r="AJ975" s="108"/>
      <c r="AK975" s="108"/>
      <c r="AL975" s="108"/>
      <c r="AM975" s="108"/>
      <c r="AN975" s="108"/>
      <c r="AO975" s="108"/>
    </row>
    <row r="976" spans="1:41" ht="12" customHeight="1" x14ac:dyDescent="0.2">
      <c r="A976" s="179"/>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c r="AA976" s="108"/>
      <c r="AB976" s="108"/>
      <c r="AC976" s="108"/>
      <c r="AD976" s="108"/>
      <c r="AE976" s="108"/>
      <c r="AF976" s="108"/>
      <c r="AG976" s="108"/>
      <c r="AH976" s="108"/>
      <c r="AI976" s="108"/>
      <c r="AJ976" s="108"/>
      <c r="AK976" s="108"/>
      <c r="AL976" s="108"/>
      <c r="AM976" s="108"/>
      <c r="AN976" s="108"/>
      <c r="AO976" s="108"/>
    </row>
    <row r="977" spans="1:41" ht="12" customHeight="1" x14ac:dyDescent="0.2">
      <c r="A977" s="179"/>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c r="AA977" s="108"/>
      <c r="AB977" s="108"/>
      <c r="AC977" s="108"/>
      <c r="AD977" s="108"/>
      <c r="AE977" s="108"/>
      <c r="AF977" s="108"/>
      <c r="AG977" s="108"/>
      <c r="AH977" s="108"/>
      <c r="AI977" s="108"/>
      <c r="AJ977" s="108"/>
      <c r="AK977" s="108"/>
      <c r="AL977" s="108"/>
      <c r="AM977" s="108"/>
      <c r="AN977" s="108"/>
      <c r="AO977" s="108"/>
    </row>
    <row r="978" spans="1:41" ht="12" customHeight="1" x14ac:dyDescent="0.2">
      <c r="A978" s="179"/>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c r="AA978" s="108"/>
      <c r="AB978" s="108"/>
      <c r="AC978" s="108"/>
      <c r="AD978" s="108"/>
      <c r="AE978" s="108"/>
      <c r="AF978" s="108"/>
      <c r="AG978" s="108"/>
      <c r="AH978" s="108"/>
      <c r="AI978" s="108"/>
      <c r="AJ978" s="108"/>
      <c r="AK978" s="108"/>
      <c r="AL978" s="108"/>
      <c r="AM978" s="108"/>
      <c r="AN978" s="108"/>
      <c r="AO978" s="108"/>
    </row>
    <row r="979" spans="1:41" ht="12" customHeight="1" x14ac:dyDescent="0.2">
      <c r="A979" s="179"/>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c r="AA979" s="108"/>
      <c r="AB979" s="108"/>
      <c r="AC979" s="108"/>
      <c r="AD979" s="108"/>
      <c r="AE979" s="108"/>
      <c r="AF979" s="108"/>
      <c r="AG979" s="108"/>
      <c r="AH979" s="108"/>
      <c r="AI979" s="108"/>
      <c r="AJ979" s="108"/>
      <c r="AK979" s="108"/>
      <c r="AL979" s="108"/>
      <c r="AM979" s="108"/>
      <c r="AN979" s="108"/>
      <c r="AO979" s="108"/>
    </row>
    <row r="980" spans="1:41" ht="12" customHeight="1" x14ac:dyDescent="0.2">
      <c r="A980" s="179"/>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c r="AA980" s="108"/>
      <c r="AB980" s="108"/>
      <c r="AC980" s="108"/>
      <c r="AD980" s="108"/>
      <c r="AE980" s="108"/>
      <c r="AF980" s="108"/>
      <c r="AG980" s="108"/>
      <c r="AH980" s="108"/>
      <c r="AI980" s="108"/>
      <c r="AJ980" s="108"/>
      <c r="AK980" s="108"/>
      <c r="AL980" s="108"/>
      <c r="AM980" s="108"/>
      <c r="AN980" s="108"/>
      <c r="AO980" s="108"/>
    </row>
    <row r="981" spans="1:41" ht="12" customHeight="1" x14ac:dyDescent="0.2">
      <c r="A981" s="179"/>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c r="AA981" s="108"/>
      <c r="AB981" s="108"/>
      <c r="AC981" s="108"/>
      <c r="AD981" s="108"/>
      <c r="AE981" s="108"/>
      <c r="AF981" s="108"/>
      <c r="AG981" s="108"/>
      <c r="AH981" s="108"/>
      <c r="AI981" s="108"/>
      <c r="AJ981" s="108"/>
      <c r="AK981" s="108"/>
      <c r="AL981" s="108"/>
      <c r="AM981" s="108"/>
      <c r="AN981" s="108"/>
      <c r="AO981" s="108"/>
    </row>
    <row r="982" spans="1:41" ht="12" customHeight="1" x14ac:dyDescent="0.2">
      <c r="A982" s="179"/>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c r="AA982" s="108"/>
      <c r="AB982" s="108"/>
      <c r="AC982" s="108"/>
      <c r="AD982" s="108"/>
      <c r="AE982" s="108"/>
      <c r="AF982" s="108"/>
      <c r="AG982" s="108"/>
      <c r="AH982" s="108"/>
      <c r="AI982" s="108"/>
      <c r="AJ982" s="108"/>
      <c r="AK982" s="108"/>
      <c r="AL982" s="108"/>
      <c r="AM982" s="108"/>
      <c r="AN982" s="108"/>
      <c r="AO982" s="108"/>
    </row>
    <row r="983" spans="1:41" ht="12" customHeight="1" x14ac:dyDescent="0.2">
      <c r="A983" s="179"/>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c r="AA983" s="108"/>
      <c r="AB983" s="108"/>
      <c r="AC983" s="108"/>
      <c r="AD983" s="108"/>
      <c r="AE983" s="108"/>
      <c r="AF983" s="108"/>
      <c r="AG983" s="108"/>
      <c r="AH983" s="108"/>
      <c r="AI983" s="108"/>
      <c r="AJ983" s="108"/>
      <c r="AK983" s="108"/>
      <c r="AL983" s="108"/>
      <c r="AM983" s="108"/>
      <c r="AN983" s="108"/>
      <c r="AO983" s="108"/>
    </row>
    <row r="984" spans="1:41" ht="12" customHeight="1" x14ac:dyDescent="0.2">
      <c r="A984" s="179"/>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c r="AA984" s="108"/>
      <c r="AB984" s="108"/>
      <c r="AC984" s="108"/>
      <c r="AD984" s="108"/>
      <c r="AE984" s="108"/>
      <c r="AF984" s="108"/>
      <c r="AG984" s="108"/>
      <c r="AH984" s="108"/>
      <c r="AI984" s="108"/>
      <c r="AJ984" s="108"/>
      <c r="AK984" s="108"/>
      <c r="AL984" s="108"/>
      <c r="AM984" s="108"/>
      <c r="AN984" s="108"/>
      <c r="AO984" s="108"/>
    </row>
    <row r="985" spans="1:41" ht="12" customHeight="1" x14ac:dyDescent="0.2">
      <c r="A985" s="179"/>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c r="AA985" s="108"/>
      <c r="AB985" s="108"/>
      <c r="AC985" s="108"/>
      <c r="AD985" s="108"/>
      <c r="AE985" s="108"/>
      <c r="AF985" s="108"/>
      <c r="AG985" s="108"/>
      <c r="AH985" s="108"/>
      <c r="AI985" s="108"/>
      <c r="AJ985" s="108"/>
      <c r="AK985" s="108"/>
      <c r="AL985" s="108"/>
      <c r="AM985" s="108"/>
      <c r="AN985" s="108"/>
      <c r="AO985" s="108"/>
    </row>
    <row r="986" spans="1:41" ht="12" customHeight="1" x14ac:dyDescent="0.2">
      <c r="A986" s="179"/>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c r="AA986" s="108"/>
      <c r="AB986" s="108"/>
      <c r="AC986" s="108"/>
      <c r="AD986" s="108"/>
      <c r="AE986" s="108"/>
      <c r="AF986" s="108"/>
      <c r="AG986" s="108"/>
      <c r="AH986" s="108"/>
      <c r="AI986" s="108"/>
      <c r="AJ986" s="108"/>
      <c r="AK986" s="108"/>
      <c r="AL986" s="108"/>
      <c r="AM986" s="108"/>
      <c r="AN986" s="108"/>
      <c r="AO986" s="108"/>
    </row>
    <row r="987" spans="1:41" ht="12" customHeight="1" x14ac:dyDescent="0.2">
      <c r="A987" s="179"/>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c r="AA987" s="108"/>
      <c r="AB987" s="108"/>
      <c r="AC987" s="108"/>
      <c r="AD987" s="108"/>
      <c r="AE987" s="108"/>
      <c r="AF987" s="108"/>
      <c r="AG987" s="108"/>
      <c r="AH987" s="108"/>
      <c r="AI987" s="108"/>
      <c r="AJ987" s="108"/>
      <c r="AK987" s="108"/>
      <c r="AL987" s="108"/>
      <c r="AM987" s="108"/>
      <c r="AN987" s="108"/>
      <c r="AO987" s="108"/>
    </row>
    <row r="988" spans="1:41" ht="12" customHeight="1" x14ac:dyDescent="0.2">
      <c r="A988" s="179"/>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c r="AA988" s="108"/>
      <c r="AB988" s="108"/>
      <c r="AC988" s="108"/>
      <c r="AD988" s="108"/>
      <c r="AE988" s="108"/>
      <c r="AF988" s="108"/>
      <c r="AG988" s="108"/>
      <c r="AH988" s="108"/>
      <c r="AI988" s="108"/>
      <c r="AJ988" s="108"/>
      <c r="AK988" s="108"/>
      <c r="AL988" s="108"/>
      <c r="AM988" s="108"/>
      <c r="AN988" s="108"/>
      <c r="AO988" s="108"/>
    </row>
    <row r="989" spans="1:41" ht="12" customHeight="1" x14ac:dyDescent="0.2">
      <c r="A989" s="179"/>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c r="AA989" s="108"/>
      <c r="AB989" s="108"/>
      <c r="AC989" s="108"/>
      <c r="AD989" s="108"/>
      <c r="AE989" s="108"/>
      <c r="AF989" s="108"/>
      <c r="AG989" s="108"/>
      <c r="AH989" s="108"/>
      <c r="AI989" s="108"/>
      <c r="AJ989" s="108"/>
      <c r="AK989" s="108"/>
      <c r="AL989" s="108"/>
      <c r="AM989" s="108"/>
      <c r="AN989" s="108"/>
      <c r="AO989" s="108"/>
    </row>
    <row r="990" spans="1:41" ht="12" customHeight="1" x14ac:dyDescent="0.2">
      <c r="A990" s="179"/>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c r="AA990" s="108"/>
      <c r="AB990" s="108"/>
      <c r="AC990" s="108"/>
      <c r="AD990" s="108"/>
      <c r="AE990" s="108"/>
      <c r="AF990" s="108"/>
      <c r="AG990" s="108"/>
      <c r="AH990" s="108"/>
      <c r="AI990" s="108"/>
      <c r="AJ990" s="108"/>
      <c r="AK990" s="108"/>
      <c r="AL990" s="108"/>
      <c r="AM990" s="108"/>
      <c r="AN990" s="108"/>
      <c r="AO990" s="108"/>
    </row>
    <row r="991" spans="1:41" ht="12" customHeight="1" x14ac:dyDescent="0.2">
      <c r="A991" s="179"/>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c r="AA991" s="108"/>
      <c r="AB991" s="108"/>
      <c r="AC991" s="108"/>
      <c r="AD991" s="108"/>
      <c r="AE991" s="108"/>
      <c r="AF991" s="108"/>
      <c r="AG991" s="108"/>
      <c r="AH991" s="108"/>
      <c r="AI991" s="108"/>
      <c r="AJ991" s="108"/>
      <c r="AK991" s="108"/>
      <c r="AL991" s="108"/>
      <c r="AM991" s="108"/>
      <c r="AN991" s="108"/>
      <c r="AO991" s="108"/>
    </row>
    <row r="992" spans="1:41" ht="12" customHeight="1" x14ac:dyDescent="0.2">
      <c r="A992" s="179"/>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c r="AA992" s="108"/>
      <c r="AB992" s="108"/>
      <c r="AC992" s="108"/>
      <c r="AD992" s="108"/>
      <c r="AE992" s="108"/>
      <c r="AF992" s="108"/>
      <c r="AG992" s="108"/>
      <c r="AH992" s="108"/>
      <c r="AI992" s="108"/>
      <c r="AJ992" s="108"/>
      <c r="AK992" s="108"/>
      <c r="AL992" s="108"/>
      <c r="AM992" s="108"/>
      <c r="AN992" s="108"/>
      <c r="AO992" s="108"/>
    </row>
    <row r="993" spans="1:41" ht="12" customHeight="1" x14ac:dyDescent="0.2">
      <c r="A993" s="179"/>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c r="AA993" s="108"/>
      <c r="AB993" s="108"/>
      <c r="AC993" s="108"/>
      <c r="AD993" s="108"/>
      <c r="AE993" s="108"/>
      <c r="AF993" s="108"/>
      <c r="AG993" s="108"/>
      <c r="AH993" s="108"/>
      <c r="AI993" s="108"/>
      <c r="AJ993" s="108"/>
      <c r="AK993" s="108"/>
      <c r="AL993" s="108"/>
      <c r="AM993" s="108"/>
      <c r="AN993" s="108"/>
      <c r="AO993" s="108"/>
    </row>
    <row r="994" spans="1:41" ht="12" customHeight="1" x14ac:dyDescent="0.2">
      <c r="A994" s="179"/>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c r="AA994" s="108"/>
      <c r="AB994" s="108"/>
      <c r="AC994" s="108"/>
      <c r="AD994" s="108"/>
      <c r="AE994" s="108"/>
      <c r="AF994" s="108"/>
      <c r="AG994" s="108"/>
      <c r="AH994" s="108"/>
      <c r="AI994" s="108"/>
      <c r="AJ994" s="108"/>
      <c r="AK994" s="108"/>
      <c r="AL994" s="108"/>
      <c r="AM994" s="108"/>
      <c r="AN994" s="108"/>
      <c r="AO994" s="108"/>
    </row>
    <row r="995" spans="1:41" ht="12" customHeight="1" x14ac:dyDescent="0.2">
      <c r="A995" s="179"/>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c r="AA995" s="108"/>
      <c r="AB995" s="108"/>
      <c r="AC995" s="108"/>
      <c r="AD995" s="108"/>
      <c r="AE995" s="108"/>
      <c r="AF995" s="108"/>
      <c r="AG995" s="108"/>
      <c r="AH995" s="108"/>
      <c r="AI995" s="108"/>
      <c r="AJ995" s="108"/>
      <c r="AK995" s="108"/>
      <c r="AL995" s="108"/>
      <c r="AM995" s="108"/>
      <c r="AN995" s="108"/>
      <c r="AO995" s="108"/>
    </row>
    <row r="996" spans="1:41" ht="12" customHeight="1" x14ac:dyDescent="0.2">
      <c r="A996" s="179"/>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c r="AA996" s="108"/>
      <c r="AB996" s="108"/>
      <c r="AC996" s="108"/>
      <c r="AD996" s="108"/>
      <c r="AE996" s="108"/>
      <c r="AF996" s="108"/>
      <c r="AG996" s="108"/>
      <c r="AH996" s="108"/>
      <c r="AI996" s="108"/>
      <c r="AJ996" s="108"/>
      <c r="AK996" s="108"/>
      <c r="AL996" s="108"/>
      <c r="AM996" s="108"/>
      <c r="AN996" s="108"/>
      <c r="AO996" s="108"/>
    </row>
    <row r="997" spans="1:41" ht="12" customHeight="1" x14ac:dyDescent="0.2">
      <c r="A997" s="179"/>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c r="AA997" s="108"/>
      <c r="AB997" s="108"/>
      <c r="AC997" s="108"/>
      <c r="AD997" s="108"/>
      <c r="AE997" s="108"/>
      <c r="AF997" s="108"/>
      <c r="AG997" s="108"/>
      <c r="AH997" s="108"/>
      <c r="AI997" s="108"/>
      <c r="AJ997" s="108"/>
      <c r="AK997" s="108"/>
      <c r="AL997" s="108"/>
      <c r="AM997" s="108"/>
      <c r="AN997" s="108"/>
      <c r="AO997" s="108"/>
    </row>
    <row r="998" spans="1:41" ht="12" customHeight="1" x14ac:dyDescent="0.2">
      <c r="A998" s="179"/>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c r="AA998" s="108"/>
      <c r="AB998" s="108"/>
      <c r="AC998" s="108"/>
      <c r="AD998" s="108"/>
      <c r="AE998" s="108"/>
      <c r="AF998" s="108"/>
      <c r="AG998" s="108"/>
      <c r="AH998" s="108"/>
      <c r="AI998" s="108"/>
      <c r="AJ998" s="108"/>
      <c r="AK998" s="108"/>
      <c r="AL998" s="108"/>
      <c r="AM998" s="108"/>
      <c r="AN998" s="108"/>
      <c r="AO998" s="108"/>
    </row>
    <row r="999" spans="1:41" ht="12" customHeight="1" x14ac:dyDescent="0.2">
      <c r="A999" s="179"/>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c r="AA999" s="108"/>
      <c r="AB999" s="108"/>
      <c r="AC999" s="108"/>
      <c r="AD999" s="108"/>
      <c r="AE999" s="108"/>
      <c r="AF999" s="108"/>
      <c r="AG999" s="108"/>
      <c r="AH999" s="108"/>
      <c r="AI999" s="108"/>
      <c r="AJ999" s="108"/>
      <c r="AK999" s="108"/>
      <c r="AL999" s="108"/>
      <c r="AM999" s="108"/>
      <c r="AN999" s="108"/>
      <c r="AO999" s="108"/>
    </row>
    <row r="1000" spans="1:41" ht="12" customHeight="1" x14ac:dyDescent="0.2">
      <c r="A1000" s="179"/>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c r="AA1000" s="108"/>
      <c r="AB1000" s="108"/>
      <c r="AC1000" s="108"/>
      <c r="AD1000" s="108"/>
      <c r="AE1000" s="108"/>
      <c r="AF1000" s="108"/>
      <c r="AG1000" s="108"/>
      <c r="AH1000" s="108"/>
      <c r="AI1000" s="108"/>
      <c r="AJ1000" s="108"/>
      <c r="AK1000" s="108"/>
      <c r="AL1000" s="108"/>
      <c r="AM1000" s="108"/>
      <c r="AN1000" s="108"/>
      <c r="AO1000" s="108"/>
    </row>
    <row r="1001" spans="1:41" ht="12" customHeight="1" x14ac:dyDescent="0.2">
      <c r="A1001" s="179"/>
      <c r="B1001" s="108"/>
      <c r="C1001" s="108"/>
      <c r="D1001" s="108"/>
      <c r="E1001" s="108"/>
      <c r="F1001" s="108"/>
      <c r="G1001" s="108"/>
      <c r="H1001" s="108"/>
      <c r="I1001" s="108"/>
      <c r="J1001" s="108"/>
      <c r="K1001" s="108"/>
      <c r="L1001" s="108"/>
      <c r="M1001" s="108"/>
      <c r="N1001" s="108"/>
      <c r="O1001" s="108"/>
      <c r="P1001" s="108"/>
      <c r="Q1001" s="108"/>
      <c r="R1001" s="108"/>
      <c r="S1001" s="108"/>
      <c r="T1001" s="108"/>
      <c r="U1001" s="108"/>
      <c r="V1001" s="108"/>
      <c r="W1001" s="108"/>
      <c r="X1001" s="108"/>
      <c r="Y1001" s="108"/>
      <c r="Z1001" s="108"/>
      <c r="AA1001" s="108"/>
      <c r="AB1001" s="108"/>
      <c r="AC1001" s="108"/>
      <c r="AD1001" s="108"/>
      <c r="AE1001" s="108"/>
      <c r="AF1001" s="108"/>
      <c r="AG1001" s="108"/>
      <c r="AH1001" s="108"/>
      <c r="AI1001" s="108"/>
      <c r="AJ1001" s="108"/>
      <c r="AK1001" s="108"/>
      <c r="AL1001" s="108"/>
      <c r="AM1001" s="108"/>
      <c r="AN1001" s="108"/>
      <c r="AO1001" s="108"/>
    </row>
    <row r="1002" spans="1:41" ht="12" customHeight="1" x14ac:dyDescent="0.2">
      <c r="A1002" s="179"/>
      <c r="B1002" s="108"/>
      <c r="C1002" s="108"/>
      <c r="D1002" s="108"/>
      <c r="E1002" s="108"/>
      <c r="F1002" s="108"/>
      <c r="G1002" s="108"/>
      <c r="H1002" s="108"/>
      <c r="I1002" s="108"/>
      <c r="J1002" s="108"/>
      <c r="K1002" s="108"/>
      <c r="L1002" s="108"/>
      <c r="M1002" s="108"/>
      <c r="N1002" s="108"/>
      <c r="O1002" s="108"/>
      <c r="P1002" s="108"/>
      <c r="Q1002" s="108"/>
      <c r="R1002" s="108"/>
      <c r="S1002" s="108"/>
      <c r="T1002" s="108"/>
      <c r="U1002" s="108"/>
      <c r="V1002" s="108"/>
      <c r="W1002" s="108"/>
      <c r="X1002" s="108"/>
      <c r="Y1002" s="108"/>
      <c r="Z1002" s="108"/>
      <c r="AA1002" s="108"/>
      <c r="AB1002" s="108"/>
      <c r="AC1002" s="108"/>
      <c r="AD1002" s="108"/>
      <c r="AE1002" s="108"/>
      <c r="AF1002" s="108"/>
      <c r="AG1002" s="108"/>
      <c r="AH1002" s="108"/>
      <c r="AI1002" s="108"/>
      <c r="AJ1002" s="108"/>
      <c r="AK1002" s="108"/>
      <c r="AL1002" s="108"/>
      <c r="AM1002" s="108"/>
      <c r="AN1002" s="108"/>
      <c r="AO1002" s="108"/>
    </row>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DB672-CFFC-564F-88A3-D4D7A4F9DE89}">
  <dimension ref="A1:BN1000"/>
  <sheetViews>
    <sheetView showGridLines="0" zoomScale="160" zoomScaleNormal="160" workbookViewId="0">
      <pane xSplit="1" ySplit="1" topLeftCell="Z2" activePane="bottomRight" state="frozen"/>
      <selection pane="topRight" activeCell="B1" sqref="B1"/>
      <selection pane="bottomLeft" activeCell="A2" sqref="A2"/>
      <selection pane="bottomRight" activeCell="AA31" sqref="AA31"/>
    </sheetView>
  </sheetViews>
  <sheetFormatPr baseColWidth="10" defaultColWidth="14.5" defaultRowHeight="15" customHeight="1" x14ac:dyDescent="0.2"/>
  <cols>
    <col min="1" max="1" width="20.1640625" style="99" customWidth="1"/>
    <col min="2" max="2" width="12" style="99" customWidth="1"/>
    <col min="3" max="3" width="11.33203125" style="99" customWidth="1"/>
    <col min="4" max="4" width="11" style="99" customWidth="1"/>
    <col min="5" max="5" width="11.33203125" style="99" customWidth="1"/>
    <col min="6" max="7" width="12.5" style="99" customWidth="1"/>
    <col min="8" max="8" width="11.5" style="99" customWidth="1"/>
    <col min="9" max="10" width="11.33203125" style="99" customWidth="1"/>
    <col min="11" max="13" width="11" style="99" customWidth="1"/>
    <col min="14" max="16" width="11.5" style="99" customWidth="1"/>
    <col min="17" max="17" width="12.33203125" style="99" customWidth="1"/>
    <col min="18" max="18" width="14.5" style="99" customWidth="1"/>
    <col min="19" max="21" width="11.33203125" style="99" customWidth="1"/>
    <col min="22" max="22" width="13.83203125" style="99" customWidth="1"/>
    <col min="23" max="25" width="10.5" style="99" customWidth="1"/>
    <col min="26" max="27" width="10.6640625" style="99" customWidth="1"/>
    <col min="28" max="28" width="11.33203125" style="99" customWidth="1"/>
    <col min="29" max="30" width="12" style="99" customWidth="1"/>
    <col min="31" max="31" width="14.5" style="99" customWidth="1"/>
    <col min="32" max="33" width="10.5" style="99" customWidth="1"/>
    <col min="34" max="34" width="13.6640625" style="99" customWidth="1"/>
    <col min="35" max="35" width="13" style="99" customWidth="1"/>
    <col min="36" max="38" width="11" style="99" customWidth="1"/>
    <col min="39" max="40" width="10.5" style="99" customWidth="1"/>
    <col min="41" max="42" width="11.33203125" style="99" customWidth="1"/>
    <col min="43" max="43" width="12.33203125" style="99" customWidth="1"/>
    <col min="44" max="44" width="14.5" style="99" customWidth="1"/>
    <col min="45" max="46" width="11.33203125" style="99" customWidth="1"/>
    <col min="47" max="47" width="13.5" style="99" customWidth="1"/>
    <col min="48" max="49" width="11.5" style="99" customWidth="1"/>
    <col min="50" max="51" width="11.33203125" style="99" customWidth="1"/>
    <col min="52" max="52" width="11.5" style="99" customWidth="1"/>
    <col min="53" max="53" width="12.33203125" style="99" customWidth="1"/>
    <col min="54" max="54" width="14.5" style="99" customWidth="1"/>
    <col min="55" max="55" width="13.33203125" style="99" bestFit="1" customWidth="1"/>
    <col min="56" max="56" width="21.6640625" style="99" customWidth="1"/>
    <col min="57" max="57" width="21" style="99" customWidth="1"/>
    <col min="58" max="59" width="11.1640625" style="99" customWidth="1"/>
    <col min="60" max="60" width="10" style="99" customWidth="1"/>
    <col min="61" max="61" width="10.5" style="99" customWidth="1"/>
    <col min="62" max="66" width="11.5" style="99" customWidth="1"/>
    <col min="67" max="16384" width="14.5" style="99"/>
  </cols>
  <sheetData>
    <row r="1" spans="1:66" ht="12" customHeight="1" thickBot="1" x14ac:dyDescent="0.25">
      <c r="A1" s="96" t="s">
        <v>0</v>
      </c>
      <c r="B1" s="97">
        <v>45689</v>
      </c>
      <c r="C1" s="97">
        <f>+B1+1</f>
        <v>45690</v>
      </c>
      <c r="D1" s="97" t="s">
        <v>99</v>
      </c>
      <c r="E1" s="97">
        <f>+C1+1</f>
        <v>45691</v>
      </c>
      <c r="F1" s="97">
        <f t="shared" ref="F1:K1" si="0">+E1+1</f>
        <v>45692</v>
      </c>
      <c r="G1" s="97">
        <f t="shared" si="0"/>
        <v>45693</v>
      </c>
      <c r="H1" s="97">
        <f t="shared" si="0"/>
        <v>45694</v>
      </c>
      <c r="I1" s="97">
        <f t="shared" si="0"/>
        <v>45695</v>
      </c>
      <c r="J1" s="97">
        <f t="shared" si="0"/>
        <v>45696</v>
      </c>
      <c r="K1" s="97">
        <f t="shared" si="0"/>
        <v>45697</v>
      </c>
      <c r="L1" s="97" t="s">
        <v>100</v>
      </c>
      <c r="M1" s="97">
        <f>+K1+1</f>
        <v>45698</v>
      </c>
      <c r="N1" s="97">
        <f t="shared" ref="N1:S1" si="1">+M1+1</f>
        <v>45699</v>
      </c>
      <c r="O1" s="97">
        <f t="shared" si="1"/>
        <v>45700</v>
      </c>
      <c r="P1" s="97">
        <f t="shared" si="1"/>
        <v>45701</v>
      </c>
      <c r="Q1" s="97">
        <f t="shared" si="1"/>
        <v>45702</v>
      </c>
      <c r="R1" s="97">
        <f t="shared" si="1"/>
        <v>45703</v>
      </c>
      <c r="S1" s="98">
        <f t="shared" si="1"/>
        <v>45704</v>
      </c>
      <c r="T1" s="97" t="s">
        <v>101</v>
      </c>
      <c r="U1" s="98">
        <f>+S1+1</f>
        <v>45705</v>
      </c>
      <c r="V1" s="98">
        <f t="shared" ref="V1:AA1" si="2">+U1+1</f>
        <v>45706</v>
      </c>
      <c r="W1" s="98">
        <f t="shared" si="2"/>
        <v>45707</v>
      </c>
      <c r="X1" s="98">
        <f t="shared" si="2"/>
        <v>45708</v>
      </c>
      <c r="Y1" s="98">
        <f t="shared" si="2"/>
        <v>45709</v>
      </c>
      <c r="Z1" s="98">
        <f t="shared" si="2"/>
        <v>45710</v>
      </c>
      <c r="AA1" s="97">
        <f t="shared" si="2"/>
        <v>45711</v>
      </c>
      <c r="AB1" s="97" t="s">
        <v>102</v>
      </c>
      <c r="AC1" s="97">
        <f>+AA1+1</f>
        <v>45712</v>
      </c>
      <c r="AD1" s="97">
        <f>+AC1+1</f>
        <v>45713</v>
      </c>
      <c r="AE1" s="97">
        <f>+AD1+1</f>
        <v>45714</v>
      </c>
      <c r="AF1" s="97">
        <f>+AE1+1</f>
        <v>45715</v>
      </c>
      <c r="AG1" s="97">
        <f>+AF1+1</f>
        <v>45716</v>
      </c>
      <c r="AH1" s="97" t="s">
        <v>115</v>
      </c>
      <c r="BE1" s="100" t="s">
        <v>38</v>
      </c>
      <c r="BF1" s="101"/>
      <c r="BG1" s="102"/>
      <c r="BH1" s="102"/>
      <c r="BI1" s="102"/>
      <c r="BJ1" s="103"/>
      <c r="BK1" s="102"/>
      <c r="BL1" s="102"/>
      <c r="BM1" s="102"/>
      <c r="BN1" s="102"/>
    </row>
    <row r="2" spans="1:66" ht="12" customHeight="1" x14ac:dyDescent="0.2">
      <c r="A2" s="104" t="s">
        <v>49</v>
      </c>
      <c r="B2" s="105">
        <f>+B3</f>
        <v>340.24900000000002</v>
      </c>
      <c r="C2" s="105">
        <f>+C3</f>
        <v>265.73</v>
      </c>
      <c r="D2" s="106">
        <f>+SUM(B2:C2)</f>
        <v>605.97900000000004</v>
      </c>
      <c r="E2" s="105">
        <f t="shared" ref="E2:K2" si="3">+E3</f>
        <v>371.19900000000001</v>
      </c>
      <c r="F2" s="105">
        <f t="shared" si="3"/>
        <v>311.24799999999999</v>
      </c>
      <c r="G2" s="105">
        <f t="shared" si="3"/>
        <v>345.55200000000002</v>
      </c>
      <c r="H2" s="105">
        <f t="shared" si="3"/>
        <v>347.101</v>
      </c>
      <c r="I2" s="105">
        <f t="shared" si="3"/>
        <v>331.20499999999998</v>
      </c>
      <c r="J2" s="105">
        <f t="shared" si="3"/>
        <v>374.98899999999998</v>
      </c>
      <c r="K2" s="105">
        <f t="shared" si="3"/>
        <v>371.82400000000001</v>
      </c>
      <c r="L2" s="106">
        <f>+D2+SUM(E2:K2)</f>
        <v>3059.0969999999998</v>
      </c>
      <c r="M2" s="105">
        <f t="shared" ref="M2:S2" si="4">+M3</f>
        <v>356.43599999999998</v>
      </c>
      <c r="N2" s="105">
        <f t="shared" si="4"/>
        <v>379.61399999999998</v>
      </c>
      <c r="O2" s="105">
        <f t="shared" si="4"/>
        <v>373.846</v>
      </c>
      <c r="P2" s="105">
        <f t="shared" si="4"/>
        <v>358.37200000000001</v>
      </c>
      <c r="Q2" s="105">
        <f t="shared" si="4"/>
        <v>368.39400000000001</v>
      </c>
      <c r="R2" s="105">
        <f t="shared" si="4"/>
        <v>368.39400000000001</v>
      </c>
      <c r="S2" s="105">
        <f t="shared" si="4"/>
        <v>371.18200000000002</v>
      </c>
      <c r="T2" s="106">
        <f>+L2+SUM(M2:S2)</f>
        <v>5635.335</v>
      </c>
      <c r="U2" s="105">
        <f>+U3</f>
        <v>340.92700000000002</v>
      </c>
      <c r="V2" s="105">
        <f>+V3</f>
        <v>366.37700000000001</v>
      </c>
      <c r="W2" s="105">
        <v>250</v>
      </c>
      <c r="X2" s="105">
        <v>365</v>
      </c>
      <c r="Y2" s="105">
        <v>365</v>
      </c>
      <c r="Z2" s="105">
        <v>365</v>
      </c>
      <c r="AA2" s="105">
        <v>350</v>
      </c>
      <c r="AB2" s="106">
        <f>+T2+SUM(U2:AA2)</f>
        <v>8037.6390000000001</v>
      </c>
      <c r="AC2" s="105">
        <v>365</v>
      </c>
      <c r="AD2" s="105">
        <v>365</v>
      </c>
      <c r="AE2" s="105">
        <v>365</v>
      </c>
      <c r="AF2" s="105">
        <v>365</v>
      </c>
      <c r="AG2" s="105">
        <v>365</v>
      </c>
      <c r="AH2" s="106">
        <f>+AB2+SUM(AC2:AG2)</f>
        <v>9862.6389999999992</v>
      </c>
      <c r="BE2" s="107">
        <v>9790</v>
      </c>
      <c r="BF2" s="101"/>
      <c r="BG2" s="108"/>
      <c r="BH2" s="108"/>
      <c r="BI2" s="108"/>
      <c r="BJ2" s="109"/>
      <c r="BK2" s="108"/>
      <c r="BL2" s="108"/>
      <c r="BM2" s="108"/>
      <c r="BN2" s="108"/>
    </row>
    <row r="3" spans="1:66" ht="12" customHeight="1" x14ac:dyDescent="0.2">
      <c r="A3" s="110" t="s">
        <v>50</v>
      </c>
      <c r="B3" s="111">
        <v>340.24900000000002</v>
      </c>
      <c r="C3" s="111">
        <v>265.73</v>
      </c>
      <c r="D3" s="112">
        <f>+SUM(B3:C3)</f>
        <v>605.97900000000004</v>
      </c>
      <c r="E3" s="111">
        <v>371.19900000000001</v>
      </c>
      <c r="F3" s="111">
        <v>311.24799999999999</v>
      </c>
      <c r="G3" s="111">
        <v>345.55200000000002</v>
      </c>
      <c r="H3" s="111">
        <v>347.101</v>
      </c>
      <c r="I3" s="111">
        <v>331.20499999999998</v>
      </c>
      <c r="J3" s="111">
        <v>374.98899999999998</v>
      </c>
      <c r="K3" s="111">
        <v>371.82400000000001</v>
      </c>
      <c r="L3" s="112">
        <f>+D3+SUM(E3:K3)</f>
        <v>3059.0969999999998</v>
      </c>
      <c r="M3" s="111">
        <v>356.43599999999998</v>
      </c>
      <c r="N3" s="111">
        <v>379.61399999999998</v>
      </c>
      <c r="O3" s="111">
        <v>373.846</v>
      </c>
      <c r="P3" s="111">
        <v>358.37200000000001</v>
      </c>
      <c r="Q3" s="111">
        <v>368.39400000000001</v>
      </c>
      <c r="R3" s="111">
        <v>368.39400000000001</v>
      </c>
      <c r="S3" s="111">
        <v>371.18200000000002</v>
      </c>
      <c r="T3" s="112">
        <f>+L3+SUM(M3:S3)</f>
        <v>5635.335</v>
      </c>
      <c r="U3" s="111">
        <v>340.92700000000002</v>
      </c>
      <c r="V3" s="111">
        <v>366.37700000000001</v>
      </c>
      <c r="W3" s="111">
        <v>275.67200000000003</v>
      </c>
      <c r="X3" s="111">
        <f>+DOWNSTREAM!W3</f>
        <v>0</v>
      </c>
      <c r="Y3" s="111">
        <f>+DOWNSTREAM!X3</f>
        <v>0</v>
      </c>
      <c r="Z3" s="111">
        <f>+DOWNSTREAM!Z3</f>
        <v>0</v>
      </c>
      <c r="AA3" s="111">
        <f>+DOWNSTREAM!AA3</f>
        <v>0</v>
      </c>
      <c r="AB3" s="112">
        <f>+T3+SUM(U3:AA3)</f>
        <v>6618.3109999999997</v>
      </c>
      <c r="AC3" s="278">
        <f>+AC2</f>
        <v>365</v>
      </c>
      <c r="AD3" s="278">
        <f>+AD2</f>
        <v>365</v>
      </c>
      <c r="AE3" s="278">
        <f>+AE2</f>
        <v>365</v>
      </c>
      <c r="AF3" s="278">
        <f>+AF2</f>
        <v>365</v>
      </c>
      <c r="AG3" s="278">
        <f>+AG2</f>
        <v>365</v>
      </c>
      <c r="AH3" s="112">
        <f>+AB3+SUM(AC3:AG3)</f>
        <v>8443.3109999999997</v>
      </c>
      <c r="BE3" s="107"/>
      <c r="BF3" s="101"/>
      <c r="BG3" s="108"/>
      <c r="BH3" s="108"/>
      <c r="BI3" s="108"/>
      <c r="BJ3" s="109"/>
      <c r="BK3" s="108"/>
      <c r="BL3" s="108"/>
      <c r="BM3" s="108"/>
      <c r="BN3" s="108"/>
    </row>
    <row r="4" spans="1:66" ht="16" thickBot="1" x14ac:dyDescent="0.25">
      <c r="A4" s="113" t="s">
        <v>3</v>
      </c>
      <c r="B4" s="114">
        <f>IFERROR(B3/B2,0)</f>
        <v>1</v>
      </c>
      <c r="C4" s="114">
        <f>IFERROR(C3/C2,0)</f>
        <v>1</v>
      </c>
      <c r="D4" s="115">
        <f>IFERROR(D3/D2,0)</f>
        <v>1</v>
      </c>
      <c r="E4" s="114">
        <f>IFERROR(E3/E2,0)</f>
        <v>1</v>
      </c>
      <c r="F4" s="114">
        <f t="shared" ref="F4:AH4" si="5">IFERROR(F3/F2,0)</f>
        <v>1</v>
      </c>
      <c r="G4" s="114">
        <f t="shared" si="5"/>
        <v>1</v>
      </c>
      <c r="H4" s="114">
        <f t="shared" si="5"/>
        <v>1</v>
      </c>
      <c r="I4" s="114">
        <f t="shared" si="5"/>
        <v>1</v>
      </c>
      <c r="J4" s="114">
        <f t="shared" si="5"/>
        <v>1</v>
      </c>
      <c r="K4" s="114">
        <f t="shared" si="5"/>
        <v>1</v>
      </c>
      <c r="L4" s="115">
        <f t="shared" si="5"/>
        <v>1</v>
      </c>
      <c r="M4" s="114">
        <f t="shared" si="5"/>
        <v>1</v>
      </c>
      <c r="N4" s="114">
        <f t="shared" si="5"/>
        <v>1</v>
      </c>
      <c r="O4" s="114">
        <f t="shared" si="5"/>
        <v>1</v>
      </c>
      <c r="P4" s="114">
        <f t="shared" si="5"/>
        <v>1</v>
      </c>
      <c r="Q4" s="114">
        <f t="shared" si="5"/>
        <v>1</v>
      </c>
      <c r="R4" s="114">
        <f t="shared" si="5"/>
        <v>1</v>
      </c>
      <c r="S4" s="114">
        <f t="shared" si="5"/>
        <v>1</v>
      </c>
      <c r="T4" s="115">
        <f t="shared" si="5"/>
        <v>1</v>
      </c>
      <c r="U4" s="114">
        <f t="shared" si="5"/>
        <v>1</v>
      </c>
      <c r="V4" s="114">
        <f t="shared" si="5"/>
        <v>1</v>
      </c>
      <c r="W4" s="114">
        <f t="shared" si="5"/>
        <v>1.1026880000000001</v>
      </c>
      <c r="X4" s="114">
        <f t="shared" si="5"/>
        <v>0</v>
      </c>
      <c r="Y4" s="114">
        <f t="shared" si="5"/>
        <v>0</v>
      </c>
      <c r="Z4" s="114">
        <f t="shared" si="5"/>
        <v>0</v>
      </c>
      <c r="AA4" s="114">
        <f t="shared" si="5"/>
        <v>0</v>
      </c>
      <c r="AB4" s="115">
        <f t="shared" si="5"/>
        <v>0.82341481123996729</v>
      </c>
      <c r="AC4" s="114">
        <f t="shared" si="5"/>
        <v>1</v>
      </c>
      <c r="AD4" s="114">
        <f t="shared" si="5"/>
        <v>1</v>
      </c>
      <c r="AE4" s="114">
        <f t="shared" si="5"/>
        <v>1</v>
      </c>
      <c r="AF4" s="114">
        <f t="shared" si="5"/>
        <v>1</v>
      </c>
      <c r="AG4" s="114">
        <f t="shared" si="5"/>
        <v>1</v>
      </c>
      <c r="AH4" s="115">
        <f t="shared" si="5"/>
        <v>0.85609044394710188</v>
      </c>
      <c r="BE4" s="107"/>
      <c r="BF4" s="101"/>
      <c r="BG4" s="108"/>
      <c r="BH4" s="108"/>
      <c r="BI4" s="108"/>
      <c r="BJ4" s="109"/>
      <c r="BK4" s="108"/>
      <c r="BL4" s="108"/>
      <c r="BM4" s="108"/>
      <c r="BN4" s="108"/>
    </row>
    <row r="5" spans="1:66" ht="16" hidden="1" thickBot="1" x14ac:dyDescent="0.25">
      <c r="A5" s="110" t="s">
        <v>51</v>
      </c>
      <c r="B5" s="116"/>
      <c r="C5" s="116"/>
      <c r="D5" s="117"/>
      <c r="E5" s="116"/>
      <c r="F5" s="116"/>
      <c r="G5" s="116"/>
      <c r="H5" s="116"/>
      <c r="I5" s="116"/>
      <c r="J5" s="116"/>
      <c r="K5" s="116"/>
      <c r="L5" s="117"/>
      <c r="M5" s="116"/>
      <c r="N5" s="116"/>
      <c r="O5" s="116"/>
      <c r="P5" s="116"/>
      <c r="Q5" s="116"/>
      <c r="R5" s="116"/>
      <c r="S5" s="116"/>
      <c r="T5" s="117"/>
      <c r="U5" s="116"/>
      <c r="V5" s="116"/>
      <c r="W5" s="116"/>
      <c r="X5" s="116"/>
      <c r="Y5" s="116"/>
      <c r="Z5" s="116"/>
      <c r="AA5" s="116"/>
      <c r="AB5" s="117"/>
      <c r="AC5" s="116"/>
      <c r="AD5" s="116"/>
      <c r="AE5" s="116"/>
      <c r="AF5" s="116"/>
      <c r="AG5" s="116"/>
      <c r="AH5" s="117"/>
      <c r="BE5" s="107"/>
      <c r="BF5" s="101"/>
      <c r="BG5" s="108"/>
      <c r="BH5" s="108"/>
      <c r="BI5" s="108"/>
      <c r="BJ5" s="109"/>
      <c r="BK5" s="108"/>
      <c r="BL5" s="108"/>
      <c r="BM5" s="108"/>
      <c r="BN5" s="108"/>
    </row>
    <row r="6" spans="1:66" ht="16" hidden="1" thickBot="1" x14ac:dyDescent="0.25">
      <c r="A6" s="110" t="s">
        <v>52</v>
      </c>
      <c r="B6" s="118"/>
      <c r="C6" s="118"/>
      <c r="D6" s="119"/>
      <c r="E6" s="118"/>
      <c r="F6" s="118"/>
      <c r="G6" s="118"/>
      <c r="H6" s="118"/>
      <c r="I6" s="118"/>
      <c r="J6" s="118"/>
      <c r="K6" s="118"/>
      <c r="L6" s="119"/>
      <c r="M6" s="118"/>
      <c r="N6" s="118"/>
      <c r="O6" s="118"/>
      <c r="P6" s="118"/>
      <c r="Q6" s="118"/>
      <c r="R6" s="118"/>
      <c r="S6" s="118"/>
      <c r="T6" s="119"/>
      <c r="U6" s="118"/>
      <c r="V6" s="118"/>
      <c r="W6" s="118"/>
      <c r="X6" s="118"/>
      <c r="Y6" s="118"/>
      <c r="Z6" s="118"/>
      <c r="AA6" s="118"/>
      <c r="AB6" s="119"/>
      <c r="AC6" s="118"/>
      <c r="AD6" s="118"/>
      <c r="AE6" s="118"/>
      <c r="AF6" s="118"/>
      <c r="AG6" s="118"/>
      <c r="AH6" s="119"/>
      <c r="BE6" s="107"/>
      <c r="BF6" s="101"/>
      <c r="BG6" s="108"/>
      <c r="BH6" s="108"/>
      <c r="BI6" s="108"/>
      <c r="BJ6" s="109"/>
      <c r="BK6" s="108"/>
      <c r="BL6" s="108"/>
      <c r="BM6" s="108"/>
      <c r="BN6" s="108"/>
    </row>
    <row r="7" spans="1:66" ht="16" hidden="1" thickBot="1" x14ac:dyDescent="0.25">
      <c r="A7" s="110" t="s">
        <v>53</v>
      </c>
      <c r="B7" s="120"/>
      <c r="C7" s="120"/>
      <c r="D7" s="119"/>
      <c r="E7" s="120"/>
      <c r="F7" s="120"/>
      <c r="G7" s="120"/>
      <c r="H7" s="120"/>
      <c r="I7" s="120"/>
      <c r="J7" s="120"/>
      <c r="K7" s="120"/>
      <c r="L7" s="119"/>
      <c r="M7" s="120"/>
      <c r="N7" s="120"/>
      <c r="O7" s="120"/>
      <c r="P7" s="120"/>
      <c r="Q7" s="120"/>
      <c r="R7" s="120"/>
      <c r="S7" s="120"/>
      <c r="T7" s="119"/>
      <c r="U7" s="120"/>
      <c r="V7" s="120"/>
      <c r="W7" s="120"/>
      <c r="X7" s="120"/>
      <c r="Y7" s="120"/>
      <c r="Z7" s="120"/>
      <c r="AA7" s="120"/>
      <c r="AB7" s="119"/>
      <c r="AC7" s="120"/>
      <c r="AD7" s="120"/>
      <c r="AE7" s="120"/>
      <c r="AF7" s="120"/>
      <c r="AG7" s="120"/>
      <c r="AH7" s="119"/>
      <c r="BE7" s="107"/>
      <c r="BF7" s="101"/>
      <c r="BG7" s="108"/>
      <c r="BH7" s="108"/>
      <c r="BI7" s="108"/>
      <c r="BJ7" s="109"/>
      <c r="BK7" s="108"/>
      <c r="BL7" s="108"/>
      <c r="BM7" s="108"/>
      <c r="BN7" s="108"/>
    </row>
    <row r="8" spans="1:66" ht="16" hidden="1" thickBot="1" x14ac:dyDescent="0.25">
      <c r="A8" s="110" t="s">
        <v>54</v>
      </c>
      <c r="B8" s="120"/>
      <c r="C8" s="120"/>
      <c r="D8" s="119"/>
      <c r="E8" s="120"/>
      <c r="F8" s="120"/>
      <c r="G8" s="120"/>
      <c r="H8" s="120"/>
      <c r="I8" s="120"/>
      <c r="J8" s="120"/>
      <c r="K8" s="120"/>
      <c r="L8" s="119"/>
      <c r="M8" s="120"/>
      <c r="N8" s="120"/>
      <c r="O8" s="120"/>
      <c r="P8" s="120"/>
      <c r="Q8" s="120"/>
      <c r="R8" s="120"/>
      <c r="S8" s="120"/>
      <c r="T8" s="119"/>
      <c r="U8" s="120"/>
      <c r="V8" s="120"/>
      <c r="W8" s="120"/>
      <c r="X8" s="120"/>
      <c r="Y8" s="120"/>
      <c r="Z8" s="120"/>
      <c r="AA8" s="120"/>
      <c r="AB8" s="119"/>
      <c r="AC8" s="120"/>
      <c r="AD8" s="120"/>
      <c r="AE8" s="120"/>
      <c r="AF8" s="120"/>
      <c r="AG8" s="120"/>
      <c r="AH8" s="119"/>
      <c r="BE8" s="107"/>
      <c r="BF8" s="101"/>
      <c r="BG8" s="108"/>
      <c r="BH8" s="108"/>
      <c r="BI8" s="108"/>
      <c r="BJ8" s="109"/>
      <c r="BK8" s="108"/>
      <c r="BL8" s="108"/>
      <c r="BM8" s="108"/>
      <c r="BN8" s="108"/>
    </row>
    <row r="9" spans="1:66" ht="16" hidden="1" thickBot="1" x14ac:dyDescent="0.25">
      <c r="A9" s="121" t="s">
        <v>55</v>
      </c>
      <c r="B9" s="122"/>
      <c r="C9" s="122"/>
      <c r="D9" s="123"/>
      <c r="E9" s="122"/>
      <c r="F9" s="122"/>
      <c r="G9" s="122"/>
      <c r="H9" s="122"/>
      <c r="I9" s="122"/>
      <c r="J9" s="122"/>
      <c r="K9" s="122"/>
      <c r="L9" s="123"/>
      <c r="M9" s="122"/>
      <c r="N9" s="122"/>
      <c r="O9" s="122"/>
      <c r="P9" s="122"/>
      <c r="Q9" s="122"/>
      <c r="R9" s="122"/>
      <c r="S9" s="122"/>
      <c r="T9" s="123"/>
      <c r="U9" s="122"/>
      <c r="V9" s="122"/>
      <c r="W9" s="122"/>
      <c r="X9" s="122"/>
      <c r="Y9" s="122"/>
      <c r="Z9" s="122"/>
      <c r="AA9" s="122"/>
      <c r="AB9" s="123"/>
      <c r="AC9" s="122"/>
      <c r="AD9" s="122"/>
      <c r="AE9" s="122"/>
      <c r="AF9" s="122"/>
      <c r="AG9" s="122"/>
      <c r="AH9" s="123"/>
      <c r="BE9" s="107"/>
      <c r="BF9" s="101"/>
      <c r="BG9" s="108"/>
      <c r="BH9" s="108"/>
      <c r="BI9" s="108"/>
      <c r="BJ9" s="109"/>
      <c r="BK9" s="108"/>
      <c r="BL9" s="108"/>
      <c r="BM9" s="108"/>
      <c r="BN9" s="108"/>
    </row>
    <row r="10" spans="1:66" x14ac:dyDescent="0.2">
      <c r="A10" s="124" t="s">
        <v>56</v>
      </c>
      <c r="B10" s="105">
        <f>+B11</f>
        <v>32.222000000000001</v>
      </c>
      <c r="C10" s="105">
        <f>+C11</f>
        <v>24.335000000000001</v>
      </c>
      <c r="D10" s="112">
        <f>+SUM(B10:C10)</f>
        <v>56.557000000000002</v>
      </c>
      <c r="E10" s="105">
        <f t="shared" ref="E10:K10" si="6">+E11</f>
        <v>33.44</v>
      </c>
      <c r="F10" s="105">
        <f t="shared" si="6"/>
        <v>33.213999999999999</v>
      </c>
      <c r="G10" s="105">
        <f t="shared" si="6"/>
        <v>33.459000000000003</v>
      </c>
      <c r="H10" s="105">
        <f t="shared" si="6"/>
        <v>43.639000000000003</v>
      </c>
      <c r="I10" s="105">
        <f t="shared" si="6"/>
        <v>21.359000000000002</v>
      </c>
      <c r="J10" s="105">
        <f t="shared" si="6"/>
        <v>33.854999999999997</v>
      </c>
      <c r="K10" s="105">
        <f t="shared" si="6"/>
        <v>14.175000000000001</v>
      </c>
      <c r="L10" s="112">
        <f>+D10+SUM(E10:K10)</f>
        <v>269.69800000000004</v>
      </c>
      <c r="M10" s="105">
        <f t="shared" ref="M10:S10" si="7">+M11</f>
        <v>32.997</v>
      </c>
      <c r="N10" s="105">
        <f t="shared" si="7"/>
        <v>21.72</v>
      </c>
      <c r="O10" s="105">
        <f t="shared" si="7"/>
        <v>40.731999999999999</v>
      </c>
      <c r="P10" s="105">
        <f t="shared" si="7"/>
        <v>39.725000000000001</v>
      </c>
      <c r="Q10" s="105">
        <f t="shared" si="7"/>
        <v>36.231999999999999</v>
      </c>
      <c r="R10" s="105">
        <f t="shared" si="7"/>
        <v>36.231999999999999</v>
      </c>
      <c r="S10" s="105">
        <f t="shared" si="7"/>
        <v>44.209000000000003</v>
      </c>
      <c r="T10" s="112">
        <f>+L10+SUM(M10:S10)</f>
        <v>521.54500000000007</v>
      </c>
      <c r="U10" s="105">
        <f>+U11</f>
        <v>36.283999999999999</v>
      </c>
      <c r="V10" s="105">
        <f>+V11</f>
        <v>33.594000000000001</v>
      </c>
      <c r="W10" s="105">
        <v>41</v>
      </c>
      <c r="X10" s="105">
        <v>41</v>
      </c>
      <c r="Y10" s="105">
        <v>41</v>
      </c>
      <c r="Z10" s="105">
        <v>41</v>
      </c>
      <c r="AA10" s="105">
        <v>41</v>
      </c>
      <c r="AB10" s="112">
        <f>+T10+SUM(U10:AA10)</f>
        <v>796.423</v>
      </c>
      <c r="AC10" s="105">
        <v>41</v>
      </c>
      <c r="AD10" s="105">
        <v>41</v>
      </c>
      <c r="AE10" s="105">
        <v>41</v>
      </c>
      <c r="AF10" s="105">
        <v>41</v>
      </c>
      <c r="AG10" s="105">
        <v>41</v>
      </c>
      <c r="AH10" s="112">
        <f>+AB10+SUM(AC10:AG10)</f>
        <v>1001.423</v>
      </c>
      <c r="BE10" s="107">
        <v>370</v>
      </c>
      <c r="BF10" s="101"/>
      <c r="BG10" s="108"/>
      <c r="BH10" s="108"/>
      <c r="BI10" s="108"/>
      <c r="BJ10" s="109"/>
      <c r="BK10" s="108"/>
      <c r="BL10" s="108"/>
      <c r="BM10" s="108"/>
      <c r="BN10" s="108"/>
    </row>
    <row r="11" spans="1:66" ht="12" customHeight="1" x14ac:dyDescent="0.2">
      <c r="A11" s="125" t="s">
        <v>57</v>
      </c>
      <c r="B11" s="111">
        <v>32.222000000000001</v>
      </c>
      <c r="C11" s="111">
        <v>24.335000000000001</v>
      </c>
      <c r="D11" s="112">
        <f>+SUM(B11:C11)</f>
        <v>56.557000000000002</v>
      </c>
      <c r="E11" s="111">
        <v>33.44</v>
      </c>
      <c r="F11" s="111">
        <v>33.213999999999999</v>
      </c>
      <c r="G11" s="111">
        <v>33.459000000000003</v>
      </c>
      <c r="H11" s="111">
        <v>43.639000000000003</v>
      </c>
      <c r="I11" s="111">
        <v>21.359000000000002</v>
      </c>
      <c r="J11" s="111">
        <v>33.854999999999997</v>
      </c>
      <c r="K11" s="111">
        <v>14.175000000000001</v>
      </c>
      <c r="L11" s="112">
        <f>+D11+SUM(E11:K11)</f>
        <v>269.69800000000004</v>
      </c>
      <c r="M11" s="275">
        <v>32.997</v>
      </c>
      <c r="N11" s="275">
        <v>21.72</v>
      </c>
      <c r="O11" s="111">
        <v>40.731999999999999</v>
      </c>
      <c r="P11" s="111">
        <v>39.725000000000001</v>
      </c>
      <c r="Q11" s="111">
        <v>36.231999999999999</v>
      </c>
      <c r="R11" s="275">
        <v>36.231999999999999</v>
      </c>
      <c r="S11" s="111">
        <v>44.209000000000003</v>
      </c>
      <c r="T11" s="112">
        <f>+L11+SUM(M11:S11)</f>
        <v>521.54500000000007</v>
      </c>
      <c r="U11" s="111">
        <v>36.283999999999999</v>
      </c>
      <c r="V11" s="111">
        <v>33.594000000000001</v>
      </c>
      <c r="W11" s="111">
        <v>24.873000000000001</v>
      </c>
      <c r="X11" s="111">
        <f>+DOWNSTREAM!W11</f>
        <v>0</v>
      </c>
      <c r="Y11" s="111">
        <f>+DOWNSTREAM!X11</f>
        <v>0</v>
      </c>
      <c r="Z11" s="111">
        <f>+DOWNSTREAM!Z11</f>
        <v>0</v>
      </c>
      <c r="AA11" s="111">
        <f>+DOWNSTREAM!AA11</f>
        <v>0</v>
      </c>
      <c r="AB11" s="112">
        <f>+T11+SUM(U11:AA11)</f>
        <v>616.29600000000005</v>
      </c>
      <c r="AC11" s="278">
        <f>+AC10</f>
        <v>41</v>
      </c>
      <c r="AD11" s="278">
        <f>+AD10</f>
        <v>41</v>
      </c>
      <c r="AE11" s="278">
        <f>+AE10</f>
        <v>41</v>
      </c>
      <c r="AF11" s="278">
        <f>+AF10</f>
        <v>41</v>
      </c>
      <c r="AG11" s="278">
        <f>+AG10</f>
        <v>41</v>
      </c>
      <c r="AH11" s="112">
        <f>+AB11+SUM(AC11:AG11)</f>
        <v>821.29600000000005</v>
      </c>
      <c r="BE11" s="107"/>
      <c r="BF11" s="101"/>
      <c r="BG11" s="108"/>
      <c r="BH11" s="108"/>
      <c r="BI11" s="108"/>
      <c r="BJ11" s="109"/>
      <c r="BK11" s="108"/>
      <c r="BL11" s="108"/>
      <c r="BM11" s="108"/>
      <c r="BN11" s="108"/>
    </row>
    <row r="12" spans="1:66" ht="16" thickBot="1" x14ac:dyDescent="0.25">
      <c r="A12" s="126" t="s">
        <v>3</v>
      </c>
      <c r="B12" s="114">
        <f>IFERROR(+B11/B10,0)</f>
        <v>1</v>
      </c>
      <c r="C12" s="114">
        <f>IFERROR(+C11/C10,0)</f>
        <v>1</v>
      </c>
      <c r="D12" s="115">
        <f>IFERROR(+D11/D10,0)</f>
        <v>1</v>
      </c>
      <c r="E12" s="114">
        <f>IFERROR(+E11/E10,0)</f>
        <v>1</v>
      </c>
      <c r="F12" s="114">
        <f t="shared" ref="F12:AH12" si="8">IFERROR(+F11/F10,0)</f>
        <v>1</v>
      </c>
      <c r="G12" s="114">
        <f t="shared" si="8"/>
        <v>1</v>
      </c>
      <c r="H12" s="114">
        <f t="shared" si="8"/>
        <v>1</v>
      </c>
      <c r="I12" s="114">
        <f t="shared" si="8"/>
        <v>1</v>
      </c>
      <c r="J12" s="114">
        <f t="shared" si="8"/>
        <v>1</v>
      </c>
      <c r="K12" s="114">
        <f t="shared" si="8"/>
        <v>1</v>
      </c>
      <c r="L12" s="115">
        <f t="shared" si="8"/>
        <v>1</v>
      </c>
      <c r="M12" s="114">
        <f t="shared" si="8"/>
        <v>1</v>
      </c>
      <c r="N12" s="114">
        <f t="shared" si="8"/>
        <v>1</v>
      </c>
      <c r="O12" s="114">
        <f t="shared" si="8"/>
        <v>1</v>
      </c>
      <c r="P12" s="114">
        <f t="shared" si="8"/>
        <v>1</v>
      </c>
      <c r="Q12" s="114">
        <f t="shared" si="8"/>
        <v>1</v>
      </c>
      <c r="R12" s="114">
        <f t="shared" si="8"/>
        <v>1</v>
      </c>
      <c r="S12" s="114">
        <f t="shared" si="8"/>
        <v>1</v>
      </c>
      <c r="T12" s="115">
        <f t="shared" si="8"/>
        <v>1</v>
      </c>
      <c r="U12" s="114">
        <f t="shared" si="8"/>
        <v>1</v>
      </c>
      <c r="V12" s="114">
        <f t="shared" si="8"/>
        <v>1</v>
      </c>
      <c r="W12" s="114">
        <f t="shared" si="8"/>
        <v>0.60665853658536584</v>
      </c>
      <c r="X12" s="114">
        <f t="shared" si="8"/>
        <v>0</v>
      </c>
      <c r="Y12" s="114">
        <f t="shared" si="8"/>
        <v>0</v>
      </c>
      <c r="Z12" s="114">
        <f t="shared" si="8"/>
        <v>0</v>
      </c>
      <c r="AA12" s="114">
        <f t="shared" si="8"/>
        <v>0</v>
      </c>
      <c r="AB12" s="115">
        <f t="shared" si="8"/>
        <v>0.77382998733085318</v>
      </c>
      <c r="AC12" s="114">
        <f t="shared" si="8"/>
        <v>1</v>
      </c>
      <c r="AD12" s="114">
        <f t="shared" si="8"/>
        <v>1</v>
      </c>
      <c r="AE12" s="114">
        <f t="shared" si="8"/>
        <v>1</v>
      </c>
      <c r="AF12" s="114">
        <f t="shared" si="8"/>
        <v>1</v>
      </c>
      <c r="AG12" s="114">
        <f t="shared" si="8"/>
        <v>1</v>
      </c>
      <c r="AH12" s="115">
        <f t="shared" si="8"/>
        <v>0.8201289564949078</v>
      </c>
      <c r="BE12" s="107"/>
      <c r="BF12" s="101"/>
      <c r="BG12" s="108"/>
      <c r="BH12" s="108"/>
      <c r="BI12" s="108"/>
      <c r="BJ12" s="109"/>
      <c r="BK12" s="108"/>
      <c r="BL12" s="108"/>
      <c r="BM12" s="108"/>
      <c r="BN12" s="108"/>
    </row>
    <row r="13" spans="1:66" ht="16" hidden="1" thickBot="1" x14ac:dyDescent="0.25">
      <c r="A13" s="125" t="s">
        <v>58</v>
      </c>
      <c r="B13" s="116"/>
      <c r="C13" s="116"/>
      <c r="D13" s="117"/>
      <c r="E13" s="116"/>
      <c r="F13" s="116"/>
      <c r="G13" s="116"/>
      <c r="H13" s="116"/>
      <c r="I13" s="116"/>
      <c r="J13" s="116"/>
      <c r="K13" s="116"/>
      <c r="L13" s="117"/>
      <c r="M13" s="116"/>
      <c r="N13" s="116"/>
      <c r="O13" s="116"/>
      <c r="P13" s="116"/>
      <c r="Q13" s="116"/>
      <c r="R13" s="116"/>
      <c r="S13" s="116"/>
      <c r="T13" s="117"/>
      <c r="U13" s="116"/>
      <c r="V13" s="116"/>
      <c r="W13" s="116"/>
      <c r="X13" s="116"/>
      <c r="Y13" s="116"/>
      <c r="Z13" s="116"/>
      <c r="AA13" s="116"/>
      <c r="AB13" s="117"/>
      <c r="AC13" s="116"/>
      <c r="AD13" s="116"/>
      <c r="AE13" s="116"/>
      <c r="AF13" s="116"/>
      <c r="AG13" s="116"/>
      <c r="AH13" s="117"/>
      <c r="BE13" s="107"/>
      <c r="BF13" s="101"/>
      <c r="BG13" s="108"/>
      <c r="BH13" s="108"/>
      <c r="BI13" s="108"/>
      <c r="BJ13" s="109"/>
      <c r="BK13" s="108"/>
      <c r="BL13" s="108"/>
      <c r="BM13" s="108"/>
      <c r="BN13" s="108"/>
    </row>
    <row r="14" spans="1:66" ht="16" hidden="1" thickBot="1" x14ac:dyDescent="0.25">
      <c r="A14" s="125" t="s">
        <v>53</v>
      </c>
      <c r="B14" s="120"/>
      <c r="C14" s="120"/>
      <c r="D14" s="127"/>
      <c r="E14" s="120"/>
      <c r="F14" s="120"/>
      <c r="G14" s="120"/>
      <c r="H14" s="120"/>
      <c r="I14" s="120"/>
      <c r="J14" s="120"/>
      <c r="K14" s="120"/>
      <c r="L14" s="127"/>
      <c r="M14" s="120"/>
      <c r="N14" s="120"/>
      <c r="O14" s="120"/>
      <c r="P14" s="120"/>
      <c r="Q14" s="120"/>
      <c r="R14" s="120"/>
      <c r="S14" s="120"/>
      <c r="T14" s="127"/>
      <c r="U14" s="120"/>
      <c r="V14" s="120"/>
      <c r="W14" s="120"/>
      <c r="X14" s="120"/>
      <c r="Y14" s="120"/>
      <c r="Z14" s="120"/>
      <c r="AA14" s="120"/>
      <c r="AB14" s="127"/>
      <c r="AC14" s="120"/>
      <c r="AD14" s="120"/>
      <c r="AE14" s="120"/>
      <c r="AF14" s="120"/>
      <c r="AG14" s="120"/>
      <c r="AH14" s="127"/>
      <c r="BE14" s="107"/>
      <c r="BF14" s="101"/>
      <c r="BG14" s="108"/>
      <c r="BH14" s="108"/>
      <c r="BI14" s="108"/>
      <c r="BJ14" s="109"/>
      <c r="BK14" s="108"/>
      <c r="BL14" s="108"/>
      <c r="BM14" s="108"/>
      <c r="BN14" s="108"/>
    </row>
    <row r="15" spans="1:66" ht="16" hidden="1" thickBot="1" x14ac:dyDescent="0.25">
      <c r="A15" s="125" t="s">
        <v>54</v>
      </c>
      <c r="B15" s="120"/>
      <c r="C15" s="120"/>
      <c r="D15" s="127"/>
      <c r="E15" s="120"/>
      <c r="F15" s="120"/>
      <c r="G15" s="120"/>
      <c r="H15" s="120"/>
      <c r="I15" s="120"/>
      <c r="J15" s="120"/>
      <c r="K15" s="120"/>
      <c r="L15" s="127"/>
      <c r="M15" s="120"/>
      <c r="N15" s="120"/>
      <c r="O15" s="120"/>
      <c r="P15" s="120"/>
      <c r="Q15" s="120"/>
      <c r="R15" s="120"/>
      <c r="S15" s="120"/>
      <c r="T15" s="127"/>
      <c r="U15" s="120"/>
      <c r="V15" s="120"/>
      <c r="W15" s="120"/>
      <c r="X15" s="120"/>
      <c r="Y15" s="120"/>
      <c r="Z15" s="120"/>
      <c r="AA15" s="120"/>
      <c r="AB15" s="127"/>
      <c r="AC15" s="120"/>
      <c r="AD15" s="120"/>
      <c r="AE15" s="120"/>
      <c r="AF15" s="120"/>
      <c r="AG15" s="120"/>
      <c r="AH15" s="127"/>
      <c r="BE15" s="107"/>
      <c r="BF15" s="101"/>
      <c r="BG15" s="108"/>
      <c r="BH15" s="108"/>
      <c r="BI15" s="108"/>
      <c r="BJ15" s="109"/>
      <c r="BK15" s="108"/>
      <c r="BL15" s="108"/>
      <c r="BM15" s="108"/>
      <c r="BN15" s="108"/>
    </row>
    <row r="16" spans="1:66" ht="16" hidden="1" thickBot="1" x14ac:dyDescent="0.25">
      <c r="A16" s="128" t="s">
        <v>55</v>
      </c>
      <c r="B16" s="129"/>
      <c r="C16" s="129"/>
      <c r="D16" s="130"/>
      <c r="E16" s="129"/>
      <c r="F16" s="129"/>
      <c r="G16" s="129"/>
      <c r="H16" s="129"/>
      <c r="I16" s="129"/>
      <c r="J16" s="129"/>
      <c r="K16" s="129"/>
      <c r="L16" s="130"/>
      <c r="M16" s="129"/>
      <c r="N16" s="129"/>
      <c r="O16" s="129"/>
      <c r="P16" s="129"/>
      <c r="Q16" s="129"/>
      <c r="R16" s="129"/>
      <c r="S16" s="129"/>
      <c r="T16" s="130"/>
      <c r="U16" s="129"/>
      <c r="V16" s="129"/>
      <c r="W16" s="129"/>
      <c r="X16" s="129"/>
      <c r="Y16" s="129"/>
      <c r="Z16" s="129"/>
      <c r="AA16" s="129"/>
      <c r="AB16" s="130"/>
      <c r="AC16" s="129"/>
      <c r="AD16" s="129"/>
      <c r="AE16" s="129"/>
      <c r="AF16" s="129"/>
      <c r="AG16" s="129"/>
      <c r="AH16" s="130"/>
      <c r="BE16" s="107"/>
      <c r="BF16" s="101"/>
      <c r="BG16" s="108"/>
      <c r="BH16" s="108"/>
      <c r="BI16" s="108"/>
      <c r="BJ16" s="109"/>
      <c r="BK16" s="108"/>
      <c r="BL16" s="108"/>
      <c r="BM16" s="108"/>
      <c r="BN16" s="108"/>
    </row>
    <row r="17" spans="1:66" x14ac:dyDescent="0.2">
      <c r="A17" s="131" t="s">
        <v>59</v>
      </c>
      <c r="B17" s="105">
        <f>+B18</f>
        <v>97.9</v>
      </c>
      <c r="C17" s="105">
        <f>+C18</f>
        <v>90</v>
      </c>
      <c r="D17" s="112">
        <f>+SUM(B17:C17)</f>
        <v>187.9</v>
      </c>
      <c r="E17" s="105">
        <f t="shared" ref="E17:K17" si="9">+E18</f>
        <v>96.17</v>
      </c>
      <c r="F17" s="105">
        <f t="shared" si="9"/>
        <v>88.5</v>
      </c>
      <c r="G17" s="105">
        <f t="shared" si="9"/>
        <v>88.364999999999995</v>
      </c>
      <c r="H17" s="105">
        <f t="shared" si="9"/>
        <v>96.44</v>
      </c>
      <c r="I17" s="105">
        <f t="shared" si="9"/>
        <v>75.83</v>
      </c>
      <c r="J17" s="105">
        <f t="shared" si="9"/>
        <v>100.66</v>
      </c>
      <c r="K17" s="105">
        <f t="shared" si="9"/>
        <v>90.39</v>
      </c>
      <c r="L17" s="112">
        <f>+D17+SUM(E17:K17)</f>
        <v>824.255</v>
      </c>
      <c r="M17" s="105">
        <f t="shared" ref="M17:S17" si="10">+M18</f>
        <v>91.11</v>
      </c>
      <c r="N17" s="105">
        <f t="shared" si="10"/>
        <v>96.25</v>
      </c>
      <c r="O17" s="105">
        <f t="shared" si="10"/>
        <v>35.799999999999997</v>
      </c>
      <c r="P17" s="105">
        <f t="shared" si="10"/>
        <v>57</v>
      </c>
      <c r="Q17" s="105">
        <f t="shared" si="10"/>
        <v>49.9</v>
      </c>
      <c r="R17" s="105">
        <f t="shared" si="10"/>
        <v>49.9</v>
      </c>
      <c r="S17" s="105">
        <f t="shared" si="10"/>
        <v>63.46</v>
      </c>
      <c r="T17" s="112">
        <f>+L17+SUM(M17:S17)</f>
        <v>1267.675</v>
      </c>
      <c r="U17" s="105">
        <f>+U18</f>
        <v>94.67</v>
      </c>
      <c r="V17" s="105">
        <f>+V18</f>
        <v>28.63</v>
      </c>
      <c r="W17" s="105">
        <v>90</v>
      </c>
      <c r="X17" s="105">
        <v>90</v>
      </c>
      <c r="Y17" s="105">
        <v>90</v>
      </c>
      <c r="Z17" s="105">
        <v>90</v>
      </c>
      <c r="AA17" s="105" t="s">
        <v>122</v>
      </c>
      <c r="AB17" s="112">
        <f>+T17+SUM(U17:AA17)</f>
        <v>1750.9749999999999</v>
      </c>
      <c r="AC17" s="105">
        <v>90</v>
      </c>
      <c r="AD17" s="105">
        <v>90</v>
      </c>
      <c r="AE17" s="105">
        <v>90</v>
      </c>
      <c r="AF17" s="105">
        <v>90</v>
      </c>
      <c r="AG17" s="105">
        <v>90</v>
      </c>
      <c r="AH17" s="112">
        <f>+AB17+SUM(AC17:AG17)</f>
        <v>2200.9749999999999</v>
      </c>
      <c r="BE17" s="107">
        <v>3578.9473684210529</v>
      </c>
      <c r="BF17" s="101"/>
      <c r="BG17" s="108"/>
      <c r="BH17" s="108"/>
      <c r="BI17" s="108"/>
      <c r="BJ17" s="109"/>
      <c r="BK17" s="108"/>
      <c r="BL17" s="108"/>
      <c r="BM17" s="108"/>
      <c r="BN17" s="108"/>
    </row>
    <row r="18" spans="1:66" ht="12" customHeight="1" x14ac:dyDescent="0.2">
      <c r="A18" s="132" t="s">
        <v>60</v>
      </c>
      <c r="B18" s="111">
        <v>97.9</v>
      </c>
      <c r="C18" s="111">
        <v>90</v>
      </c>
      <c r="D18" s="112">
        <f>+SUM(B18:C18)</f>
        <v>187.9</v>
      </c>
      <c r="E18" s="111">
        <v>96.17</v>
      </c>
      <c r="F18" s="111">
        <v>88.5</v>
      </c>
      <c r="G18" s="111">
        <v>88.364999999999995</v>
      </c>
      <c r="H18" s="111">
        <v>96.44</v>
      </c>
      <c r="I18" s="111">
        <v>75.83</v>
      </c>
      <c r="J18" s="111">
        <v>100.66</v>
      </c>
      <c r="K18" s="111">
        <v>90.39</v>
      </c>
      <c r="L18" s="112">
        <f>+D18+SUM(E18:K18)</f>
        <v>824.255</v>
      </c>
      <c r="M18" s="111">
        <v>91.11</v>
      </c>
      <c r="N18" s="111">
        <v>96.25</v>
      </c>
      <c r="O18" s="111">
        <v>35.799999999999997</v>
      </c>
      <c r="P18" s="111">
        <v>57</v>
      </c>
      <c r="Q18" s="111">
        <v>49.9</v>
      </c>
      <c r="R18" s="111">
        <v>49.9</v>
      </c>
      <c r="S18" s="111">
        <v>63.46</v>
      </c>
      <c r="T18" s="112">
        <f>+L18+SUM(M18:S18)</f>
        <v>1267.675</v>
      </c>
      <c r="U18" s="111">
        <v>94.67</v>
      </c>
      <c r="V18" s="111">
        <v>28.63</v>
      </c>
      <c r="W18" s="111">
        <v>87.7</v>
      </c>
      <c r="X18" s="111">
        <f>+DOWNSTREAM!W20</f>
        <v>0</v>
      </c>
      <c r="Y18" s="111">
        <f>+DOWNSTREAM!X20</f>
        <v>0</v>
      </c>
      <c r="Z18" s="111">
        <f>+DOWNSTREAM!Z20</f>
        <v>0</v>
      </c>
      <c r="AA18" s="111">
        <f>+DOWNSTREAM!AA20</f>
        <v>0</v>
      </c>
      <c r="AB18" s="112">
        <f>+T18+SUM(U18:AA18)</f>
        <v>1478.675</v>
      </c>
      <c r="AC18" s="278">
        <f>+AC17</f>
        <v>90</v>
      </c>
      <c r="AD18" s="278">
        <f>+AD17</f>
        <v>90</v>
      </c>
      <c r="AE18" s="278">
        <f>+AE17</f>
        <v>90</v>
      </c>
      <c r="AF18" s="278">
        <f>+AF17</f>
        <v>90</v>
      </c>
      <c r="AG18" s="278">
        <f>+AG17</f>
        <v>90</v>
      </c>
      <c r="AH18" s="112">
        <f>+AB18+SUM(AC18:AG18)</f>
        <v>1928.675</v>
      </c>
      <c r="BE18" s="107"/>
      <c r="BF18" s="101"/>
      <c r="BG18" s="108"/>
      <c r="BH18" s="108"/>
      <c r="BI18" s="108"/>
      <c r="BJ18" s="109"/>
      <c r="BK18" s="108"/>
      <c r="BL18" s="108"/>
      <c r="BM18" s="108"/>
      <c r="BN18" s="108"/>
    </row>
    <row r="19" spans="1:66" ht="16" thickBot="1" x14ac:dyDescent="0.25">
      <c r="A19" s="133" t="s">
        <v>3</v>
      </c>
      <c r="B19" s="114">
        <f>IFERROR(+B18/B17,0)</f>
        <v>1</v>
      </c>
      <c r="C19" s="114">
        <f>IFERROR(+C18/C17,0)</f>
        <v>1</v>
      </c>
      <c r="D19" s="115">
        <f>IFERROR(+D18/D17,0)</f>
        <v>1</v>
      </c>
      <c r="E19" s="114">
        <f>IFERROR(+E18/E17,0)</f>
        <v>1</v>
      </c>
      <c r="F19" s="114">
        <f t="shared" ref="F19:AH19" si="11">IFERROR(+F18/F17,0)</f>
        <v>1</v>
      </c>
      <c r="G19" s="114">
        <f t="shared" si="11"/>
        <v>1</v>
      </c>
      <c r="H19" s="114">
        <f t="shared" si="11"/>
        <v>1</v>
      </c>
      <c r="I19" s="114">
        <f t="shared" si="11"/>
        <v>1</v>
      </c>
      <c r="J19" s="114">
        <f t="shared" si="11"/>
        <v>1</v>
      </c>
      <c r="K19" s="114">
        <f t="shared" si="11"/>
        <v>1</v>
      </c>
      <c r="L19" s="115">
        <f t="shared" si="11"/>
        <v>1</v>
      </c>
      <c r="M19" s="114">
        <f t="shared" si="11"/>
        <v>1</v>
      </c>
      <c r="N19" s="114">
        <f t="shared" si="11"/>
        <v>1</v>
      </c>
      <c r="O19" s="114">
        <f t="shared" si="11"/>
        <v>1</v>
      </c>
      <c r="P19" s="114">
        <f t="shared" si="11"/>
        <v>1</v>
      </c>
      <c r="Q19" s="114">
        <f t="shared" si="11"/>
        <v>1</v>
      </c>
      <c r="R19" s="114">
        <f t="shared" si="11"/>
        <v>1</v>
      </c>
      <c r="S19" s="114">
        <f t="shared" si="11"/>
        <v>1</v>
      </c>
      <c r="T19" s="115">
        <f t="shared" si="11"/>
        <v>1</v>
      </c>
      <c r="U19" s="114">
        <f t="shared" si="11"/>
        <v>1</v>
      </c>
      <c r="V19" s="114">
        <f t="shared" si="11"/>
        <v>1</v>
      </c>
      <c r="W19" s="114">
        <f t="shared" si="11"/>
        <v>0.97444444444444445</v>
      </c>
      <c r="X19" s="114">
        <f t="shared" si="11"/>
        <v>0</v>
      </c>
      <c r="Y19" s="114">
        <f t="shared" si="11"/>
        <v>0</v>
      </c>
      <c r="Z19" s="114">
        <f t="shared" si="11"/>
        <v>0</v>
      </c>
      <c r="AA19" s="114">
        <f t="shared" si="11"/>
        <v>0</v>
      </c>
      <c r="AB19" s="115">
        <f t="shared" si="11"/>
        <v>0.84448664315595601</v>
      </c>
      <c r="AC19" s="114">
        <f t="shared" si="11"/>
        <v>1</v>
      </c>
      <c r="AD19" s="114">
        <f t="shared" si="11"/>
        <v>1</v>
      </c>
      <c r="AE19" s="114">
        <f t="shared" si="11"/>
        <v>1</v>
      </c>
      <c r="AF19" s="114">
        <f t="shared" si="11"/>
        <v>1</v>
      </c>
      <c r="AG19" s="114">
        <f t="shared" si="11"/>
        <v>1</v>
      </c>
      <c r="AH19" s="115">
        <f t="shared" si="11"/>
        <v>0.87628210225013914</v>
      </c>
      <c r="BE19" s="107"/>
      <c r="BF19" s="101"/>
      <c r="BG19" s="108"/>
      <c r="BH19" s="108"/>
      <c r="BI19" s="108"/>
      <c r="BJ19" s="109"/>
      <c r="BK19" s="108"/>
      <c r="BL19" s="108"/>
      <c r="BM19" s="108"/>
      <c r="BN19" s="108"/>
    </row>
    <row r="20" spans="1:66" ht="16" hidden="1" thickBot="1" x14ac:dyDescent="0.25">
      <c r="A20" s="132" t="s">
        <v>61</v>
      </c>
      <c r="B20" s="116"/>
      <c r="C20" s="116"/>
      <c r="D20" s="117"/>
      <c r="E20" s="116"/>
      <c r="F20" s="116"/>
      <c r="G20" s="116"/>
      <c r="H20" s="116"/>
      <c r="I20" s="116"/>
      <c r="J20" s="116"/>
      <c r="K20" s="116"/>
      <c r="L20" s="117"/>
      <c r="M20" s="116"/>
      <c r="N20" s="116"/>
      <c r="O20" s="116"/>
      <c r="P20" s="116"/>
      <c r="Q20" s="116"/>
      <c r="R20" s="116"/>
      <c r="S20" s="116"/>
      <c r="T20" s="117"/>
      <c r="U20" s="116"/>
      <c r="V20" s="116"/>
      <c r="W20" s="116"/>
      <c r="X20" s="116"/>
      <c r="Y20" s="116"/>
      <c r="Z20" s="116"/>
      <c r="AA20" s="116"/>
      <c r="AB20" s="117"/>
      <c r="AC20" s="116"/>
      <c r="AD20" s="116"/>
      <c r="AE20" s="116"/>
      <c r="AF20" s="116"/>
      <c r="AG20" s="116"/>
      <c r="AH20" s="117"/>
      <c r="BE20" s="107"/>
      <c r="BF20" s="101"/>
      <c r="BG20" s="108"/>
      <c r="BH20" s="108"/>
      <c r="BI20" s="108"/>
      <c r="BJ20" s="109"/>
      <c r="BK20" s="108"/>
      <c r="BL20" s="108"/>
      <c r="BM20" s="108"/>
      <c r="BN20" s="108"/>
    </row>
    <row r="21" spans="1:66" ht="16" hidden="1" thickBot="1" x14ac:dyDescent="0.25">
      <c r="A21" s="132" t="s">
        <v>53</v>
      </c>
      <c r="B21" s="111"/>
      <c r="C21" s="111"/>
      <c r="D21" s="112"/>
      <c r="E21" s="111"/>
      <c r="F21" s="111"/>
      <c r="G21" s="111"/>
      <c r="H21" s="111"/>
      <c r="I21" s="111"/>
      <c r="J21" s="111"/>
      <c r="K21" s="111"/>
      <c r="L21" s="112"/>
      <c r="M21" s="111"/>
      <c r="N21" s="111"/>
      <c r="O21" s="111"/>
      <c r="P21" s="111"/>
      <c r="Q21" s="111"/>
      <c r="R21" s="111"/>
      <c r="S21" s="111"/>
      <c r="T21" s="112"/>
      <c r="U21" s="111"/>
      <c r="V21" s="111"/>
      <c r="W21" s="111"/>
      <c r="X21" s="111"/>
      <c r="Y21" s="111"/>
      <c r="Z21" s="111"/>
      <c r="AA21" s="111"/>
      <c r="AB21" s="112"/>
      <c r="AC21" s="111"/>
      <c r="AD21" s="111"/>
      <c r="AE21" s="111"/>
      <c r="AF21" s="111"/>
      <c r="AG21" s="111"/>
      <c r="AH21" s="112"/>
      <c r="BE21" s="107"/>
      <c r="BF21" s="101"/>
      <c r="BG21" s="108"/>
      <c r="BH21" s="108"/>
      <c r="BI21" s="108"/>
      <c r="BJ21" s="109"/>
      <c r="BK21" s="108"/>
      <c r="BL21" s="108"/>
      <c r="BM21" s="108"/>
      <c r="BN21" s="108"/>
    </row>
    <row r="22" spans="1:66" ht="16" hidden="1" thickBot="1" x14ac:dyDescent="0.25">
      <c r="A22" s="132" t="s">
        <v>54</v>
      </c>
      <c r="B22" s="111"/>
      <c r="C22" s="111"/>
      <c r="D22" s="112"/>
      <c r="E22" s="111"/>
      <c r="F22" s="111"/>
      <c r="G22" s="111"/>
      <c r="H22" s="111"/>
      <c r="I22" s="111"/>
      <c r="J22" s="111"/>
      <c r="K22" s="111"/>
      <c r="L22" s="112"/>
      <c r="M22" s="111"/>
      <c r="N22" s="111"/>
      <c r="O22" s="111"/>
      <c r="P22" s="111"/>
      <c r="Q22" s="111"/>
      <c r="R22" s="111"/>
      <c r="S22" s="111"/>
      <c r="T22" s="112"/>
      <c r="U22" s="111"/>
      <c r="V22" s="111"/>
      <c r="W22" s="111"/>
      <c r="X22" s="111"/>
      <c r="Y22" s="111"/>
      <c r="Z22" s="111"/>
      <c r="AA22" s="111"/>
      <c r="AB22" s="112"/>
      <c r="AC22" s="111"/>
      <c r="AD22" s="111"/>
      <c r="AE22" s="111"/>
      <c r="AF22" s="111"/>
      <c r="AG22" s="111"/>
      <c r="AH22" s="112"/>
      <c r="BE22" s="107"/>
      <c r="BF22" s="101"/>
      <c r="BG22" s="108"/>
      <c r="BH22" s="108"/>
      <c r="BI22" s="108"/>
      <c r="BJ22" s="109"/>
      <c r="BK22" s="108"/>
      <c r="BL22" s="108"/>
      <c r="BM22" s="108"/>
      <c r="BN22" s="108"/>
    </row>
    <row r="23" spans="1:66" x14ac:dyDescent="0.2">
      <c r="A23" s="134" t="s">
        <v>62</v>
      </c>
      <c r="B23" s="105">
        <f>+B24</f>
        <v>131.07</v>
      </c>
      <c r="C23" s="105">
        <f>+C24</f>
        <v>130.51</v>
      </c>
      <c r="D23" s="112">
        <f>+SUM(B23:C23)</f>
        <v>261.58</v>
      </c>
      <c r="E23" s="105">
        <f t="shared" ref="E23:K23" si="12">+E24</f>
        <v>134.739</v>
      </c>
      <c r="F23" s="105">
        <f t="shared" si="12"/>
        <v>130.27000000000001</v>
      </c>
      <c r="G23" s="105">
        <f t="shared" si="12"/>
        <v>130.35</v>
      </c>
      <c r="H23" s="105">
        <f t="shared" si="12"/>
        <v>130.77000000000001</v>
      </c>
      <c r="I23" s="105">
        <f t="shared" si="12"/>
        <v>130.6</v>
      </c>
      <c r="J23" s="105">
        <f t="shared" si="12"/>
        <v>139.86000000000001</v>
      </c>
      <c r="K23" s="105">
        <f t="shared" si="12"/>
        <v>130.05000000000001</v>
      </c>
      <c r="L23" s="112">
        <f>+D23+SUM(E23:K23)</f>
        <v>1188.2190000000001</v>
      </c>
      <c r="M23" s="105">
        <f t="shared" ref="M23:S23" si="13">+M24</f>
        <v>129.34</v>
      </c>
      <c r="N23" s="105">
        <f t="shared" si="13"/>
        <v>132.6</v>
      </c>
      <c r="O23" s="105">
        <f t="shared" si="13"/>
        <v>85.62</v>
      </c>
      <c r="P23" s="105">
        <f t="shared" si="13"/>
        <v>100.524</v>
      </c>
      <c r="Q23" s="105">
        <f t="shared" si="13"/>
        <v>90.287000000000006</v>
      </c>
      <c r="R23" s="105">
        <f t="shared" si="13"/>
        <v>90.287000000000006</v>
      </c>
      <c r="S23" s="105">
        <f t="shared" si="13"/>
        <v>102.544</v>
      </c>
      <c r="T23" s="112">
        <f>+L23+SUM(M23:S23)</f>
        <v>1919.421</v>
      </c>
      <c r="U23" s="105">
        <f>+U24</f>
        <v>135.43</v>
      </c>
      <c r="V23" s="105">
        <f>+V24</f>
        <v>87.23</v>
      </c>
      <c r="W23" s="105">
        <v>120</v>
      </c>
      <c r="X23" s="105">
        <v>120</v>
      </c>
      <c r="Y23" s="105">
        <v>120</v>
      </c>
      <c r="Z23" s="105">
        <v>120</v>
      </c>
      <c r="AA23" s="105">
        <v>100</v>
      </c>
      <c r="AB23" s="112">
        <f>+T23+SUM(U23:AA23)</f>
        <v>2722.0810000000001</v>
      </c>
      <c r="AC23" s="105">
        <v>120</v>
      </c>
      <c r="AD23" s="105">
        <v>120</v>
      </c>
      <c r="AE23" s="105">
        <v>120</v>
      </c>
      <c r="AF23" s="105">
        <v>120</v>
      </c>
      <c r="AG23" s="105">
        <v>120</v>
      </c>
      <c r="AH23" s="112">
        <f>+AB23+SUM(AC23:AG23)</f>
        <v>3322.0810000000001</v>
      </c>
      <c r="BE23" s="107">
        <v>4636.3636363636351</v>
      </c>
      <c r="BF23" s="101"/>
      <c r="BG23" s="108"/>
      <c r="BH23" s="108"/>
      <c r="BI23" s="108"/>
      <c r="BJ23" s="109"/>
      <c r="BK23" s="108"/>
      <c r="BL23" s="108"/>
      <c r="BM23" s="108"/>
      <c r="BN23" s="108"/>
    </row>
    <row r="24" spans="1:66" ht="12" customHeight="1" x14ac:dyDescent="0.2">
      <c r="A24" s="135" t="s">
        <v>63</v>
      </c>
      <c r="B24" s="111">
        <v>131.07</v>
      </c>
      <c r="C24" s="111">
        <v>130.51</v>
      </c>
      <c r="D24" s="112">
        <f>+SUM(B24:C24)</f>
        <v>261.58</v>
      </c>
      <c r="E24" s="111">
        <v>134.739</v>
      </c>
      <c r="F24" s="111">
        <v>130.27000000000001</v>
      </c>
      <c r="G24" s="111">
        <v>130.35</v>
      </c>
      <c r="H24" s="111">
        <v>130.77000000000001</v>
      </c>
      <c r="I24" s="111">
        <v>130.6</v>
      </c>
      <c r="J24" s="111">
        <v>139.86000000000001</v>
      </c>
      <c r="K24" s="111">
        <v>130.05000000000001</v>
      </c>
      <c r="L24" s="112">
        <f>+D24+SUM(E24:K24)</f>
        <v>1188.2190000000001</v>
      </c>
      <c r="M24" s="111">
        <v>129.34</v>
      </c>
      <c r="N24" s="111">
        <v>132.6</v>
      </c>
      <c r="O24" s="111">
        <v>85.62</v>
      </c>
      <c r="P24" s="111">
        <v>100.524</v>
      </c>
      <c r="Q24" s="111">
        <v>90.287000000000006</v>
      </c>
      <c r="R24" s="111">
        <v>90.287000000000006</v>
      </c>
      <c r="S24" s="111">
        <v>102.544</v>
      </c>
      <c r="T24" s="112">
        <f>+L24+SUM(M24:S24)</f>
        <v>1919.421</v>
      </c>
      <c r="U24" s="111">
        <v>135.43</v>
      </c>
      <c r="V24" s="111">
        <v>87.23</v>
      </c>
      <c r="W24" s="111">
        <v>112.59</v>
      </c>
      <c r="X24" s="111">
        <f>+DOWNSTREAM!W26</f>
        <v>0</v>
      </c>
      <c r="Y24" s="111">
        <f>+DOWNSTREAM!X26</f>
        <v>0</v>
      </c>
      <c r="Z24" s="111">
        <f>+DOWNSTREAM!Z26</f>
        <v>0</v>
      </c>
      <c r="AA24" s="111">
        <f>+DOWNSTREAM!AA26</f>
        <v>0</v>
      </c>
      <c r="AB24" s="112">
        <f>+T24+SUM(U24:AA24)</f>
        <v>2254.6710000000003</v>
      </c>
      <c r="AC24" s="278">
        <f>+AC23</f>
        <v>120</v>
      </c>
      <c r="AD24" s="278">
        <f>+AD23</f>
        <v>120</v>
      </c>
      <c r="AE24" s="278">
        <f>+AE23</f>
        <v>120</v>
      </c>
      <c r="AF24" s="278">
        <f>+AF23</f>
        <v>120</v>
      </c>
      <c r="AG24" s="278">
        <f>+AG23</f>
        <v>120</v>
      </c>
      <c r="AH24" s="112">
        <f>+AB24+SUM(AC24:AG24)</f>
        <v>2854.6710000000003</v>
      </c>
      <c r="BE24" s="107"/>
      <c r="BF24" s="101"/>
      <c r="BG24" s="108"/>
      <c r="BH24" s="108"/>
      <c r="BI24" s="108"/>
      <c r="BJ24" s="109"/>
      <c r="BK24" s="108"/>
      <c r="BL24" s="108"/>
      <c r="BM24" s="108"/>
      <c r="BN24" s="108"/>
    </row>
    <row r="25" spans="1:66" ht="16" thickBot="1" x14ac:dyDescent="0.25">
      <c r="A25" s="136" t="s">
        <v>3</v>
      </c>
      <c r="B25" s="114">
        <f t="shared" ref="B25:AH25" si="14">IFERROR(+B24/B23,0)</f>
        <v>1</v>
      </c>
      <c r="C25" s="114">
        <f t="shared" si="14"/>
        <v>1</v>
      </c>
      <c r="D25" s="115">
        <f t="shared" si="14"/>
        <v>1</v>
      </c>
      <c r="E25" s="114">
        <f t="shared" si="14"/>
        <v>1</v>
      </c>
      <c r="F25" s="114">
        <f t="shared" si="14"/>
        <v>1</v>
      </c>
      <c r="G25" s="114">
        <f t="shared" si="14"/>
        <v>1</v>
      </c>
      <c r="H25" s="114">
        <f t="shared" si="14"/>
        <v>1</v>
      </c>
      <c r="I25" s="114">
        <f t="shared" si="14"/>
        <v>1</v>
      </c>
      <c r="J25" s="114">
        <f t="shared" si="14"/>
        <v>1</v>
      </c>
      <c r="K25" s="114">
        <f t="shared" si="14"/>
        <v>1</v>
      </c>
      <c r="L25" s="115">
        <f t="shared" si="14"/>
        <v>1</v>
      </c>
      <c r="M25" s="114">
        <f t="shared" si="14"/>
        <v>1</v>
      </c>
      <c r="N25" s="114">
        <f t="shared" si="14"/>
        <v>1</v>
      </c>
      <c r="O25" s="114">
        <f t="shared" si="14"/>
        <v>1</v>
      </c>
      <c r="P25" s="114">
        <f t="shared" si="14"/>
        <v>1</v>
      </c>
      <c r="Q25" s="114">
        <f t="shared" si="14"/>
        <v>1</v>
      </c>
      <c r="R25" s="114">
        <f t="shared" si="14"/>
        <v>1</v>
      </c>
      <c r="S25" s="114">
        <f t="shared" si="14"/>
        <v>1</v>
      </c>
      <c r="T25" s="115">
        <f t="shared" si="14"/>
        <v>1</v>
      </c>
      <c r="U25" s="114">
        <f t="shared" si="14"/>
        <v>1</v>
      </c>
      <c r="V25" s="114">
        <f t="shared" si="14"/>
        <v>1</v>
      </c>
      <c r="W25" s="114">
        <f t="shared" si="14"/>
        <v>0.93825000000000003</v>
      </c>
      <c r="X25" s="114">
        <f t="shared" si="14"/>
        <v>0</v>
      </c>
      <c r="Y25" s="114">
        <f t="shared" si="14"/>
        <v>0</v>
      </c>
      <c r="Z25" s="114">
        <f t="shared" si="14"/>
        <v>0</v>
      </c>
      <c r="AA25" s="114">
        <f t="shared" si="14"/>
        <v>0</v>
      </c>
      <c r="AB25" s="115">
        <f t="shared" si="14"/>
        <v>0.82828945942460941</v>
      </c>
      <c r="AC25" s="114">
        <f t="shared" si="14"/>
        <v>1</v>
      </c>
      <c r="AD25" s="114">
        <f t="shared" si="14"/>
        <v>1</v>
      </c>
      <c r="AE25" s="114">
        <f t="shared" si="14"/>
        <v>1</v>
      </c>
      <c r="AF25" s="114">
        <f t="shared" si="14"/>
        <v>1</v>
      </c>
      <c r="AG25" s="114">
        <f t="shared" si="14"/>
        <v>1</v>
      </c>
      <c r="AH25" s="115">
        <f t="shared" si="14"/>
        <v>0.85930204591640003</v>
      </c>
      <c r="BE25" s="107"/>
      <c r="BF25" s="101"/>
      <c r="BG25" s="108"/>
      <c r="BH25" s="108"/>
      <c r="BI25" s="108"/>
      <c r="BJ25" s="109"/>
      <c r="BK25" s="108"/>
      <c r="BL25" s="108"/>
      <c r="BM25" s="108"/>
      <c r="BN25" s="108"/>
    </row>
    <row r="26" spans="1:66" ht="16" hidden="1" thickBot="1" x14ac:dyDescent="0.25">
      <c r="A26" s="135" t="s">
        <v>64</v>
      </c>
      <c r="B26" s="116"/>
      <c r="C26" s="116"/>
      <c r="D26" s="117"/>
      <c r="E26" s="116"/>
      <c r="F26" s="116"/>
      <c r="G26" s="116"/>
      <c r="H26" s="116"/>
      <c r="I26" s="116"/>
      <c r="J26" s="116"/>
      <c r="K26" s="116"/>
      <c r="L26" s="117"/>
      <c r="M26" s="116"/>
      <c r="N26" s="116"/>
      <c r="O26" s="116"/>
      <c r="P26" s="116"/>
      <c r="Q26" s="116"/>
      <c r="R26" s="116"/>
      <c r="S26" s="116"/>
      <c r="T26" s="117"/>
      <c r="U26" s="116"/>
      <c r="V26" s="116"/>
      <c r="W26" s="116"/>
      <c r="X26" s="116"/>
      <c r="Y26" s="116"/>
      <c r="Z26" s="116"/>
      <c r="AA26" s="116"/>
      <c r="AB26" s="117"/>
      <c r="AC26" s="116"/>
      <c r="AD26" s="116"/>
      <c r="AE26" s="116"/>
      <c r="AF26" s="116"/>
      <c r="AG26" s="116"/>
      <c r="AH26" s="117"/>
      <c r="BE26" s="107"/>
      <c r="BF26" s="101"/>
      <c r="BG26" s="108"/>
      <c r="BH26" s="108"/>
      <c r="BI26" s="108"/>
      <c r="BJ26" s="109"/>
      <c r="BK26" s="108"/>
      <c r="BL26" s="108"/>
      <c r="BM26" s="108"/>
      <c r="BN26" s="108"/>
    </row>
    <row r="27" spans="1:66" ht="16" hidden="1" thickBot="1" x14ac:dyDescent="0.25">
      <c r="A27" s="135" t="s">
        <v>65</v>
      </c>
      <c r="B27" s="111"/>
      <c r="C27" s="111"/>
      <c r="D27" s="112"/>
      <c r="E27" s="111"/>
      <c r="F27" s="111"/>
      <c r="G27" s="111"/>
      <c r="H27" s="111"/>
      <c r="I27" s="111"/>
      <c r="J27" s="111"/>
      <c r="K27" s="111"/>
      <c r="L27" s="112"/>
      <c r="M27" s="111"/>
      <c r="N27" s="111"/>
      <c r="O27" s="111"/>
      <c r="P27" s="111"/>
      <c r="Q27" s="111"/>
      <c r="R27" s="111"/>
      <c r="S27" s="111"/>
      <c r="T27" s="112"/>
      <c r="U27" s="111"/>
      <c r="V27" s="111"/>
      <c r="W27" s="111"/>
      <c r="X27" s="111"/>
      <c r="Y27" s="111"/>
      <c r="Z27" s="111"/>
      <c r="AA27" s="111"/>
      <c r="AB27" s="112"/>
      <c r="AC27" s="111"/>
      <c r="AD27" s="111"/>
      <c r="AE27" s="111"/>
      <c r="AF27" s="111"/>
      <c r="AG27" s="111"/>
      <c r="AH27" s="112"/>
      <c r="BE27" s="107"/>
      <c r="BF27" s="101"/>
      <c r="BG27" s="108"/>
      <c r="BH27" s="108"/>
      <c r="BI27" s="108"/>
      <c r="BJ27" s="109"/>
      <c r="BK27" s="108"/>
      <c r="BL27" s="108"/>
      <c r="BM27" s="108"/>
      <c r="BN27" s="108"/>
    </row>
    <row r="28" spans="1:66" ht="16" hidden="1" thickBot="1" x14ac:dyDescent="0.25">
      <c r="A28" s="135" t="s">
        <v>66</v>
      </c>
      <c r="B28" s="120"/>
      <c r="C28" s="120"/>
      <c r="D28" s="127"/>
      <c r="E28" s="120"/>
      <c r="F28" s="120"/>
      <c r="G28" s="120"/>
      <c r="H28" s="120"/>
      <c r="I28" s="120"/>
      <c r="J28" s="120"/>
      <c r="K28" s="120"/>
      <c r="L28" s="127"/>
      <c r="M28" s="120"/>
      <c r="N28" s="120"/>
      <c r="O28" s="120"/>
      <c r="P28" s="120"/>
      <c r="Q28" s="120"/>
      <c r="R28" s="120"/>
      <c r="S28" s="120"/>
      <c r="T28" s="127"/>
      <c r="U28" s="120"/>
      <c r="V28" s="120"/>
      <c r="W28" s="120"/>
      <c r="X28" s="120"/>
      <c r="Y28" s="120"/>
      <c r="Z28" s="120"/>
      <c r="AA28" s="120"/>
      <c r="AB28" s="127"/>
      <c r="AC28" s="120"/>
      <c r="AD28" s="120"/>
      <c r="AE28" s="120"/>
      <c r="AF28" s="120"/>
      <c r="AG28" s="120"/>
      <c r="AH28" s="127"/>
      <c r="BE28" s="107"/>
      <c r="BF28" s="101"/>
      <c r="BG28" s="108"/>
      <c r="BH28" s="108"/>
      <c r="BI28" s="108"/>
      <c r="BJ28" s="109"/>
      <c r="BK28" s="108"/>
      <c r="BL28" s="108"/>
      <c r="BM28" s="108"/>
      <c r="BN28" s="108"/>
    </row>
    <row r="29" spans="1:66" ht="16" hidden="1" thickBot="1" x14ac:dyDescent="0.25">
      <c r="A29" s="137" t="s">
        <v>55</v>
      </c>
      <c r="B29" s="129"/>
      <c r="C29" s="129"/>
      <c r="D29" s="130"/>
      <c r="E29" s="129"/>
      <c r="F29" s="129"/>
      <c r="G29" s="129"/>
      <c r="H29" s="129"/>
      <c r="I29" s="129"/>
      <c r="J29" s="129"/>
      <c r="K29" s="129"/>
      <c r="L29" s="130"/>
      <c r="M29" s="129"/>
      <c r="N29" s="129"/>
      <c r="O29" s="129"/>
      <c r="P29" s="129"/>
      <c r="Q29" s="129"/>
      <c r="R29" s="129"/>
      <c r="S29" s="129"/>
      <c r="T29" s="130"/>
      <c r="U29" s="129"/>
      <c r="V29" s="129"/>
      <c r="W29" s="129"/>
      <c r="X29" s="129"/>
      <c r="Y29" s="129"/>
      <c r="Z29" s="129"/>
      <c r="AA29" s="129"/>
      <c r="AB29" s="130"/>
      <c r="AC29" s="129"/>
      <c r="AD29" s="129"/>
      <c r="AE29" s="129"/>
      <c r="AF29" s="129"/>
      <c r="AG29" s="129"/>
      <c r="AH29" s="130"/>
      <c r="BE29" s="107"/>
      <c r="BF29" s="101"/>
      <c r="BG29" s="108"/>
      <c r="BH29" s="108"/>
      <c r="BI29" s="108"/>
      <c r="BJ29" s="109"/>
      <c r="BK29" s="108"/>
      <c r="BL29" s="108"/>
      <c r="BM29" s="108"/>
      <c r="BN29" s="108"/>
    </row>
    <row r="30" spans="1:66" x14ac:dyDescent="0.2">
      <c r="A30" s="131" t="s">
        <v>67</v>
      </c>
      <c r="B30" s="105" t="e">
        <f>+HLOOKUP(B$1,'[7]Programa Diario CODAZZI'!$F$8:$AL$44,37,0)/1000</f>
        <v>#N/A</v>
      </c>
      <c r="C30" s="105" t="e">
        <f>+HLOOKUP(C$1,'[7]Programa Diario CODAZZI'!$F$8:$AL$44,37,0)/1000</f>
        <v>#N/A</v>
      </c>
      <c r="D30" s="112" t="e">
        <f>+SUM(B30:C30)</f>
        <v>#N/A</v>
      </c>
      <c r="E30" s="105" t="e">
        <f>+HLOOKUP(E$1,'[7]Programa Diario CODAZZI'!$F$8:$AL$44,37,0)/1000</f>
        <v>#N/A</v>
      </c>
      <c r="F30" s="105" t="e">
        <f>+HLOOKUP(F$1,'[7]Programa Diario CODAZZI'!$F$8:$AL$44,37,0)/1000</f>
        <v>#N/A</v>
      </c>
      <c r="G30" s="105" t="e">
        <f>+HLOOKUP(G$1,'[7]Programa Diario CODAZZI'!$F$8:$AL$44,37,0)/1000</f>
        <v>#N/A</v>
      </c>
      <c r="H30" s="105" t="e">
        <f>+HLOOKUP(H$1,'[7]Programa Diario CODAZZI'!$F$8:$AL$44,37,0)/1000</f>
        <v>#N/A</v>
      </c>
      <c r="I30" s="105" t="e">
        <f>+HLOOKUP(I$1,'[7]Programa Diario CODAZZI'!$F$8:$AL$44,37,0)/1000</f>
        <v>#N/A</v>
      </c>
      <c r="J30" s="105" t="e">
        <f>+HLOOKUP(J$1,'[7]Programa Diario CODAZZI'!$F$8:$AL$44,37,0)/1000</f>
        <v>#N/A</v>
      </c>
      <c r="K30" s="105" t="e">
        <f>+HLOOKUP(K$1,'[7]Programa Diario CODAZZI'!$F$8:$AL$44,37,0)/1000</f>
        <v>#N/A</v>
      </c>
      <c r="L30" s="112" t="e">
        <f>+D30+SUM(E30:K30)</f>
        <v>#N/A</v>
      </c>
      <c r="M30" s="105" t="e">
        <f>+HLOOKUP(M$1,'[7]Programa Diario CODAZZI'!$F$8:$AL$44,37,0)/1000</f>
        <v>#N/A</v>
      </c>
      <c r="N30" s="105" t="e">
        <f>+HLOOKUP(N$1,'[7]Programa Diario CODAZZI'!$F$8:$AL$44,37,0)/1000</f>
        <v>#N/A</v>
      </c>
      <c r="O30" s="105" t="e">
        <f>+HLOOKUP(O$1,'[7]Programa Diario CODAZZI'!$F$8:$AL$44,37,0)/1000</f>
        <v>#N/A</v>
      </c>
      <c r="P30" s="105" t="e">
        <f>+HLOOKUP(P$1,'[7]Programa Diario CODAZZI'!$F$8:$AL$44,37,0)/1000</f>
        <v>#N/A</v>
      </c>
      <c r="Q30" s="105" t="e">
        <f>+HLOOKUP(Q$1,'[7]Programa Diario CODAZZI'!$F$8:$AL$44,37,0)/1000</f>
        <v>#N/A</v>
      </c>
      <c r="R30" s="105" t="e">
        <f>+HLOOKUP(R$1,'[7]Programa Diario CODAZZI'!$F$8:$AL$44,37,0)/1000</f>
        <v>#N/A</v>
      </c>
      <c r="S30" s="105" t="e">
        <f>+HLOOKUP(S$1,'[7]Programa Diario CODAZZI'!$F$8:$AL$44,37,0)/1000</f>
        <v>#N/A</v>
      </c>
      <c r="T30" s="112" t="e">
        <f>+L30+SUM(M30:S30)</f>
        <v>#N/A</v>
      </c>
      <c r="U30" s="105" t="e">
        <f>+HLOOKUP(U$1,'[7]Programa Diario CODAZZI'!$F$8:$AL$44,37,0)/1000</f>
        <v>#N/A</v>
      </c>
      <c r="V30" s="105">
        <v>63</v>
      </c>
      <c r="W30" s="105">
        <v>63</v>
      </c>
      <c r="X30" s="105">
        <v>63</v>
      </c>
      <c r="Y30" s="105">
        <v>63</v>
      </c>
      <c r="Z30" s="105">
        <v>63</v>
      </c>
      <c r="AA30" s="105">
        <v>59.85</v>
      </c>
      <c r="AB30" s="112" t="e">
        <f>+T30+SUM(U30:AA30)</f>
        <v>#N/A</v>
      </c>
      <c r="AC30" s="105">
        <v>59.85</v>
      </c>
      <c r="AD30" s="105">
        <v>63</v>
      </c>
      <c r="AE30" s="105">
        <v>63</v>
      </c>
      <c r="AF30" s="105">
        <v>56.7</v>
      </c>
      <c r="AG30" s="105">
        <v>0</v>
      </c>
      <c r="AH30" s="112" t="e">
        <f>+AB30+SUM(AC30:AG30)</f>
        <v>#N/A</v>
      </c>
      <c r="BE30" s="107">
        <v>645</v>
      </c>
      <c r="BF30" s="101"/>
      <c r="BG30" s="108"/>
      <c r="BH30" s="108"/>
      <c r="BI30" s="108"/>
      <c r="BJ30" s="109"/>
      <c r="BK30" s="108"/>
      <c r="BL30" s="108"/>
      <c r="BM30" s="108"/>
      <c r="BN30" s="108"/>
    </row>
    <row r="31" spans="1:66" ht="12" customHeight="1" x14ac:dyDescent="0.2">
      <c r="A31" s="132" t="s">
        <v>68</v>
      </c>
      <c r="B31" s="111">
        <v>22.05</v>
      </c>
      <c r="C31" s="111">
        <v>72.45</v>
      </c>
      <c r="D31" s="112">
        <f>+SUM(B31:C31)</f>
        <v>94.5</v>
      </c>
      <c r="E31" s="111">
        <v>72.45</v>
      </c>
      <c r="F31" s="111">
        <v>44.1</v>
      </c>
      <c r="G31" s="111">
        <v>63</v>
      </c>
      <c r="H31" s="111">
        <v>12.48</v>
      </c>
      <c r="I31" s="111">
        <v>50.52</v>
      </c>
      <c r="J31" s="111">
        <v>53.52</v>
      </c>
      <c r="K31" s="111">
        <v>0</v>
      </c>
      <c r="L31" s="112">
        <f>+D31+SUM(E31:K31)</f>
        <v>390.57</v>
      </c>
      <c r="M31" s="111">
        <v>28.35</v>
      </c>
      <c r="N31" s="111">
        <v>66.150000000000006</v>
      </c>
      <c r="O31" s="111">
        <v>66.150000000000006</v>
      </c>
      <c r="P31" s="111">
        <v>66.150000000000006</v>
      </c>
      <c r="Q31" s="111">
        <v>69.3</v>
      </c>
      <c r="R31" s="111">
        <v>50.4</v>
      </c>
      <c r="S31" s="111">
        <v>15.75</v>
      </c>
      <c r="T31" s="112">
        <f>+L31+SUM(M31:S31)</f>
        <v>752.81999999999994</v>
      </c>
      <c r="U31" s="111">
        <v>47.25</v>
      </c>
      <c r="V31" s="111">
        <v>63</v>
      </c>
      <c r="W31" s="111">
        <v>63</v>
      </c>
      <c r="X31" s="111">
        <f>+DOWNSTREAM!W33</f>
        <v>0</v>
      </c>
      <c r="Y31" s="111">
        <f>+DOWNSTREAM!X33</f>
        <v>0</v>
      </c>
      <c r="Z31" s="111">
        <f>+DOWNSTREAM!Z33</f>
        <v>0</v>
      </c>
      <c r="AA31" s="111">
        <f>+DOWNSTREAM!AA33</f>
        <v>0</v>
      </c>
      <c r="AB31" s="112">
        <f>+T31+SUM(U31:AA31)</f>
        <v>926.06999999999994</v>
      </c>
      <c r="AC31" s="278">
        <v>59.85</v>
      </c>
      <c r="AD31" s="278">
        <v>63</v>
      </c>
      <c r="AE31" s="278">
        <v>63</v>
      </c>
      <c r="AF31" s="278">
        <v>56.7</v>
      </c>
      <c r="AG31" s="278">
        <v>0</v>
      </c>
      <c r="AH31" s="112">
        <f>+AB31+SUM(AC31:AG31)</f>
        <v>1168.6199999999999</v>
      </c>
      <c r="BE31" s="107"/>
      <c r="BF31" s="101"/>
      <c r="BG31" s="108"/>
      <c r="BH31" s="108"/>
      <c r="BI31" s="108"/>
      <c r="BJ31" s="109"/>
      <c r="BK31" s="108"/>
      <c r="BL31" s="108"/>
      <c r="BM31" s="108"/>
      <c r="BN31" s="108"/>
    </row>
    <row r="32" spans="1:66" ht="12" customHeight="1" thickBot="1" x14ac:dyDescent="0.25">
      <c r="A32" s="133" t="s">
        <v>3</v>
      </c>
      <c r="B32" s="114">
        <f>IFERROR(B31/B30,0)</f>
        <v>0</v>
      </c>
      <c r="C32" s="114">
        <f>IFERROR(C31/C30,0)</f>
        <v>0</v>
      </c>
      <c r="D32" s="115">
        <f>IFERROR(D31/D30,0)</f>
        <v>0</v>
      </c>
      <c r="E32" s="114">
        <f>IFERROR(E31/E30,0)</f>
        <v>0</v>
      </c>
      <c r="F32" s="114">
        <f t="shared" ref="F32:AH32" si="15">IFERROR(F31/F30,0)</f>
        <v>0</v>
      </c>
      <c r="G32" s="114">
        <f t="shared" si="15"/>
        <v>0</v>
      </c>
      <c r="H32" s="114">
        <f t="shared" si="15"/>
        <v>0</v>
      </c>
      <c r="I32" s="114">
        <f t="shared" si="15"/>
        <v>0</v>
      </c>
      <c r="J32" s="114">
        <f t="shared" si="15"/>
        <v>0</v>
      </c>
      <c r="K32" s="114">
        <f t="shared" si="15"/>
        <v>0</v>
      </c>
      <c r="L32" s="115">
        <f t="shared" si="15"/>
        <v>0</v>
      </c>
      <c r="M32" s="114">
        <f t="shared" si="15"/>
        <v>0</v>
      </c>
      <c r="N32" s="114">
        <f t="shared" si="15"/>
        <v>0</v>
      </c>
      <c r="O32" s="114">
        <f t="shared" si="15"/>
        <v>0</v>
      </c>
      <c r="P32" s="114">
        <f t="shared" si="15"/>
        <v>0</v>
      </c>
      <c r="Q32" s="114">
        <f t="shared" si="15"/>
        <v>0</v>
      </c>
      <c r="R32" s="114">
        <f t="shared" si="15"/>
        <v>0</v>
      </c>
      <c r="S32" s="114">
        <f t="shared" si="15"/>
        <v>0</v>
      </c>
      <c r="T32" s="115">
        <f t="shared" si="15"/>
        <v>0</v>
      </c>
      <c r="U32" s="114">
        <f t="shared" si="15"/>
        <v>0</v>
      </c>
      <c r="V32" s="114">
        <f t="shared" si="15"/>
        <v>1</v>
      </c>
      <c r="W32" s="114">
        <f t="shared" si="15"/>
        <v>1</v>
      </c>
      <c r="X32" s="114">
        <f t="shared" si="15"/>
        <v>0</v>
      </c>
      <c r="Y32" s="114">
        <f t="shared" si="15"/>
        <v>0</v>
      </c>
      <c r="Z32" s="114">
        <f t="shared" si="15"/>
        <v>0</v>
      </c>
      <c r="AA32" s="114">
        <f t="shared" si="15"/>
        <v>0</v>
      </c>
      <c r="AB32" s="115">
        <f t="shared" si="15"/>
        <v>0</v>
      </c>
      <c r="AC32" s="114">
        <f t="shared" si="15"/>
        <v>1</v>
      </c>
      <c r="AD32" s="114">
        <f t="shared" si="15"/>
        <v>1</v>
      </c>
      <c r="AE32" s="114">
        <f t="shared" si="15"/>
        <v>1</v>
      </c>
      <c r="AF32" s="114">
        <f t="shared" si="15"/>
        <v>1</v>
      </c>
      <c r="AG32" s="114">
        <f t="shared" si="15"/>
        <v>0</v>
      </c>
      <c r="AH32" s="115">
        <f t="shared" si="15"/>
        <v>0</v>
      </c>
      <c r="BE32" s="107"/>
      <c r="BF32" s="101"/>
      <c r="BG32" s="108"/>
      <c r="BH32" s="108"/>
      <c r="BI32" s="108"/>
      <c r="BJ32" s="109"/>
      <c r="BK32" s="108"/>
      <c r="BL32" s="108"/>
      <c r="BM32" s="108"/>
      <c r="BN32" s="108"/>
    </row>
    <row r="33" spans="1:66" ht="12" customHeight="1" x14ac:dyDescent="0.2">
      <c r="A33" s="138" t="s">
        <v>69</v>
      </c>
      <c r="B33" s="139">
        <f t="shared" ref="B33:AH34" si="16">+B2</f>
        <v>340.24900000000002</v>
      </c>
      <c r="C33" s="139">
        <f t="shared" si="16"/>
        <v>265.73</v>
      </c>
      <c r="D33" s="140">
        <f t="shared" si="16"/>
        <v>605.97900000000004</v>
      </c>
      <c r="E33" s="139">
        <f t="shared" si="16"/>
        <v>371.19900000000001</v>
      </c>
      <c r="F33" s="139">
        <f t="shared" si="16"/>
        <v>311.24799999999999</v>
      </c>
      <c r="G33" s="139">
        <f>+G3</f>
        <v>345.55200000000002</v>
      </c>
      <c r="H33" s="139">
        <f t="shared" si="16"/>
        <v>347.101</v>
      </c>
      <c r="I33" s="139">
        <f t="shared" si="16"/>
        <v>331.20499999999998</v>
      </c>
      <c r="J33" s="139">
        <f t="shared" si="16"/>
        <v>374.98899999999998</v>
      </c>
      <c r="K33" s="139">
        <f t="shared" si="16"/>
        <v>371.82400000000001</v>
      </c>
      <c r="L33" s="140">
        <f t="shared" si="16"/>
        <v>3059.0969999999998</v>
      </c>
      <c r="M33" s="139">
        <f t="shared" si="16"/>
        <v>356.43599999999998</v>
      </c>
      <c r="N33" s="139">
        <f t="shared" si="16"/>
        <v>379.61399999999998</v>
      </c>
      <c r="O33" s="139">
        <f t="shared" si="16"/>
        <v>373.846</v>
      </c>
      <c r="P33" s="139">
        <f t="shared" si="16"/>
        <v>358.37200000000001</v>
      </c>
      <c r="Q33" s="139">
        <f t="shared" si="16"/>
        <v>368.39400000000001</v>
      </c>
      <c r="R33" s="139">
        <f t="shared" si="16"/>
        <v>368.39400000000001</v>
      </c>
      <c r="S33" s="139">
        <f t="shared" si="16"/>
        <v>371.18200000000002</v>
      </c>
      <c r="T33" s="140">
        <f t="shared" si="16"/>
        <v>5635.335</v>
      </c>
      <c r="U33" s="139">
        <f t="shared" si="16"/>
        <v>340.92700000000002</v>
      </c>
      <c r="V33" s="139">
        <f t="shared" si="16"/>
        <v>366.37700000000001</v>
      </c>
      <c r="W33" s="139">
        <f t="shared" si="16"/>
        <v>250</v>
      </c>
      <c r="X33" s="139">
        <f t="shared" si="16"/>
        <v>365</v>
      </c>
      <c r="Y33" s="139">
        <f t="shared" si="16"/>
        <v>365</v>
      </c>
      <c r="Z33" s="139">
        <f t="shared" si="16"/>
        <v>365</v>
      </c>
      <c r="AA33" s="139">
        <f t="shared" si="16"/>
        <v>350</v>
      </c>
      <c r="AB33" s="140">
        <f t="shared" si="16"/>
        <v>8037.6390000000001</v>
      </c>
      <c r="AC33" s="139">
        <f t="shared" si="16"/>
        <v>365</v>
      </c>
      <c r="AD33" s="139">
        <f t="shared" si="16"/>
        <v>365</v>
      </c>
      <c r="AE33" s="139">
        <f t="shared" si="16"/>
        <v>365</v>
      </c>
      <c r="AF33" s="139">
        <f t="shared" si="16"/>
        <v>365</v>
      </c>
      <c r="AG33" s="139">
        <f t="shared" si="16"/>
        <v>365</v>
      </c>
      <c r="AH33" s="140">
        <f t="shared" si="16"/>
        <v>9862.6389999999992</v>
      </c>
      <c r="BE33" s="108"/>
      <c r="BF33" s="101"/>
      <c r="BG33" s="108"/>
      <c r="BH33" s="108"/>
      <c r="BI33" s="108"/>
      <c r="BJ33" s="109"/>
      <c r="BK33" s="108"/>
      <c r="BL33" s="108"/>
      <c r="BM33" s="108"/>
      <c r="BN33" s="108"/>
    </row>
    <row r="34" spans="1:66" ht="12" customHeight="1" x14ac:dyDescent="0.2">
      <c r="A34" s="141" t="s">
        <v>70</v>
      </c>
      <c r="B34" s="142">
        <f t="shared" si="16"/>
        <v>340.24900000000002</v>
      </c>
      <c r="C34" s="142">
        <f t="shared" si="16"/>
        <v>265.73</v>
      </c>
      <c r="D34" s="143">
        <f t="shared" si="16"/>
        <v>605.97900000000004</v>
      </c>
      <c r="E34" s="142">
        <f t="shared" si="16"/>
        <v>371.19900000000001</v>
      </c>
      <c r="F34" s="142">
        <f t="shared" si="16"/>
        <v>311.24799999999999</v>
      </c>
      <c r="G34" s="142">
        <f t="shared" si="16"/>
        <v>345.55200000000002</v>
      </c>
      <c r="H34" s="142">
        <f t="shared" si="16"/>
        <v>347.101</v>
      </c>
      <c r="I34" s="142">
        <f t="shared" si="16"/>
        <v>331.20499999999998</v>
      </c>
      <c r="J34" s="142">
        <f t="shared" si="16"/>
        <v>374.98899999999998</v>
      </c>
      <c r="K34" s="142">
        <f t="shared" si="16"/>
        <v>371.82400000000001</v>
      </c>
      <c r="L34" s="143">
        <f t="shared" si="16"/>
        <v>3059.0969999999998</v>
      </c>
      <c r="M34" s="142">
        <f t="shared" si="16"/>
        <v>356.43599999999998</v>
      </c>
      <c r="N34" s="142">
        <f t="shared" si="16"/>
        <v>379.61399999999998</v>
      </c>
      <c r="O34" s="142">
        <f t="shared" si="16"/>
        <v>373.846</v>
      </c>
      <c r="P34" s="142">
        <f t="shared" si="16"/>
        <v>358.37200000000001</v>
      </c>
      <c r="Q34" s="142">
        <f t="shared" si="16"/>
        <v>368.39400000000001</v>
      </c>
      <c r="R34" s="142">
        <f t="shared" si="16"/>
        <v>368.39400000000001</v>
      </c>
      <c r="S34" s="142">
        <f t="shared" si="16"/>
        <v>371.18200000000002</v>
      </c>
      <c r="T34" s="143">
        <f t="shared" si="16"/>
        <v>5635.335</v>
      </c>
      <c r="U34" s="142">
        <f t="shared" si="16"/>
        <v>340.92700000000002</v>
      </c>
      <c r="V34" s="142">
        <f t="shared" si="16"/>
        <v>366.37700000000001</v>
      </c>
      <c r="W34" s="142">
        <f t="shared" si="16"/>
        <v>275.67200000000003</v>
      </c>
      <c r="X34" s="142">
        <f t="shared" si="16"/>
        <v>0</v>
      </c>
      <c r="Y34" s="142">
        <f t="shared" si="16"/>
        <v>0</v>
      </c>
      <c r="Z34" s="142">
        <f t="shared" si="16"/>
        <v>0</v>
      </c>
      <c r="AA34" s="142">
        <f t="shared" si="16"/>
        <v>0</v>
      </c>
      <c r="AB34" s="143">
        <f t="shared" si="16"/>
        <v>6618.3109999999997</v>
      </c>
      <c r="AC34" s="142">
        <f t="shared" si="16"/>
        <v>365</v>
      </c>
      <c r="AD34" s="142">
        <f t="shared" si="16"/>
        <v>365</v>
      </c>
      <c r="AE34" s="142">
        <f t="shared" si="16"/>
        <v>365</v>
      </c>
      <c r="AF34" s="142">
        <f t="shared" si="16"/>
        <v>365</v>
      </c>
      <c r="AG34" s="142">
        <f t="shared" si="16"/>
        <v>365</v>
      </c>
      <c r="AH34" s="143">
        <f t="shared" si="16"/>
        <v>8443.3109999999997</v>
      </c>
      <c r="BE34" s="108"/>
      <c r="BF34" s="101"/>
      <c r="BG34" s="108"/>
      <c r="BH34" s="108"/>
      <c r="BI34" s="108"/>
      <c r="BJ34" s="109"/>
      <c r="BK34" s="108"/>
      <c r="BL34" s="108"/>
      <c r="BM34" s="108"/>
      <c r="BN34" s="108"/>
    </row>
    <row r="35" spans="1:66" ht="12" customHeight="1" thickBot="1" x14ac:dyDescent="0.25">
      <c r="A35" s="144" t="s">
        <v>3</v>
      </c>
      <c r="B35" s="145">
        <f>IFERROR(+B34/B33,0)</f>
        <v>1</v>
      </c>
      <c r="C35" s="145">
        <f>IFERROR(+C34/C33,0)</f>
        <v>1</v>
      </c>
      <c r="D35" s="146">
        <f>IFERROR(+D34/D33,0)</f>
        <v>1</v>
      </c>
      <c r="E35" s="145">
        <f>IFERROR(+E34/E33,0)</f>
        <v>1</v>
      </c>
      <c r="F35" s="145">
        <f t="shared" ref="F35:AH35" si="17">IFERROR(+F34/F33,0)</f>
        <v>1</v>
      </c>
      <c r="G35" s="145">
        <f t="shared" si="17"/>
        <v>1</v>
      </c>
      <c r="H35" s="145">
        <f t="shared" si="17"/>
        <v>1</v>
      </c>
      <c r="I35" s="145">
        <f t="shared" si="17"/>
        <v>1</v>
      </c>
      <c r="J35" s="145">
        <f t="shared" si="17"/>
        <v>1</v>
      </c>
      <c r="K35" s="145">
        <f t="shared" si="17"/>
        <v>1</v>
      </c>
      <c r="L35" s="146">
        <f t="shared" si="17"/>
        <v>1</v>
      </c>
      <c r="M35" s="145">
        <f t="shared" si="17"/>
        <v>1</v>
      </c>
      <c r="N35" s="145">
        <f t="shared" si="17"/>
        <v>1</v>
      </c>
      <c r="O35" s="145">
        <f t="shared" si="17"/>
        <v>1</v>
      </c>
      <c r="P35" s="145">
        <f t="shared" si="17"/>
        <v>1</v>
      </c>
      <c r="Q35" s="145">
        <f t="shared" si="17"/>
        <v>1</v>
      </c>
      <c r="R35" s="145">
        <f t="shared" si="17"/>
        <v>1</v>
      </c>
      <c r="S35" s="145">
        <f t="shared" si="17"/>
        <v>1</v>
      </c>
      <c r="T35" s="146">
        <f t="shared" si="17"/>
        <v>1</v>
      </c>
      <c r="U35" s="145">
        <f t="shared" si="17"/>
        <v>1</v>
      </c>
      <c r="V35" s="145">
        <f t="shared" si="17"/>
        <v>1</v>
      </c>
      <c r="W35" s="145">
        <f t="shared" si="17"/>
        <v>1.1026880000000001</v>
      </c>
      <c r="X35" s="145">
        <f t="shared" si="17"/>
        <v>0</v>
      </c>
      <c r="Y35" s="145">
        <f t="shared" si="17"/>
        <v>0</v>
      </c>
      <c r="Z35" s="145">
        <f t="shared" si="17"/>
        <v>0</v>
      </c>
      <c r="AA35" s="145">
        <f t="shared" si="17"/>
        <v>0</v>
      </c>
      <c r="AB35" s="146">
        <f t="shared" si="17"/>
        <v>0.82341481123996729</v>
      </c>
      <c r="AC35" s="145">
        <f t="shared" si="17"/>
        <v>1</v>
      </c>
      <c r="AD35" s="145">
        <f t="shared" si="17"/>
        <v>1</v>
      </c>
      <c r="AE35" s="145">
        <f t="shared" si="17"/>
        <v>1</v>
      </c>
      <c r="AF35" s="145">
        <f t="shared" si="17"/>
        <v>1</v>
      </c>
      <c r="AG35" s="145">
        <f t="shared" si="17"/>
        <v>1</v>
      </c>
      <c r="AH35" s="146">
        <f t="shared" si="17"/>
        <v>0.85609044394710188</v>
      </c>
      <c r="BE35" s="108"/>
      <c r="BF35" s="101"/>
      <c r="BG35" s="108"/>
      <c r="BH35" s="108"/>
      <c r="BI35" s="108"/>
      <c r="BJ35" s="109"/>
      <c r="BK35" s="108"/>
      <c r="BL35" s="108"/>
      <c r="BM35" s="108"/>
      <c r="BN35" s="108"/>
    </row>
    <row r="36" spans="1:66" ht="12" customHeight="1" x14ac:dyDescent="0.2">
      <c r="A36" s="138" t="s">
        <v>71</v>
      </c>
      <c r="B36" s="139">
        <f t="shared" ref="B36:AH37" si="18">+B10</f>
        <v>32.222000000000001</v>
      </c>
      <c r="C36" s="139">
        <f t="shared" si="18"/>
        <v>24.335000000000001</v>
      </c>
      <c r="D36" s="140">
        <f t="shared" si="18"/>
        <v>56.557000000000002</v>
      </c>
      <c r="E36" s="139">
        <f t="shared" si="18"/>
        <v>33.44</v>
      </c>
      <c r="F36" s="139">
        <f t="shared" si="18"/>
        <v>33.213999999999999</v>
      </c>
      <c r="G36" s="139">
        <f t="shared" si="18"/>
        <v>33.459000000000003</v>
      </c>
      <c r="H36" s="139">
        <f t="shared" si="18"/>
        <v>43.639000000000003</v>
      </c>
      <c r="I36" s="139">
        <f t="shared" si="18"/>
        <v>21.359000000000002</v>
      </c>
      <c r="J36" s="139">
        <f t="shared" si="18"/>
        <v>33.854999999999997</v>
      </c>
      <c r="K36" s="139">
        <f t="shared" si="18"/>
        <v>14.175000000000001</v>
      </c>
      <c r="L36" s="140">
        <f t="shared" si="18"/>
        <v>269.69800000000004</v>
      </c>
      <c r="M36" s="139">
        <f t="shared" si="18"/>
        <v>32.997</v>
      </c>
      <c r="N36" s="139">
        <f t="shared" si="18"/>
        <v>21.72</v>
      </c>
      <c r="O36" s="139">
        <f t="shared" si="18"/>
        <v>40.731999999999999</v>
      </c>
      <c r="P36" s="139">
        <f t="shared" si="18"/>
        <v>39.725000000000001</v>
      </c>
      <c r="Q36" s="139">
        <f t="shared" si="18"/>
        <v>36.231999999999999</v>
      </c>
      <c r="R36" s="139">
        <f t="shared" si="18"/>
        <v>36.231999999999999</v>
      </c>
      <c r="S36" s="139">
        <f t="shared" si="18"/>
        <v>44.209000000000003</v>
      </c>
      <c r="T36" s="140">
        <f t="shared" si="18"/>
        <v>521.54500000000007</v>
      </c>
      <c r="U36" s="139">
        <f t="shared" si="18"/>
        <v>36.283999999999999</v>
      </c>
      <c r="V36" s="139">
        <f t="shared" si="18"/>
        <v>33.594000000000001</v>
      </c>
      <c r="W36" s="139">
        <f t="shared" si="18"/>
        <v>41</v>
      </c>
      <c r="X36" s="139">
        <f t="shared" si="18"/>
        <v>41</v>
      </c>
      <c r="Y36" s="139">
        <f t="shared" si="18"/>
        <v>41</v>
      </c>
      <c r="Z36" s="139">
        <f t="shared" si="18"/>
        <v>41</v>
      </c>
      <c r="AA36" s="139">
        <f t="shared" si="18"/>
        <v>41</v>
      </c>
      <c r="AB36" s="140">
        <f t="shared" si="18"/>
        <v>796.423</v>
      </c>
      <c r="AC36" s="139">
        <f t="shared" si="18"/>
        <v>41</v>
      </c>
      <c r="AD36" s="139">
        <f t="shared" si="18"/>
        <v>41</v>
      </c>
      <c r="AE36" s="139">
        <f t="shared" si="18"/>
        <v>41</v>
      </c>
      <c r="AF36" s="139">
        <f t="shared" si="18"/>
        <v>41</v>
      </c>
      <c r="AG36" s="139">
        <f t="shared" si="18"/>
        <v>41</v>
      </c>
      <c r="AH36" s="140">
        <f t="shared" si="18"/>
        <v>1001.423</v>
      </c>
      <c r="BE36" s="108"/>
      <c r="BF36" s="101"/>
      <c r="BG36" s="108"/>
      <c r="BH36" s="108"/>
      <c r="BI36" s="108"/>
      <c r="BJ36" s="109"/>
      <c r="BK36" s="108"/>
      <c r="BL36" s="108"/>
      <c r="BM36" s="108"/>
      <c r="BN36" s="108"/>
    </row>
    <row r="37" spans="1:66" ht="12" customHeight="1" x14ac:dyDescent="0.2">
      <c r="A37" s="141" t="s">
        <v>72</v>
      </c>
      <c r="B37" s="142">
        <f t="shared" si="18"/>
        <v>32.222000000000001</v>
      </c>
      <c r="C37" s="142">
        <f t="shared" si="18"/>
        <v>24.335000000000001</v>
      </c>
      <c r="D37" s="143">
        <f t="shared" si="18"/>
        <v>56.557000000000002</v>
      </c>
      <c r="E37" s="142">
        <f t="shared" si="18"/>
        <v>33.44</v>
      </c>
      <c r="F37" s="142">
        <f t="shared" si="18"/>
        <v>33.213999999999999</v>
      </c>
      <c r="G37" s="142">
        <f t="shared" si="18"/>
        <v>33.459000000000003</v>
      </c>
      <c r="H37" s="142">
        <f t="shared" si="18"/>
        <v>43.639000000000003</v>
      </c>
      <c r="I37" s="142">
        <f t="shared" si="18"/>
        <v>21.359000000000002</v>
      </c>
      <c r="J37" s="142">
        <f t="shared" si="18"/>
        <v>33.854999999999997</v>
      </c>
      <c r="K37" s="142">
        <f t="shared" si="18"/>
        <v>14.175000000000001</v>
      </c>
      <c r="L37" s="143">
        <f t="shared" si="18"/>
        <v>269.69800000000004</v>
      </c>
      <c r="M37" s="142">
        <f t="shared" si="18"/>
        <v>32.997</v>
      </c>
      <c r="N37" s="142">
        <f t="shared" si="18"/>
        <v>21.72</v>
      </c>
      <c r="O37" s="142">
        <f t="shared" si="18"/>
        <v>40.731999999999999</v>
      </c>
      <c r="P37" s="142">
        <f t="shared" si="18"/>
        <v>39.725000000000001</v>
      </c>
      <c r="Q37" s="142">
        <f t="shared" si="18"/>
        <v>36.231999999999999</v>
      </c>
      <c r="R37" s="142">
        <f t="shared" si="18"/>
        <v>36.231999999999999</v>
      </c>
      <c r="S37" s="142">
        <f t="shared" si="18"/>
        <v>44.209000000000003</v>
      </c>
      <c r="T37" s="143">
        <f t="shared" si="18"/>
        <v>521.54500000000007</v>
      </c>
      <c r="U37" s="142">
        <f t="shared" si="18"/>
        <v>36.283999999999999</v>
      </c>
      <c r="V37" s="142">
        <f t="shared" si="18"/>
        <v>33.594000000000001</v>
      </c>
      <c r="W37" s="142">
        <f t="shared" si="18"/>
        <v>24.873000000000001</v>
      </c>
      <c r="X37" s="142">
        <f t="shared" si="18"/>
        <v>0</v>
      </c>
      <c r="Y37" s="142">
        <f t="shared" si="18"/>
        <v>0</v>
      </c>
      <c r="Z37" s="142">
        <f t="shared" si="18"/>
        <v>0</v>
      </c>
      <c r="AA37" s="142">
        <f t="shared" si="18"/>
        <v>0</v>
      </c>
      <c r="AB37" s="143">
        <f t="shared" si="18"/>
        <v>616.29600000000005</v>
      </c>
      <c r="AC37" s="142">
        <f t="shared" si="18"/>
        <v>41</v>
      </c>
      <c r="AD37" s="142">
        <f t="shared" si="18"/>
        <v>41</v>
      </c>
      <c r="AE37" s="142">
        <f t="shared" si="18"/>
        <v>41</v>
      </c>
      <c r="AF37" s="142">
        <f t="shared" si="18"/>
        <v>41</v>
      </c>
      <c r="AG37" s="142">
        <f t="shared" si="18"/>
        <v>41</v>
      </c>
      <c r="AH37" s="143">
        <f t="shared" si="18"/>
        <v>821.29600000000005</v>
      </c>
      <c r="BE37" s="108"/>
      <c r="BF37" s="101"/>
      <c r="BG37" s="108"/>
      <c r="BH37" s="108"/>
      <c r="BI37" s="108"/>
      <c r="BJ37" s="109"/>
      <c r="BK37" s="108"/>
      <c r="BL37" s="108"/>
      <c r="BM37" s="108"/>
      <c r="BN37" s="108"/>
    </row>
    <row r="38" spans="1:66" ht="12" customHeight="1" thickBot="1" x14ac:dyDescent="0.25">
      <c r="A38" s="144" t="s">
        <v>3</v>
      </c>
      <c r="B38" s="145">
        <f>IFERROR(+B37/B36,0)</f>
        <v>1</v>
      </c>
      <c r="C38" s="145">
        <f>IFERROR(+C37/C36,0)</f>
        <v>1</v>
      </c>
      <c r="D38" s="146">
        <f>IFERROR(+D37/D36,0)</f>
        <v>1</v>
      </c>
      <c r="E38" s="145">
        <f>IFERROR(+E37/E36,0)</f>
        <v>1</v>
      </c>
      <c r="F38" s="145">
        <f t="shared" ref="F38:AH38" si="19">IFERROR(+F37/F36,0)</f>
        <v>1</v>
      </c>
      <c r="G38" s="145">
        <f t="shared" si="19"/>
        <v>1</v>
      </c>
      <c r="H38" s="145">
        <f t="shared" si="19"/>
        <v>1</v>
      </c>
      <c r="I38" s="145">
        <f t="shared" si="19"/>
        <v>1</v>
      </c>
      <c r="J38" s="145">
        <f t="shared" si="19"/>
        <v>1</v>
      </c>
      <c r="K38" s="145">
        <f t="shared" si="19"/>
        <v>1</v>
      </c>
      <c r="L38" s="146">
        <f t="shared" si="19"/>
        <v>1</v>
      </c>
      <c r="M38" s="145">
        <f t="shared" si="19"/>
        <v>1</v>
      </c>
      <c r="N38" s="145">
        <f t="shared" si="19"/>
        <v>1</v>
      </c>
      <c r="O38" s="145">
        <f t="shared" si="19"/>
        <v>1</v>
      </c>
      <c r="P38" s="145">
        <f t="shared" si="19"/>
        <v>1</v>
      </c>
      <c r="Q38" s="145">
        <f t="shared" si="19"/>
        <v>1</v>
      </c>
      <c r="R38" s="145">
        <f t="shared" si="19"/>
        <v>1</v>
      </c>
      <c r="S38" s="145">
        <f t="shared" si="19"/>
        <v>1</v>
      </c>
      <c r="T38" s="146">
        <f t="shared" si="19"/>
        <v>1</v>
      </c>
      <c r="U38" s="145">
        <f t="shared" si="19"/>
        <v>1</v>
      </c>
      <c r="V38" s="145">
        <f t="shared" si="19"/>
        <v>1</v>
      </c>
      <c r="W38" s="145">
        <f t="shared" si="19"/>
        <v>0.60665853658536584</v>
      </c>
      <c r="X38" s="145">
        <f t="shared" si="19"/>
        <v>0</v>
      </c>
      <c r="Y38" s="145">
        <f t="shared" si="19"/>
        <v>0</v>
      </c>
      <c r="Z38" s="145">
        <f t="shared" si="19"/>
        <v>0</v>
      </c>
      <c r="AA38" s="145">
        <f t="shared" si="19"/>
        <v>0</v>
      </c>
      <c r="AB38" s="146">
        <f t="shared" si="19"/>
        <v>0.77382998733085318</v>
      </c>
      <c r="AC38" s="145">
        <f t="shared" si="19"/>
        <v>1</v>
      </c>
      <c r="AD38" s="145">
        <f t="shared" si="19"/>
        <v>1</v>
      </c>
      <c r="AE38" s="145">
        <f t="shared" si="19"/>
        <v>1</v>
      </c>
      <c r="AF38" s="145">
        <f t="shared" si="19"/>
        <v>1</v>
      </c>
      <c r="AG38" s="145">
        <f t="shared" si="19"/>
        <v>1</v>
      </c>
      <c r="AH38" s="146">
        <f t="shared" si="19"/>
        <v>0.8201289564949078</v>
      </c>
      <c r="BE38" s="108"/>
      <c r="BF38" s="101"/>
      <c r="BG38" s="108"/>
      <c r="BH38" s="108"/>
      <c r="BI38" s="108"/>
      <c r="BJ38" s="109"/>
      <c r="BK38" s="108"/>
      <c r="BL38" s="108"/>
      <c r="BM38" s="108"/>
      <c r="BN38" s="108"/>
    </row>
    <row r="39" spans="1:66" ht="12" customHeight="1" x14ac:dyDescent="0.2">
      <c r="A39" s="138" t="s">
        <v>73</v>
      </c>
      <c r="B39" s="139">
        <f t="shared" ref="B39:AH40" si="20">+B17+B23</f>
        <v>228.97</v>
      </c>
      <c r="C39" s="139">
        <f t="shared" si="20"/>
        <v>220.51</v>
      </c>
      <c r="D39" s="140">
        <f t="shared" si="20"/>
        <v>449.48</v>
      </c>
      <c r="E39" s="139">
        <f t="shared" si="20"/>
        <v>230.90899999999999</v>
      </c>
      <c r="F39" s="139">
        <f t="shared" si="20"/>
        <v>218.77</v>
      </c>
      <c r="G39" s="139">
        <f t="shared" si="20"/>
        <v>218.71499999999997</v>
      </c>
      <c r="H39" s="139">
        <f t="shared" si="20"/>
        <v>227.21</v>
      </c>
      <c r="I39" s="139">
        <f t="shared" si="20"/>
        <v>206.43</v>
      </c>
      <c r="J39" s="139">
        <f t="shared" si="20"/>
        <v>240.52</v>
      </c>
      <c r="K39" s="139">
        <f t="shared" si="20"/>
        <v>220.44</v>
      </c>
      <c r="L39" s="140">
        <f t="shared" si="20"/>
        <v>2012.4740000000002</v>
      </c>
      <c r="M39" s="139">
        <f t="shared" si="20"/>
        <v>220.45</v>
      </c>
      <c r="N39" s="139">
        <f t="shared" si="20"/>
        <v>228.85</v>
      </c>
      <c r="O39" s="139">
        <f t="shared" si="20"/>
        <v>121.42</v>
      </c>
      <c r="P39" s="139">
        <f t="shared" si="20"/>
        <v>157.524</v>
      </c>
      <c r="Q39" s="139">
        <f t="shared" si="20"/>
        <v>140.18700000000001</v>
      </c>
      <c r="R39" s="139">
        <f t="shared" si="20"/>
        <v>140.18700000000001</v>
      </c>
      <c r="S39" s="139">
        <f t="shared" si="20"/>
        <v>166.00399999999999</v>
      </c>
      <c r="T39" s="140">
        <f t="shared" si="20"/>
        <v>3187.096</v>
      </c>
      <c r="U39" s="139">
        <f t="shared" si="20"/>
        <v>230.10000000000002</v>
      </c>
      <c r="V39" s="139">
        <f t="shared" si="20"/>
        <v>115.86</v>
      </c>
      <c r="W39" s="139">
        <f t="shared" si="20"/>
        <v>210</v>
      </c>
      <c r="X39" s="139">
        <f t="shared" si="20"/>
        <v>210</v>
      </c>
      <c r="Y39" s="139">
        <f t="shared" si="20"/>
        <v>210</v>
      </c>
      <c r="Z39" s="139">
        <f t="shared" si="20"/>
        <v>210</v>
      </c>
      <c r="AA39" s="139" t="e">
        <f t="shared" si="20"/>
        <v>#VALUE!</v>
      </c>
      <c r="AB39" s="140">
        <f t="shared" si="20"/>
        <v>4473.0560000000005</v>
      </c>
      <c r="AC39" s="139">
        <f t="shared" si="20"/>
        <v>210</v>
      </c>
      <c r="AD39" s="139">
        <f t="shared" si="20"/>
        <v>210</v>
      </c>
      <c r="AE39" s="139">
        <f t="shared" si="20"/>
        <v>210</v>
      </c>
      <c r="AF39" s="139">
        <f t="shared" si="20"/>
        <v>210</v>
      </c>
      <c r="AG39" s="139">
        <f t="shared" si="20"/>
        <v>210</v>
      </c>
      <c r="AH39" s="140">
        <f t="shared" si="20"/>
        <v>5523.0560000000005</v>
      </c>
      <c r="BE39" s="108"/>
      <c r="BF39" s="101"/>
      <c r="BG39" s="108"/>
      <c r="BH39" s="108"/>
      <c r="BI39" s="108"/>
      <c r="BJ39" s="109"/>
      <c r="BK39" s="108"/>
      <c r="BL39" s="108"/>
      <c r="BM39" s="108"/>
      <c r="BN39" s="108"/>
    </row>
    <row r="40" spans="1:66" ht="12" customHeight="1" x14ac:dyDescent="0.2">
      <c r="A40" s="141" t="s">
        <v>74</v>
      </c>
      <c r="B40" s="142">
        <f t="shared" si="20"/>
        <v>228.97</v>
      </c>
      <c r="C40" s="142">
        <f t="shared" si="20"/>
        <v>220.51</v>
      </c>
      <c r="D40" s="143">
        <f t="shared" si="20"/>
        <v>449.48</v>
      </c>
      <c r="E40" s="142">
        <f t="shared" si="20"/>
        <v>230.90899999999999</v>
      </c>
      <c r="F40" s="142">
        <f t="shared" si="20"/>
        <v>218.77</v>
      </c>
      <c r="G40" s="142">
        <f t="shared" si="20"/>
        <v>218.71499999999997</v>
      </c>
      <c r="H40" s="142">
        <f t="shared" si="20"/>
        <v>227.21</v>
      </c>
      <c r="I40" s="142">
        <f t="shared" si="20"/>
        <v>206.43</v>
      </c>
      <c r="J40" s="142">
        <f t="shared" si="20"/>
        <v>240.52</v>
      </c>
      <c r="K40" s="142">
        <f t="shared" si="20"/>
        <v>220.44</v>
      </c>
      <c r="L40" s="143">
        <f t="shared" si="20"/>
        <v>2012.4740000000002</v>
      </c>
      <c r="M40" s="142">
        <f t="shared" si="20"/>
        <v>220.45</v>
      </c>
      <c r="N40" s="142">
        <f t="shared" si="20"/>
        <v>228.85</v>
      </c>
      <c r="O40" s="142">
        <f t="shared" si="20"/>
        <v>121.42</v>
      </c>
      <c r="P40" s="142">
        <f t="shared" si="20"/>
        <v>157.524</v>
      </c>
      <c r="Q40" s="142">
        <f t="shared" si="20"/>
        <v>140.18700000000001</v>
      </c>
      <c r="R40" s="142">
        <f t="shared" si="20"/>
        <v>140.18700000000001</v>
      </c>
      <c r="S40" s="142">
        <f t="shared" si="20"/>
        <v>166.00399999999999</v>
      </c>
      <c r="T40" s="143">
        <f t="shared" si="20"/>
        <v>3187.096</v>
      </c>
      <c r="U40" s="142">
        <f t="shared" si="20"/>
        <v>230.10000000000002</v>
      </c>
      <c r="V40" s="142">
        <f t="shared" si="20"/>
        <v>115.86</v>
      </c>
      <c r="W40" s="142">
        <f t="shared" si="20"/>
        <v>200.29000000000002</v>
      </c>
      <c r="X40" s="142">
        <f t="shared" si="20"/>
        <v>0</v>
      </c>
      <c r="Y40" s="142">
        <f t="shared" si="20"/>
        <v>0</v>
      </c>
      <c r="Z40" s="142">
        <f t="shared" si="20"/>
        <v>0</v>
      </c>
      <c r="AA40" s="142">
        <f t="shared" si="20"/>
        <v>0</v>
      </c>
      <c r="AB40" s="143">
        <f t="shared" si="20"/>
        <v>3733.3460000000005</v>
      </c>
      <c r="AC40" s="142">
        <f t="shared" si="20"/>
        <v>210</v>
      </c>
      <c r="AD40" s="142">
        <f t="shared" si="20"/>
        <v>210</v>
      </c>
      <c r="AE40" s="142">
        <f t="shared" si="20"/>
        <v>210</v>
      </c>
      <c r="AF40" s="142">
        <f t="shared" si="20"/>
        <v>210</v>
      </c>
      <c r="AG40" s="142">
        <f t="shared" si="20"/>
        <v>210</v>
      </c>
      <c r="AH40" s="143">
        <f t="shared" si="20"/>
        <v>4783.3460000000005</v>
      </c>
      <c r="BE40" s="108"/>
      <c r="BF40" s="101"/>
      <c r="BG40" s="108"/>
      <c r="BH40" s="108"/>
      <c r="BI40" s="108"/>
      <c r="BJ40" s="109"/>
      <c r="BK40" s="108"/>
      <c r="BL40" s="108"/>
      <c r="BM40" s="108"/>
      <c r="BN40" s="108"/>
    </row>
    <row r="41" spans="1:66" ht="12" customHeight="1" thickBot="1" x14ac:dyDescent="0.25">
      <c r="A41" s="147" t="s">
        <v>3</v>
      </c>
      <c r="B41" s="148">
        <f>IFERROR(+B40/B39,0)</f>
        <v>1</v>
      </c>
      <c r="C41" s="148">
        <f>IFERROR(+C40/C39,0)</f>
        <v>1</v>
      </c>
      <c r="D41" s="149">
        <f>IFERROR(+D40/D39,0)</f>
        <v>1</v>
      </c>
      <c r="E41" s="148">
        <f>IFERROR(+E40/E39,0)</f>
        <v>1</v>
      </c>
      <c r="F41" s="148">
        <f t="shared" ref="F41:AH41" si="21">IFERROR(+F40/F39,0)</f>
        <v>1</v>
      </c>
      <c r="G41" s="148">
        <f t="shared" si="21"/>
        <v>1</v>
      </c>
      <c r="H41" s="148">
        <f t="shared" si="21"/>
        <v>1</v>
      </c>
      <c r="I41" s="148">
        <f t="shared" si="21"/>
        <v>1</v>
      </c>
      <c r="J41" s="148">
        <f t="shared" si="21"/>
        <v>1</v>
      </c>
      <c r="K41" s="148">
        <f t="shared" si="21"/>
        <v>1</v>
      </c>
      <c r="L41" s="149">
        <f t="shared" si="21"/>
        <v>1</v>
      </c>
      <c r="M41" s="148">
        <f t="shared" si="21"/>
        <v>1</v>
      </c>
      <c r="N41" s="148">
        <f t="shared" si="21"/>
        <v>1</v>
      </c>
      <c r="O41" s="148">
        <f t="shared" si="21"/>
        <v>1</v>
      </c>
      <c r="P41" s="148">
        <f t="shared" si="21"/>
        <v>1</v>
      </c>
      <c r="Q41" s="148">
        <f t="shared" si="21"/>
        <v>1</v>
      </c>
      <c r="R41" s="148">
        <f t="shared" si="21"/>
        <v>1</v>
      </c>
      <c r="S41" s="148">
        <f t="shared" si="21"/>
        <v>1</v>
      </c>
      <c r="T41" s="149">
        <f t="shared" si="21"/>
        <v>1</v>
      </c>
      <c r="U41" s="148">
        <f t="shared" si="21"/>
        <v>1</v>
      </c>
      <c r="V41" s="148">
        <f t="shared" si="21"/>
        <v>1</v>
      </c>
      <c r="W41" s="148">
        <f t="shared" si="21"/>
        <v>0.95376190476190481</v>
      </c>
      <c r="X41" s="148">
        <f t="shared" si="21"/>
        <v>0</v>
      </c>
      <c r="Y41" s="148">
        <f t="shared" si="21"/>
        <v>0</v>
      </c>
      <c r="Z41" s="148">
        <f t="shared" si="21"/>
        <v>0</v>
      </c>
      <c r="AA41" s="148">
        <f t="shared" si="21"/>
        <v>0</v>
      </c>
      <c r="AB41" s="149">
        <f t="shared" si="21"/>
        <v>0.83462983696157622</v>
      </c>
      <c r="AC41" s="148">
        <f t="shared" si="21"/>
        <v>1</v>
      </c>
      <c r="AD41" s="148">
        <f t="shared" si="21"/>
        <v>1</v>
      </c>
      <c r="AE41" s="148">
        <f t="shared" si="21"/>
        <v>1</v>
      </c>
      <c r="AF41" s="148">
        <f t="shared" si="21"/>
        <v>1</v>
      </c>
      <c r="AG41" s="148">
        <f t="shared" si="21"/>
        <v>1</v>
      </c>
      <c r="AH41" s="149">
        <f t="shared" si="21"/>
        <v>0.86606871268370267</v>
      </c>
      <c r="BE41" s="108"/>
      <c r="BF41" s="101"/>
      <c r="BG41" s="108"/>
      <c r="BH41" s="108"/>
      <c r="BI41" s="108"/>
      <c r="BJ41" s="109"/>
      <c r="BK41" s="108"/>
      <c r="BL41" s="108"/>
      <c r="BM41" s="108"/>
      <c r="BN41" s="108"/>
    </row>
    <row r="42" spans="1:66" ht="12" customHeight="1" x14ac:dyDescent="0.2">
      <c r="A42" s="138" t="s">
        <v>75</v>
      </c>
      <c r="B42" s="139" t="e">
        <f t="shared" ref="B42:AH43" si="22">+B30</f>
        <v>#N/A</v>
      </c>
      <c r="C42" s="139" t="e">
        <f t="shared" si="22"/>
        <v>#N/A</v>
      </c>
      <c r="D42" s="140" t="e">
        <f t="shared" si="22"/>
        <v>#N/A</v>
      </c>
      <c r="E42" s="139" t="e">
        <f t="shared" si="22"/>
        <v>#N/A</v>
      </c>
      <c r="F42" s="139" t="e">
        <f t="shared" si="22"/>
        <v>#N/A</v>
      </c>
      <c r="G42" s="139" t="e">
        <f t="shared" si="22"/>
        <v>#N/A</v>
      </c>
      <c r="H42" s="139" t="e">
        <f t="shared" si="22"/>
        <v>#N/A</v>
      </c>
      <c r="I42" s="139" t="e">
        <f t="shared" si="22"/>
        <v>#N/A</v>
      </c>
      <c r="J42" s="139" t="e">
        <f t="shared" si="22"/>
        <v>#N/A</v>
      </c>
      <c r="K42" s="139" t="e">
        <f t="shared" si="22"/>
        <v>#N/A</v>
      </c>
      <c r="L42" s="140" t="e">
        <f t="shared" si="22"/>
        <v>#N/A</v>
      </c>
      <c r="M42" s="139" t="e">
        <f t="shared" si="22"/>
        <v>#N/A</v>
      </c>
      <c r="N42" s="139" t="e">
        <f t="shared" si="22"/>
        <v>#N/A</v>
      </c>
      <c r="O42" s="139" t="e">
        <f t="shared" si="22"/>
        <v>#N/A</v>
      </c>
      <c r="P42" s="139" t="e">
        <f t="shared" si="22"/>
        <v>#N/A</v>
      </c>
      <c r="Q42" s="139" t="e">
        <f t="shared" si="22"/>
        <v>#N/A</v>
      </c>
      <c r="R42" s="139" t="e">
        <f t="shared" si="22"/>
        <v>#N/A</v>
      </c>
      <c r="S42" s="139" t="e">
        <f t="shared" si="22"/>
        <v>#N/A</v>
      </c>
      <c r="T42" s="140" t="e">
        <f t="shared" si="22"/>
        <v>#N/A</v>
      </c>
      <c r="U42" s="139" t="e">
        <f t="shared" si="22"/>
        <v>#N/A</v>
      </c>
      <c r="V42" s="139">
        <f t="shared" si="22"/>
        <v>63</v>
      </c>
      <c r="W42" s="139">
        <f t="shared" si="22"/>
        <v>63</v>
      </c>
      <c r="X42" s="139">
        <f t="shared" si="22"/>
        <v>63</v>
      </c>
      <c r="Y42" s="139">
        <f t="shared" si="22"/>
        <v>63</v>
      </c>
      <c r="Z42" s="139">
        <f t="shared" si="22"/>
        <v>63</v>
      </c>
      <c r="AA42" s="139">
        <f t="shared" si="22"/>
        <v>59.85</v>
      </c>
      <c r="AB42" s="140" t="e">
        <f t="shared" si="22"/>
        <v>#N/A</v>
      </c>
      <c r="AC42" s="139">
        <f t="shared" si="22"/>
        <v>59.85</v>
      </c>
      <c r="AD42" s="139">
        <f t="shared" si="22"/>
        <v>63</v>
      </c>
      <c r="AE42" s="139">
        <f t="shared" si="22"/>
        <v>63</v>
      </c>
      <c r="AF42" s="139">
        <f t="shared" si="22"/>
        <v>56.7</v>
      </c>
      <c r="AG42" s="139">
        <f t="shared" si="22"/>
        <v>0</v>
      </c>
      <c r="AH42" s="140" t="e">
        <f t="shared" si="22"/>
        <v>#N/A</v>
      </c>
      <c r="BE42" s="108"/>
      <c r="BF42" s="101"/>
      <c r="BG42" s="108"/>
      <c r="BH42" s="108"/>
      <c r="BI42" s="108"/>
      <c r="BJ42" s="109"/>
      <c r="BK42" s="108"/>
      <c r="BL42" s="108"/>
      <c r="BM42" s="108"/>
      <c r="BN42" s="108"/>
    </row>
    <row r="43" spans="1:66" ht="12" customHeight="1" x14ac:dyDescent="0.2">
      <c r="A43" s="141" t="s">
        <v>76</v>
      </c>
      <c r="B43" s="142">
        <f t="shared" si="22"/>
        <v>22.05</v>
      </c>
      <c r="C43" s="142">
        <f t="shared" si="22"/>
        <v>72.45</v>
      </c>
      <c r="D43" s="143">
        <f t="shared" si="22"/>
        <v>94.5</v>
      </c>
      <c r="E43" s="142">
        <f t="shared" si="22"/>
        <v>72.45</v>
      </c>
      <c r="F43" s="142">
        <f t="shared" si="22"/>
        <v>44.1</v>
      </c>
      <c r="G43" s="142">
        <f t="shared" si="22"/>
        <v>63</v>
      </c>
      <c r="H43" s="142">
        <f t="shared" si="22"/>
        <v>12.48</v>
      </c>
      <c r="I43" s="142">
        <f t="shared" si="22"/>
        <v>50.52</v>
      </c>
      <c r="J43" s="142">
        <f t="shared" si="22"/>
        <v>53.52</v>
      </c>
      <c r="K43" s="142">
        <f t="shared" si="22"/>
        <v>0</v>
      </c>
      <c r="L43" s="143">
        <f t="shared" si="22"/>
        <v>390.57</v>
      </c>
      <c r="M43" s="142">
        <f t="shared" si="22"/>
        <v>28.35</v>
      </c>
      <c r="N43" s="142">
        <f t="shared" si="22"/>
        <v>66.150000000000006</v>
      </c>
      <c r="O43" s="142">
        <f t="shared" si="22"/>
        <v>66.150000000000006</v>
      </c>
      <c r="P43" s="142">
        <f t="shared" si="22"/>
        <v>66.150000000000006</v>
      </c>
      <c r="Q43" s="142">
        <f t="shared" si="22"/>
        <v>69.3</v>
      </c>
      <c r="R43" s="142">
        <f t="shared" si="22"/>
        <v>50.4</v>
      </c>
      <c r="S43" s="142">
        <f t="shared" si="22"/>
        <v>15.75</v>
      </c>
      <c r="T43" s="143">
        <f t="shared" si="22"/>
        <v>752.81999999999994</v>
      </c>
      <c r="U43" s="142">
        <f t="shared" si="22"/>
        <v>47.25</v>
      </c>
      <c r="V43" s="142">
        <f t="shared" si="22"/>
        <v>63</v>
      </c>
      <c r="W43" s="142">
        <f t="shared" si="22"/>
        <v>63</v>
      </c>
      <c r="X43" s="142">
        <f t="shared" si="22"/>
        <v>0</v>
      </c>
      <c r="Y43" s="142">
        <f t="shared" si="22"/>
        <v>0</v>
      </c>
      <c r="Z43" s="142">
        <f t="shared" si="22"/>
        <v>0</v>
      </c>
      <c r="AA43" s="142">
        <f t="shared" si="22"/>
        <v>0</v>
      </c>
      <c r="AB43" s="143">
        <f t="shared" si="22"/>
        <v>926.06999999999994</v>
      </c>
      <c r="AC43" s="142">
        <f t="shared" si="22"/>
        <v>59.85</v>
      </c>
      <c r="AD43" s="142">
        <f t="shared" si="22"/>
        <v>63</v>
      </c>
      <c r="AE43" s="142">
        <f t="shared" si="22"/>
        <v>63</v>
      </c>
      <c r="AF43" s="142">
        <f t="shared" si="22"/>
        <v>56.7</v>
      </c>
      <c r="AG43" s="142">
        <f t="shared" si="22"/>
        <v>0</v>
      </c>
      <c r="AH43" s="143">
        <f t="shared" si="22"/>
        <v>1168.6199999999999</v>
      </c>
      <c r="BE43" s="108"/>
      <c r="BF43" s="101"/>
      <c r="BG43" s="108"/>
      <c r="BH43" s="108"/>
      <c r="BI43" s="108"/>
      <c r="BJ43" s="109"/>
      <c r="BK43" s="108"/>
      <c r="BL43" s="108"/>
      <c r="BM43" s="108"/>
      <c r="BN43" s="108"/>
    </row>
    <row r="44" spans="1:66" ht="12" customHeight="1" thickBot="1" x14ac:dyDescent="0.25">
      <c r="A44" s="147" t="s">
        <v>3</v>
      </c>
      <c r="B44" s="148">
        <f>IFERROR(+B43/B42,0)</f>
        <v>0</v>
      </c>
      <c r="C44" s="148">
        <f>IFERROR(+C43/C42,0)</f>
        <v>0</v>
      </c>
      <c r="D44" s="149">
        <f>IFERROR(+D43/D42,0)</f>
        <v>0</v>
      </c>
      <c r="E44" s="148">
        <f>IFERROR(+E43/E42,0)</f>
        <v>0</v>
      </c>
      <c r="F44" s="148">
        <f t="shared" ref="F44:AH44" si="23">IFERROR(+F43/F42,0)</f>
        <v>0</v>
      </c>
      <c r="G44" s="148">
        <f t="shared" si="23"/>
        <v>0</v>
      </c>
      <c r="H44" s="148">
        <f t="shared" si="23"/>
        <v>0</v>
      </c>
      <c r="I44" s="148">
        <f t="shared" si="23"/>
        <v>0</v>
      </c>
      <c r="J44" s="148">
        <f t="shared" si="23"/>
        <v>0</v>
      </c>
      <c r="K44" s="148">
        <f t="shared" si="23"/>
        <v>0</v>
      </c>
      <c r="L44" s="149">
        <f t="shared" si="23"/>
        <v>0</v>
      </c>
      <c r="M44" s="148">
        <f t="shared" si="23"/>
        <v>0</v>
      </c>
      <c r="N44" s="148">
        <f t="shared" si="23"/>
        <v>0</v>
      </c>
      <c r="O44" s="148">
        <f t="shared" si="23"/>
        <v>0</v>
      </c>
      <c r="P44" s="148">
        <f t="shared" si="23"/>
        <v>0</v>
      </c>
      <c r="Q44" s="148">
        <f t="shared" si="23"/>
        <v>0</v>
      </c>
      <c r="R44" s="148">
        <f t="shared" si="23"/>
        <v>0</v>
      </c>
      <c r="S44" s="148">
        <f t="shared" si="23"/>
        <v>0</v>
      </c>
      <c r="T44" s="149">
        <f t="shared" si="23"/>
        <v>0</v>
      </c>
      <c r="U44" s="148">
        <f t="shared" si="23"/>
        <v>0</v>
      </c>
      <c r="V44" s="148">
        <f t="shared" si="23"/>
        <v>1</v>
      </c>
      <c r="W44" s="148">
        <f t="shared" si="23"/>
        <v>1</v>
      </c>
      <c r="X44" s="148">
        <f t="shared" si="23"/>
        <v>0</v>
      </c>
      <c r="Y44" s="148">
        <f t="shared" si="23"/>
        <v>0</v>
      </c>
      <c r="Z44" s="148">
        <f t="shared" si="23"/>
        <v>0</v>
      </c>
      <c r="AA44" s="148">
        <f t="shared" si="23"/>
        <v>0</v>
      </c>
      <c r="AB44" s="149">
        <f t="shared" si="23"/>
        <v>0</v>
      </c>
      <c r="AC44" s="148">
        <f t="shared" si="23"/>
        <v>1</v>
      </c>
      <c r="AD44" s="148">
        <f t="shared" si="23"/>
        <v>1</v>
      </c>
      <c r="AE44" s="148">
        <f t="shared" si="23"/>
        <v>1</v>
      </c>
      <c r="AF44" s="148">
        <f t="shared" si="23"/>
        <v>1</v>
      </c>
      <c r="AG44" s="148">
        <f t="shared" si="23"/>
        <v>0</v>
      </c>
      <c r="AH44" s="149">
        <f t="shared" si="23"/>
        <v>0</v>
      </c>
      <c r="BE44" s="108"/>
      <c r="BF44" s="101"/>
      <c r="BG44" s="108"/>
      <c r="BH44" s="108"/>
      <c r="BI44" s="108"/>
      <c r="BJ44" s="109"/>
      <c r="BK44" s="108"/>
      <c r="BL44" s="108"/>
      <c r="BM44" s="108"/>
      <c r="BN44" s="108"/>
    </row>
    <row r="45" spans="1:66" ht="35.25" customHeight="1" thickBot="1" x14ac:dyDescent="0.25">
      <c r="A45" s="108"/>
      <c r="B45" s="150" t="s">
        <v>28</v>
      </c>
      <c r="C45" s="151" t="s">
        <v>77</v>
      </c>
      <c r="D45" s="150" t="s">
        <v>78</v>
      </c>
      <c r="E45" s="152" t="s">
        <v>31</v>
      </c>
      <c r="F45" s="152" t="s">
        <v>32</v>
      </c>
      <c r="J45" s="150" t="s">
        <v>28</v>
      </c>
      <c r="K45" s="151" t="s">
        <v>77</v>
      </c>
      <c r="L45" s="150" t="s">
        <v>78</v>
      </c>
      <c r="M45" s="152" t="s">
        <v>31</v>
      </c>
      <c r="N45" s="152" t="s">
        <v>32</v>
      </c>
      <c r="R45" s="150" t="s">
        <v>28</v>
      </c>
      <c r="S45" s="153" t="s">
        <v>77</v>
      </c>
      <c r="T45" s="150" t="s">
        <v>78</v>
      </c>
      <c r="U45" s="152" t="s">
        <v>31</v>
      </c>
      <c r="V45" s="152" t="s">
        <v>32</v>
      </c>
      <c r="Z45" s="150" t="s">
        <v>28</v>
      </c>
      <c r="AA45" s="153" t="s">
        <v>77</v>
      </c>
      <c r="AB45" s="150" t="s">
        <v>78</v>
      </c>
      <c r="AC45" s="152" t="s">
        <v>31</v>
      </c>
      <c r="AD45" s="152" t="s">
        <v>32</v>
      </c>
      <c r="AF45" s="150" t="s">
        <v>28</v>
      </c>
      <c r="AG45" s="153" t="s">
        <v>77</v>
      </c>
      <c r="AH45" s="150" t="s">
        <v>78</v>
      </c>
      <c r="AI45" s="152" t="s">
        <v>31</v>
      </c>
      <c r="AJ45" s="152" t="s">
        <v>32</v>
      </c>
      <c r="BF45" s="101"/>
      <c r="BG45" s="152"/>
      <c r="BH45" s="152"/>
      <c r="BI45" s="152"/>
      <c r="BJ45" s="155" t="s">
        <v>28</v>
      </c>
      <c r="BK45" s="156" t="s">
        <v>77</v>
      </c>
      <c r="BL45" s="157" t="s">
        <v>78</v>
      </c>
      <c r="BM45" s="152" t="s">
        <v>31</v>
      </c>
      <c r="BN45" s="152" t="s">
        <v>32</v>
      </c>
    </row>
    <row r="46" spans="1:66" ht="35.25" customHeight="1" x14ac:dyDescent="0.2">
      <c r="A46" s="152"/>
      <c r="B46" s="158" t="s">
        <v>79</v>
      </c>
      <c r="C46" s="159">
        <f>+D33</f>
        <v>605.97900000000004</v>
      </c>
      <c r="D46" s="160">
        <f>+D34</f>
        <v>605.97900000000004</v>
      </c>
      <c r="E46" s="161">
        <f>IFERROR(D46/C46,0)</f>
        <v>1</v>
      </c>
      <c r="F46" s="154">
        <f>+D46-C46</f>
        <v>0</v>
      </c>
      <c r="J46" s="158" t="s">
        <v>79</v>
      </c>
      <c r="K46" s="162">
        <f>+L33</f>
        <v>3059.0969999999998</v>
      </c>
      <c r="L46" s="160">
        <f>+L34</f>
        <v>3059.0969999999998</v>
      </c>
      <c r="M46" s="161">
        <f>IFERROR(L46/K46,0)</f>
        <v>1</v>
      </c>
      <c r="N46" s="154">
        <f>+L46-K46</f>
        <v>0</v>
      </c>
      <c r="R46" s="158" t="s">
        <v>79</v>
      </c>
      <c r="S46" s="162">
        <f>+T33</f>
        <v>5635.335</v>
      </c>
      <c r="T46" s="160">
        <f>+T34</f>
        <v>5635.335</v>
      </c>
      <c r="U46" s="161">
        <f>IFERROR(T46/S46,0)</f>
        <v>1</v>
      </c>
      <c r="V46" s="154">
        <f>+T46-S46</f>
        <v>0</v>
      </c>
      <c r="Z46" s="158" t="s">
        <v>79</v>
      </c>
      <c r="AA46" s="162">
        <f>+AB33</f>
        <v>8037.6390000000001</v>
      </c>
      <c r="AB46" s="160">
        <f>+AB34</f>
        <v>6618.3109999999997</v>
      </c>
      <c r="AC46" s="161">
        <f>IFERROR(AB46/AA46,0)</f>
        <v>0.82341481123996729</v>
      </c>
      <c r="AD46" s="154">
        <f>+AB46-AA46</f>
        <v>-1419.3280000000004</v>
      </c>
      <c r="AF46" s="158" t="s">
        <v>79</v>
      </c>
      <c r="AG46" s="162">
        <f>+AH33</f>
        <v>9862.6389999999992</v>
      </c>
      <c r="AH46" s="160">
        <f>+AH34</f>
        <v>8443.3109999999997</v>
      </c>
      <c r="AI46" s="161">
        <f>IFERROR(AH46/AG46,0)</f>
        <v>0.85609044394710188</v>
      </c>
      <c r="AJ46" s="154">
        <f>+AH46-AG46</f>
        <v>-1419.3279999999995</v>
      </c>
      <c r="BF46" s="101"/>
      <c r="BG46" s="154"/>
      <c r="BH46" s="154"/>
      <c r="BI46" s="154"/>
      <c r="BJ46" s="163" t="s">
        <v>79</v>
      </c>
      <c r="BK46" s="164">
        <f>+AH33</f>
        <v>9862.6389999999992</v>
      </c>
      <c r="BL46" s="165">
        <f>+AH34</f>
        <v>8443.3109999999997</v>
      </c>
      <c r="BM46" s="161">
        <f>IFERROR(BL46/BK46,0)</f>
        <v>0.85609044394710188</v>
      </c>
      <c r="BN46" s="154">
        <f>+BL46-BK46</f>
        <v>-1419.3279999999995</v>
      </c>
    </row>
    <row r="47" spans="1:66" ht="35.25" customHeight="1" x14ac:dyDescent="0.2">
      <c r="A47" s="166"/>
      <c r="B47" s="163" t="s">
        <v>80</v>
      </c>
      <c r="C47" s="167">
        <f>+D36</f>
        <v>56.557000000000002</v>
      </c>
      <c r="D47" s="165">
        <f>+D37</f>
        <v>56.557000000000002</v>
      </c>
      <c r="E47" s="161">
        <f>IFERROR(D47/C47,0)</f>
        <v>1</v>
      </c>
      <c r="F47" s="154">
        <f>+D47-C47</f>
        <v>0</v>
      </c>
      <c r="J47" s="163" t="s">
        <v>80</v>
      </c>
      <c r="K47" s="164">
        <f>+L36</f>
        <v>269.69800000000004</v>
      </c>
      <c r="L47" s="165">
        <f>+L37</f>
        <v>269.69800000000004</v>
      </c>
      <c r="M47" s="161">
        <f>IFERROR(L47/K47,0)</f>
        <v>1</v>
      </c>
      <c r="N47" s="154">
        <f>+L47-K47</f>
        <v>0</v>
      </c>
      <c r="R47" s="163" t="s">
        <v>80</v>
      </c>
      <c r="S47" s="164">
        <f>+T36</f>
        <v>521.54500000000007</v>
      </c>
      <c r="T47" s="165">
        <f>+T37</f>
        <v>521.54500000000007</v>
      </c>
      <c r="U47" s="161">
        <f>IFERROR(T47/S47,0)</f>
        <v>1</v>
      </c>
      <c r="V47" s="154">
        <f>+T47-S47</f>
        <v>0</v>
      </c>
      <c r="Z47" s="163" t="s">
        <v>80</v>
      </c>
      <c r="AA47" s="164">
        <f>+AB36</f>
        <v>796.423</v>
      </c>
      <c r="AB47" s="165">
        <f>+AB37</f>
        <v>616.29600000000005</v>
      </c>
      <c r="AC47" s="161">
        <f>IFERROR(AB47/AA47,0)</f>
        <v>0.77382998733085318</v>
      </c>
      <c r="AD47" s="154">
        <f>+AB47-AA47</f>
        <v>-180.12699999999995</v>
      </c>
      <c r="AF47" s="163" t="s">
        <v>80</v>
      </c>
      <c r="AG47" s="164">
        <f>+AH36</f>
        <v>1001.423</v>
      </c>
      <c r="AH47" s="165">
        <f>+AH37</f>
        <v>821.29600000000005</v>
      </c>
      <c r="AI47" s="161">
        <f>IFERROR(AH47/AG47,0)</f>
        <v>0.8201289564949078</v>
      </c>
      <c r="AJ47" s="154">
        <f>+AH47-AG47</f>
        <v>-180.12699999999995</v>
      </c>
      <c r="BF47" s="154"/>
      <c r="BG47" s="154"/>
      <c r="BH47" s="154"/>
      <c r="BI47" s="154"/>
      <c r="BJ47" s="163" t="s">
        <v>80</v>
      </c>
      <c r="BK47" s="164">
        <f>+AH36</f>
        <v>1001.423</v>
      </c>
      <c r="BL47" s="165">
        <f>+AH37</f>
        <v>821.29600000000005</v>
      </c>
      <c r="BM47" s="161">
        <f>IFERROR(BL47/BK47,0)</f>
        <v>0.8201289564949078</v>
      </c>
      <c r="BN47" s="154">
        <f>+BL47-BK47</f>
        <v>-180.12699999999995</v>
      </c>
    </row>
    <row r="48" spans="1:66" ht="35.25" customHeight="1" x14ac:dyDescent="0.2">
      <c r="A48" s="166"/>
      <c r="B48" s="163" t="s">
        <v>81</v>
      </c>
      <c r="C48" s="167">
        <f>+D39</f>
        <v>449.48</v>
      </c>
      <c r="D48" s="165">
        <f>+D40</f>
        <v>449.48</v>
      </c>
      <c r="E48" s="161">
        <f>IFERROR(D48/C48,0)</f>
        <v>1</v>
      </c>
      <c r="F48" s="154">
        <f>+D48-C48</f>
        <v>0</v>
      </c>
      <c r="J48" s="163" t="s">
        <v>81</v>
      </c>
      <c r="K48" s="154">
        <f>+L39</f>
        <v>2012.4740000000002</v>
      </c>
      <c r="L48" s="165">
        <f>+L40</f>
        <v>2012.4740000000002</v>
      </c>
      <c r="M48" s="161">
        <f>IFERROR(L48/K48,0)</f>
        <v>1</v>
      </c>
      <c r="N48" s="154">
        <f>+L48-K48</f>
        <v>0</v>
      </c>
      <c r="R48" s="163" t="s">
        <v>81</v>
      </c>
      <c r="S48" s="154">
        <f>+T39</f>
        <v>3187.096</v>
      </c>
      <c r="T48" s="165">
        <f>+T40</f>
        <v>3187.096</v>
      </c>
      <c r="U48" s="161">
        <f>IFERROR(T48/S48,0)</f>
        <v>1</v>
      </c>
      <c r="V48" s="154">
        <f>+T48-S48</f>
        <v>0</v>
      </c>
      <c r="Z48" s="163" t="s">
        <v>81</v>
      </c>
      <c r="AA48" s="154">
        <f>+AB39</f>
        <v>4473.0560000000005</v>
      </c>
      <c r="AB48" s="165">
        <f>+AB40</f>
        <v>3733.3460000000005</v>
      </c>
      <c r="AC48" s="161">
        <f>IFERROR(AB48/AA48,0)</f>
        <v>0.83462983696157622</v>
      </c>
      <c r="AD48" s="154">
        <f>+AB48-AA48</f>
        <v>-739.71</v>
      </c>
      <c r="AF48" s="163" t="s">
        <v>81</v>
      </c>
      <c r="AG48" s="154">
        <f>+AH39</f>
        <v>5523.0560000000005</v>
      </c>
      <c r="AH48" s="165">
        <f>+AH40</f>
        <v>4783.3460000000005</v>
      </c>
      <c r="AI48" s="161">
        <f>IFERROR(AH48/AG48,0)</f>
        <v>0.86606871268370267</v>
      </c>
      <c r="AJ48" s="154">
        <f>+AH48-AG48</f>
        <v>-739.71</v>
      </c>
      <c r="BF48" s="154"/>
      <c r="BG48" s="154"/>
      <c r="BH48" s="154"/>
      <c r="BI48" s="154"/>
      <c r="BJ48" s="163" t="s">
        <v>81</v>
      </c>
      <c r="BK48" s="154">
        <f>+AH39</f>
        <v>5523.0560000000005</v>
      </c>
      <c r="BL48" s="165">
        <f>+AH40</f>
        <v>4783.3460000000005</v>
      </c>
      <c r="BM48" s="161">
        <f>IFERROR(BL48/BK48,0)</f>
        <v>0.86606871268370267</v>
      </c>
      <c r="BN48" s="154">
        <f>+BL48-BK48</f>
        <v>-739.71</v>
      </c>
    </row>
    <row r="49" spans="1:66" ht="35.25" customHeight="1" thickBot="1" x14ac:dyDescent="0.25">
      <c r="A49" s="166"/>
      <c r="B49" s="168" t="s">
        <v>82</v>
      </c>
      <c r="C49" s="169" t="e">
        <f>+D42</f>
        <v>#N/A</v>
      </c>
      <c r="D49" s="170">
        <f>+D43</f>
        <v>94.5</v>
      </c>
      <c r="E49" s="161">
        <f>IFERROR(D49/C49,0)</f>
        <v>0</v>
      </c>
      <c r="F49" s="154" t="e">
        <f>+D49-C49</f>
        <v>#N/A</v>
      </c>
      <c r="J49" s="168" t="s">
        <v>82</v>
      </c>
      <c r="K49" s="171" t="e">
        <f>+L42</f>
        <v>#N/A</v>
      </c>
      <c r="L49" s="170">
        <f>+L43</f>
        <v>390.57</v>
      </c>
      <c r="M49" s="161">
        <f>IFERROR(L49/K49,0)</f>
        <v>0</v>
      </c>
      <c r="N49" s="154" t="e">
        <f>+L49-K49</f>
        <v>#N/A</v>
      </c>
      <c r="R49" s="168" t="s">
        <v>82</v>
      </c>
      <c r="S49" s="171" t="e">
        <f>+T42</f>
        <v>#N/A</v>
      </c>
      <c r="T49" s="170">
        <f>+T43</f>
        <v>752.81999999999994</v>
      </c>
      <c r="U49" s="161">
        <f>IFERROR(T49/S49,0)</f>
        <v>0</v>
      </c>
      <c r="V49" s="154" t="e">
        <f>+T49-S49</f>
        <v>#N/A</v>
      </c>
      <c r="Z49" s="168" t="s">
        <v>82</v>
      </c>
      <c r="AA49" s="171" t="e">
        <f>+AB42</f>
        <v>#N/A</v>
      </c>
      <c r="AB49" s="170">
        <f>+AB43</f>
        <v>926.06999999999994</v>
      </c>
      <c r="AC49" s="161">
        <f>IFERROR(AB49/AA49,0)</f>
        <v>0</v>
      </c>
      <c r="AD49" s="154" t="e">
        <f>+AB49-AA49</f>
        <v>#N/A</v>
      </c>
      <c r="AF49" s="168" t="s">
        <v>82</v>
      </c>
      <c r="AG49" s="171" t="e">
        <f>+AH42</f>
        <v>#N/A</v>
      </c>
      <c r="AH49" s="170">
        <f>+AH43</f>
        <v>1168.6199999999999</v>
      </c>
      <c r="AI49" s="161">
        <f>IFERROR(AH49/AG49,0)</f>
        <v>0</v>
      </c>
      <c r="AJ49" s="154" t="e">
        <f>+AH49-AG49</f>
        <v>#N/A</v>
      </c>
      <c r="BF49" s="154"/>
      <c r="BG49" s="154"/>
      <c r="BH49" s="154"/>
      <c r="BI49" s="154"/>
      <c r="BJ49" s="168" t="s">
        <v>82</v>
      </c>
      <c r="BK49" s="171" t="e">
        <f>+AH42</f>
        <v>#N/A</v>
      </c>
      <c r="BL49" s="170">
        <f>+AH43</f>
        <v>1168.6199999999999</v>
      </c>
      <c r="BM49" s="161">
        <f>IFERROR(BL49/BK49,0)</f>
        <v>0</v>
      </c>
      <c r="BN49" s="154" t="e">
        <f>+BL49-BK49</f>
        <v>#N/A</v>
      </c>
    </row>
    <row r="50" spans="1:66" ht="35.25" customHeight="1" thickBot="1" x14ac:dyDescent="0.25">
      <c r="A50" s="166"/>
      <c r="B50" s="172" t="s">
        <v>38</v>
      </c>
      <c r="C50" s="173" t="e">
        <f>SUM(C46:C49)</f>
        <v>#N/A</v>
      </c>
      <c r="D50" s="174">
        <f>SUM(D46:D49)</f>
        <v>1206.5160000000001</v>
      </c>
      <c r="E50" s="175">
        <f>IFERROR(D50/C50,0)</f>
        <v>0</v>
      </c>
      <c r="F50" s="176" t="e">
        <f>+D50-C50</f>
        <v>#N/A</v>
      </c>
      <c r="J50" s="172" t="s">
        <v>38</v>
      </c>
      <c r="K50" s="173" t="e">
        <f>SUM(K46:K49)</f>
        <v>#N/A</v>
      </c>
      <c r="L50" s="174">
        <f>SUM(L46:L49)</f>
        <v>5731.8389999999999</v>
      </c>
      <c r="M50" s="175">
        <f>IFERROR(L50/K50,0)</f>
        <v>0</v>
      </c>
      <c r="N50" s="176" t="e">
        <f>+L50-K50</f>
        <v>#N/A</v>
      </c>
      <c r="R50" s="172" t="s">
        <v>38</v>
      </c>
      <c r="S50" s="173" t="e">
        <f>SUM(S46:S49)</f>
        <v>#N/A</v>
      </c>
      <c r="T50" s="174">
        <f>SUM(T46:T49)</f>
        <v>10096.796</v>
      </c>
      <c r="U50" s="175">
        <f>IFERROR(T50/S50,0)</f>
        <v>0</v>
      </c>
      <c r="V50" s="176" t="e">
        <f>+T50-S50</f>
        <v>#N/A</v>
      </c>
      <c r="Z50" s="172" t="s">
        <v>38</v>
      </c>
      <c r="AA50" s="173" t="e">
        <f>SUM(AA46:AA49)</f>
        <v>#N/A</v>
      </c>
      <c r="AB50" s="174">
        <f>SUM(AB46:AB49)</f>
        <v>11894.023000000001</v>
      </c>
      <c r="AC50" s="175">
        <f>IFERROR(AB50/AA50,0)</f>
        <v>0</v>
      </c>
      <c r="AD50" s="176" t="e">
        <f>+AB50-AA50</f>
        <v>#N/A</v>
      </c>
      <c r="AF50" s="172" t="s">
        <v>38</v>
      </c>
      <c r="AG50" s="173" t="e">
        <f>SUM(AG46:AG49)</f>
        <v>#N/A</v>
      </c>
      <c r="AH50" s="174">
        <f>SUM(AH46:AH49)</f>
        <v>15216.573</v>
      </c>
      <c r="AI50" s="175">
        <f>IFERROR(AH50/AG50,0)</f>
        <v>0</v>
      </c>
      <c r="AJ50" s="176" t="e">
        <f>+AH50-AG50</f>
        <v>#N/A</v>
      </c>
      <c r="BF50" s="177"/>
      <c r="BG50" s="177"/>
      <c r="BH50" s="177"/>
      <c r="BI50" s="177"/>
      <c r="BJ50" s="172" t="s">
        <v>38</v>
      </c>
      <c r="BK50" s="173" t="e">
        <f>SUM(BK46:BK49)</f>
        <v>#N/A</v>
      </c>
      <c r="BL50" s="174">
        <f>SUM(BL46:BL49)</f>
        <v>15216.573</v>
      </c>
      <c r="BM50" s="175">
        <f>IFERROR(BL50/BK50,0)</f>
        <v>0</v>
      </c>
      <c r="BN50" s="176" t="e">
        <f>+BL50-BK50</f>
        <v>#N/A</v>
      </c>
    </row>
    <row r="51" spans="1:66" ht="18" customHeight="1" x14ac:dyDescent="0.2">
      <c r="A51" s="166"/>
      <c r="B51" s="108"/>
      <c r="C51" s="108"/>
      <c r="D51" s="108"/>
      <c r="E51" s="108"/>
      <c r="F51" s="108"/>
      <c r="G51" s="108"/>
      <c r="H51" s="108"/>
      <c r="I51" s="108"/>
      <c r="J51" s="108"/>
      <c r="K51" s="108"/>
      <c r="L51" s="108"/>
      <c r="M51" s="108"/>
      <c r="N51" s="178"/>
      <c r="O51" s="178"/>
      <c r="P51" s="178"/>
      <c r="Q51" s="108"/>
      <c r="R51" s="108"/>
      <c r="S51" s="178"/>
      <c r="T51" s="178"/>
      <c r="U51" s="178"/>
      <c r="V51" s="107">
        <f t="shared" ref="V51:V61" si="24">+R51-Q51</f>
        <v>0</v>
      </c>
      <c r="W51" s="108"/>
      <c r="X51" s="108"/>
      <c r="Y51" s="108"/>
      <c r="Z51" s="108"/>
      <c r="AA51" s="108"/>
      <c r="AB51" s="108"/>
      <c r="AC51" s="108"/>
      <c r="AD51" s="108"/>
      <c r="AE51" s="108"/>
      <c r="AF51" s="108"/>
      <c r="AG51" s="108"/>
      <c r="AH51" s="108"/>
      <c r="AI51" s="108"/>
      <c r="AJ51" s="108"/>
      <c r="AK51" s="108"/>
      <c r="AL51" s="108"/>
      <c r="AM51" s="108"/>
      <c r="AN51" s="108"/>
      <c r="AO51" s="108"/>
      <c r="AP51" s="108"/>
      <c r="AQ51" s="108"/>
      <c r="AR51" s="154"/>
      <c r="AS51" s="154"/>
      <c r="AT51" s="154"/>
      <c r="AU51" s="154"/>
      <c r="AV51" s="177"/>
      <c r="AW51" s="177"/>
      <c r="AX51" s="108"/>
      <c r="AY51" s="108"/>
      <c r="AZ51" s="108"/>
      <c r="BA51" s="177"/>
      <c r="BB51" s="177"/>
      <c r="BC51" s="177"/>
      <c r="BD51" s="177"/>
      <c r="BE51" s="108"/>
      <c r="BF51" s="154"/>
      <c r="BG51" s="154"/>
      <c r="BH51" s="108"/>
      <c r="BI51" s="108"/>
      <c r="BJ51" s="108"/>
      <c r="BK51" s="109"/>
      <c r="BL51" s="108"/>
      <c r="BM51" s="108"/>
      <c r="BN51" s="108"/>
    </row>
    <row r="52" spans="1:66" ht="12" customHeight="1" x14ac:dyDescent="0.2">
      <c r="A52" s="179"/>
      <c r="B52" s="108"/>
      <c r="C52" s="108"/>
      <c r="D52" s="108"/>
      <c r="E52" s="108"/>
      <c r="F52" s="108"/>
      <c r="G52" s="108"/>
      <c r="H52" s="108"/>
      <c r="I52" s="108"/>
      <c r="J52" s="108"/>
      <c r="K52" s="108"/>
      <c r="L52" s="108"/>
      <c r="M52" s="108"/>
      <c r="N52" s="178"/>
      <c r="O52" s="178"/>
      <c r="P52" s="178"/>
      <c r="Q52" s="154"/>
      <c r="R52" s="154"/>
      <c r="S52" s="178"/>
      <c r="T52" s="178"/>
      <c r="U52" s="178"/>
      <c r="V52" s="107">
        <f t="shared" si="24"/>
        <v>0</v>
      </c>
      <c r="W52" s="108"/>
      <c r="X52" s="108"/>
      <c r="Y52" s="108"/>
      <c r="Z52" s="108"/>
      <c r="AA52" s="108"/>
      <c r="AB52" s="108"/>
      <c r="AC52" s="108"/>
      <c r="AD52" s="108"/>
      <c r="AE52" s="108"/>
      <c r="AF52" s="108"/>
      <c r="AG52" s="108"/>
      <c r="AH52" s="108"/>
      <c r="AI52" s="108"/>
      <c r="AJ52" s="108"/>
      <c r="AK52" s="108"/>
      <c r="AL52" s="108"/>
      <c r="AM52" s="108"/>
      <c r="AN52" s="108"/>
      <c r="AO52" s="108"/>
      <c r="AP52" s="108"/>
      <c r="AQ52" s="108"/>
      <c r="AR52" s="154"/>
      <c r="AS52" s="154"/>
      <c r="AT52" s="154"/>
      <c r="AU52" s="154"/>
      <c r="AV52" s="108"/>
      <c r="AW52" s="108"/>
      <c r="AX52" s="108"/>
      <c r="AY52" s="108"/>
      <c r="AZ52" s="108"/>
      <c r="BA52" s="108"/>
      <c r="BB52" s="108"/>
      <c r="BC52" s="108"/>
      <c r="BD52" s="108"/>
      <c r="BE52" s="108"/>
      <c r="BF52" s="108"/>
      <c r="BG52" s="108"/>
      <c r="BH52" s="108"/>
      <c r="BI52" s="108"/>
      <c r="BJ52" s="108"/>
      <c r="BK52" s="109"/>
      <c r="BL52" s="108"/>
      <c r="BM52" s="108"/>
      <c r="BN52" s="108"/>
    </row>
    <row r="53" spans="1:66" ht="12" customHeight="1" x14ac:dyDescent="0.2">
      <c r="A53" s="179"/>
      <c r="B53" s="108"/>
      <c r="C53" s="108"/>
      <c r="D53" s="108"/>
      <c r="E53" s="108"/>
      <c r="F53" s="108"/>
      <c r="G53" s="108"/>
      <c r="H53" s="108"/>
      <c r="I53" s="108"/>
      <c r="J53" s="108"/>
      <c r="K53" s="108"/>
      <c r="L53" s="108"/>
      <c r="M53" s="108"/>
      <c r="N53" s="178"/>
      <c r="O53" s="178"/>
      <c r="P53" s="178"/>
      <c r="Q53" s="108"/>
      <c r="R53" s="108"/>
      <c r="S53" s="178"/>
      <c r="T53" s="178"/>
      <c r="U53" s="178"/>
      <c r="V53" s="107">
        <f t="shared" si="24"/>
        <v>0</v>
      </c>
      <c r="W53" s="108"/>
      <c r="X53" s="108"/>
      <c r="Y53" s="108"/>
      <c r="Z53" s="108"/>
      <c r="AA53" s="108"/>
      <c r="AB53" s="108"/>
      <c r="AC53" s="108"/>
      <c r="AD53" s="108"/>
      <c r="AE53" s="108"/>
      <c r="AF53" s="108"/>
      <c r="AG53" s="108"/>
      <c r="AH53" s="108"/>
      <c r="AI53" s="108"/>
      <c r="AJ53" s="108"/>
      <c r="AK53" s="108"/>
      <c r="AL53" s="108"/>
      <c r="AM53" s="108"/>
      <c r="AN53" s="108"/>
      <c r="AO53" s="108"/>
      <c r="AP53" s="108"/>
      <c r="AQ53" s="108"/>
      <c r="AR53" s="154"/>
      <c r="AS53" s="154"/>
      <c r="AT53" s="154"/>
      <c r="AU53" s="154"/>
      <c r="AV53" s="108"/>
      <c r="AW53" s="108"/>
      <c r="AX53" s="108"/>
      <c r="AY53" s="108"/>
      <c r="AZ53" s="108"/>
      <c r="BA53" s="108"/>
      <c r="BB53" s="108"/>
      <c r="BC53" s="108"/>
      <c r="BD53" s="108"/>
      <c r="BE53" s="108"/>
      <c r="BF53" s="154"/>
      <c r="BG53" s="154"/>
      <c r="BH53" s="108"/>
      <c r="BI53" s="108"/>
      <c r="BJ53" s="108"/>
      <c r="BK53" s="109"/>
      <c r="BL53" s="108"/>
      <c r="BM53" s="108"/>
      <c r="BN53" s="108"/>
    </row>
    <row r="54" spans="1:66" ht="12" customHeight="1" x14ac:dyDescent="0.2">
      <c r="A54" s="179"/>
      <c r="B54" s="108"/>
      <c r="C54" s="108"/>
      <c r="D54" s="108"/>
      <c r="E54" s="108"/>
      <c r="F54" s="108"/>
      <c r="G54" s="108"/>
      <c r="H54" s="108"/>
      <c r="I54" s="108"/>
      <c r="J54" s="108"/>
      <c r="K54" s="108"/>
      <c r="L54" s="108"/>
      <c r="M54" s="108"/>
      <c r="N54" s="178"/>
      <c r="O54" s="178"/>
      <c r="P54" s="178"/>
      <c r="Q54" s="154"/>
      <c r="R54" s="154"/>
      <c r="S54" s="178"/>
      <c r="T54" s="178"/>
      <c r="U54" s="178"/>
      <c r="V54" s="107">
        <f t="shared" si="24"/>
        <v>0</v>
      </c>
      <c r="W54" s="108"/>
      <c r="X54" s="108"/>
      <c r="Y54" s="108"/>
      <c r="Z54" s="108"/>
      <c r="AA54" s="108"/>
      <c r="AB54" s="108"/>
      <c r="AC54" s="108"/>
      <c r="AD54" s="108"/>
      <c r="AE54" s="108"/>
      <c r="AF54" s="154"/>
      <c r="AG54" s="154"/>
      <c r="AH54" s="154"/>
      <c r="AI54" s="154"/>
      <c r="AJ54" s="154"/>
      <c r="AK54" s="154"/>
      <c r="AL54" s="154"/>
      <c r="AM54" s="154"/>
      <c r="AN54" s="154"/>
      <c r="AO54" s="154"/>
      <c r="AP54" s="154"/>
      <c r="AQ54" s="154"/>
      <c r="AR54" s="154"/>
      <c r="AS54" s="154"/>
      <c r="AT54" s="154"/>
      <c r="AU54" s="154"/>
      <c r="AV54" s="154"/>
      <c r="AW54" s="154"/>
      <c r="AX54" s="154"/>
      <c r="AY54" s="154"/>
      <c r="AZ54" s="154"/>
      <c r="BA54" s="154"/>
      <c r="BB54" s="154"/>
      <c r="BC54" s="154"/>
      <c r="BD54" s="154"/>
      <c r="BE54" s="154"/>
      <c r="BF54" s="152"/>
      <c r="BG54" s="108"/>
      <c r="BH54" s="108"/>
      <c r="BI54" s="108"/>
      <c r="BJ54" s="108"/>
      <c r="BK54" s="109"/>
      <c r="BL54" s="108"/>
      <c r="BM54" s="108"/>
      <c r="BN54" s="108"/>
    </row>
    <row r="55" spans="1:66" ht="12" customHeight="1" x14ac:dyDescent="0.2">
      <c r="A55" s="179"/>
      <c r="B55" s="108"/>
      <c r="C55" s="108"/>
      <c r="D55" s="108"/>
      <c r="E55" s="108"/>
      <c r="F55" s="108"/>
      <c r="G55" s="108"/>
      <c r="H55" s="108"/>
      <c r="I55" s="108"/>
      <c r="J55" s="108"/>
      <c r="K55" s="108"/>
      <c r="L55" s="108"/>
      <c r="M55" s="108"/>
      <c r="N55" s="178"/>
      <c r="O55" s="178"/>
      <c r="P55" s="178"/>
      <c r="Q55" s="108"/>
      <c r="R55" s="108"/>
      <c r="S55" s="178"/>
      <c r="T55" s="178"/>
      <c r="U55" s="178"/>
      <c r="V55" s="107">
        <f t="shared" si="24"/>
        <v>0</v>
      </c>
      <c r="W55" s="108"/>
      <c r="X55" s="108"/>
      <c r="Y55" s="108"/>
      <c r="Z55" s="108"/>
      <c r="AA55" s="108"/>
      <c r="AB55" s="108"/>
      <c r="AC55" s="108"/>
      <c r="AD55" s="108"/>
      <c r="AE55" s="108"/>
      <c r="AF55" s="108"/>
      <c r="AG55" s="108"/>
      <c r="AH55" s="108"/>
      <c r="AI55" s="108"/>
      <c r="AJ55" s="108"/>
      <c r="AK55" s="108"/>
      <c r="AL55" s="108"/>
      <c r="AM55" s="108"/>
      <c r="AN55" s="108"/>
      <c r="AO55" s="108"/>
      <c r="AP55" s="108"/>
      <c r="AQ55" s="108"/>
      <c r="AR55" s="108"/>
      <c r="AS55" s="108"/>
      <c r="AT55" s="108"/>
      <c r="AU55" s="108"/>
      <c r="AV55" s="108"/>
      <c r="AW55" s="108"/>
      <c r="AX55" s="108"/>
      <c r="AY55" s="108"/>
      <c r="AZ55" s="108"/>
      <c r="BA55" s="108"/>
      <c r="BB55" s="108"/>
      <c r="BC55" s="108"/>
      <c r="BD55" s="108"/>
      <c r="BE55" s="154"/>
      <c r="BF55" s="108"/>
      <c r="BG55" s="180"/>
      <c r="BH55" s="108"/>
      <c r="BI55" s="108"/>
      <c r="BJ55" s="108"/>
      <c r="BK55" s="109"/>
      <c r="BL55" s="108"/>
      <c r="BM55" s="108"/>
      <c r="BN55" s="108"/>
    </row>
    <row r="56" spans="1:66" ht="12" customHeight="1" x14ac:dyDescent="0.2">
      <c r="A56" s="179"/>
      <c r="B56" s="108"/>
      <c r="C56" s="108"/>
      <c r="D56" s="108"/>
      <c r="E56" s="108"/>
      <c r="F56" s="108"/>
      <c r="G56" s="108"/>
      <c r="H56" s="108"/>
      <c r="I56" s="108"/>
      <c r="J56" s="108"/>
      <c r="K56" s="108"/>
      <c r="L56" s="108"/>
      <c r="M56" s="108"/>
      <c r="N56" s="178"/>
      <c r="O56" s="178"/>
      <c r="P56" s="178"/>
      <c r="Q56" s="154"/>
      <c r="R56" s="154"/>
      <c r="S56" s="178"/>
      <c r="T56" s="178"/>
      <c r="U56" s="178"/>
      <c r="V56" s="107">
        <f t="shared" si="24"/>
        <v>0</v>
      </c>
      <c r="W56" s="108"/>
      <c r="X56" s="108"/>
      <c r="Y56" s="108"/>
      <c r="Z56" s="108"/>
      <c r="AA56" s="108"/>
      <c r="AB56" s="108"/>
      <c r="AC56" s="108"/>
      <c r="AD56" s="108"/>
      <c r="AE56" s="108"/>
      <c r="AF56" s="154"/>
      <c r="AG56" s="154"/>
      <c r="AH56" s="154"/>
      <c r="AI56" s="154"/>
      <c r="AJ56" s="154"/>
      <c r="AK56" s="154"/>
      <c r="AL56" s="154"/>
      <c r="AM56" s="154"/>
      <c r="AN56" s="154"/>
      <c r="AO56" s="154"/>
      <c r="AP56" s="154"/>
      <c r="AQ56" s="154"/>
      <c r="AR56" s="154"/>
      <c r="AS56" s="154"/>
      <c r="AT56" s="154"/>
      <c r="AU56" s="154"/>
      <c r="AV56" s="154"/>
      <c r="AW56" s="154"/>
      <c r="AX56" s="154"/>
      <c r="AY56" s="154"/>
      <c r="AZ56" s="154"/>
      <c r="BA56" s="154"/>
      <c r="BB56" s="154"/>
      <c r="BC56" s="154"/>
      <c r="BD56" s="154"/>
      <c r="BE56" s="154"/>
      <c r="BF56" s="108"/>
      <c r="BG56" s="108"/>
      <c r="BH56" s="108"/>
      <c r="BI56" s="108"/>
      <c r="BJ56" s="108"/>
      <c r="BK56" s="109"/>
      <c r="BL56" s="108"/>
      <c r="BM56" s="108"/>
      <c r="BN56" s="108"/>
    </row>
    <row r="57" spans="1:66" ht="12" customHeight="1" x14ac:dyDescent="0.2">
      <c r="A57" s="179"/>
      <c r="B57" s="108"/>
      <c r="C57" s="108"/>
      <c r="D57" s="108"/>
      <c r="E57" s="108"/>
      <c r="F57" s="108"/>
      <c r="G57" s="108"/>
      <c r="H57" s="108"/>
      <c r="I57" s="108"/>
      <c r="J57" s="108"/>
      <c r="K57" s="108"/>
      <c r="L57" s="108"/>
      <c r="M57" s="108"/>
      <c r="N57" s="178"/>
      <c r="O57" s="178"/>
      <c r="P57" s="178"/>
      <c r="Q57" s="108"/>
      <c r="R57" s="108"/>
      <c r="S57" s="178"/>
      <c r="T57" s="178"/>
      <c r="U57" s="178"/>
      <c r="V57" s="107">
        <f t="shared" si="24"/>
        <v>0</v>
      </c>
      <c r="W57" s="108"/>
      <c r="X57" s="108"/>
      <c r="Y57" s="108"/>
      <c r="Z57" s="108"/>
      <c r="AA57" s="108"/>
      <c r="AB57" s="108"/>
      <c r="AC57" s="108"/>
      <c r="AD57" s="108"/>
      <c r="AE57" s="108"/>
      <c r="AF57" s="108"/>
      <c r="AG57" s="108"/>
      <c r="AH57" s="108"/>
      <c r="AI57" s="108"/>
      <c r="AJ57" s="108"/>
      <c r="AK57" s="108"/>
      <c r="AL57" s="108"/>
      <c r="AM57" s="108"/>
      <c r="AN57" s="108"/>
      <c r="AO57" s="108"/>
      <c r="AP57" s="108"/>
      <c r="AQ57" s="108"/>
      <c r="AR57" s="108"/>
      <c r="AS57" s="108"/>
      <c r="AT57" s="108"/>
      <c r="AU57" s="108"/>
      <c r="AV57" s="108"/>
      <c r="AW57" s="108"/>
      <c r="AX57" s="108"/>
      <c r="AY57" s="108"/>
      <c r="AZ57" s="108"/>
      <c r="BA57" s="108"/>
      <c r="BB57" s="108"/>
      <c r="BC57" s="108"/>
      <c r="BD57" s="108"/>
      <c r="BE57" s="108"/>
      <c r="BF57" s="108"/>
      <c r="BG57" s="108"/>
      <c r="BH57" s="108"/>
      <c r="BI57" s="108"/>
      <c r="BJ57" s="108"/>
      <c r="BK57" s="109"/>
      <c r="BL57" s="108"/>
      <c r="BM57" s="108"/>
      <c r="BN57" s="108"/>
    </row>
    <row r="58" spans="1:66" ht="12" customHeight="1" x14ac:dyDescent="0.2">
      <c r="A58" s="179"/>
      <c r="B58" s="108"/>
      <c r="C58" s="108"/>
      <c r="D58" s="108"/>
      <c r="E58" s="108"/>
      <c r="F58" s="108"/>
      <c r="G58" s="108"/>
      <c r="H58" s="108"/>
      <c r="I58" s="108"/>
      <c r="J58" s="108"/>
      <c r="K58" s="108"/>
      <c r="L58" s="108"/>
      <c r="M58" s="108"/>
      <c r="N58" s="178"/>
      <c r="O58" s="178"/>
      <c r="P58" s="178"/>
      <c r="Q58" s="154"/>
      <c r="R58" s="154"/>
      <c r="S58" s="178"/>
      <c r="T58" s="178"/>
      <c r="U58" s="178"/>
      <c r="V58" s="107">
        <f t="shared" si="24"/>
        <v>0</v>
      </c>
      <c r="W58" s="108"/>
      <c r="X58" s="108"/>
      <c r="Y58" s="108"/>
      <c r="Z58" s="108"/>
      <c r="AA58" s="108"/>
      <c r="AB58" s="108"/>
      <c r="AC58" s="108"/>
      <c r="AD58" s="108"/>
      <c r="AE58" s="108"/>
      <c r="AF58" s="108"/>
      <c r="AG58" s="108"/>
      <c r="AH58" s="108"/>
      <c r="AI58" s="108"/>
      <c r="AJ58" s="108"/>
      <c r="AK58" s="108"/>
      <c r="AL58" s="108"/>
      <c r="AM58" s="108"/>
      <c r="AN58" s="108"/>
      <c r="AO58" s="108"/>
      <c r="AP58" s="108"/>
      <c r="AQ58" s="108"/>
      <c r="AR58" s="108"/>
      <c r="AS58" s="108"/>
      <c r="AT58" s="108"/>
      <c r="AU58" s="108"/>
      <c r="AV58" s="108"/>
      <c r="AW58" s="108"/>
      <c r="AX58" s="108"/>
      <c r="AY58" s="108"/>
      <c r="AZ58" s="108"/>
      <c r="BA58" s="108"/>
      <c r="BB58" s="108"/>
      <c r="BC58" s="108"/>
      <c r="BD58" s="108"/>
      <c r="BE58" s="108"/>
      <c r="BF58" s="108"/>
      <c r="BG58" s="108"/>
      <c r="BH58" s="108"/>
      <c r="BI58" s="108"/>
      <c r="BJ58" s="108"/>
      <c r="BK58" s="109"/>
      <c r="BL58" s="108"/>
      <c r="BM58" s="108"/>
      <c r="BN58" s="108"/>
    </row>
    <row r="59" spans="1:66" ht="12" customHeight="1" x14ac:dyDescent="0.2">
      <c r="A59" s="179"/>
      <c r="B59" s="108"/>
      <c r="C59" s="108"/>
      <c r="D59" s="108"/>
      <c r="E59" s="108"/>
      <c r="F59" s="108"/>
      <c r="G59" s="108"/>
      <c r="H59" s="108"/>
      <c r="I59" s="108"/>
      <c r="J59" s="108"/>
      <c r="K59" s="108"/>
      <c r="L59" s="108"/>
      <c r="M59" s="108"/>
      <c r="N59" s="178"/>
      <c r="O59" s="178"/>
      <c r="P59" s="178"/>
      <c r="Q59" s="178"/>
      <c r="R59" s="178"/>
      <c r="S59" s="178"/>
      <c r="T59" s="178"/>
      <c r="U59" s="178"/>
      <c r="V59" s="107">
        <f t="shared" si="24"/>
        <v>0</v>
      </c>
      <c r="W59" s="108"/>
      <c r="X59" s="108"/>
      <c r="Y59" s="108"/>
      <c r="Z59" s="108"/>
      <c r="AA59" s="108"/>
      <c r="AB59" s="108"/>
      <c r="AC59" s="108"/>
      <c r="AD59" s="108"/>
      <c r="AE59" s="108"/>
      <c r="AF59" s="108"/>
      <c r="AG59" s="108"/>
      <c r="AH59" s="108"/>
      <c r="AI59" s="108"/>
      <c r="AJ59" s="108"/>
      <c r="AK59" s="108"/>
      <c r="AL59" s="108"/>
      <c r="AM59" s="108"/>
      <c r="AN59" s="108"/>
      <c r="AO59" s="108"/>
      <c r="AP59" s="108"/>
      <c r="AQ59" s="108"/>
      <c r="AR59" s="108"/>
      <c r="AS59" s="108"/>
      <c r="AT59" s="108"/>
      <c r="AU59" s="108"/>
      <c r="AV59" s="108"/>
      <c r="AW59" s="108"/>
      <c r="AX59" s="108"/>
      <c r="AY59" s="108"/>
      <c r="AZ59" s="108"/>
      <c r="BA59" s="108"/>
      <c r="BB59" s="108"/>
      <c r="BC59" s="108"/>
      <c r="BD59" s="108"/>
      <c r="BE59" s="108"/>
      <c r="BF59" s="108"/>
      <c r="BG59" s="108"/>
      <c r="BH59" s="108"/>
      <c r="BI59" s="108"/>
      <c r="BJ59" s="108"/>
      <c r="BK59" s="109"/>
      <c r="BL59" s="108"/>
      <c r="BM59" s="108"/>
      <c r="BN59" s="108"/>
    </row>
    <row r="60" spans="1:66" ht="12" customHeight="1" x14ac:dyDescent="0.2">
      <c r="A60" s="179"/>
      <c r="B60" s="108"/>
      <c r="C60" s="108"/>
      <c r="D60" s="108"/>
      <c r="E60" s="108"/>
      <c r="F60" s="108"/>
      <c r="G60" s="108"/>
      <c r="H60" s="108"/>
      <c r="I60" s="108"/>
      <c r="J60" s="108"/>
      <c r="K60" s="108"/>
      <c r="L60" s="108"/>
      <c r="M60" s="108"/>
      <c r="N60" s="178"/>
      <c r="O60" s="178"/>
      <c r="P60" s="178"/>
      <c r="Q60" s="178"/>
      <c r="R60" s="178"/>
      <c r="S60" s="178"/>
      <c r="T60" s="178"/>
      <c r="U60" s="178"/>
      <c r="V60" s="107">
        <f t="shared" si="24"/>
        <v>0</v>
      </c>
      <c r="W60" s="108"/>
      <c r="X60" s="108"/>
      <c r="Y60" s="108"/>
      <c r="Z60" s="108"/>
      <c r="AA60" s="108"/>
      <c r="AB60" s="108"/>
      <c r="AC60" s="108"/>
      <c r="AD60" s="108"/>
      <c r="AE60" s="108"/>
      <c r="AF60" s="108"/>
      <c r="AG60" s="108"/>
      <c r="AH60" s="108"/>
      <c r="AI60" s="108"/>
      <c r="AJ60" s="108"/>
      <c r="AK60" s="108"/>
      <c r="AL60" s="108"/>
      <c r="AM60" s="108"/>
      <c r="AN60" s="108"/>
      <c r="AO60" s="108"/>
      <c r="AP60" s="108"/>
      <c r="AQ60" s="108"/>
      <c r="AR60" s="108"/>
      <c r="AS60" s="108"/>
      <c r="AT60" s="108"/>
      <c r="AU60" s="108"/>
      <c r="AV60" s="108"/>
      <c r="AW60" s="108"/>
      <c r="AX60" s="108"/>
      <c r="AY60" s="108"/>
      <c r="AZ60" s="108"/>
      <c r="BA60" s="108"/>
      <c r="BB60" s="108"/>
      <c r="BC60" s="108"/>
      <c r="BD60" s="108"/>
      <c r="BE60" s="108"/>
      <c r="BF60" s="108"/>
      <c r="BG60" s="108"/>
      <c r="BH60" s="108"/>
      <c r="BI60" s="108"/>
      <c r="BJ60" s="108"/>
      <c r="BK60" s="109"/>
      <c r="BL60" s="108"/>
      <c r="BM60" s="108"/>
      <c r="BN60" s="108"/>
    </row>
    <row r="61" spans="1:66" ht="12" customHeight="1" x14ac:dyDescent="0.2">
      <c r="A61" s="179"/>
      <c r="B61" s="108"/>
      <c r="C61" s="108"/>
      <c r="D61" s="108"/>
      <c r="E61" s="108"/>
      <c r="F61" s="108"/>
      <c r="G61" s="108"/>
      <c r="H61" s="108"/>
      <c r="I61" s="108"/>
      <c r="J61" s="108"/>
      <c r="K61" s="108"/>
      <c r="L61" s="108"/>
      <c r="M61" s="108"/>
      <c r="N61" s="178"/>
      <c r="O61" s="178"/>
      <c r="P61" s="178"/>
      <c r="Q61" s="107">
        <f>+SUM(Q52:Q58)</f>
        <v>0</v>
      </c>
      <c r="R61" s="107">
        <f>+SUM(R52:R58)</f>
        <v>0</v>
      </c>
      <c r="S61" s="178"/>
      <c r="T61" s="178"/>
      <c r="U61" s="178"/>
      <c r="V61" s="107">
        <f t="shared" si="24"/>
        <v>0</v>
      </c>
      <c r="W61" s="108"/>
      <c r="X61" s="108"/>
      <c r="Y61" s="108"/>
      <c r="Z61" s="108"/>
      <c r="AA61" s="108"/>
      <c r="AB61" s="108"/>
      <c r="AC61" s="108"/>
      <c r="AD61" s="108"/>
      <c r="AE61" s="108"/>
      <c r="AF61" s="108"/>
      <c r="AG61" s="108"/>
      <c r="AH61" s="108"/>
      <c r="AI61" s="108"/>
      <c r="AJ61" s="108"/>
      <c r="AK61" s="108"/>
      <c r="AL61" s="108"/>
      <c r="AM61" s="108"/>
      <c r="AN61" s="108"/>
      <c r="AO61" s="108"/>
      <c r="AP61" s="108"/>
      <c r="AQ61" s="108"/>
      <c r="AR61" s="108"/>
      <c r="AS61" s="108"/>
      <c r="AT61" s="108"/>
      <c r="AU61" s="108"/>
      <c r="AV61" s="108"/>
      <c r="AW61" s="108"/>
      <c r="AX61" s="108"/>
      <c r="AY61" s="108"/>
      <c r="AZ61" s="108"/>
      <c r="BA61" s="108"/>
      <c r="BB61" s="108"/>
      <c r="BC61" s="108"/>
      <c r="BD61" s="108"/>
      <c r="BE61" s="108"/>
      <c r="BF61" s="108"/>
      <c r="BG61" s="108"/>
      <c r="BH61" s="108"/>
      <c r="BI61" s="108"/>
      <c r="BJ61" s="108"/>
      <c r="BK61" s="109"/>
      <c r="BL61" s="108"/>
      <c r="BM61" s="108"/>
      <c r="BN61" s="108"/>
    </row>
    <row r="62" spans="1:66" ht="12" customHeight="1" x14ac:dyDescent="0.2">
      <c r="A62" s="179"/>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c r="AA62" s="108"/>
      <c r="AB62" s="108"/>
      <c r="AC62" s="108"/>
      <c r="AD62" s="108"/>
      <c r="AE62" s="108"/>
      <c r="AF62" s="108"/>
      <c r="AG62" s="108"/>
      <c r="AH62" s="108"/>
      <c r="AI62" s="108"/>
      <c r="AJ62" s="108"/>
      <c r="AK62" s="108"/>
      <c r="AL62" s="108"/>
      <c r="AM62" s="108"/>
      <c r="AN62" s="108"/>
      <c r="AO62" s="108"/>
      <c r="AP62" s="108"/>
      <c r="AQ62" s="108"/>
      <c r="AR62" s="108"/>
      <c r="AS62" s="108"/>
      <c r="AT62" s="108"/>
      <c r="AU62" s="108"/>
      <c r="AV62" s="108"/>
      <c r="AW62" s="108"/>
      <c r="AX62" s="108"/>
      <c r="AY62" s="108"/>
      <c r="AZ62" s="108"/>
      <c r="BA62" s="108"/>
      <c r="BB62" s="108"/>
      <c r="BC62" s="108"/>
      <c r="BD62" s="108"/>
      <c r="BE62" s="108"/>
      <c r="BF62" s="108"/>
      <c r="BG62" s="108"/>
      <c r="BH62" s="108"/>
      <c r="BI62" s="108"/>
      <c r="BJ62" s="108"/>
      <c r="BK62" s="109"/>
      <c r="BL62" s="108"/>
      <c r="BM62" s="108"/>
      <c r="BN62" s="108"/>
    </row>
    <row r="63" spans="1:66" ht="12" customHeight="1" x14ac:dyDescent="0.2">
      <c r="A63" s="179"/>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c r="AA63" s="108"/>
      <c r="AB63" s="108"/>
      <c r="AC63" s="108"/>
      <c r="AD63" s="108"/>
      <c r="AE63" s="108"/>
      <c r="AF63" s="108"/>
      <c r="AG63" s="108"/>
      <c r="AH63" s="108"/>
      <c r="AI63" s="108"/>
      <c r="AJ63" s="108"/>
      <c r="AK63" s="108"/>
      <c r="AL63" s="108"/>
      <c r="AM63" s="108"/>
      <c r="AN63" s="108"/>
      <c r="AO63" s="108"/>
      <c r="AP63" s="108"/>
      <c r="AQ63" s="108"/>
      <c r="AR63" s="108"/>
      <c r="AS63" s="108"/>
      <c r="AT63" s="108"/>
      <c r="AU63" s="108"/>
      <c r="AV63" s="108"/>
      <c r="AW63" s="108"/>
      <c r="AX63" s="108"/>
      <c r="AY63" s="108"/>
      <c r="AZ63" s="108"/>
      <c r="BA63" s="108"/>
      <c r="BB63" s="108"/>
      <c r="BC63" s="108"/>
      <c r="BD63" s="108"/>
      <c r="BE63" s="108"/>
      <c r="BF63" s="108"/>
      <c r="BG63" s="108"/>
      <c r="BH63" s="108"/>
      <c r="BI63" s="108"/>
      <c r="BJ63" s="108"/>
      <c r="BK63" s="109"/>
      <c r="BL63" s="108"/>
      <c r="BM63" s="108"/>
      <c r="BN63" s="108"/>
    </row>
    <row r="64" spans="1:66" ht="12" customHeight="1" x14ac:dyDescent="0.2">
      <c r="A64" s="179"/>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c r="AA64" s="108"/>
      <c r="AB64" s="108"/>
      <c r="AC64" s="108"/>
      <c r="AD64" s="108"/>
      <c r="AE64" s="108"/>
      <c r="AF64" s="108"/>
      <c r="AG64" s="108"/>
      <c r="AH64" s="108"/>
      <c r="AI64" s="108"/>
      <c r="AJ64" s="108"/>
      <c r="AK64" s="108"/>
      <c r="AL64" s="108"/>
      <c r="AM64" s="108"/>
      <c r="AN64" s="108"/>
      <c r="AO64" s="108"/>
      <c r="AP64" s="108"/>
      <c r="AQ64" s="108"/>
      <c r="AR64" s="108"/>
      <c r="AS64" s="108"/>
      <c r="AT64" s="108"/>
      <c r="AU64" s="108"/>
      <c r="AV64" s="108"/>
      <c r="AW64" s="108"/>
      <c r="AX64" s="108"/>
      <c r="AY64" s="108"/>
      <c r="AZ64" s="108"/>
      <c r="BA64" s="108"/>
      <c r="BB64" s="108"/>
      <c r="BC64" s="108"/>
      <c r="BD64" s="108"/>
      <c r="BE64" s="108"/>
      <c r="BF64" s="108"/>
      <c r="BG64" s="108"/>
      <c r="BH64" s="108"/>
      <c r="BI64" s="108"/>
      <c r="BJ64" s="108"/>
      <c r="BK64" s="109"/>
      <c r="BL64" s="108"/>
      <c r="BM64" s="108"/>
      <c r="BN64" s="108"/>
    </row>
    <row r="65" spans="1:66" ht="12" customHeight="1" x14ac:dyDescent="0.2">
      <c r="A65" s="179"/>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c r="AA65" s="108"/>
      <c r="AB65" s="108"/>
      <c r="AC65" s="108"/>
      <c r="AD65" s="108"/>
      <c r="AE65" s="108"/>
      <c r="AF65" s="108"/>
      <c r="AG65" s="108"/>
      <c r="AH65" s="108"/>
      <c r="AI65" s="108"/>
      <c r="AJ65" s="108"/>
      <c r="AK65" s="108"/>
      <c r="AL65" s="108"/>
      <c r="AM65" s="108"/>
      <c r="AN65" s="108"/>
      <c r="AO65" s="108"/>
      <c r="AP65" s="108"/>
      <c r="AQ65" s="108"/>
      <c r="AR65" s="108"/>
      <c r="AS65" s="108"/>
      <c r="AT65" s="108"/>
      <c r="AU65" s="108"/>
      <c r="AV65" s="108"/>
      <c r="AW65" s="108"/>
      <c r="AX65" s="108"/>
      <c r="AY65" s="108"/>
      <c r="AZ65" s="108"/>
      <c r="BA65" s="108"/>
      <c r="BB65" s="108"/>
      <c r="BC65" s="108"/>
      <c r="BD65" s="108"/>
      <c r="BE65" s="108"/>
      <c r="BF65" s="108"/>
      <c r="BG65" s="108"/>
      <c r="BH65" s="108"/>
      <c r="BI65" s="108"/>
      <c r="BJ65" s="108"/>
      <c r="BK65" s="109"/>
      <c r="BL65" s="108"/>
      <c r="BM65" s="108"/>
      <c r="BN65" s="108"/>
    </row>
    <row r="66" spans="1:66" ht="12" customHeight="1" x14ac:dyDescent="0.2">
      <c r="A66" s="179"/>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c r="AA66" s="108"/>
      <c r="AB66" s="108"/>
      <c r="AC66" s="108"/>
      <c r="AD66" s="108"/>
      <c r="AE66" s="108"/>
      <c r="AF66" s="108"/>
      <c r="AG66" s="108"/>
      <c r="AH66" s="108"/>
      <c r="AI66" s="108"/>
      <c r="AJ66" s="108"/>
      <c r="AK66" s="108"/>
      <c r="AL66" s="108"/>
      <c r="AM66" s="108"/>
      <c r="AN66" s="108"/>
      <c r="AO66" s="108"/>
      <c r="AP66" s="108"/>
      <c r="AQ66" s="108"/>
      <c r="AR66" s="108"/>
      <c r="AS66" s="108"/>
      <c r="AT66" s="108"/>
      <c r="AU66" s="108"/>
      <c r="AV66" s="108"/>
      <c r="AW66" s="108"/>
      <c r="AX66" s="108"/>
      <c r="AY66" s="108"/>
      <c r="AZ66" s="108"/>
      <c r="BA66" s="108"/>
      <c r="BB66" s="108"/>
      <c r="BC66" s="108"/>
      <c r="BD66" s="108"/>
      <c r="BE66" s="108"/>
      <c r="BF66" s="108"/>
      <c r="BG66" s="108"/>
      <c r="BH66" s="108"/>
      <c r="BI66" s="108"/>
      <c r="BJ66" s="108"/>
      <c r="BK66" s="109"/>
      <c r="BL66" s="108"/>
      <c r="BM66" s="108"/>
      <c r="BN66" s="108"/>
    </row>
    <row r="67" spans="1:66" ht="12" customHeight="1" x14ac:dyDescent="0.2">
      <c r="A67" s="179"/>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c r="AA67" s="108"/>
      <c r="AB67" s="108"/>
      <c r="AC67" s="108"/>
      <c r="AD67" s="108"/>
      <c r="AE67" s="108"/>
      <c r="AF67" s="108"/>
      <c r="AG67" s="108"/>
      <c r="AH67" s="108"/>
      <c r="AI67" s="108"/>
      <c r="AJ67" s="108"/>
      <c r="AK67" s="108"/>
      <c r="AL67" s="108"/>
      <c r="AM67" s="108"/>
      <c r="AN67" s="108"/>
      <c r="AO67" s="108"/>
      <c r="AP67" s="108"/>
      <c r="AQ67" s="108"/>
      <c r="AR67" s="108"/>
      <c r="AS67" s="108"/>
      <c r="AT67" s="108"/>
      <c r="AU67" s="108"/>
      <c r="AV67" s="108"/>
      <c r="AW67" s="108"/>
      <c r="AX67" s="108"/>
      <c r="AY67" s="108"/>
      <c r="AZ67" s="108"/>
      <c r="BA67" s="108"/>
      <c r="BB67" s="108"/>
      <c r="BC67" s="108"/>
      <c r="BD67" s="108"/>
      <c r="BE67" s="108"/>
      <c r="BF67" s="108"/>
      <c r="BG67" s="108"/>
      <c r="BH67" s="108"/>
      <c r="BI67" s="108"/>
      <c r="BJ67" s="108"/>
      <c r="BK67" s="109"/>
      <c r="BL67" s="108"/>
      <c r="BM67" s="108"/>
      <c r="BN67" s="108"/>
    </row>
    <row r="68" spans="1:66" ht="12" customHeight="1" x14ac:dyDescent="0.2">
      <c r="A68" s="179"/>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c r="AA68" s="108"/>
      <c r="AB68" s="108"/>
      <c r="AC68" s="108"/>
      <c r="AD68" s="108"/>
      <c r="AE68" s="108"/>
      <c r="AF68" s="108"/>
      <c r="AG68" s="108"/>
      <c r="AH68" s="108"/>
      <c r="AI68" s="108"/>
      <c r="AJ68" s="108"/>
      <c r="AK68" s="108"/>
      <c r="AL68" s="108"/>
      <c r="AM68" s="108"/>
      <c r="AN68" s="108"/>
      <c r="AO68" s="108"/>
      <c r="AP68" s="108"/>
      <c r="AQ68" s="108"/>
      <c r="AR68" s="108"/>
      <c r="AS68" s="108"/>
      <c r="AT68" s="108"/>
      <c r="AU68" s="108"/>
      <c r="AV68" s="108"/>
      <c r="AW68" s="108"/>
      <c r="AX68" s="108"/>
      <c r="AY68" s="108"/>
      <c r="AZ68" s="108"/>
      <c r="BA68" s="108"/>
      <c r="BB68" s="108"/>
      <c r="BC68" s="108"/>
      <c r="BD68" s="108"/>
      <c r="BE68" s="108"/>
      <c r="BF68" s="108"/>
      <c r="BG68" s="108"/>
      <c r="BH68" s="108"/>
      <c r="BI68" s="108"/>
      <c r="BJ68" s="108"/>
      <c r="BK68" s="109"/>
      <c r="BL68" s="108"/>
      <c r="BM68" s="108"/>
      <c r="BN68" s="108"/>
    </row>
    <row r="69" spans="1:66" ht="12" customHeight="1" x14ac:dyDescent="0.2">
      <c r="A69" s="179"/>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c r="AA69" s="108"/>
      <c r="AB69" s="108"/>
      <c r="AC69" s="108"/>
      <c r="AD69" s="108"/>
      <c r="AE69" s="108"/>
      <c r="AF69" s="108"/>
      <c r="AG69" s="108"/>
      <c r="AH69" s="108"/>
      <c r="AI69" s="108"/>
      <c r="AJ69" s="108"/>
      <c r="AK69" s="108"/>
      <c r="AL69" s="108"/>
      <c r="AM69" s="108"/>
      <c r="AN69" s="108"/>
      <c r="AO69" s="108"/>
      <c r="AP69" s="108"/>
      <c r="AQ69" s="108"/>
      <c r="AR69" s="108"/>
      <c r="AS69" s="108"/>
      <c r="AT69" s="108"/>
      <c r="AU69" s="108"/>
      <c r="AV69" s="108"/>
      <c r="AW69" s="108"/>
      <c r="AX69" s="108"/>
      <c r="AY69" s="108"/>
      <c r="AZ69" s="108"/>
      <c r="BA69" s="108"/>
      <c r="BB69" s="108"/>
      <c r="BC69" s="108"/>
      <c r="BD69" s="108"/>
      <c r="BE69" s="108"/>
      <c r="BF69" s="108"/>
      <c r="BG69" s="108"/>
      <c r="BH69" s="108"/>
      <c r="BI69" s="108"/>
      <c r="BJ69" s="108"/>
      <c r="BK69" s="109"/>
      <c r="BL69" s="108"/>
      <c r="BM69" s="108"/>
      <c r="BN69" s="108"/>
    </row>
    <row r="70" spans="1:66" ht="12" customHeight="1" x14ac:dyDescent="0.2">
      <c r="A70" s="179"/>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c r="AA70" s="108"/>
      <c r="AB70" s="108"/>
      <c r="AC70" s="108"/>
      <c r="AD70" s="108"/>
      <c r="AE70" s="108"/>
      <c r="AF70" s="108"/>
      <c r="AG70" s="108"/>
      <c r="AH70" s="108"/>
      <c r="AI70" s="108"/>
      <c r="AJ70" s="108"/>
      <c r="AK70" s="108"/>
      <c r="AL70" s="108"/>
      <c r="AM70" s="108"/>
      <c r="AN70" s="108"/>
      <c r="AO70" s="108"/>
      <c r="AP70" s="108"/>
      <c r="AQ70" s="108"/>
      <c r="AR70" s="108"/>
      <c r="AS70" s="108"/>
      <c r="AT70" s="108"/>
      <c r="AU70" s="108"/>
      <c r="AV70" s="108"/>
      <c r="AW70" s="108"/>
      <c r="AX70" s="108"/>
      <c r="AY70" s="108"/>
      <c r="AZ70" s="108"/>
      <c r="BA70" s="108"/>
      <c r="BB70" s="108"/>
      <c r="BC70" s="108"/>
      <c r="BD70" s="108"/>
      <c r="BE70" s="108"/>
      <c r="BF70" s="108"/>
      <c r="BG70" s="108"/>
      <c r="BH70" s="108"/>
      <c r="BI70" s="108"/>
      <c r="BJ70" s="108"/>
      <c r="BK70" s="109"/>
      <c r="BL70" s="108"/>
      <c r="BM70" s="108"/>
      <c r="BN70" s="108"/>
    </row>
    <row r="71" spans="1:66" ht="12" customHeight="1" x14ac:dyDescent="0.2">
      <c r="A71" s="179"/>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c r="AA71" s="108"/>
      <c r="AB71" s="108"/>
      <c r="AC71" s="108"/>
      <c r="AD71" s="108"/>
      <c r="AE71" s="108"/>
      <c r="AF71" s="108"/>
      <c r="AG71" s="108"/>
      <c r="AH71" s="108"/>
      <c r="AI71" s="108"/>
      <c r="AJ71" s="108"/>
      <c r="AK71" s="108"/>
      <c r="AL71" s="108"/>
      <c r="AM71" s="108"/>
      <c r="AN71" s="108"/>
      <c r="AO71" s="108"/>
      <c r="AP71" s="108"/>
      <c r="AQ71" s="108"/>
      <c r="AR71" s="108"/>
      <c r="AS71" s="108"/>
      <c r="AT71" s="108"/>
      <c r="AU71" s="108"/>
      <c r="AV71" s="108"/>
      <c r="AW71" s="108"/>
      <c r="AX71" s="108"/>
      <c r="AY71" s="108"/>
      <c r="AZ71" s="108"/>
      <c r="BA71" s="108"/>
      <c r="BB71" s="108"/>
      <c r="BC71" s="108"/>
      <c r="BD71" s="108"/>
      <c r="BE71" s="108"/>
      <c r="BF71" s="108"/>
      <c r="BG71" s="108"/>
      <c r="BH71" s="108"/>
      <c r="BI71" s="108"/>
      <c r="BJ71" s="108"/>
      <c r="BK71" s="109"/>
      <c r="BL71" s="108"/>
      <c r="BM71" s="108"/>
      <c r="BN71" s="108"/>
    </row>
    <row r="72" spans="1:66" ht="12" customHeight="1" x14ac:dyDescent="0.2">
      <c r="A72" s="179"/>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c r="AA72" s="108"/>
      <c r="AB72" s="108"/>
      <c r="AC72" s="108"/>
      <c r="AD72" s="108"/>
      <c r="AE72" s="108"/>
      <c r="AF72" s="108"/>
      <c r="AG72" s="108"/>
      <c r="AH72" s="108"/>
      <c r="AI72" s="108"/>
      <c r="AJ72" s="108"/>
      <c r="AK72" s="108"/>
      <c r="AL72" s="108"/>
      <c r="AM72" s="108"/>
      <c r="AN72" s="108"/>
      <c r="AO72" s="108"/>
      <c r="AP72" s="108"/>
      <c r="AQ72" s="108"/>
      <c r="AR72" s="108"/>
      <c r="AS72" s="108"/>
      <c r="AT72" s="108"/>
      <c r="AU72" s="108"/>
      <c r="AV72" s="108"/>
      <c r="AW72" s="108"/>
      <c r="AX72" s="108"/>
      <c r="AY72" s="108"/>
      <c r="AZ72" s="108"/>
      <c r="BA72" s="108"/>
      <c r="BB72" s="108"/>
      <c r="BC72" s="108"/>
      <c r="BD72" s="108"/>
      <c r="BE72" s="108"/>
      <c r="BF72" s="108"/>
      <c r="BG72" s="108"/>
      <c r="BH72" s="108"/>
      <c r="BI72" s="108"/>
      <c r="BJ72" s="108"/>
      <c r="BK72" s="109"/>
      <c r="BL72" s="108"/>
      <c r="BM72" s="108"/>
      <c r="BN72" s="108"/>
    </row>
    <row r="73" spans="1:66" ht="12" customHeight="1" x14ac:dyDescent="0.2">
      <c r="A73" s="179"/>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c r="AA73" s="108"/>
      <c r="AB73" s="108"/>
      <c r="AC73" s="108"/>
      <c r="AD73" s="108"/>
      <c r="AE73" s="108"/>
      <c r="AF73" s="108"/>
      <c r="AG73" s="108"/>
      <c r="AH73" s="108"/>
      <c r="AI73" s="108"/>
      <c r="AJ73" s="108"/>
      <c r="AK73" s="108"/>
      <c r="AL73" s="108"/>
      <c r="AM73" s="108"/>
      <c r="AN73" s="108"/>
      <c r="AO73" s="108"/>
      <c r="AP73" s="108"/>
      <c r="AQ73" s="108"/>
      <c r="AR73" s="108"/>
      <c r="AS73" s="108"/>
      <c r="AT73" s="108"/>
      <c r="AU73" s="108"/>
      <c r="AV73" s="108"/>
      <c r="AW73" s="108"/>
      <c r="AX73" s="108"/>
      <c r="AY73" s="108"/>
      <c r="AZ73" s="108"/>
      <c r="BA73" s="108"/>
      <c r="BB73" s="108"/>
      <c r="BC73" s="108"/>
      <c r="BD73" s="108"/>
      <c r="BE73" s="108"/>
      <c r="BF73" s="108"/>
      <c r="BG73" s="108"/>
      <c r="BH73" s="108"/>
      <c r="BI73" s="108"/>
      <c r="BJ73" s="108"/>
      <c r="BK73" s="109"/>
      <c r="BL73" s="108"/>
      <c r="BM73" s="108"/>
      <c r="BN73" s="108"/>
    </row>
    <row r="74" spans="1:66" ht="12" customHeight="1" x14ac:dyDescent="0.2">
      <c r="A74" s="179"/>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c r="AA74" s="108"/>
      <c r="AB74" s="108"/>
      <c r="AC74" s="108"/>
      <c r="AD74" s="108"/>
      <c r="AE74" s="108"/>
      <c r="AF74" s="108"/>
      <c r="AG74" s="108"/>
      <c r="AH74" s="108"/>
      <c r="AI74" s="108"/>
      <c r="AJ74" s="108"/>
      <c r="AK74" s="108"/>
      <c r="AL74" s="108"/>
      <c r="AM74" s="108"/>
      <c r="AN74" s="108"/>
      <c r="AO74" s="108"/>
      <c r="AP74" s="108"/>
      <c r="AQ74" s="108"/>
      <c r="AR74" s="108"/>
      <c r="AS74" s="108"/>
      <c r="AT74" s="108"/>
      <c r="AU74" s="108"/>
      <c r="AV74" s="108"/>
      <c r="AW74" s="108"/>
      <c r="AX74" s="108"/>
      <c r="AY74" s="108"/>
      <c r="AZ74" s="108"/>
      <c r="BA74" s="108"/>
      <c r="BB74" s="108"/>
      <c r="BC74" s="108"/>
      <c r="BD74" s="108"/>
      <c r="BE74" s="108"/>
      <c r="BF74" s="108"/>
      <c r="BG74" s="108"/>
      <c r="BH74" s="108"/>
      <c r="BI74" s="108"/>
      <c r="BJ74" s="108"/>
      <c r="BK74" s="109"/>
      <c r="BL74" s="108"/>
      <c r="BM74" s="108"/>
      <c r="BN74" s="108"/>
    </row>
    <row r="75" spans="1:66" ht="12" customHeight="1" x14ac:dyDescent="0.2">
      <c r="A75" s="179"/>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c r="AA75" s="108"/>
      <c r="AB75" s="108"/>
      <c r="AC75" s="108"/>
      <c r="AD75" s="108"/>
      <c r="AE75" s="108"/>
      <c r="AF75" s="108"/>
      <c r="AG75" s="108"/>
      <c r="AH75" s="108"/>
      <c r="AI75" s="108"/>
      <c r="AJ75" s="108"/>
      <c r="AK75" s="108"/>
      <c r="AL75" s="108"/>
      <c r="AM75" s="108"/>
      <c r="AN75" s="108"/>
      <c r="AO75" s="108"/>
      <c r="AP75" s="108"/>
      <c r="AQ75" s="108"/>
      <c r="AR75" s="108"/>
      <c r="AS75" s="108"/>
      <c r="AT75" s="108"/>
      <c r="AU75" s="108"/>
      <c r="AV75" s="108"/>
      <c r="AW75" s="108"/>
      <c r="AX75" s="108"/>
      <c r="AY75" s="108"/>
      <c r="AZ75" s="108"/>
      <c r="BA75" s="108"/>
      <c r="BB75" s="108"/>
      <c r="BC75" s="108"/>
      <c r="BD75" s="108"/>
      <c r="BE75" s="108"/>
      <c r="BF75" s="108"/>
      <c r="BG75" s="108"/>
      <c r="BH75" s="108"/>
      <c r="BI75" s="108"/>
      <c r="BJ75" s="108"/>
      <c r="BK75" s="109"/>
      <c r="BL75" s="108"/>
      <c r="BM75" s="108"/>
      <c r="BN75" s="108"/>
    </row>
    <row r="76" spans="1:66" ht="12" customHeight="1" x14ac:dyDescent="0.2">
      <c r="A76" s="179"/>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c r="AA76" s="108"/>
      <c r="AB76" s="108"/>
      <c r="AC76" s="108"/>
      <c r="AD76" s="108"/>
      <c r="AE76" s="108"/>
      <c r="AF76" s="108"/>
      <c r="AG76" s="108"/>
      <c r="AH76" s="108"/>
      <c r="AI76" s="108"/>
      <c r="AJ76" s="108"/>
      <c r="AK76" s="108"/>
      <c r="AL76" s="108"/>
      <c r="AM76" s="108"/>
      <c r="AN76" s="108"/>
      <c r="AO76" s="108"/>
      <c r="AP76" s="108"/>
      <c r="AQ76" s="108"/>
      <c r="AR76" s="108"/>
      <c r="AS76" s="108"/>
      <c r="AT76" s="108"/>
      <c r="AU76" s="108"/>
      <c r="AV76" s="108"/>
      <c r="AW76" s="108"/>
      <c r="AX76" s="108"/>
      <c r="AY76" s="108"/>
      <c r="AZ76" s="108"/>
      <c r="BA76" s="108"/>
      <c r="BB76" s="108"/>
      <c r="BC76" s="108"/>
      <c r="BD76" s="108"/>
      <c r="BE76" s="108"/>
      <c r="BF76" s="108"/>
      <c r="BG76" s="108"/>
      <c r="BH76" s="108"/>
      <c r="BI76" s="108"/>
      <c r="BJ76" s="108"/>
      <c r="BK76" s="109"/>
      <c r="BL76" s="108"/>
      <c r="BM76" s="108"/>
      <c r="BN76" s="108"/>
    </row>
    <row r="77" spans="1:66" ht="12" customHeight="1" x14ac:dyDescent="0.2">
      <c r="A77" s="179"/>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c r="AA77" s="108"/>
      <c r="AB77" s="108"/>
      <c r="AC77" s="108"/>
      <c r="AD77" s="108"/>
      <c r="AE77" s="108"/>
      <c r="AF77" s="108"/>
      <c r="AG77" s="108"/>
      <c r="AH77" s="108"/>
      <c r="AI77" s="108"/>
      <c r="AJ77" s="108"/>
      <c r="AK77" s="108"/>
      <c r="AL77" s="108"/>
      <c r="AM77" s="108"/>
      <c r="AN77" s="108"/>
      <c r="AO77" s="108"/>
      <c r="AP77" s="108"/>
      <c r="AQ77" s="108"/>
      <c r="AR77" s="108"/>
      <c r="AS77" s="108"/>
      <c r="AT77" s="108"/>
      <c r="AU77" s="108"/>
      <c r="AV77" s="108"/>
      <c r="AW77" s="108"/>
      <c r="AX77" s="108"/>
      <c r="AY77" s="108"/>
      <c r="AZ77" s="108"/>
      <c r="BA77" s="108"/>
      <c r="BB77" s="108"/>
      <c r="BC77" s="108"/>
      <c r="BD77" s="108"/>
      <c r="BE77" s="108"/>
      <c r="BF77" s="108"/>
      <c r="BG77" s="108"/>
      <c r="BH77" s="108"/>
      <c r="BI77" s="108"/>
      <c r="BJ77" s="108"/>
      <c r="BK77" s="109"/>
      <c r="BL77" s="108"/>
      <c r="BM77" s="108"/>
      <c r="BN77" s="108"/>
    </row>
    <row r="78" spans="1:66" ht="12" customHeight="1" x14ac:dyDescent="0.2">
      <c r="A78" s="179"/>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c r="AA78" s="108"/>
      <c r="AB78" s="108"/>
      <c r="AC78" s="108"/>
      <c r="AD78" s="108"/>
      <c r="AE78" s="108"/>
      <c r="AF78" s="108"/>
      <c r="AG78" s="108"/>
      <c r="AH78" s="108"/>
      <c r="AI78" s="108"/>
      <c r="AJ78" s="108"/>
      <c r="AK78" s="108"/>
      <c r="AL78" s="108"/>
      <c r="AM78" s="108"/>
      <c r="AN78" s="108"/>
      <c r="AO78" s="108"/>
      <c r="AP78" s="108"/>
      <c r="AQ78" s="108"/>
      <c r="AR78" s="108"/>
      <c r="AS78" s="108"/>
      <c r="AT78" s="108"/>
      <c r="AU78" s="108"/>
      <c r="AV78" s="108"/>
      <c r="AW78" s="108"/>
      <c r="AX78" s="108"/>
      <c r="AY78" s="108"/>
      <c r="AZ78" s="108"/>
      <c r="BA78" s="108"/>
      <c r="BB78" s="108"/>
      <c r="BC78" s="108"/>
      <c r="BD78" s="108"/>
      <c r="BE78" s="108"/>
      <c r="BF78" s="108"/>
      <c r="BG78" s="108"/>
      <c r="BH78" s="108"/>
      <c r="BI78" s="108"/>
      <c r="BJ78" s="108"/>
      <c r="BK78" s="109"/>
      <c r="BL78" s="108"/>
      <c r="BM78" s="108"/>
      <c r="BN78" s="108"/>
    </row>
    <row r="79" spans="1:66" ht="12" customHeight="1" x14ac:dyDescent="0.2">
      <c r="A79" s="179"/>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c r="AA79" s="108"/>
      <c r="AB79" s="108"/>
      <c r="AC79" s="108"/>
      <c r="AD79" s="108"/>
      <c r="AE79" s="108"/>
      <c r="AF79" s="108"/>
      <c r="AG79" s="108"/>
      <c r="AH79" s="108"/>
      <c r="AI79" s="108"/>
      <c r="AJ79" s="108"/>
      <c r="AK79" s="108"/>
      <c r="AL79" s="108"/>
      <c r="AM79" s="108"/>
      <c r="AN79" s="108"/>
      <c r="AO79" s="108"/>
      <c r="AP79" s="108"/>
      <c r="AQ79" s="108"/>
      <c r="AR79" s="108"/>
      <c r="AS79" s="108"/>
      <c r="AT79" s="108"/>
      <c r="AU79" s="108"/>
      <c r="AV79" s="108"/>
      <c r="AW79" s="108"/>
      <c r="AX79" s="108"/>
      <c r="AY79" s="108"/>
      <c r="AZ79" s="108"/>
      <c r="BA79" s="108"/>
      <c r="BB79" s="108"/>
      <c r="BC79" s="108"/>
      <c r="BD79" s="108"/>
      <c r="BE79" s="108"/>
      <c r="BF79" s="108"/>
      <c r="BG79" s="108"/>
      <c r="BH79" s="108"/>
      <c r="BI79" s="108"/>
      <c r="BJ79" s="108"/>
      <c r="BK79" s="109"/>
      <c r="BL79" s="108"/>
      <c r="BM79" s="108"/>
      <c r="BN79" s="108"/>
    </row>
    <row r="80" spans="1:66" ht="12" customHeight="1" x14ac:dyDescent="0.2">
      <c r="A80" s="179"/>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c r="AA80" s="108"/>
      <c r="AB80" s="108"/>
      <c r="AC80" s="108"/>
      <c r="AD80" s="108"/>
      <c r="AE80" s="108"/>
      <c r="AF80" s="108"/>
      <c r="AG80" s="108"/>
      <c r="AH80" s="108"/>
      <c r="AI80" s="108"/>
      <c r="AJ80" s="108"/>
      <c r="AK80" s="108"/>
      <c r="AL80" s="108"/>
      <c r="AM80" s="108"/>
      <c r="AN80" s="108"/>
      <c r="AO80" s="108"/>
      <c r="AP80" s="108"/>
      <c r="AQ80" s="108"/>
      <c r="AR80" s="108"/>
      <c r="AS80" s="108"/>
      <c r="AT80" s="108"/>
      <c r="AU80" s="108"/>
      <c r="AV80" s="108"/>
      <c r="AW80" s="108"/>
      <c r="AX80" s="108"/>
      <c r="AY80" s="108"/>
      <c r="AZ80" s="108"/>
      <c r="BA80" s="108"/>
      <c r="BB80" s="108"/>
      <c r="BC80" s="108"/>
      <c r="BD80" s="108"/>
      <c r="BE80" s="108"/>
      <c r="BF80" s="108"/>
      <c r="BG80" s="108"/>
      <c r="BH80" s="108"/>
      <c r="BI80" s="108"/>
      <c r="BJ80" s="108"/>
      <c r="BK80" s="109"/>
      <c r="BL80" s="108"/>
      <c r="BM80" s="108"/>
      <c r="BN80" s="108"/>
    </row>
    <row r="81" spans="1:66" ht="12" customHeight="1" x14ac:dyDescent="0.2">
      <c r="A81" s="179"/>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c r="AA81" s="108"/>
      <c r="AB81" s="108"/>
      <c r="AC81" s="108"/>
      <c r="AD81" s="108"/>
      <c r="AE81" s="108"/>
      <c r="AF81" s="108"/>
      <c r="AG81" s="108"/>
      <c r="AH81" s="108"/>
      <c r="AI81" s="108"/>
      <c r="AJ81" s="108"/>
      <c r="AK81" s="108"/>
      <c r="AL81" s="108"/>
      <c r="AM81" s="108"/>
      <c r="AN81" s="108"/>
      <c r="AO81" s="108"/>
      <c r="AP81" s="108"/>
      <c r="AQ81" s="108"/>
      <c r="AR81" s="108"/>
      <c r="AS81" s="108"/>
      <c r="AT81" s="108"/>
      <c r="AU81" s="108"/>
      <c r="AV81" s="108"/>
      <c r="AW81" s="108"/>
      <c r="AX81" s="108"/>
      <c r="AY81" s="108"/>
      <c r="AZ81" s="108"/>
      <c r="BA81" s="108"/>
      <c r="BB81" s="108"/>
      <c r="BC81" s="108"/>
      <c r="BD81" s="108"/>
      <c r="BE81" s="108"/>
      <c r="BF81" s="108"/>
      <c r="BG81" s="108"/>
      <c r="BH81" s="108"/>
      <c r="BI81" s="108"/>
      <c r="BJ81" s="108"/>
      <c r="BK81" s="109"/>
      <c r="BL81" s="108"/>
      <c r="BM81" s="108"/>
      <c r="BN81" s="108"/>
    </row>
    <row r="82" spans="1:66" ht="12" customHeight="1" x14ac:dyDescent="0.2">
      <c r="A82" s="179"/>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c r="AA82" s="108"/>
      <c r="AB82" s="108"/>
      <c r="AC82" s="108"/>
      <c r="AD82" s="108"/>
      <c r="AE82" s="108"/>
      <c r="AF82" s="108"/>
      <c r="AG82" s="108"/>
      <c r="AH82" s="108"/>
      <c r="AI82" s="108"/>
      <c r="AJ82" s="108"/>
      <c r="AK82" s="108"/>
      <c r="AL82" s="108"/>
      <c r="AM82" s="108"/>
      <c r="AN82" s="108"/>
      <c r="AO82" s="108"/>
      <c r="AP82" s="108"/>
      <c r="AQ82" s="108"/>
      <c r="AR82" s="108"/>
      <c r="AS82" s="108"/>
      <c r="AT82" s="108"/>
      <c r="AU82" s="108"/>
      <c r="AV82" s="108"/>
      <c r="AW82" s="108"/>
      <c r="AX82" s="108"/>
      <c r="AY82" s="108"/>
      <c r="AZ82" s="108"/>
      <c r="BA82" s="108"/>
      <c r="BB82" s="108"/>
      <c r="BC82" s="108"/>
      <c r="BD82" s="108"/>
      <c r="BE82" s="108"/>
      <c r="BF82" s="108"/>
      <c r="BG82" s="108"/>
      <c r="BH82" s="108"/>
      <c r="BI82" s="108"/>
      <c r="BJ82" s="108"/>
      <c r="BK82" s="109"/>
      <c r="BL82" s="108"/>
      <c r="BM82" s="108"/>
      <c r="BN82" s="108"/>
    </row>
    <row r="83" spans="1:66" ht="12" customHeight="1" x14ac:dyDescent="0.2">
      <c r="A83" s="179"/>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c r="AA83" s="108"/>
      <c r="AB83" s="108"/>
      <c r="AC83" s="108"/>
      <c r="AD83" s="108"/>
      <c r="AE83" s="108"/>
      <c r="AF83" s="108"/>
      <c r="AG83" s="108"/>
      <c r="AH83" s="108"/>
      <c r="AI83" s="108"/>
      <c r="AJ83" s="108"/>
      <c r="AK83" s="108"/>
      <c r="AL83" s="108"/>
      <c r="AM83" s="108"/>
      <c r="AN83" s="108"/>
      <c r="AO83" s="108"/>
      <c r="AP83" s="108"/>
      <c r="AQ83" s="108"/>
      <c r="AR83" s="108"/>
      <c r="AS83" s="108"/>
      <c r="AT83" s="108"/>
      <c r="AU83" s="108"/>
      <c r="AV83" s="108"/>
      <c r="AW83" s="108"/>
      <c r="AX83" s="108"/>
      <c r="AY83" s="108"/>
      <c r="AZ83" s="108"/>
      <c r="BA83" s="108"/>
      <c r="BB83" s="108"/>
      <c r="BC83" s="108"/>
      <c r="BD83" s="108"/>
      <c r="BE83" s="108"/>
      <c r="BF83" s="108"/>
      <c r="BG83" s="108"/>
      <c r="BH83" s="108"/>
      <c r="BI83" s="108"/>
      <c r="BJ83" s="108"/>
      <c r="BK83" s="109"/>
      <c r="BL83" s="108"/>
      <c r="BM83" s="108"/>
      <c r="BN83" s="108"/>
    </row>
    <row r="84" spans="1:66" ht="12" customHeight="1" x14ac:dyDescent="0.2">
      <c r="A84" s="179"/>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c r="AA84" s="108"/>
      <c r="AB84" s="108"/>
      <c r="AC84" s="108"/>
      <c r="AD84" s="108"/>
      <c r="AE84" s="108"/>
      <c r="AF84" s="108"/>
      <c r="AG84" s="108"/>
      <c r="AH84" s="108"/>
      <c r="AI84" s="108"/>
      <c r="AJ84" s="108"/>
      <c r="AK84" s="108"/>
      <c r="AL84" s="108"/>
      <c r="AM84" s="108"/>
      <c r="AN84" s="108"/>
      <c r="AO84" s="108"/>
      <c r="AP84" s="108"/>
      <c r="AQ84" s="108"/>
      <c r="AR84" s="108"/>
      <c r="AS84" s="108"/>
      <c r="AT84" s="108"/>
      <c r="AU84" s="108"/>
      <c r="AV84" s="108"/>
      <c r="AW84" s="108"/>
      <c r="AX84" s="108"/>
      <c r="AY84" s="108"/>
      <c r="AZ84" s="108"/>
      <c r="BA84" s="108"/>
      <c r="BB84" s="108"/>
      <c r="BC84" s="108"/>
      <c r="BD84" s="108"/>
      <c r="BE84" s="108"/>
      <c r="BF84" s="108"/>
      <c r="BG84" s="108"/>
      <c r="BH84" s="108"/>
      <c r="BI84" s="108"/>
      <c r="BJ84" s="108"/>
      <c r="BK84" s="109"/>
      <c r="BL84" s="108"/>
      <c r="BM84" s="108"/>
      <c r="BN84" s="108"/>
    </row>
    <row r="85" spans="1:66" ht="12" customHeight="1" x14ac:dyDescent="0.2">
      <c r="A85" s="179"/>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c r="AA85" s="108"/>
      <c r="AB85" s="108"/>
      <c r="AC85" s="108"/>
      <c r="AD85" s="108"/>
      <c r="AE85" s="108"/>
      <c r="AF85" s="108"/>
      <c r="AG85" s="108"/>
      <c r="AH85" s="108"/>
      <c r="AI85" s="108"/>
      <c r="AJ85" s="108"/>
      <c r="AK85" s="108"/>
      <c r="AL85" s="108"/>
      <c r="AM85" s="108"/>
      <c r="AN85" s="108"/>
      <c r="AO85" s="108"/>
      <c r="AP85" s="108"/>
      <c r="AQ85" s="108"/>
      <c r="AR85" s="108"/>
      <c r="AS85" s="108"/>
      <c r="AT85" s="108"/>
      <c r="AU85" s="108"/>
      <c r="AV85" s="108"/>
      <c r="AW85" s="108"/>
      <c r="AX85" s="108"/>
      <c r="AY85" s="108"/>
      <c r="AZ85" s="108"/>
      <c r="BA85" s="108"/>
      <c r="BB85" s="108"/>
      <c r="BC85" s="108"/>
      <c r="BD85" s="108"/>
      <c r="BE85" s="108"/>
      <c r="BF85" s="108"/>
      <c r="BG85" s="108"/>
      <c r="BH85" s="108"/>
      <c r="BI85" s="108"/>
      <c r="BJ85" s="108"/>
      <c r="BK85" s="109"/>
      <c r="BL85" s="108"/>
      <c r="BM85" s="108"/>
      <c r="BN85" s="108"/>
    </row>
    <row r="86" spans="1:66" ht="12" customHeight="1" x14ac:dyDescent="0.2">
      <c r="A86" s="179"/>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c r="AA86" s="108"/>
      <c r="AB86" s="108"/>
      <c r="AC86" s="108"/>
      <c r="AD86" s="108"/>
      <c r="AE86" s="108"/>
      <c r="AF86" s="108"/>
      <c r="AG86" s="108"/>
      <c r="AH86" s="108"/>
      <c r="AI86" s="108"/>
      <c r="AJ86" s="108"/>
      <c r="AK86" s="108"/>
      <c r="AL86" s="108"/>
      <c r="AM86" s="108"/>
      <c r="AN86" s="108"/>
      <c r="AO86" s="108"/>
      <c r="AP86" s="108"/>
      <c r="AQ86" s="108"/>
      <c r="AR86" s="108"/>
      <c r="AS86" s="108"/>
      <c r="AT86" s="108"/>
      <c r="AU86" s="108"/>
      <c r="AV86" s="108"/>
      <c r="AW86" s="108"/>
      <c r="AX86" s="108"/>
      <c r="AY86" s="108"/>
      <c r="AZ86" s="108"/>
      <c r="BA86" s="108"/>
      <c r="BB86" s="108"/>
      <c r="BC86" s="108"/>
      <c r="BD86" s="108"/>
      <c r="BE86" s="108"/>
      <c r="BF86" s="108"/>
      <c r="BG86" s="108"/>
      <c r="BH86" s="108"/>
      <c r="BI86" s="108"/>
      <c r="BJ86" s="108"/>
      <c r="BK86" s="109"/>
      <c r="BL86" s="108"/>
      <c r="BM86" s="108"/>
      <c r="BN86" s="108"/>
    </row>
    <row r="87" spans="1:66" ht="12" customHeight="1" x14ac:dyDescent="0.2">
      <c r="A87" s="179"/>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c r="AA87" s="108"/>
      <c r="AB87" s="108"/>
      <c r="AC87" s="108"/>
      <c r="AD87" s="108"/>
      <c r="AE87" s="108"/>
      <c r="AF87" s="108"/>
      <c r="AG87" s="108"/>
      <c r="AH87" s="108"/>
      <c r="AI87" s="108"/>
      <c r="AJ87" s="108"/>
      <c r="AK87" s="108"/>
      <c r="AL87" s="108"/>
      <c r="AM87" s="108"/>
      <c r="AN87" s="108"/>
      <c r="AO87" s="108"/>
      <c r="AP87" s="108"/>
      <c r="AQ87" s="108"/>
      <c r="AR87" s="108"/>
      <c r="AS87" s="108"/>
      <c r="AT87" s="108"/>
      <c r="AU87" s="108"/>
      <c r="AV87" s="108"/>
      <c r="AW87" s="108"/>
      <c r="AX87" s="108"/>
      <c r="AY87" s="108"/>
      <c r="AZ87" s="108"/>
      <c r="BA87" s="108"/>
      <c r="BB87" s="108"/>
      <c r="BC87" s="108"/>
      <c r="BD87" s="108"/>
      <c r="BE87" s="108"/>
      <c r="BF87" s="108"/>
      <c r="BG87" s="108"/>
      <c r="BH87" s="108"/>
      <c r="BI87" s="108"/>
      <c r="BJ87" s="108"/>
      <c r="BK87" s="109"/>
      <c r="BL87" s="108"/>
      <c r="BM87" s="108"/>
      <c r="BN87" s="108"/>
    </row>
    <row r="88" spans="1:66" ht="12" customHeight="1" x14ac:dyDescent="0.2">
      <c r="A88" s="179"/>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c r="AA88" s="108"/>
      <c r="AB88" s="108"/>
      <c r="AC88" s="108"/>
      <c r="AD88" s="108"/>
      <c r="AE88" s="108"/>
      <c r="AF88" s="108"/>
      <c r="AG88" s="108"/>
      <c r="AH88" s="108"/>
      <c r="AI88" s="108"/>
      <c r="AJ88" s="108"/>
      <c r="AK88" s="108"/>
      <c r="AL88" s="108"/>
      <c r="AM88" s="108"/>
      <c r="AN88" s="108"/>
      <c r="AO88" s="108"/>
      <c r="AP88" s="108"/>
      <c r="AQ88" s="108"/>
      <c r="AR88" s="108"/>
      <c r="AS88" s="108"/>
      <c r="AT88" s="108"/>
      <c r="AU88" s="108"/>
      <c r="AV88" s="108"/>
      <c r="AW88" s="108"/>
      <c r="AX88" s="108"/>
      <c r="AY88" s="108"/>
      <c r="AZ88" s="108"/>
      <c r="BA88" s="108"/>
      <c r="BB88" s="108"/>
      <c r="BC88" s="108"/>
      <c r="BD88" s="108"/>
      <c r="BE88" s="108"/>
      <c r="BF88" s="108"/>
      <c r="BG88" s="108"/>
      <c r="BH88" s="108"/>
      <c r="BI88" s="108"/>
      <c r="BJ88" s="108"/>
      <c r="BK88" s="109"/>
      <c r="BL88" s="108"/>
      <c r="BM88" s="108"/>
      <c r="BN88" s="108"/>
    </row>
    <row r="89" spans="1:66" ht="12" customHeight="1" x14ac:dyDescent="0.2">
      <c r="A89" s="179"/>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c r="AA89" s="108"/>
      <c r="AB89" s="108"/>
      <c r="AC89" s="108"/>
      <c r="AD89" s="108"/>
      <c r="AE89" s="108"/>
      <c r="AF89" s="108"/>
      <c r="AG89" s="108"/>
      <c r="AH89" s="108"/>
      <c r="AI89" s="108"/>
      <c r="AJ89" s="108"/>
      <c r="AK89" s="108"/>
      <c r="AL89" s="108"/>
      <c r="AM89" s="108"/>
      <c r="AN89" s="108"/>
      <c r="AO89" s="108"/>
      <c r="AP89" s="108"/>
      <c r="AQ89" s="108"/>
      <c r="AR89" s="108"/>
      <c r="AS89" s="108"/>
      <c r="AT89" s="108"/>
      <c r="AU89" s="108"/>
      <c r="AV89" s="108"/>
      <c r="AW89" s="108"/>
      <c r="AX89" s="108"/>
      <c r="AY89" s="108"/>
      <c r="AZ89" s="108"/>
      <c r="BA89" s="108"/>
      <c r="BB89" s="108"/>
      <c r="BC89" s="108"/>
      <c r="BD89" s="108"/>
      <c r="BE89" s="108"/>
      <c r="BF89" s="108"/>
      <c r="BG89" s="108"/>
      <c r="BH89" s="108"/>
      <c r="BI89" s="108"/>
      <c r="BJ89" s="108"/>
      <c r="BK89" s="109"/>
      <c r="BL89" s="108"/>
      <c r="BM89" s="108"/>
      <c r="BN89" s="108"/>
    </row>
    <row r="90" spans="1:66" ht="12" customHeight="1" x14ac:dyDescent="0.2">
      <c r="A90" s="179"/>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c r="AA90" s="108"/>
      <c r="AB90" s="108"/>
      <c r="AC90" s="108"/>
      <c r="AD90" s="108"/>
      <c r="AE90" s="108"/>
      <c r="AF90" s="108"/>
      <c r="AG90" s="108"/>
      <c r="AH90" s="108"/>
      <c r="AI90" s="108"/>
      <c r="AJ90" s="108"/>
      <c r="AK90" s="108"/>
      <c r="AL90" s="108"/>
      <c r="AM90" s="108"/>
      <c r="AN90" s="108"/>
      <c r="AO90" s="108"/>
      <c r="AP90" s="108"/>
      <c r="AQ90" s="108"/>
      <c r="AR90" s="108"/>
      <c r="AS90" s="108"/>
      <c r="AT90" s="108"/>
      <c r="AU90" s="108"/>
      <c r="AV90" s="108"/>
      <c r="AW90" s="108"/>
      <c r="AX90" s="108"/>
      <c r="AY90" s="108"/>
      <c r="AZ90" s="108"/>
      <c r="BA90" s="108"/>
      <c r="BB90" s="108"/>
      <c r="BC90" s="108"/>
      <c r="BD90" s="108"/>
      <c r="BE90" s="108"/>
      <c r="BF90" s="108"/>
      <c r="BG90" s="108"/>
      <c r="BH90" s="108"/>
      <c r="BI90" s="108"/>
      <c r="BJ90" s="108"/>
      <c r="BK90" s="109"/>
      <c r="BL90" s="108"/>
      <c r="BM90" s="108"/>
      <c r="BN90" s="108"/>
    </row>
    <row r="91" spans="1:66" ht="12" customHeight="1" x14ac:dyDescent="0.2">
      <c r="A91" s="179"/>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c r="AA91" s="108"/>
      <c r="AB91" s="108"/>
      <c r="AC91" s="108"/>
      <c r="AD91" s="108"/>
      <c r="AE91" s="108"/>
      <c r="AF91" s="108"/>
      <c r="AG91" s="108"/>
      <c r="AH91" s="108"/>
      <c r="AI91" s="108"/>
      <c r="AJ91" s="108"/>
      <c r="AK91" s="108"/>
      <c r="AL91" s="108"/>
      <c r="AM91" s="108"/>
      <c r="AN91" s="108"/>
      <c r="AO91" s="108"/>
      <c r="AP91" s="108"/>
      <c r="AQ91" s="108"/>
      <c r="AR91" s="108"/>
      <c r="AS91" s="108"/>
      <c r="AT91" s="108"/>
      <c r="AU91" s="108"/>
      <c r="AV91" s="108"/>
      <c r="AW91" s="108"/>
      <c r="AX91" s="108"/>
      <c r="AY91" s="108"/>
      <c r="AZ91" s="108"/>
      <c r="BA91" s="108"/>
      <c r="BB91" s="108"/>
      <c r="BC91" s="108"/>
      <c r="BD91" s="108"/>
      <c r="BE91" s="108"/>
      <c r="BF91" s="108"/>
      <c r="BG91" s="108"/>
      <c r="BH91" s="108"/>
      <c r="BI91" s="108"/>
      <c r="BJ91" s="108"/>
      <c r="BK91" s="109"/>
      <c r="BL91" s="108"/>
      <c r="BM91" s="108"/>
      <c r="BN91" s="108"/>
    </row>
    <row r="92" spans="1:66" ht="12" customHeight="1" x14ac:dyDescent="0.2">
      <c r="A92" s="179"/>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c r="AA92" s="108"/>
      <c r="AB92" s="108"/>
      <c r="AC92" s="108"/>
      <c r="AD92" s="108"/>
      <c r="AE92" s="108"/>
      <c r="AF92" s="108"/>
      <c r="AG92" s="108"/>
      <c r="AH92" s="108"/>
      <c r="AI92" s="108"/>
      <c r="AJ92" s="108"/>
      <c r="AK92" s="108"/>
      <c r="AL92" s="108"/>
      <c r="AM92" s="108"/>
      <c r="AN92" s="108"/>
      <c r="AO92" s="108"/>
      <c r="AP92" s="108"/>
      <c r="AQ92" s="108"/>
      <c r="AR92" s="108"/>
      <c r="AS92" s="108"/>
      <c r="AT92" s="108"/>
      <c r="AU92" s="108"/>
      <c r="AV92" s="108"/>
      <c r="AW92" s="108"/>
      <c r="AX92" s="108"/>
      <c r="AY92" s="108"/>
      <c r="AZ92" s="108"/>
      <c r="BA92" s="108"/>
      <c r="BB92" s="108"/>
      <c r="BC92" s="108"/>
      <c r="BD92" s="108"/>
      <c r="BE92" s="108"/>
      <c r="BF92" s="108"/>
      <c r="BG92" s="108"/>
      <c r="BH92" s="108"/>
      <c r="BI92" s="108"/>
      <c r="BJ92" s="108"/>
      <c r="BK92" s="109"/>
      <c r="BL92" s="108"/>
      <c r="BM92" s="108"/>
      <c r="BN92" s="108"/>
    </row>
    <row r="93" spans="1:66" ht="12" customHeight="1" x14ac:dyDescent="0.2">
      <c r="A93" s="179"/>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c r="AA93" s="108"/>
      <c r="AB93" s="108"/>
      <c r="AC93" s="108"/>
      <c r="AD93" s="108"/>
      <c r="AE93" s="108"/>
      <c r="AF93" s="108"/>
      <c r="AG93" s="108"/>
      <c r="AH93" s="108"/>
      <c r="AI93" s="108"/>
      <c r="AJ93" s="108"/>
      <c r="AK93" s="108"/>
      <c r="AL93" s="108"/>
      <c r="AM93" s="108"/>
      <c r="AN93" s="108"/>
      <c r="AO93" s="108"/>
      <c r="AP93" s="108"/>
      <c r="AQ93" s="108"/>
      <c r="AR93" s="108"/>
      <c r="AS93" s="108"/>
      <c r="AT93" s="108"/>
      <c r="AU93" s="108"/>
      <c r="AV93" s="108"/>
      <c r="AW93" s="108"/>
      <c r="AX93" s="108"/>
      <c r="AY93" s="108"/>
      <c r="AZ93" s="108"/>
      <c r="BA93" s="108"/>
      <c r="BB93" s="108"/>
      <c r="BC93" s="108"/>
      <c r="BD93" s="108"/>
      <c r="BE93" s="108"/>
      <c r="BF93" s="108"/>
      <c r="BG93" s="108"/>
      <c r="BH93" s="108"/>
      <c r="BI93" s="108"/>
      <c r="BJ93" s="108"/>
      <c r="BK93" s="109"/>
      <c r="BL93" s="108"/>
      <c r="BM93" s="108"/>
      <c r="BN93" s="108"/>
    </row>
    <row r="94" spans="1:66" ht="12" customHeight="1" x14ac:dyDescent="0.2">
      <c r="A94" s="179"/>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c r="AA94" s="108"/>
      <c r="AB94" s="108"/>
      <c r="AC94" s="108"/>
      <c r="AD94" s="108"/>
      <c r="AE94" s="108"/>
      <c r="AF94" s="108"/>
      <c r="AG94" s="108"/>
      <c r="AH94" s="108"/>
      <c r="AI94" s="108"/>
      <c r="AJ94" s="108"/>
      <c r="AK94" s="108"/>
      <c r="AL94" s="108"/>
      <c r="AM94" s="108"/>
      <c r="AN94" s="108"/>
      <c r="AO94" s="108"/>
      <c r="AP94" s="108"/>
      <c r="AQ94" s="108"/>
      <c r="AR94" s="108"/>
      <c r="AS94" s="108"/>
      <c r="AT94" s="108"/>
      <c r="AU94" s="108"/>
      <c r="AV94" s="108"/>
      <c r="AW94" s="108"/>
      <c r="AX94" s="108"/>
      <c r="AY94" s="108"/>
      <c r="AZ94" s="108"/>
      <c r="BA94" s="108"/>
      <c r="BB94" s="108"/>
      <c r="BC94" s="108"/>
      <c r="BD94" s="108"/>
      <c r="BE94" s="108"/>
      <c r="BF94" s="108"/>
      <c r="BG94" s="108"/>
      <c r="BH94" s="108"/>
      <c r="BI94" s="108"/>
      <c r="BJ94" s="108"/>
      <c r="BK94" s="109"/>
      <c r="BL94" s="108"/>
      <c r="BM94" s="108"/>
      <c r="BN94" s="108"/>
    </row>
    <row r="95" spans="1:66" ht="12" customHeight="1" x14ac:dyDescent="0.2">
      <c r="A95" s="179"/>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c r="AA95" s="108"/>
      <c r="AB95" s="108"/>
      <c r="AC95" s="108"/>
      <c r="AD95" s="108"/>
      <c r="AE95" s="108"/>
      <c r="AF95" s="108"/>
      <c r="AG95" s="108"/>
      <c r="AH95" s="108"/>
      <c r="AI95" s="108"/>
      <c r="AJ95" s="108"/>
      <c r="AK95" s="108"/>
      <c r="AL95" s="108"/>
      <c r="AM95" s="108"/>
      <c r="AN95" s="108"/>
      <c r="AO95" s="108"/>
      <c r="AP95" s="108"/>
      <c r="AQ95" s="108"/>
      <c r="AR95" s="108"/>
      <c r="AS95" s="108"/>
      <c r="AT95" s="108"/>
      <c r="AU95" s="108"/>
      <c r="AV95" s="108"/>
      <c r="AW95" s="108"/>
      <c r="AX95" s="108"/>
      <c r="AY95" s="108"/>
      <c r="AZ95" s="108"/>
      <c r="BA95" s="108"/>
      <c r="BB95" s="108"/>
      <c r="BC95" s="108"/>
      <c r="BD95" s="108"/>
      <c r="BE95" s="108"/>
      <c r="BF95" s="108"/>
      <c r="BG95" s="108"/>
      <c r="BH95" s="108"/>
      <c r="BI95" s="108"/>
      <c r="BJ95" s="108"/>
      <c r="BK95" s="109"/>
      <c r="BL95" s="108"/>
      <c r="BM95" s="108"/>
      <c r="BN95" s="108"/>
    </row>
    <row r="96" spans="1:66" ht="12" customHeight="1" x14ac:dyDescent="0.2">
      <c r="A96" s="179"/>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c r="BA96" s="108"/>
      <c r="BB96" s="108"/>
      <c r="BC96" s="108"/>
      <c r="BD96" s="108"/>
      <c r="BE96" s="108"/>
      <c r="BF96" s="108"/>
      <c r="BG96" s="108"/>
      <c r="BH96" s="108"/>
      <c r="BI96" s="108"/>
      <c r="BJ96" s="108"/>
      <c r="BK96" s="109"/>
      <c r="BL96" s="108"/>
      <c r="BM96" s="108"/>
      <c r="BN96" s="108"/>
    </row>
    <row r="97" spans="1:66" ht="12" customHeight="1" x14ac:dyDescent="0.2">
      <c r="A97" s="179"/>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c r="AA97" s="108"/>
      <c r="AB97" s="108"/>
      <c r="AC97" s="108"/>
      <c r="AD97" s="108"/>
      <c r="AE97" s="108"/>
      <c r="AF97" s="108"/>
      <c r="AG97" s="108"/>
      <c r="AH97" s="108"/>
      <c r="AI97" s="108"/>
      <c r="AJ97" s="108"/>
      <c r="AK97" s="108"/>
      <c r="AL97" s="108"/>
      <c r="AM97" s="108"/>
      <c r="AN97" s="108"/>
      <c r="AO97" s="108"/>
      <c r="AP97" s="108"/>
      <c r="AQ97" s="108"/>
      <c r="AR97" s="108"/>
      <c r="AS97" s="108"/>
      <c r="AT97" s="108"/>
      <c r="AU97" s="108"/>
      <c r="AV97" s="108"/>
      <c r="AW97" s="108"/>
      <c r="AX97" s="108"/>
      <c r="AY97" s="108"/>
      <c r="AZ97" s="108"/>
      <c r="BA97" s="108"/>
      <c r="BB97" s="108"/>
      <c r="BC97" s="108"/>
      <c r="BD97" s="108"/>
      <c r="BE97" s="108"/>
      <c r="BF97" s="108"/>
      <c r="BG97" s="108"/>
      <c r="BH97" s="108"/>
      <c r="BI97" s="108"/>
      <c r="BJ97" s="108"/>
      <c r="BK97" s="109"/>
      <c r="BL97" s="108"/>
      <c r="BM97" s="108"/>
      <c r="BN97" s="108"/>
    </row>
    <row r="98" spans="1:66" ht="12" customHeight="1" x14ac:dyDescent="0.2">
      <c r="A98" s="179"/>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c r="AA98" s="108"/>
      <c r="AB98" s="108"/>
      <c r="AC98" s="108"/>
      <c r="AD98" s="108"/>
      <c r="AE98" s="108"/>
      <c r="AF98" s="108"/>
      <c r="AG98" s="108"/>
      <c r="AH98" s="108"/>
      <c r="AI98" s="108"/>
      <c r="AJ98" s="108"/>
      <c r="AK98" s="108"/>
      <c r="AL98" s="108"/>
      <c r="AM98" s="108"/>
      <c r="AN98" s="108"/>
      <c r="AO98" s="108"/>
      <c r="AP98" s="108"/>
      <c r="AQ98" s="108"/>
      <c r="AR98" s="108"/>
      <c r="AS98" s="108"/>
      <c r="AT98" s="108"/>
      <c r="AU98" s="108"/>
      <c r="AV98" s="108"/>
      <c r="AW98" s="108"/>
      <c r="AX98" s="108"/>
      <c r="AY98" s="108"/>
      <c r="AZ98" s="108"/>
      <c r="BA98" s="108"/>
      <c r="BB98" s="108"/>
      <c r="BC98" s="108"/>
      <c r="BD98" s="108"/>
      <c r="BE98" s="108"/>
      <c r="BF98" s="108"/>
      <c r="BG98" s="108"/>
      <c r="BH98" s="108"/>
      <c r="BI98" s="108"/>
      <c r="BJ98" s="108"/>
      <c r="BK98" s="109"/>
      <c r="BL98" s="108"/>
      <c r="BM98" s="108"/>
      <c r="BN98" s="108"/>
    </row>
    <row r="99" spans="1:66" ht="12" customHeight="1" x14ac:dyDescent="0.2">
      <c r="A99" s="179"/>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c r="AA99" s="108"/>
      <c r="AB99" s="108"/>
      <c r="AC99" s="108"/>
      <c r="AD99" s="108"/>
      <c r="AE99" s="108"/>
      <c r="AF99" s="108"/>
      <c r="AG99" s="108"/>
      <c r="AH99" s="108"/>
      <c r="AI99" s="108"/>
      <c r="AJ99" s="108"/>
      <c r="AK99" s="108"/>
      <c r="AL99" s="108"/>
      <c r="AM99" s="108"/>
      <c r="AN99" s="108"/>
      <c r="AO99" s="108"/>
      <c r="AP99" s="108"/>
      <c r="AQ99" s="108"/>
      <c r="AR99" s="108"/>
      <c r="AS99" s="108"/>
      <c r="AT99" s="108"/>
      <c r="AU99" s="108"/>
      <c r="AV99" s="108"/>
      <c r="AW99" s="108"/>
      <c r="AX99" s="108"/>
      <c r="AY99" s="108"/>
      <c r="AZ99" s="108"/>
      <c r="BA99" s="108"/>
      <c r="BB99" s="108"/>
      <c r="BC99" s="108"/>
      <c r="BD99" s="108"/>
      <c r="BE99" s="108"/>
      <c r="BF99" s="108"/>
      <c r="BG99" s="108"/>
      <c r="BH99" s="108"/>
      <c r="BI99" s="108"/>
      <c r="BJ99" s="108"/>
      <c r="BK99" s="109"/>
      <c r="BL99" s="108"/>
      <c r="BM99" s="108"/>
      <c r="BN99" s="108"/>
    </row>
    <row r="100" spans="1:66" ht="12" customHeight="1" x14ac:dyDescent="0.2">
      <c r="A100" s="179"/>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c r="AA100" s="108"/>
      <c r="AB100" s="108"/>
      <c r="AC100" s="108"/>
      <c r="AD100" s="108"/>
      <c r="AE100" s="108"/>
      <c r="AF100" s="108"/>
      <c r="AG100" s="108"/>
      <c r="AH100" s="108"/>
      <c r="AI100" s="108"/>
      <c r="AJ100" s="108"/>
      <c r="AK100" s="108"/>
      <c r="AL100" s="108"/>
      <c r="AM100" s="108"/>
      <c r="AN100" s="108"/>
      <c r="AO100" s="108"/>
      <c r="AP100" s="108"/>
      <c r="AQ100" s="108"/>
      <c r="AR100" s="108"/>
      <c r="AS100" s="108"/>
      <c r="AT100" s="108"/>
      <c r="AU100" s="108"/>
      <c r="AV100" s="108"/>
      <c r="AW100" s="108"/>
      <c r="AX100" s="108"/>
      <c r="AY100" s="108"/>
      <c r="AZ100" s="108"/>
      <c r="BA100" s="108"/>
      <c r="BB100" s="108"/>
      <c r="BC100" s="108"/>
      <c r="BD100" s="108"/>
      <c r="BE100" s="108"/>
      <c r="BF100" s="108"/>
      <c r="BG100" s="108"/>
      <c r="BH100" s="108"/>
      <c r="BI100" s="108"/>
      <c r="BJ100" s="108"/>
      <c r="BK100" s="109"/>
      <c r="BL100" s="108"/>
      <c r="BM100" s="108"/>
      <c r="BN100" s="108"/>
    </row>
    <row r="101" spans="1:66" ht="12" customHeight="1" x14ac:dyDescent="0.2">
      <c r="A101" s="179"/>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c r="AA101" s="108"/>
      <c r="AB101" s="108"/>
      <c r="AC101" s="108"/>
      <c r="AD101" s="108"/>
      <c r="AE101" s="108"/>
      <c r="AF101" s="108"/>
      <c r="AG101" s="108"/>
      <c r="AH101" s="108"/>
      <c r="AI101" s="108"/>
      <c r="AJ101" s="108"/>
      <c r="AK101" s="108"/>
      <c r="AL101" s="108"/>
      <c r="AM101" s="108"/>
      <c r="AN101" s="108"/>
      <c r="AO101" s="108"/>
      <c r="AP101" s="108"/>
      <c r="AQ101" s="108"/>
      <c r="AR101" s="108"/>
      <c r="AS101" s="108"/>
      <c r="AT101" s="108"/>
      <c r="AU101" s="108"/>
      <c r="AV101" s="108"/>
      <c r="AW101" s="108"/>
      <c r="AX101" s="108"/>
      <c r="AY101" s="108"/>
      <c r="AZ101" s="108"/>
      <c r="BA101" s="108"/>
      <c r="BB101" s="108"/>
      <c r="BC101" s="108"/>
      <c r="BD101" s="108"/>
      <c r="BE101" s="108"/>
      <c r="BF101" s="108"/>
      <c r="BG101" s="108"/>
      <c r="BH101" s="108"/>
      <c r="BI101" s="108"/>
      <c r="BJ101" s="108"/>
      <c r="BK101" s="109"/>
      <c r="BL101" s="108"/>
      <c r="BM101" s="108"/>
      <c r="BN101" s="108"/>
    </row>
    <row r="102" spans="1:66" ht="12" customHeight="1" x14ac:dyDescent="0.2">
      <c r="A102" s="179"/>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c r="AA102" s="108"/>
      <c r="AB102" s="108"/>
      <c r="AC102" s="108"/>
      <c r="AD102" s="108"/>
      <c r="AE102" s="108"/>
      <c r="AF102" s="108"/>
      <c r="AG102" s="108"/>
      <c r="AH102" s="108"/>
      <c r="AI102" s="108"/>
      <c r="AJ102" s="108"/>
      <c r="AK102" s="108"/>
      <c r="AL102" s="108"/>
      <c r="AM102" s="108"/>
      <c r="AN102" s="108"/>
      <c r="AO102" s="108"/>
      <c r="AP102" s="108"/>
      <c r="AQ102" s="108"/>
      <c r="AR102" s="108"/>
      <c r="AS102" s="108"/>
      <c r="AT102" s="108"/>
      <c r="AU102" s="108"/>
      <c r="AV102" s="108"/>
      <c r="AW102" s="108"/>
      <c r="AX102" s="108"/>
      <c r="AY102" s="108"/>
      <c r="AZ102" s="108"/>
      <c r="BA102" s="108"/>
      <c r="BB102" s="108"/>
      <c r="BC102" s="108"/>
      <c r="BD102" s="108"/>
      <c r="BE102" s="108"/>
      <c r="BF102" s="108"/>
      <c r="BG102" s="108"/>
      <c r="BH102" s="108"/>
      <c r="BI102" s="108"/>
      <c r="BJ102" s="108"/>
      <c r="BK102" s="109"/>
      <c r="BL102" s="108"/>
      <c r="BM102" s="108"/>
      <c r="BN102" s="108"/>
    </row>
    <row r="103" spans="1:66" ht="12" customHeight="1" x14ac:dyDescent="0.2">
      <c r="A103" s="179"/>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c r="AA103" s="108"/>
      <c r="AB103" s="108"/>
      <c r="AC103" s="108"/>
      <c r="AD103" s="108"/>
      <c r="AE103" s="108"/>
      <c r="AF103" s="108"/>
      <c r="AG103" s="108"/>
      <c r="AH103" s="108"/>
      <c r="AI103" s="108"/>
      <c r="AJ103" s="108"/>
      <c r="AK103" s="108"/>
      <c r="AL103" s="108"/>
      <c r="AM103" s="108"/>
      <c r="AN103" s="108"/>
      <c r="AO103" s="108"/>
      <c r="AP103" s="108"/>
      <c r="AQ103" s="108"/>
      <c r="AR103" s="108"/>
      <c r="AS103" s="108"/>
      <c r="AT103" s="108"/>
      <c r="AU103" s="108"/>
      <c r="AV103" s="108"/>
      <c r="AW103" s="108"/>
      <c r="AX103" s="108"/>
      <c r="AY103" s="108"/>
      <c r="AZ103" s="108"/>
      <c r="BA103" s="108"/>
      <c r="BB103" s="108"/>
      <c r="BC103" s="108"/>
      <c r="BD103" s="108"/>
      <c r="BE103" s="108"/>
      <c r="BF103" s="108"/>
      <c r="BG103" s="108"/>
      <c r="BH103" s="108"/>
      <c r="BI103" s="108"/>
      <c r="BJ103" s="108"/>
      <c r="BK103" s="109"/>
      <c r="BL103" s="108"/>
      <c r="BM103" s="108"/>
      <c r="BN103" s="108"/>
    </row>
    <row r="104" spans="1:66" ht="12" customHeight="1" x14ac:dyDescent="0.2">
      <c r="A104" s="179"/>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c r="AA104" s="108"/>
      <c r="AB104" s="108"/>
      <c r="AC104" s="108"/>
      <c r="AD104" s="108"/>
      <c r="AE104" s="108"/>
      <c r="AF104" s="108"/>
      <c r="AG104" s="108"/>
      <c r="AH104" s="108"/>
      <c r="AI104" s="108"/>
      <c r="AJ104" s="108"/>
      <c r="AK104" s="108"/>
      <c r="AL104" s="108"/>
      <c r="AM104" s="108"/>
      <c r="AN104" s="108"/>
      <c r="AO104" s="108"/>
      <c r="AP104" s="108"/>
      <c r="AQ104" s="108"/>
      <c r="AR104" s="108"/>
      <c r="AS104" s="108"/>
      <c r="AT104" s="108"/>
      <c r="AU104" s="108"/>
      <c r="AV104" s="108"/>
      <c r="AW104" s="108"/>
      <c r="AX104" s="108"/>
      <c r="AY104" s="108"/>
      <c r="AZ104" s="108"/>
      <c r="BA104" s="108"/>
      <c r="BB104" s="108"/>
      <c r="BC104" s="108"/>
      <c r="BD104" s="108"/>
      <c r="BE104" s="108"/>
      <c r="BF104" s="108"/>
      <c r="BG104" s="108"/>
      <c r="BH104" s="108"/>
      <c r="BI104" s="108"/>
      <c r="BJ104" s="108"/>
      <c r="BK104" s="109"/>
      <c r="BL104" s="108"/>
      <c r="BM104" s="108"/>
      <c r="BN104" s="108"/>
    </row>
    <row r="105" spans="1:66" ht="12" customHeight="1" x14ac:dyDescent="0.2">
      <c r="A105" s="179"/>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c r="AA105" s="108"/>
      <c r="AB105" s="108"/>
      <c r="AC105" s="108"/>
      <c r="AD105" s="108"/>
      <c r="AE105" s="108"/>
      <c r="AF105" s="108"/>
      <c r="AG105" s="108"/>
      <c r="AH105" s="108"/>
      <c r="AI105" s="108"/>
      <c r="AJ105" s="108"/>
      <c r="AK105" s="108"/>
      <c r="AL105" s="108"/>
      <c r="AM105" s="108"/>
      <c r="AN105" s="108"/>
      <c r="AO105" s="108"/>
      <c r="AP105" s="108"/>
      <c r="AQ105" s="108"/>
      <c r="AR105" s="108"/>
      <c r="AS105" s="108"/>
      <c r="AT105" s="108"/>
      <c r="AU105" s="108"/>
      <c r="AV105" s="108"/>
      <c r="AW105" s="108"/>
      <c r="AX105" s="108"/>
      <c r="AY105" s="108"/>
      <c r="AZ105" s="108"/>
      <c r="BA105" s="108"/>
      <c r="BB105" s="108"/>
      <c r="BC105" s="108"/>
      <c r="BD105" s="108"/>
      <c r="BE105" s="108"/>
      <c r="BF105" s="108"/>
      <c r="BG105" s="108"/>
      <c r="BH105" s="108"/>
      <c r="BI105" s="108"/>
      <c r="BJ105" s="108"/>
      <c r="BK105" s="109"/>
      <c r="BL105" s="108"/>
      <c r="BM105" s="108"/>
      <c r="BN105" s="108"/>
    </row>
    <row r="106" spans="1:66" ht="12" customHeight="1" x14ac:dyDescent="0.2">
      <c r="A106" s="179"/>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c r="AA106" s="108"/>
      <c r="AB106" s="108"/>
      <c r="AC106" s="108"/>
      <c r="AD106" s="108"/>
      <c r="AE106" s="108"/>
      <c r="AF106" s="108"/>
      <c r="AG106" s="108"/>
      <c r="AH106" s="108"/>
      <c r="AI106" s="108"/>
      <c r="AJ106" s="108"/>
      <c r="AK106" s="108"/>
      <c r="AL106" s="108"/>
      <c r="AM106" s="108"/>
      <c r="AN106" s="108"/>
      <c r="AO106" s="108"/>
      <c r="AP106" s="108"/>
      <c r="AQ106" s="108"/>
      <c r="AR106" s="108"/>
      <c r="AS106" s="108"/>
      <c r="AT106" s="108"/>
      <c r="AU106" s="108"/>
      <c r="AV106" s="108"/>
      <c r="AW106" s="108"/>
      <c r="AX106" s="108"/>
      <c r="AY106" s="108"/>
      <c r="AZ106" s="108"/>
      <c r="BA106" s="108"/>
      <c r="BB106" s="108"/>
      <c r="BC106" s="108"/>
      <c r="BD106" s="108"/>
      <c r="BE106" s="108"/>
      <c r="BF106" s="108"/>
      <c r="BG106" s="108"/>
      <c r="BH106" s="108"/>
      <c r="BI106" s="108"/>
      <c r="BJ106" s="108"/>
      <c r="BK106" s="109"/>
      <c r="BL106" s="108"/>
      <c r="BM106" s="108"/>
      <c r="BN106" s="108"/>
    </row>
    <row r="107" spans="1:66" ht="12" customHeight="1" x14ac:dyDescent="0.2">
      <c r="A107" s="179"/>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c r="AA107" s="108"/>
      <c r="AB107" s="108"/>
      <c r="AC107" s="108"/>
      <c r="AD107" s="108"/>
      <c r="AE107" s="108"/>
      <c r="AF107" s="108"/>
      <c r="AG107" s="108"/>
      <c r="AH107" s="108"/>
      <c r="AI107" s="108"/>
      <c r="AJ107" s="108"/>
      <c r="AK107" s="108"/>
      <c r="AL107" s="108"/>
      <c r="AM107" s="108"/>
      <c r="AN107" s="108"/>
      <c r="AO107" s="108"/>
      <c r="AP107" s="108"/>
      <c r="AQ107" s="108"/>
      <c r="AR107" s="108"/>
      <c r="AS107" s="108"/>
      <c r="AT107" s="108"/>
      <c r="AU107" s="108"/>
      <c r="AV107" s="108"/>
      <c r="AW107" s="108"/>
      <c r="AX107" s="108"/>
      <c r="AY107" s="108"/>
      <c r="AZ107" s="108"/>
      <c r="BA107" s="108"/>
      <c r="BB107" s="108"/>
      <c r="BC107" s="108"/>
      <c r="BD107" s="108"/>
      <c r="BE107" s="108"/>
      <c r="BF107" s="108"/>
      <c r="BG107" s="108"/>
      <c r="BH107" s="108"/>
      <c r="BI107" s="108"/>
      <c r="BJ107" s="108"/>
      <c r="BK107" s="109"/>
      <c r="BL107" s="108"/>
      <c r="BM107" s="108"/>
      <c r="BN107" s="108"/>
    </row>
    <row r="108" spans="1:66" ht="12" customHeight="1" x14ac:dyDescent="0.2">
      <c r="A108" s="179"/>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c r="AA108" s="108"/>
      <c r="AB108" s="108"/>
      <c r="AC108" s="108"/>
      <c r="AD108" s="108"/>
      <c r="AE108" s="108"/>
      <c r="AF108" s="108"/>
      <c r="AG108" s="108"/>
      <c r="AH108" s="108"/>
      <c r="AI108" s="108"/>
      <c r="AJ108" s="108"/>
      <c r="AK108" s="108"/>
      <c r="AL108" s="108"/>
      <c r="AM108" s="108"/>
      <c r="AN108" s="108"/>
      <c r="AO108" s="108"/>
      <c r="AP108" s="108"/>
      <c r="AQ108" s="108"/>
      <c r="AR108" s="108"/>
      <c r="AS108" s="108"/>
      <c r="AT108" s="108"/>
      <c r="AU108" s="108"/>
      <c r="AV108" s="108"/>
      <c r="AW108" s="108"/>
      <c r="AX108" s="108"/>
      <c r="AY108" s="108"/>
      <c r="AZ108" s="108"/>
      <c r="BA108" s="108"/>
      <c r="BB108" s="108"/>
      <c r="BC108" s="108"/>
      <c r="BD108" s="108"/>
      <c r="BE108" s="108"/>
      <c r="BF108" s="108"/>
      <c r="BG108" s="108"/>
      <c r="BH108" s="108"/>
      <c r="BI108" s="108"/>
      <c r="BJ108" s="108"/>
      <c r="BK108" s="109"/>
      <c r="BL108" s="108"/>
      <c r="BM108" s="108"/>
      <c r="BN108" s="108"/>
    </row>
    <row r="109" spans="1:66" ht="12" customHeight="1" x14ac:dyDescent="0.2">
      <c r="A109" s="179"/>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c r="AA109" s="108"/>
      <c r="AB109" s="108"/>
      <c r="AC109" s="108"/>
      <c r="AD109" s="108"/>
      <c r="AE109" s="108"/>
      <c r="AF109" s="108"/>
      <c r="AG109" s="108"/>
      <c r="AH109" s="108"/>
      <c r="AI109" s="108"/>
      <c r="AJ109" s="108"/>
      <c r="AK109" s="108"/>
      <c r="AL109" s="108"/>
      <c r="AM109" s="108"/>
      <c r="AN109" s="108"/>
      <c r="AO109" s="108"/>
      <c r="AP109" s="108"/>
      <c r="AQ109" s="108"/>
      <c r="AR109" s="108"/>
      <c r="AS109" s="108"/>
      <c r="AT109" s="108"/>
      <c r="AU109" s="108"/>
      <c r="AV109" s="108"/>
      <c r="AW109" s="108"/>
      <c r="AX109" s="108"/>
      <c r="AY109" s="108"/>
      <c r="AZ109" s="108"/>
      <c r="BA109" s="108"/>
      <c r="BB109" s="108"/>
      <c r="BC109" s="108"/>
      <c r="BD109" s="108"/>
      <c r="BE109" s="108"/>
      <c r="BF109" s="108"/>
      <c r="BG109" s="108"/>
      <c r="BH109" s="108"/>
      <c r="BI109" s="108"/>
      <c r="BJ109" s="108"/>
      <c r="BK109" s="109"/>
      <c r="BL109" s="108"/>
      <c r="BM109" s="108"/>
      <c r="BN109" s="108"/>
    </row>
    <row r="110" spans="1:66" ht="12" customHeight="1" x14ac:dyDescent="0.2">
      <c r="A110" s="179"/>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c r="AA110" s="108"/>
      <c r="AB110" s="108"/>
      <c r="AC110" s="108"/>
      <c r="AD110" s="108"/>
      <c r="AE110" s="108"/>
      <c r="AF110" s="108"/>
      <c r="AG110" s="108"/>
      <c r="AH110" s="108"/>
      <c r="AI110" s="108"/>
      <c r="AJ110" s="108"/>
      <c r="AK110" s="108"/>
      <c r="AL110" s="108"/>
      <c r="AM110" s="108"/>
      <c r="AN110" s="108"/>
      <c r="AO110" s="108"/>
      <c r="AP110" s="108"/>
      <c r="AQ110" s="108"/>
      <c r="AR110" s="108"/>
      <c r="AS110" s="108"/>
      <c r="AT110" s="108"/>
      <c r="AU110" s="108"/>
      <c r="AV110" s="108"/>
      <c r="AW110" s="108"/>
      <c r="AX110" s="108"/>
      <c r="AY110" s="108"/>
      <c r="AZ110" s="108"/>
      <c r="BA110" s="108"/>
      <c r="BB110" s="108"/>
      <c r="BC110" s="108"/>
      <c r="BD110" s="108"/>
      <c r="BE110" s="108"/>
      <c r="BF110" s="108"/>
      <c r="BG110" s="108"/>
      <c r="BH110" s="108"/>
      <c r="BI110" s="108"/>
      <c r="BJ110" s="108"/>
      <c r="BK110" s="109"/>
      <c r="BL110" s="108"/>
      <c r="BM110" s="108"/>
      <c r="BN110" s="108"/>
    </row>
    <row r="111" spans="1:66" ht="12" customHeight="1" x14ac:dyDescent="0.2">
      <c r="A111" s="179"/>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c r="AA111" s="108"/>
      <c r="AB111" s="108"/>
      <c r="AC111" s="108"/>
      <c r="AD111" s="108"/>
      <c r="AE111" s="108"/>
      <c r="AF111" s="108"/>
      <c r="AG111" s="108"/>
      <c r="AH111" s="108"/>
      <c r="AI111" s="108"/>
      <c r="AJ111" s="108"/>
      <c r="AK111" s="108"/>
      <c r="AL111" s="108"/>
      <c r="AM111" s="108"/>
      <c r="AN111" s="108"/>
      <c r="AO111" s="108"/>
      <c r="AP111" s="108"/>
      <c r="AQ111" s="108"/>
      <c r="AR111" s="108"/>
      <c r="AS111" s="108"/>
      <c r="AT111" s="108"/>
      <c r="AU111" s="108"/>
      <c r="AV111" s="108"/>
      <c r="AW111" s="108"/>
      <c r="AX111" s="108"/>
      <c r="AY111" s="108"/>
      <c r="AZ111" s="108"/>
      <c r="BA111" s="108"/>
      <c r="BB111" s="108"/>
      <c r="BC111" s="108"/>
      <c r="BD111" s="108"/>
      <c r="BE111" s="108"/>
      <c r="BF111" s="108"/>
      <c r="BG111" s="108"/>
      <c r="BH111" s="108"/>
      <c r="BI111" s="108"/>
      <c r="BJ111" s="108"/>
      <c r="BK111" s="109"/>
      <c r="BL111" s="108"/>
      <c r="BM111" s="108"/>
      <c r="BN111" s="108"/>
    </row>
    <row r="112" spans="1:66" ht="12" customHeight="1" x14ac:dyDescent="0.2">
      <c r="A112" s="179"/>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8"/>
      <c r="AK112" s="108"/>
      <c r="AL112" s="108"/>
      <c r="AM112" s="108"/>
      <c r="AN112" s="108"/>
      <c r="AO112" s="108"/>
      <c r="AP112" s="108"/>
      <c r="AQ112" s="108"/>
      <c r="AR112" s="108"/>
      <c r="AS112" s="108"/>
      <c r="AT112" s="108"/>
      <c r="AU112" s="108"/>
      <c r="AV112" s="108"/>
      <c r="AW112" s="108"/>
      <c r="AX112" s="108"/>
      <c r="AY112" s="108"/>
      <c r="AZ112" s="108"/>
      <c r="BA112" s="108"/>
      <c r="BB112" s="108"/>
      <c r="BC112" s="108"/>
      <c r="BD112" s="108"/>
      <c r="BE112" s="108"/>
      <c r="BF112" s="108"/>
      <c r="BG112" s="108"/>
      <c r="BH112" s="108"/>
      <c r="BI112" s="108"/>
      <c r="BJ112" s="108"/>
      <c r="BK112" s="109"/>
      <c r="BL112" s="108"/>
      <c r="BM112" s="108"/>
      <c r="BN112" s="108"/>
    </row>
    <row r="113" spans="1:66" ht="12" customHeight="1" x14ac:dyDescent="0.2">
      <c r="A113" s="179"/>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9"/>
      <c r="BL113" s="108"/>
      <c r="BM113" s="108"/>
      <c r="BN113" s="108"/>
    </row>
    <row r="114" spans="1:66" ht="12" customHeight="1" x14ac:dyDescent="0.2">
      <c r="A114" s="179"/>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c r="AA114" s="108"/>
      <c r="AB114" s="108"/>
      <c r="AC114" s="108"/>
      <c r="AD114" s="108"/>
      <c r="AE114" s="108"/>
      <c r="AF114" s="108"/>
      <c r="AG114" s="108"/>
      <c r="AH114" s="108"/>
      <c r="AI114" s="108"/>
      <c r="AJ114" s="108"/>
      <c r="AK114" s="108"/>
      <c r="AL114" s="108"/>
      <c r="AM114" s="108"/>
      <c r="AN114" s="108"/>
      <c r="AO114" s="108"/>
      <c r="AP114" s="108"/>
      <c r="AQ114" s="108"/>
      <c r="AR114" s="108"/>
      <c r="AS114" s="108"/>
      <c r="AT114" s="108"/>
      <c r="AU114" s="108"/>
      <c r="AV114" s="108"/>
      <c r="AW114" s="108"/>
      <c r="AX114" s="108"/>
      <c r="AY114" s="108"/>
      <c r="AZ114" s="108"/>
      <c r="BA114" s="108"/>
      <c r="BB114" s="108"/>
      <c r="BC114" s="108"/>
      <c r="BD114" s="108"/>
      <c r="BE114" s="108"/>
      <c r="BF114" s="108"/>
      <c r="BG114" s="108"/>
      <c r="BH114" s="108"/>
      <c r="BI114" s="108"/>
      <c r="BJ114" s="108"/>
      <c r="BK114" s="109"/>
      <c r="BL114" s="108"/>
      <c r="BM114" s="108"/>
      <c r="BN114" s="108"/>
    </row>
    <row r="115" spans="1:66" ht="12" customHeight="1" x14ac:dyDescent="0.2">
      <c r="A115" s="179"/>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9"/>
      <c r="BL115" s="108"/>
      <c r="BM115" s="108"/>
      <c r="BN115" s="108"/>
    </row>
    <row r="116" spans="1:66" ht="12" customHeight="1" x14ac:dyDescent="0.2">
      <c r="A116" s="179"/>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c r="AA116" s="108"/>
      <c r="AB116" s="108"/>
      <c r="AC116" s="108"/>
      <c r="AD116" s="108"/>
      <c r="AE116" s="108"/>
      <c r="AF116" s="108"/>
      <c r="AG116" s="108"/>
      <c r="AH116" s="108"/>
      <c r="AI116" s="108"/>
      <c r="AJ116" s="108"/>
      <c r="AK116" s="108"/>
      <c r="AL116" s="108"/>
      <c r="AM116" s="108"/>
      <c r="AN116" s="108"/>
      <c r="AO116" s="108"/>
      <c r="AP116" s="108"/>
      <c r="AQ116" s="108"/>
      <c r="AR116" s="108"/>
      <c r="AS116" s="108"/>
      <c r="AT116" s="108"/>
      <c r="AU116" s="108"/>
      <c r="AV116" s="108"/>
      <c r="AW116" s="108"/>
      <c r="AX116" s="108"/>
      <c r="AY116" s="108"/>
      <c r="AZ116" s="108"/>
      <c r="BA116" s="108"/>
      <c r="BB116" s="108"/>
      <c r="BC116" s="108"/>
      <c r="BD116" s="108"/>
      <c r="BE116" s="108"/>
      <c r="BF116" s="108"/>
      <c r="BG116" s="108"/>
      <c r="BH116" s="108"/>
      <c r="BI116" s="108"/>
      <c r="BJ116" s="108"/>
      <c r="BK116" s="109"/>
      <c r="BL116" s="108"/>
      <c r="BM116" s="108"/>
      <c r="BN116" s="108"/>
    </row>
    <row r="117" spans="1:66" ht="12" customHeight="1" x14ac:dyDescent="0.2">
      <c r="A117" s="179"/>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c r="AA117" s="108"/>
      <c r="AB117" s="108"/>
      <c r="AC117" s="108"/>
      <c r="AD117" s="108"/>
      <c r="AE117" s="108"/>
      <c r="AF117" s="108"/>
      <c r="AG117" s="108"/>
      <c r="AH117" s="108"/>
      <c r="AI117" s="108"/>
      <c r="AJ117" s="108"/>
      <c r="AK117" s="108"/>
      <c r="AL117" s="108"/>
      <c r="AM117" s="108"/>
      <c r="AN117" s="108"/>
      <c r="AO117" s="108"/>
      <c r="AP117" s="108"/>
      <c r="AQ117" s="108"/>
      <c r="AR117" s="108"/>
      <c r="AS117" s="108"/>
      <c r="AT117" s="108"/>
      <c r="AU117" s="108"/>
      <c r="AV117" s="108"/>
      <c r="AW117" s="108"/>
      <c r="AX117" s="108"/>
      <c r="AY117" s="108"/>
      <c r="AZ117" s="108"/>
      <c r="BA117" s="108"/>
      <c r="BB117" s="108"/>
      <c r="BC117" s="108"/>
      <c r="BD117" s="108"/>
      <c r="BE117" s="108"/>
      <c r="BF117" s="108"/>
      <c r="BG117" s="108"/>
      <c r="BH117" s="108"/>
      <c r="BI117" s="108"/>
      <c r="BJ117" s="108"/>
      <c r="BK117" s="109"/>
      <c r="BL117" s="108"/>
      <c r="BM117" s="108"/>
      <c r="BN117" s="108"/>
    </row>
    <row r="118" spans="1:66" ht="12" customHeight="1" x14ac:dyDescent="0.2">
      <c r="A118" s="179"/>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c r="AA118" s="108"/>
      <c r="AB118" s="108"/>
      <c r="AC118" s="108"/>
      <c r="AD118" s="108"/>
      <c r="AE118" s="108"/>
      <c r="AF118" s="108"/>
      <c r="AG118" s="108"/>
      <c r="AH118" s="108"/>
      <c r="AI118" s="108"/>
      <c r="AJ118" s="108"/>
      <c r="AK118" s="108"/>
      <c r="AL118" s="108"/>
      <c r="AM118" s="108"/>
      <c r="AN118" s="108"/>
      <c r="AO118" s="108"/>
      <c r="AP118" s="108"/>
      <c r="AQ118" s="108"/>
      <c r="AR118" s="108"/>
      <c r="AS118" s="108"/>
      <c r="AT118" s="108"/>
      <c r="AU118" s="108"/>
      <c r="AV118" s="108"/>
      <c r="AW118" s="108"/>
      <c r="AX118" s="108"/>
      <c r="AY118" s="108"/>
      <c r="AZ118" s="108"/>
      <c r="BA118" s="108"/>
      <c r="BB118" s="108"/>
      <c r="BC118" s="108"/>
      <c r="BD118" s="108"/>
      <c r="BE118" s="108"/>
      <c r="BF118" s="108"/>
      <c r="BG118" s="108"/>
      <c r="BH118" s="108"/>
      <c r="BI118" s="108"/>
      <c r="BJ118" s="108"/>
      <c r="BK118" s="109"/>
      <c r="BL118" s="108"/>
      <c r="BM118" s="108"/>
      <c r="BN118" s="108"/>
    </row>
    <row r="119" spans="1:66" ht="12" customHeight="1" x14ac:dyDescent="0.2">
      <c r="A119" s="179"/>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c r="AA119" s="108"/>
      <c r="AB119" s="108"/>
      <c r="AC119" s="108"/>
      <c r="AD119" s="108"/>
      <c r="AE119" s="108"/>
      <c r="AF119" s="108"/>
      <c r="AG119" s="108"/>
      <c r="AH119" s="108"/>
      <c r="AI119" s="108"/>
      <c r="AJ119" s="108"/>
      <c r="AK119" s="108"/>
      <c r="AL119" s="108"/>
      <c r="AM119" s="108"/>
      <c r="AN119" s="108"/>
      <c r="AO119" s="108"/>
      <c r="AP119" s="108"/>
      <c r="AQ119" s="108"/>
      <c r="AR119" s="108"/>
      <c r="AS119" s="108"/>
      <c r="AT119" s="108"/>
      <c r="AU119" s="108"/>
      <c r="AV119" s="108"/>
      <c r="AW119" s="108"/>
      <c r="AX119" s="108"/>
      <c r="AY119" s="108"/>
      <c r="AZ119" s="108"/>
      <c r="BA119" s="108"/>
      <c r="BB119" s="108"/>
      <c r="BC119" s="108"/>
      <c r="BD119" s="108"/>
      <c r="BE119" s="108"/>
      <c r="BF119" s="108"/>
      <c r="BG119" s="108"/>
      <c r="BH119" s="108"/>
      <c r="BI119" s="108"/>
      <c r="BJ119" s="108"/>
      <c r="BK119" s="109"/>
      <c r="BL119" s="108"/>
      <c r="BM119" s="108"/>
      <c r="BN119" s="108"/>
    </row>
    <row r="120" spans="1:66" ht="12" customHeight="1" x14ac:dyDescent="0.2">
      <c r="A120" s="179"/>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c r="AA120" s="108"/>
      <c r="AB120" s="108"/>
      <c r="AC120" s="108"/>
      <c r="AD120" s="108"/>
      <c r="AE120" s="108"/>
      <c r="AF120" s="108"/>
      <c r="AG120" s="108"/>
      <c r="AH120" s="108"/>
      <c r="AI120" s="108"/>
      <c r="AJ120" s="108"/>
      <c r="AK120" s="108"/>
      <c r="AL120" s="108"/>
      <c r="AM120" s="108"/>
      <c r="AN120" s="108"/>
      <c r="AO120" s="108"/>
      <c r="AP120" s="108"/>
      <c r="AQ120" s="108"/>
      <c r="AR120" s="108"/>
      <c r="AS120" s="108"/>
      <c r="AT120" s="108"/>
      <c r="AU120" s="108"/>
      <c r="AV120" s="108"/>
      <c r="AW120" s="108"/>
      <c r="AX120" s="108"/>
      <c r="AY120" s="108"/>
      <c r="AZ120" s="108"/>
      <c r="BA120" s="108"/>
      <c r="BB120" s="108"/>
      <c r="BC120" s="108"/>
      <c r="BD120" s="108"/>
      <c r="BE120" s="108"/>
      <c r="BF120" s="108"/>
      <c r="BG120" s="108"/>
      <c r="BH120" s="108"/>
      <c r="BI120" s="108"/>
      <c r="BJ120" s="108"/>
      <c r="BK120" s="109"/>
      <c r="BL120" s="108"/>
      <c r="BM120" s="108"/>
      <c r="BN120" s="108"/>
    </row>
    <row r="121" spans="1:66" ht="12" customHeight="1" x14ac:dyDescent="0.2">
      <c r="A121" s="179"/>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c r="AA121" s="108"/>
      <c r="AB121" s="108"/>
      <c r="AC121" s="108"/>
      <c r="AD121" s="108"/>
      <c r="AE121" s="108"/>
      <c r="AF121" s="108"/>
      <c r="AG121" s="108"/>
      <c r="AH121" s="108"/>
      <c r="AI121" s="108"/>
      <c r="AJ121" s="108"/>
      <c r="AK121" s="108"/>
      <c r="AL121" s="108"/>
      <c r="AM121" s="108"/>
      <c r="AN121" s="108"/>
      <c r="AO121" s="108"/>
      <c r="AP121" s="108"/>
      <c r="AQ121" s="108"/>
      <c r="AR121" s="108"/>
      <c r="AS121" s="108"/>
      <c r="AT121" s="108"/>
      <c r="AU121" s="108"/>
      <c r="AV121" s="108"/>
      <c r="AW121" s="108"/>
      <c r="AX121" s="108"/>
      <c r="AY121" s="108"/>
      <c r="AZ121" s="108"/>
      <c r="BA121" s="108"/>
      <c r="BB121" s="108"/>
      <c r="BC121" s="108"/>
      <c r="BD121" s="108"/>
      <c r="BE121" s="108"/>
      <c r="BF121" s="108"/>
      <c r="BG121" s="108"/>
      <c r="BH121" s="108"/>
      <c r="BI121" s="108"/>
      <c r="BJ121" s="108"/>
      <c r="BK121" s="109"/>
      <c r="BL121" s="108"/>
      <c r="BM121" s="108"/>
      <c r="BN121" s="108"/>
    </row>
    <row r="122" spans="1:66" ht="12" customHeight="1" x14ac:dyDescent="0.2">
      <c r="A122" s="179"/>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c r="AA122" s="108"/>
      <c r="AB122" s="108"/>
      <c r="AC122" s="108"/>
      <c r="AD122" s="108"/>
      <c r="AE122" s="108"/>
      <c r="AF122" s="108"/>
      <c r="AG122" s="108"/>
      <c r="AH122" s="108"/>
      <c r="AI122" s="108"/>
      <c r="AJ122" s="108"/>
      <c r="AK122" s="108"/>
      <c r="AL122" s="108"/>
      <c r="AM122" s="108"/>
      <c r="AN122" s="108"/>
      <c r="AO122" s="108"/>
      <c r="AP122" s="108"/>
      <c r="AQ122" s="108"/>
      <c r="AR122" s="108"/>
      <c r="AS122" s="108"/>
      <c r="AT122" s="108"/>
      <c r="AU122" s="108"/>
      <c r="AV122" s="108"/>
      <c r="AW122" s="108"/>
      <c r="AX122" s="108"/>
      <c r="AY122" s="108"/>
      <c r="AZ122" s="108"/>
      <c r="BA122" s="108"/>
      <c r="BB122" s="108"/>
      <c r="BC122" s="108"/>
      <c r="BD122" s="108"/>
      <c r="BE122" s="108"/>
      <c r="BF122" s="108"/>
      <c r="BG122" s="108"/>
      <c r="BH122" s="108"/>
      <c r="BI122" s="108"/>
      <c r="BJ122" s="108"/>
      <c r="BK122" s="109"/>
      <c r="BL122" s="108"/>
      <c r="BM122" s="108"/>
      <c r="BN122" s="108"/>
    </row>
    <row r="123" spans="1:66" ht="12" customHeight="1" x14ac:dyDescent="0.2">
      <c r="A123" s="179"/>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c r="AA123" s="108"/>
      <c r="AB123" s="108"/>
      <c r="AC123" s="108"/>
      <c r="AD123" s="108"/>
      <c r="AE123" s="108"/>
      <c r="AF123" s="108"/>
      <c r="AG123" s="108"/>
      <c r="AH123" s="108"/>
      <c r="AI123" s="108"/>
      <c r="AJ123" s="108"/>
      <c r="AK123" s="108"/>
      <c r="AL123" s="108"/>
      <c r="AM123" s="108"/>
      <c r="AN123" s="108"/>
      <c r="AO123" s="108"/>
      <c r="AP123" s="108"/>
      <c r="AQ123" s="108"/>
      <c r="AR123" s="108"/>
      <c r="AS123" s="108"/>
      <c r="AT123" s="108"/>
      <c r="AU123" s="108"/>
      <c r="AV123" s="108"/>
      <c r="AW123" s="108"/>
      <c r="AX123" s="108"/>
      <c r="AY123" s="108"/>
      <c r="AZ123" s="108"/>
      <c r="BA123" s="108"/>
      <c r="BB123" s="108"/>
      <c r="BC123" s="108"/>
      <c r="BD123" s="108"/>
      <c r="BE123" s="108"/>
      <c r="BF123" s="108"/>
      <c r="BG123" s="108"/>
      <c r="BH123" s="108"/>
      <c r="BI123" s="108"/>
      <c r="BJ123" s="108"/>
      <c r="BK123" s="109"/>
      <c r="BL123" s="108"/>
      <c r="BM123" s="108"/>
      <c r="BN123" s="108"/>
    </row>
    <row r="124" spans="1:66" ht="12" customHeight="1" x14ac:dyDescent="0.2">
      <c r="A124" s="179"/>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c r="AA124" s="108"/>
      <c r="AB124" s="108"/>
      <c r="AC124" s="108"/>
      <c r="AD124" s="108"/>
      <c r="AE124" s="108"/>
      <c r="AF124" s="108"/>
      <c r="AG124" s="108"/>
      <c r="AH124" s="108"/>
      <c r="AI124" s="108"/>
      <c r="AJ124" s="108"/>
      <c r="AK124" s="108"/>
      <c r="AL124" s="108"/>
      <c r="AM124" s="108"/>
      <c r="AN124" s="108"/>
      <c r="AO124" s="108"/>
      <c r="AP124" s="108"/>
      <c r="AQ124" s="108"/>
      <c r="AR124" s="108"/>
      <c r="AS124" s="108"/>
      <c r="AT124" s="108"/>
      <c r="AU124" s="108"/>
      <c r="AV124" s="108"/>
      <c r="AW124" s="108"/>
      <c r="AX124" s="108"/>
      <c r="AY124" s="108"/>
      <c r="AZ124" s="108"/>
      <c r="BA124" s="108"/>
      <c r="BB124" s="108"/>
      <c r="BC124" s="108"/>
      <c r="BD124" s="108"/>
      <c r="BE124" s="108"/>
      <c r="BF124" s="108"/>
      <c r="BG124" s="108"/>
      <c r="BH124" s="108"/>
      <c r="BI124" s="108"/>
      <c r="BJ124" s="108"/>
      <c r="BK124" s="109"/>
      <c r="BL124" s="108"/>
      <c r="BM124" s="108"/>
      <c r="BN124" s="108"/>
    </row>
    <row r="125" spans="1:66" ht="12" customHeight="1" x14ac:dyDescent="0.2">
      <c r="A125" s="179"/>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c r="AA125" s="108"/>
      <c r="AB125" s="108"/>
      <c r="AC125" s="108"/>
      <c r="AD125" s="108"/>
      <c r="AE125" s="108"/>
      <c r="AF125" s="108"/>
      <c r="AG125" s="108"/>
      <c r="AH125" s="108"/>
      <c r="AI125" s="108"/>
      <c r="AJ125" s="108"/>
      <c r="AK125" s="108"/>
      <c r="AL125" s="108"/>
      <c r="AM125" s="108"/>
      <c r="AN125" s="108"/>
      <c r="AO125" s="108"/>
      <c r="AP125" s="108"/>
      <c r="AQ125" s="108"/>
      <c r="AR125" s="108"/>
      <c r="AS125" s="108"/>
      <c r="AT125" s="108"/>
      <c r="AU125" s="108"/>
      <c r="AV125" s="108"/>
      <c r="AW125" s="108"/>
      <c r="AX125" s="108"/>
      <c r="AY125" s="108"/>
      <c r="AZ125" s="108"/>
      <c r="BA125" s="108"/>
      <c r="BB125" s="108"/>
      <c r="BC125" s="108"/>
      <c r="BD125" s="108"/>
      <c r="BE125" s="108"/>
      <c r="BF125" s="108"/>
      <c r="BG125" s="108"/>
      <c r="BH125" s="108"/>
      <c r="BI125" s="108"/>
      <c r="BJ125" s="108"/>
      <c r="BK125" s="109"/>
      <c r="BL125" s="108"/>
      <c r="BM125" s="108"/>
      <c r="BN125" s="108"/>
    </row>
    <row r="126" spans="1:66" ht="12" customHeight="1" x14ac:dyDescent="0.2">
      <c r="A126" s="179"/>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c r="AA126" s="108"/>
      <c r="AB126" s="108"/>
      <c r="AC126" s="108"/>
      <c r="AD126" s="108"/>
      <c r="AE126" s="108"/>
      <c r="AF126" s="108"/>
      <c r="AG126" s="108"/>
      <c r="AH126" s="108"/>
      <c r="AI126" s="108"/>
      <c r="AJ126" s="108"/>
      <c r="AK126" s="108"/>
      <c r="AL126" s="108"/>
      <c r="AM126" s="108"/>
      <c r="AN126" s="108"/>
      <c r="AO126" s="108"/>
      <c r="AP126" s="108"/>
      <c r="AQ126" s="108"/>
      <c r="AR126" s="108"/>
      <c r="AS126" s="108"/>
      <c r="AT126" s="108"/>
      <c r="AU126" s="108"/>
      <c r="AV126" s="108"/>
      <c r="AW126" s="108"/>
      <c r="AX126" s="108"/>
      <c r="AY126" s="108"/>
      <c r="AZ126" s="108"/>
      <c r="BA126" s="108"/>
      <c r="BB126" s="108"/>
      <c r="BC126" s="108"/>
      <c r="BD126" s="108"/>
      <c r="BE126" s="108"/>
      <c r="BF126" s="108"/>
      <c r="BG126" s="108"/>
      <c r="BH126" s="108"/>
      <c r="BI126" s="108"/>
      <c r="BJ126" s="108"/>
      <c r="BK126" s="109"/>
      <c r="BL126" s="108"/>
      <c r="BM126" s="108"/>
      <c r="BN126" s="108"/>
    </row>
    <row r="127" spans="1:66" ht="12" customHeight="1" x14ac:dyDescent="0.2">
      <c r="A127" s="179"/>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c r="AA127" s="108"/>
      <c r="AB127" s="108"/>
      <c r="AC127" s="108"/>
      <c r="AD127" s="108"/>
      <c r="AE127" s="108"/>
      <c r="AF127" s="108"/>
      <c r="AG127" s="108"/>
      <c r="AH127" s="108"/>
      <c r="AI127" s="108"/>
      <c r="AJ127" s="108"/>
      <c r="AK127" s="108"/>
      <c r="AL127" s="108"/>
      <c r="AM127" s="108"/>
      <c r="AN127" s="108"/>
      <c r="AO127" s="108"/>
      <c r="AP127" s="108"/>
      <c r="AQ127" s="108"/>
      <c r="AR127" s="108"/>
      <c r="AS127" s="108"/>
      <c r="AT127" s="108"/>
      <c r="AU127" s="108"/>
      <c r="AV127" s="108"/>
      <c r="AW127" s="108"/>
      <c r="AX127" s="108"/>
      <c r="AY127" s="108"/>
      <c r="AZ127" s="108"/>
      <c r="BA127" s="108"/>
      <c r="BB127" s="108"/>
      <c r="BC127" s="108"/>
      <c r="BD127" s="108"/>
      <c r="BE127" s="108"/>
      <c r="BF127" s="108"/>
      <c r="BG127" s="108"/>
      <c r="BH127" s="108"/>
      <c r="BI127" s="108"/>
      <c r="BJ127" s="108"/>
      <c r="BK127" s="109"/>
      <c r="BL127" s="108"/>
      <c r="BM127" s="108"/>
      <c r="BN127" s="108"/>
    </row>
    <row r="128" spans="1:66" ht="12" customHeight="1" x14ac:dyDescent="0.2">
      <c r="A128" s="179"/>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c r="AA128" s="108"/>
      <c r="AB128" s="108"/>
      <c r="AC128" s="108"/>
      <c r="AD128" s="108"/>
      <c r="AE128" s="108"/>
      <c r="AF128" s="108"/>
      <c r="AG128" s="108"/>
      <c r="AH128" s="108"/>
      <c r="AI128" s="108"/>
      <c r="AJ128" s="108"/>
      <c r="AK128" s="108"/>
      <c r="AL128" s="108"/>
      <c r="AM128" s="108"/>
      <c r="AN128" s="108"/>
      <c r="AO128" s="108"/>
      <c r="AP128" s="108"/>
      <c r="AQ128" s="108"/>
      <c r="AR128" s="108"/>
      <c r="AS128" s="108"/>
      <c r="AT128" s="108"/>
      <c r="AU128" s="108"/>
      <c r="AV128" s="108"/>
      <c r="AW128" s="108"/>
      <c r="AX128" s="108"/>
      <c r="AY128" s="108"/>
      <c r="AZ128" s="108"/>
      <c r="BA128" s="108"/>
      <c r="BB128" s="108"/>
      <c r="BC128" s="108"/>
      <c r="BD128" s="108"/>
      <c r="BE128" s="108"/>
      <c r="BF128" s="108"/>
      <c r="BG128" s="108"/>
      <c r="BH128" s="108"/>
      <c r="BI128" s="108"/>
      <c r="BJ128" s="108"/>
      <c r="BK128" s="109"/>
      <c r="BL128" s="108"/>
      <c r="BM128" s="108"/>
      <c r="BN128" s="108"/>
    </row>
    <row r="129" spans="1:66" ht="12" customHeight="1" x14ac:dyDescent="0.2">
      <c r="A129" s="179"/>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c r="AA129" s="108"/>
      <c r="AB129" s="108"/>
      <c r="AC129" s="108"/>
      <c r="AD129" s="108"/>
      <c r="AE129" s="108"/>
      <c r="AF129" s="108"/>
      <c r="AG129" s="108"/>
      <c r="AH129" s="108"/>
      <c r="AI129" s="108"/>
      <c r="AJ129" s="108"/>
      <c r="AK129" s="108"/>
      <c r="AL129" s="108"/>
      <c r="AM129" s="108"/>
      <c r="AN129" s="108"/>
      <c r="AO129" s="108"/>
      <c r="AP129" s="108"/>
      <c r="AQ129" s="108"/>
      <c r="AR129" s="108"/>
      <c r="AS129" s="108"/>
      <c r="AT129" s="108"/>
      <c r="AU129" s="108"/>
      <c r="AV129" s="108"/>
      <c r="AW129" s="108"/>
      <c r="AX129" s="108"/>
      <c r="AY129" s="108"/>
      <c r="AZ129" s="108"/>
      <c r="BA129" s="108"/>
      <c r="BB129" s="108"/>
      <c r="BC129" s="108"/>
      <c r="BD129" s="108"/>
      <c r="BE129" s="108"/>
      <c r="BF129" s="108"/>
      <c r="BG129" s="108"/>
      <c r="BH129" s="108"/>
      <c r="BI129" s="108"/>
      <c r="BJ129" s="108"/>
      <c r="BK129" s="109"/>
      <c r="BL129" s="108"/>
      <c r="BM129" s="108"/>
      <c r="BN129" s="108"/>
    </row>
    <row r="130" spans="1:66" ht="12" customHeight="1" x14ac:dyDescent="0.2">
      <c r="A130" s="179"/>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c r="AA130" s="108"/>
      <c r="AB130" s="108"/>
      <c r="AC130" s="108"/>
      <c r="AD130" s="108"/>
      <c r="AE130" s="108"/>
      <c r="AF130" s="108"/>
      <c r="AG130" s="108"/>
      <c r="AH130" s="108"/>
      <c r="AI130" s="108"/>
      <c r="AJ130" s="108"/>
      <c r="AK130" s="108"/>
      <c r="AL130" s="108"/>
      <c r="AM130" s="108"/>
      <c r="AN130" s="108"/>
      <c r="AO130" s="108"/>
      <c r="AP130" s="108"/>
      <c r="AQ130" s="108"/>
      <c r="AR130" s="108"/>
      <c r="AS130" s="108"/>
      <c r="AT130" s="108"/>
      <c r="AU130" s="108"/>
      <c r="AV130" s="108"/>
      <c r="AW130" s="108"/>
      <c r="AX130" s="108"/>
      <c r="AY130" s="108"/>
      <c r="AZ130" s="108"/>
      <c r="BA130" s="108"/>
      <c r="BB130" s="108"/>
      <c r="BC130" s="108"/>
      <c r="BD130" s="108"/>
      <c r="BE130" s="108"/>
      <c r="BF130" s="108"/>
      <c r="BG130" s="108"/>
      <c r="BH130" s="108"/>
      <c r="BI130" s="108"/>
      <c r="BJ130" s="108"/>
      <c r="BK130" s="109"/>
      <c r="BL130" s="108"/>
      <c r="BM130" s="108"/>
      <c r="BN130" s="108"/>
    </row>
    <row r="131" spans="1:66" ht="12" customHeight="1" x14ac:dyDescent="0.2">
      <c r="A131" s="179"/>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c r="AA131" s="108"/>
      <c r="AB131" s="108"/>
      <c r="AC131" s="108"/>
      <c r="AD131" s="108"/>
      <c r="AE131" s="108"/>
      <c r="AF131" s="108"/>
      <c r="AG131" s="108"/>
      <c r="AH131" s="108"/>
      <c r="AI131" s="108"/>
      <c r="AJ131" s="108"/>
      <c r="AK131" s="108"/>
      <c r="AL131" s="108"/>
      <c r="AM131" s="108"/>
      <c r="AN131" s="108"/>
      <c r="AO131" s="108"/>
      <c r="AP131" s="108"/>
      <c r="AQ131" s="108"/>
      <c r="AR131" s="108"/>
      <c r="AS131" s="108"/>
      <c r="AT131" s="108"/>
      <c r="AU131" s="108"/>
      <c r="AV131" s="108"/>
      <c r="AW131" s="108"/>
      <c r="AX131" s="108"/>
      <c r="AY131" s="108"/>
      <c r="AZ131" s="108"/>
      <c r="BA131" s="108"/>
      <c r="BB131" s="108"/>
      <c r="BC131" s="108"/>
      <c r="BD131" s="108"/>
      <c r="BE131" s="108"/>
      <c r="BF131" s="108"/>
      <c r="BG131" s="108"/>
      <c r="BH131" s="108"/>
      <c r="BI131" s="108"/>
      <c r="BJ131" s="108"/>
      <c r="BK131" s="109"/>
      <c r="BL131" s="108"/>
      <c r="BM131" s="108"/>
      <c r="BN131" s="108"/>
    </row>
    <row r="132" spans="1:66" ht="12" customHeight="1" x14ac:dyDescent="0.2">
      <c r="A132" s="179"/>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c r="AA132" s="108"/>
      <c r="AB132" s="108"/>
      <c r="AC132" s="108"/>
      <c r="AD132" s="108"/>
      <c r="AE132" s="108"/>
      <c r="AF132" s="108"/>
      <c r="AG132" s="108"/>
      <c r="AH132" s="108"/>
      <c r="AI132" s="108"/>
      <c r="AJ132" s="108"/>
      <c r="AK132" s="108"/>
      <c r="AL132" s="108"/>
      <c r="AM132" s="108"/>
      <c r="AN132" s="108"/>
      <c r="AO132" s="108"/>
      <c r="AP132" s="108"/>
      <c r="AQ132" s="108"/>
      <c r="AR132" s="108"/>
      <c r="AS132" s="108"/>
      <c r="AT132" s="108"/>
      <c r="AU132" s="108"/>
      <c r="AV132" s="108"/>
      <c r="AW132" s="108"/>
      <c r="AX132" s="108"/>
      <c r="AY132" s="108"/>
      <c r="AZ132" s="108"/>
      <c r="BA132" s="108"/>
      <c r="BB132" s="108"/>
      <c r="BC132" s="108"/>
      <c r="BD132" s="108"/>
      <c r="BE132" s="108"/>
      <c r="BF132" s="108"/>
      <c r="BG132" s="108"/>
      <c r="BH132" s="108"/>
      <c r="BI132" s="108"/>
      <c r="BJ132" s="108"/>
      <c r="BK132" s="109"/>
      <c r="BL132" s="108"/>
      <c r="BM132" s="108"/>
      <c r="BN132" s="108"/>
    </row>
    <row r="133" spans="1:66" ht="12" customHeight="1" x14ac:dyDescent="0.2">
      <c r="A133" s="179"/>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c r="AA133" s="108"/>
      <c r="AB133" s="108"/>
      <c r="AC133" s="108"/>
      <c r="AD133" s="108"/>
      <c r="AE133" s="108"/>
      <c r="AF133" s="108"/>
      <c r="AG133" s="108"/>
      <c r="AH133" s="108"/>
      <c r="AI133" s="108"/>
      <c r="AJ133" s="108"/>
      <c r="AK133" s="108"/>
      <c r="AL133" s="108"/>
      <c r="AM133" s="108"/>
      <c r="AN133" s="108"/>
      <c r="AO133" s="108"/>
      <c r="AP133" s="108"/>
      <c r="AQ133" s="108"/>
      <c r="AR133" s="108"/>
      <c r="AS133" s="108"/>
      <c r="AT133" s="108"/>
      <c r="AU133" s="108"/>
      <c r="AV133" s="108"/>
      <c r="AW133" s="108"/>
      <c r="AX133" s="108"/>
      <c r="AY133" s="108"/>
      <c r="AZ133" s="108"/>
      <c r="BA133" s="108"/>
      <c r="BB133" s="108"/>
      <c r="BC133" s="108"/>
      <c r="BD133" s="108"/>
      <c r="BE133" s="108"/>
      <c r="BF133" s="108"/>
      <c r="BG133" s="108"/>
      <c r="BH133" s="108"/>
      <c r="BI133" s="108"/>
      <c r="BJ133" s="108"/>
      <c r="BK133" s="109"/>
      <c r="BL133" s="108"/>
      <c r="BM133" s="108"/>
      <c r="BN133" s="108"/>
    </row>
    <row r="134" spans="1:66" ht="12" customHeight="1" x14ac:dyDescent="0.2">
      <c r="A134" s="179"/>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c r="AA134" s="108"/>
      <c r="AB134" s="108"/>
      <c r="AC134" s="108"/>
      <c r="AD134" s="108"/>
      <c r="AE134" s="108"/>
      <c r="AF134" s="108"/>
      <c r="AG134" s="108"/>
      <c r="AH134" s="108"/>
      <c r="AI134" s="108"/>
      <c r="AJ134" s="108"/>
      <c r="AK134" s="108"/>
      <c r="AL134" s="108"/>
      <c r="AM134" s="108"/>
      <c r="AN134" s="108"/>
      <c r="AO134" s="108"/>
      <c r="AP134" s="108"/>
      <c r="AQ134" s="108"/>
      <c r="AR134" s="108"/>
      <c r="AS134" s="108"/>
      <c r="AT134" s="108"/>
      <c r="AU134" s="108"/>
      <c r="AV134" s="108"/>
      <c r="AW134" s="108"/>
      <c r="AX134" s="108"/>
      <c r="AY134" s="108"/>
      <c r="AZ134" s="108"/>
      <c r="BA134" s="108"/>
      <c r="BB134" s="108"/>
      <c r="BC134" s="108"/>
      <c r="BD134" s="108"/>
      <c r="BE134" s="108"/>
      <c r="BF134" s="108"/>
      <c r="BG134" s="108"/>
      <c r="BH134" s="108"/>
      <c r="BI134" s="108"/>
      <c r="BJ134" s="108"/>
      <c r="BK134" s="109"/>
      <c r="BL134" s="108"/>
      <c r="BM134" s="108"/>
      <c r="BN134" s="108"/>
    </row>
    <row r="135" spans="1:66" ht="12" customHeight="1" x14ac:dyDescent="0.2">
      <c r="A135" s="179"/>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c r="AA135" s="108"/>
      <c r="AB135" s="108"/>
      <c r="AC135" s="108"/>
      <c r="AD135" s="108"/>
      <c r="AE135" s="108"/>
      <c r="AF135" s="108"/>
      <c r="AG135" s="108"/>
      <c r="AH135" s="108"/>
      <c r="AI135" s="108"/>
      <c r="AJ135" s="108"/>
      <c r="AK135" s="108"/>
      <c r="AL135" s="108"/>
      <c r="AM135" s="108"/>
      <c r="AN135" s="108"/>
      <c r="AO135" s="108"/>
      <c r="AP135" s="108"/>
      <c r="AQ135" s="108"/>
      <c r="AR135" s="108"/>
      <c r="AS135" s="108"/>
      <c r="AT135" s="108"/>
      <c r="AU135" s="108"/>
      <c r="AV135" s="108"/>
      <c r="AW135" s="108"/>
      <c r="AX135" s="108"/>
      <c r="AY135" s="108"/>
      <c r="AZ135" s="108"/>
      <c r="BA135" s="108"/>
      <c r="BB135" s="108"/>
      <c r="BC135" s="108"/>
      <c r="BD135" s="108"/>
      <c r="BE135" s="108"/>
      <c r="BF135" s="108"/>
      <c r="BG135" s="108"/>
      <c r="BH135" s="108"/>
      <c r="BI135" s="108"/>
      <c r="BJ135" s="108"/>
      <c r="BK135" s="109"/>
      <c r="BL135" s="108"/>
      <c r="BM135" s="108"/>
      <c r="BN135" s="108"/>
    </row>
    <row r="136" spans="1:66" ht="12" customHeight="1" x14ac:dyDescent="0.2">
      <c r="A136" s="179"/>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c r="AA136" s="108"/>
      <c r="AB136" s="108"/>
      <c r="AC136" s="108"/>
      <c r="AD136" s="108"/>
      <c r="AE136" s="108"/>
      <c r="AF136" s="108"/>
      <c r="AG136" s="108"/>
      <c r="AH136" s="108"/>
      <c r="AI136" s="108"/>
      <c r="AJ136" s="108"/>
      <c r="AK136" s="108"/>
      <c r="AL136" s="108"/>
      <c r="AM136" s="108"/>
      <c r="AN136" s="108"/>
      <c r="AO136" s="108"/>
      <c r="AP136" s="108"/>
      <c r="AQ136" s="108"/>
      <c r="AR136" s="108"/>
      <c r="AS136" s="108"/>
      <c r="AT136" s="108"/>
      <c r="AU136" s="108"/>
      <c r="AV136" s="108"/>
      <c r="AW136" s="108"/>
      <c r="AX136" s="108"/>
      <c r="AY136" s="108"/>
      <c r="AZ136" s="108"/>
      <c r="BA136" s="108"/>
      <c r="BB136" s="108"/>
      <c r="BC136" s="108"/>
      <c r="BD136" s="108"/>
      <c r="BE136" s="108"/>
      <c r="BF136" s="108"/>
      <c r="BG136" s="108"/>
      <c r="BH136" s="108"/>
      <c r="BI136" s="108"/>
      <c r="BJ136" s="108"/>
      <c r="BK136" s="109"/>
      <c r="BL136" s="108"/>
      <c r="BM136" s="108"/>
      <c r="BN136" s="108"/>
    </row>
    <row r="137" spans="1:66" ht="12" customHeight="1" x14ac:dyDescent="0.2">
      <c r="A137" s="179"/>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c r="AA137" s="108"/>
      <c r="AB137" s="108"/>
      <c r="AC137" s="108"/>
      <c r="AD137" s="108"/>
      <c r="AE137" s="108"/>
      <c r="AF137" s="108"/>
      <c r="AG137" s="108"/>
      <c r="AH137" s="108"/>
      <c r="AI137" s="108"/>
      <c r="AJ137" s="108"/>
      <c r="AK137" s="108"/>
      <c r="AL137" s="108"/>
      <c r="AM137" s="108"/>
      <c r="AN137" s="108"/>
      <c r="AO137" s="108"/>
      <c r="AP137" s="108"/>
      <c r="AQ137" s="108"/>
      <c r="AR137" s="108"/>
      <c r="AS137" s="108"/>
      <c r="AT137" s="108"/>
      <c r="AU137" s="108"/>
      <c r="AV137" s="108"/>
      <c r="AW137" s="108"/>
      <c r="AX137" s="108"/>
      <c r="AY137" s="108"/>
      <c r="AZ137" s="108"/>
      <c r="BA137" s="108"/>
      <c r="BB137" s="108"/>
      <c r="BC137" s="108"/>
      <c r="BD137" s="108"/>
      <c r="BE137" s="108"/>
      <c r="BF137" s="108"/>
      <c r="BG137" s="108"/>
      <c r="BH137" s="108"/>
      <c r="BI137" s="108"/>
      <c r="BJ137" s="108"/>
      <c r="BK137" s="109"/>
      <c r="BL137" s="108"/>
      <c r="BM137" s="108"/>
      <c r="BN137" s="108"/>
    </row>
    <row r="138" spans="1:66" ht="12" customHeight="1" x14ac:dyDescent="0.2">
      <c r="A138" s="179"/>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c r="AA138" s="108"/>
      <c r="AB138" s="108"/>
      <c r="AC138" s="108"/>
      <c r="AD138" s="108"/>
      <c r="AE138" s="108"/>
      <c r="AF138" s="108"/>
      <c r="AG138" s="108"/>
      <c r="AH138" s="108"/>
      <c r="AI138" s="108"/>
      <c r="AJ138" s="108"/>
      <c r="AK138" s="108"/>
      <c r="AL138" s="108"/>
      <c r="AM138" s="108"/>
      <c r="AN138" s="108"/>
      <c r="AO138" s="108"/>
      <c r="AP138" s="108"/>
      <c r="AQ138" s="108"/>
      <c r="AR138" s="108"/>
      <c r="AS138" s="108"/>
      <c r="AT138" s="108"/>
      <c r="AU138" s="108"/>
      <c r="AV138" s="108"/>
      <c r="AW138" s="108"/>
      <c r="AX138" s="108"/>
      <c r="AY138" s="108"/>
      <c r="AZ138" s="108"/>
      <c r="BA138" s="108"/>
      <c r="BB138" s="108"/>
      <c r="BC138" s="108"/>
      <c r="BD138" s="108"/>
      <c r="BE138" s="108"/>
      <c r="BF138" s="108"/>
      <c r="BG138" s="108"/>
      <c r="BH138" s="108"/>
      <c r="BI138" s="108"/>
      <c r="BJ138" s="108"/>
      <c r="BK138" s="109"/>
      <c r="BL138" s="108"/>
      <c r="BM138" s="108"/>
      <c r="BN138" s="108"/>
    </row>
    <row r="139" spans="1:66" ht="12" customHeight="1" x14ac:dyDescent="0.2">
      <c r="A139" s="179"/>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c r="AA139" s="108"/>
      <c r="AB139" s="108"/>
      <c r="AC139" s="108"/>
      <c r="AD139" s="108"/>
      <c r="AE139" s="108"/>
      <c r="AF139" s="108"/>
      <c r="AG139" s="108"/>
      <c r="AH139" s="108"/>
      <c r="AI139" s="108"/>
      <c r="AJ139" s="108"/>
      <c r="AK139" s="108"/>
      <c r="AL139" s="108"/>
      <c r="AM139" s="108"/>
      <c r="AN139" s="108"/>
      <c r="AO139" s="108"/>
      <c r="AP139" s="108"/>
      <c r="AQ139" s="108"/>
      <c r="AR139" s="108"/>
      <c r="AS139" s="108"/>
      <c r="AT139" s="108"/>
      <c r="AU139" s="108"/>
      <c r="AV139" s="108"/>
      <c r="AW139" s="108"/>
      <c r="AX139" s="108"/>
      <c r="AY139" s="108"/>
      <c r="AZ139" s="108"/>
      <c r="BA139" s="108"/>
      <c r="BB139" s="108"/>
      <c r="BC139" s="108"/>
      <c r="BD139" s="108"/>
      <c r="BE139" s="108"/>
      <c r="BF139" s="108"/>
      <c r="BG139" s="108"/>
      <c r="BH139" s="108"/>
      <c r="BI139" s="108"/>
      <c r="BJ139" s="108"/>
      <c r="BK139" s="109"/>
      <c r="BL139" s="108"/>
      <c r="BM139" s="108"/>
      <c r="BN139" s="108"/>
    </row>
    <row r="140" spans="1:66" ht="12" customHeight="1" x14ac:dyDescent="0.2">
      <c r="A140" s="179"/>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c r="AA140" s="108"/>
      <c r="AB140" s="108"/>
      <c r="AC140" s="108"/>
      <c r="AD140" s="108"/>
      <c r="AE140" s="108"/>
      <c r="AF140" s="108"/>
      <c r="AG140" s="108"/>
      <c r="AH140" s="108"/>
      <c r="AI140" s="108"/>
      <c r="AJ140" s="108"/>
      <c r="AK140" s="108"/>
      <c r="AL140" s="108"/>
      <c r="AM140" s="108"/>
      <c r="AN140" s="108"/>
      <c r="AO140" s="108"/>
      <c r="AP140" s="108"/>
      <c r="AQ140" s="108"/>
      <c r="AR140" s="108"/>
      <c r="AS140" s="108"/>
      <c r="AT140" s="108"/>
      <c r="AU140" s="108"/>
      <c r="AV140" s="108"/>
      <c r="AW140" s="108"/>
      <c r="AX140" s="108"/>
      <c r="AY140" s="108"/>
      <c r="AZ140" s="108"/>
      <c r="BA140" s="108"/>
      <c r="BB140" s="108"/>
      <c r="BC140" s="108"/>
      <c r="BD140" s="108"/>
      <c r="BE140" s="108"/>
      <c r="BF140" s="108"/>
      <c r="BG140" s="108"/>
      <c r="BH140" s="108"/>
      <c r="BI140" s="108"/>
      <c r="BJ140" s="108"/>
      <c r="BK140" s="109"/>
      <c r="BL140" s="108"/>
      <c r="BM140" s="108"/>
      <c r="BN140" s="108"/>
    </row>
    <row r="141" spans="1:66" ht="12" customHeight="1" x14ac:dyDescent="0.2">
      <c r="A141" s="179"/>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c r="AA141" s="108"/>
      <c r="AB141" s="108"/>
      <c r="AC141" s="108"/>
      <c r="AD141" s="108"/>
      <c r="AE141" s="108"/>
      <c r="AF141" s="108"/>
      <c r="AG141" s="108"/>
      <c r="AH141" s="108"/>
      <c r="AI141" s="108"/>
      <c r="AJ141" s="108"/>
      <c r="AK141" s="108"/>
      <c r="AL141" s="108"/>
      <c r="AM141" s="108"/>
      <c r="AN141" s="108"/>
      <c r="AO141" s="108"/>
      <c r="AP141" s="108"/>
      <c r="AQ141" s="108"/>
      <c r="AR141" s="108"/>
      <c r="AS141" s="108"/>
      <c r="AT141" s="108"/>
      <c r="AU141" s="108"/>
      <c r="AV141" s="108"/>
      <c r="AW141" s="108"/>
      <c r="AX141" s="108"/>
      <c r="AY141" s="108"/>
      <c r="AZ141" s="108"/>
      <c r="BA141" s="108"/>
      <c r="BB141" s="108"/>
      <c r="BC141" s="108"/>
      <c r="BD141" s="108"/>
      <c r="BE141" s="108"/>
      <c r="BF141" s="108"/>
      <c r="BG141" s="108"/>
      <c r="BH141" s="108"/>
      <c r="BI141" s="108"/>
      <c r="BJ141" s="108"/>
      <c r="BK141" s="109"/>
      <c r="BL141" s="108"/>
      <c r="BM141" s="108"/>
      <c r="BN141" s="108"/>
    </row>
    <row r="142" spans="1:66" ht="12" customHeight="1" x14ac:dyDescent="0.2">
      <c r="A142" s="179"/>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c r="AA142" s="108"/>
      <c r="AB142" s="108"/>
      <c r="AC142" s="108"/>
      <c r="AD142" s="108"/>
      <c r="AE142" s="108"/>
      <c r="AF142" s="108"/>
      <c r="AG142" s="108"/>
      <c r="AH142" s="108"/>
      <c r="AI142" s="108"/>
      <c r="AJ142" s="108"/>
      <c r="AK142" s="108"/>
      <c r="AL142" s="108"/>
      <c r="AM142" s="108"/>
      <c r="AN142" s="108"/>
      <c r="AO142" s="108"/>
      <c r="AP142" s="108"/>
      <c r="AQ142" s="108"/>
      <c r="AR142" s="108"/>
      <c r="AS142" s="108"/>
      <c r="AT142" s="108"/>
      <c r="AU142" s="108"/>
      <c r="AV142" s="108"/>
      <c r="AW142" s="108"/>
      <c r="AX142" s="108"/>
      <c r="AY142" s="108"/>
      <c r="AZ142" s="108"/>
      <c r="BA142" s="108"/>
      <c r="BB142" s="108"/>
      <c r="BC142" s="108"/>
      <c r="BD142" s="108"/>
      <c r="BE142" s="108"/>
      <c r="BF142" s="108"/>
      <c r="BG142" s="108"/>
      <c r="BH142" s="108"/>
      <c r="BI142" s="108"/>
      <c r="BJ142" s="108"/>
      <c r="BK142" s="109"/>
      <c r="BL142" s="108"/>
      <c r="BM142" s="108"/>
      <c r="BN142" s="108"/>
    </row>
    <row r="143" spans="1:66" ht="12" customHeight="1" x14ac:dyDescent="0.2">
      <c r="A143" s="179"/>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c r="AA143" s="108"/>
      <c r="AB143" s="108"/>
      <c r="AC143" s="108"/>
      <c r="AD143" s="108"/>
      <c r="AE143" s="108"/>
      <c r="AF143" s="108"/>
      <c r="AG143" s="108"/>
      <c r="AH143" s="108"/>
      <c r="AI143" s="108"/>
      <c r="AJ143" s="108"/>
      <c r="AK143" s="108"/>
      <c r="AL143" s="108"/>
      <c r="AM143" s="108"/>
      <c r="AN143" s="108"/>
      <c r="AO143" s="108"/>
      <c r="AP143" s="108"/>
      <c r="AQ143" s="108"/>
      <c r="AR143" s="108"/>
      <c r="AS143" s="108"/>
      <c r="AT143" s="108"/>
      <c r="AU143" s="108"/>
      <c r="AV143" s="108"/>
      <c r="AW143" s="108"/>
      <c r="AX143" s="108"/>
      <c r="AY143" s="108"/>
      <c r="AZ143" s="108"/>
      <c r="BA143" s="108"/>
      <c r="BB143" s="108"/>
      <c r="BC143" s="108"/>
      <c r="BD143" s="108"/>
      <c r="BE143" s="108"/>
      <c r="BF143" s="108"/>
      <c r="BG143" s="108"/>
      <c r="BH143" s="108"/>
      <c r="BI143" s="108"/>
      <c r="BJ143" s="108"/>
      <c r="BK143" s="109"/>
      <c r="BL143" s="108"/>
      <c r="BM143" s="108"/>
      <c r="BN143" s="108"/>
    </row>
    <row r="144" spans="1:66" ht="12" customHeight="1" x14ac:dyDescent="0.2">
      <c r="A144" s="179"/>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c r="AA144" s="108"/>
      <c r="AB144" s="108"/>
      <c r="AC144" s="108"/>
      <c r="AD144" s="108"/>
      <c r="AE144" s="108"/>
      <c r="AF144" s="108"/>
      <c r="AG144" s="108"/>
      <c r="AH144" s="108"/>
      <c r="AI144" s="108"/>
      <c r="AJ144" s="108"/>
      <c r="AK144" s="108"/>
      <c r="AL144" s="108"/>
      <c r="AM144" s="108"/>
      <c r="AN144" s="108"/>
      <c r="AO144" s="108"/>
      <c r="AP144" s="108"/>
      <c r="AQ144" s="108"/>
      <c r="AR144" s="108"/>
      <c r="AS144" s="108"/>
      <c r="AT144" s="108"/>
      <c r="AU144" s="108"/>
      <c r="AV144" s="108"/>
      <c r="AW144" s="108"/>
      <c r="AX144" s="108"/>
      <c r="AY144" s="108"/>
      <c r="AZ144" s="108"/>
      <c r="BA144" s="108"/>
      <c r="BB144" s="108"/>
      <c r="BC144" s="108"/>
      <c r="BD144" s="108"/>
      <c r="BE144" s="108"/>
      <c r="BF144" s="108"/>
      <c r="BG144" s="108"/>
      <c r="BH144" s="108"/>
      <c r="BI144" s="108"/>
      <c r="BJ144" s="108"/>
      <c r="BK144" s="109"/>
      <c r="BL144" s="108"/>
      <c r="BM144" s="108"/>
      <c r="BN144" s="108"/>
    </row>
    <row r="145" spans="1:66" ht="12" customHeight="1" x14ac:dyDescent="0.2">
      <c r="A145" s="179"/>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c r="AA145" s="108"/>
      <c r="AB145" s="108"/>
      <c r="AC145" s="108"/>
      <c r="AD145" s="108"/>
      <c r="AE145" s="108"/>
      <c r="AF145" s="108"/>
      <c r="AG145" s="108"/>
      <c r="AH145" s="108"/>
      <c r="AI145" s="108"/>
      <c r="AJ145" s="108"/>
      <c r="AK145" s="108"/>
      <c r="AL145" s="108"/>
      <c r="AM145" s="108"/>
      <c r="AN145" s="108"/>
      <c r="AO145" s="108"/>
      <c r="AP145" s="108"/>
      <c r="AQ145" s="108"/>
      <c r="AR145" s="108"/>
      <c r="AS145" s="108"/>
      <c r="AT145" s="108"/>
      <c r="AU145" s="108"/>
      <c r="AV145" s="108"/>
      <c r="AW145" s="108"/>
      <c r="AX145" s="108"/>
      <c r="AY145" s="108"/>
      <c r="AZ145" s="108"/>
      <c r="BA145" s="108"/>
      <c r="BB145" s="108"/>
      <c r="BC145" s="108"/>
      <c r="BD145" s="108"/>
      <c r="BE145" s="108"/>
      <c r="BF145" s="108"/>
      <c r="BG145" s="108"/>
      <c r="BH145" s="108"/>
      <c r="BI145" s="108"/>
      <c r="BJ145" s="108"/>
      <c r="BK145" s="109"/>
      <c r="BL145" s="108"/>
      <c r="BM145" s="108"/>
      <c r="BN145" s="108"/>
    </row>
    <row r="146" spans="1:66" ht="12" customHeight="1" x14ac:dyDescent="0.2">
      <c r="A146" s="179"/>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c r="AA146" s="108"/>
      <c r="AB146" s="108"/>
      <c r="AC146" s="108"/>
      <c r="AD146" s="108"/>
      <c r="AE146" s="108"/>
      <c r="AF146" s="108"/>
      <c r="AG146" s="108"/>
      <c r="AH146" s="108"/>
      <c r="AI146" s="108"/>
      <c r="AJ146" s="108"/>
      <c r="AK146" s="108"/>
      <c r="AL146" s="108"/>
      <c r="AM146" s="108"/>
      <c r="AN146" s="108"/>
      <c r="AO146" s="108"/>
      <c r="AP146" s="108"/>
      <c r="AQ146" s="108"/>
      <c r="AR146" s="108"/>
      <c r="AS146" s="108"/>
      <c r="AT146" s="108"/>
      <c r="AU146" s="108"/>
      <c r="AV146" s="108"/>
      <c r="AW146" s="108"/>
      <c r="AX146" s="108"/>
      <c r="AY146" s="108"/>
      <c r="AZ146" s="108"/>
      <c r="BA146" s="108"/>
      <c r="BB146" s="108"/>
      <c r="BC146" s="108"/>
      <c r="BD146" s="108"/>
      <c r="BE146" s="108"/>
      <c r="BF146" s="108"/>
      <c r="BG146" s="108"/>
      <c r="BH146" s="108"/>
      <c r="BI146" s="108"/>
      <c r="BJ146" s="108"/>
      <c r="BK146" s="109"/>
      <c r="BL146" s="108"/>
      <c r="BM146" s="108"/>
      <c r="BN146" s="108"/>
    </row>
    <row r="147" spans="1:66" ht="12" customHeight="1" x14ac:dyDescent="0.2">
      <c r="A147" s="179"/>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c r="AA147" s="108"/>
      <c r="AB147" s="108"/>
      <c r="AC147" s="108"/>
      <c r="AD147" s="108"/>
      <c r="AE147" s="108"/>
      <c r="AF147" s="108"/>
      <c r="AG147" s="108"/>
      <c r="AH147" s="108"/>
      <c r="AI147" s="108"/>
      <c r="AJ147" s="108"/>
      <c r="AK147" s="108"/>
      <c r="AL147" s="108"/>
      <c r="AM147" s="108"/>
      <c r="AN147" s="108"/>
      <c r="AO147" s="108"/>
      <c r="AP147" s="108"/>
      <c r="AQ147" s="108"/>
      <c r="AR147" s="108"/>
      <c r="AS147" s="108"/>
      <c r="AT147" s="108"/>
      <c r="AU147" s="108"/>
      <c r="AV147" s="108"/>
      <c r="AW147" s="108"/>
      <c r="AX147" s="108"/>
      <c r="AY147" s="108"/>
      <c r="AZ147" s="108"/>
      <c r="BA147" s="108"/>
      <c r="BB147" s="108"/>
      <c r="BC147" s="108"/>
      <c r="BD147" s="108"/>
      <c r="BE147" s="108"/>
      <c r="BF147" s="108"/>
      <c r="BG147" s="108"/>
      <c r="BH147" s="108"/>
      <c r="BI147" s="108"/>
      <c r="BJ147" s="108"/>
      <c r="BK147" s="109"/>
      <c r="BL147" s="108"/>
      <c r="BM147" s="108"/>
      <c r="BN147" s="108"/>
    </row>
    <row r="148" spans="1:66" ht="12" customHeight="1" x14ac:dyDescent="0.2">
      <c r="A148" s="179"/>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c r="AA148" s="108"/>
      <c r="AB148" s="108"/>
      <c r="AC148" s="108"/>
      <c r="AD148" s="108"/>
      <c r="AE148" s="108"/>
      <c r="AF148" s="108"/>
      <c r="AG148" s="108"/>
      <c r="AH148" s="108"/>
      <c r="AI148" s="108"/>
      <c r="AJ148" s="108"/>
      <c r="AK148" s="108"/>
      <c r="AL148" s="108"/>
      <c r="AM148" s="108"/>
      <c r="AN148" s="108"/>
      <c r="AO148" s="108"/>
      <c r="AP148" s="108"/>
      <c r="AQ148" s="108"/>
      <c r="AR148" s="108"/>
      <c r="AS148" s="108"/>
      <c r="AT148" s="108"/>
      <c r="AU148" s="108"/>
      <c r="AV148" s="108"/>
      <c r="AW148" s="108"/>
      <c r="AX148" s="108"/>
      <c r="AY148" s="108"/>
      <c r="AZ148" s="108"/>
      <c r="BA148" s="108"/>
      <c r="BB148" s="108"/>
      <c r="BC148" s="108"/>
      <c r="BD148" s="108"/>
      <c r="BE148" s="108"/>
      <c r="BF148" s="108"/>
      <c r="BG148" s="108"/>
      <c r="BH148" s="108"/>
      <c r="BI148" s="108"/>
      <c r="BJ148" s="108"/>
      <c r="BK148" s="109"/>
      <c r="BL148" s="108"/>
      <c r="BM148" s="108"/>
      <c r="BN148" s="108"/>
    </row>
    <row r="149" spans="1:66" ht="12" customHeight="1" x14ac:dyDescent="0.2">
      <c r="A149" s="179"/>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c r="AA149" s="108"/>
      <c r="AB149" s="108"/>
      <c r="AC149" s="108"/>
      <c r="AD149" s="108"/>
      <c r="AE149" s="108"/>
      <c r="AF149" s="108"/>
      <c r="AG149" s="108"/>
      <c r="AH149" s="108"/>
      <c r="AI149" s="108"/>
      <c r="AJ149" s="108"/>
      <c r="AK149" s="108"/>
      <c r="AL149" s="108"/>
      <c r="AM149" s="108"/>
      <c r="AN149" s="108"/>
      <c r="AO149" s="108"/>
      <c r="AP149" s="108"/>
      <c r="AQ149" s="108"/>
      <c r="AR149" s="108"/>
      <c r="AS149" s="108"/>
      <c r="AT149" s="108"/>
      <c r="AU149" s="108"/>
      <c r="AV149" s="108"/>
      <c r="AW149" s="108"/>
      <c r="AX149" s="108"/>
      <c r="AY149" s="108"/>
      <c r="AZ149" s="108"/>
      <c r="BA149" s="108"/>
      <c r="BB149" s="108"/>
      <c r="BC149" s="108"/>
      <c r="BD149" s="108"/>
      <c r="BE149" s="108"/>
      <c r="BF149" s="108"/>
      <c r="BG149" s="108"/>
      <c r="BH149" s="108"/>
      <c r="BI149" s="108"/>
      <c r="BJ149" s="108"/>
      <c r="BK149" s="109"/>
      <c r="BL149" s="108"/>
      <c r="BM149" s="108"/>
      <c r="BN149" s="108"/>
    </row>
    <row r="150" spans="1:66" ht="12" customHeight="1" x14ac:dyDescent="0.2">
      <c r="A150" s="179"/>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c r="AA150" s="108"/>
      <c r="AB150" s="108"/>
      <c r="AC150" s="108"/>
      <c r="AD150" s="108"/>
      <c r="AE150" s="108"/>
      <c r="AF150" s="108"/>
      <c r="AG150" s="108"/>
      <c r="AH150" s="108"/>
      <c r="AI150" s="108"/>
      <c r="AJ150" s="108"/>
      <c r="AK150" s="108"/>
      <c r="AL150" s="108"/>
      <c r="AM150" s="108"/>
      <c r="AN150" s="108"/>
      <c r="AO150" s="108"/>
      <c r="AP150" s="108"/>
      <c r="AQ150" s="108"/>
      <c r="AR150" s="108"/>
      <c r="AS150" s="108"/>
      <c r="AT150" s="108"/>
      <c r="AU150" s="108"/>
      <c r="AV150" s="108"/>
      <c r="AW150" s="108"/>
      <c r="AX150" s="108"/>
      <c r="AY150" s="108"/>
      <c r="AZ150" s="108"/>
      <c r="BA150" s="108"/>
      <c r="BB150" s="108"/>
      <c r="BC150" s="108"/>
      <c r="BD150" s="108"/>
      <c r="BE150" s="108"/>
      <c r="BF150" s="108"/>
      <c r="BG150" s="108"/>
      <c r="BH150" s="108"/>
      <c r="BI150" s="108"/>
      <c r="BJ150" s="108"/>
      <c r="BK150" s="109"/>
      <c r="BL150" s="108"/>
      <c r="BM150" s="108"/>
      <c r="BN150" s="108"/>
    </row>
    <row r="151" spans="1:66" ht="12" customHeight="1" x14ac:dyDescent="0.2">
      <c r="A151" s="179"/>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c r="AA151" s="108"/>
      <c r="AB151" s="108"/>
      <c r="AC151" s="108"/>
      <c r="AD151" s="108"/>
      <c r="AE151" s="108"/>
      <c r="AF151" s="108"/>
      <c r="AG151" s="108"/>
      <c r="AH151" s="108"/>
      <c r="AI151" s="108"/>
      <c r="AJ151" s="108"/>
      <c r="AK151" s="108"/>
      <c r="AL151" s="108"/>
      <c r="AM151" s="108"/>
      <c r="AN151" s="108"/>
      <c r="AO151" s="108"/>
      <c r="AP151" s="108"/>
      <c r="AQ151" s="108"/>
      <c r="AR151" s="108"/>
      <c r="AS151" s="108"/>
      <c r="AT151" s="108"/>
      <c r="AU151" s="108"/>
      <c r="AV151" s="108"/>
      <c r="AW151" s="108"/>
      <c r="AX151" s="108"/>
      <c r="AY151" s="108"/>
      <c r="AZ151" s="108"/>
      <c r="BA151" s="108"/>
      <c r="BB151" s="108"/>
      <c r="BC151" s="108"/>
      <c r="BD151" s="108"/>
      <c r="BE151" s="108"/>
      <c r="BF151" s="108"/>
      <c r="BG151" s="108"/>
      <c r="BH151" s="108"/>
      <c r="BI151" s="108"/>
      <c r="BJ151" s="108"/>
      <c r="BK151" s="109"/>
      <c r="BL151" s="108"/>
      <c r="BM151" s="108"/>
      <c r="BN151" s="108"/>
    </row>
    <row r="152" spans="1:66" ht="12" customHeight="1" x14ac:dyDescent="0.2">
      <c r="A152" s="179"/>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c r="AA152" s="108"/>
      <c r="AB152" s="108"/>
      <c r="AC152" s="108"/>
      <c r="AD152" s="108"/>
      <c r="AE152" s="108"/>
      <c r="AF152" s="108"/>
      <c r="AG152" s="108"/>
      <c r="AH152" s="108"/>
      <c r="AI152" s="108"/>
      <c r="AJ152" s="108"/>
      <c r="AK152" s="108"/>
      <c r="AL152" s="108"/>
      <c r="AM152" s="108"/>
      <c r="AN152" s="108"/>
      <c r="AO152" s="108"/>
      <c r="AP152" s="108"/>
      <c r="AQ152" s="108"/>
      <c r="AR152" s="108"/>
      <c r="AS152" s="108"/>
      <c r="AT152" s="108"/>
      <c r="AU152" s="108"/>
      <c r="AV152" s="108"/>
      <c r="AW152" s="108"/>
      <c r="AX152" s="108"/>
      <c r="AY152" s="108"/>
      <c r="AZ152" s="108"/>
      <c r="BA152" s="108"/>
      <c r="BB152" s="108"/>
      <c r="BC152" s="108"/>
      <c r="BD152" s="108"/>
      <c r="BE152" s="108"/>
      <c r="BF152" s="108"/>
      <c r="BG152" s="108"/>
      <c r="BH152" s="108"/>
      <c r="BI152" s="108"/>
      <c r="BJ152" s="108"/>
      <c r="BK152" s="109"/>
      <c r="BL152" s="108"/>
      <c r="BM152" s="108"/>
      <c r="BN152" s="108"/>
    </row>
    <row r="153" spans="1:66" ht="12" customHeight="1" x14ac:dyDescent="0.2">
      <c r="A153" s="179"/>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c r="AA153" s="108"/>
      <c r="AB153" s="108"/>
      <c r="AC153" s="108"/>
      <c r="AD153" s="108"/>
      <c r="AE153" s="108"/>
      <c r="AF153" s="108"/>
      <c r="AG153" s="108"/>
      <c r="AH153" s="108"/>
      <c r="AI153" s="108"/>
      <c r="AJ153" s="108"/>
      <c r="AK153" s="108"/>
      <c r="AL153" s="108"/>
      <c r="AM153" s="108"/>
      <c r="AN153" s="108"/>
      <c r="AO153" s="108"/>
      <c r="AP153" s="108"/>
      <c r="AQ153" s="108"/>
      <c r="AR153" s="108"/>
      <c r="AS153" s="108"/>
      <c r="AT153" s="108"/>
      <c r="AU153" s="108"/>
      <c r="AV153" s="108"/>
      <c r="AW153" s="108"/>
      <c r="AX153" s="108"/>
      <c r="AY153" s="108"/>
      <c r="AZ153" s="108"/>
      <c r="BA153" s="108"/>
      <c r="BB153" s="108"/>
      <c r="BC153" s="108"/>
      <c r="BD153" s="108"/>
      <c r="BE153" s="108"/>
      <c r="BF153" s="108"/>
      <c r="BG153" s="108"/>
      <c r="BH153" s="108"/>
      <c r="BI153" s="108"/>
      <c r="BJ153" s="108"/>
      <c r="BK153" s="109"/>
      <c r="BL153" s="108"/>
      <c r="BM153" s="108"/>
      <c r="BN153" s="108"/>
    </row>
    <row r="154" spans="1:66" ht="12" customHeight="1" x14ac:dyDescent="0.2">
      <c r="A154" s="179"/>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c r="AA154" s="108"/>
      <c r="AB154" s="108"/>
      <c r="AC154" s="108"/>
      <c r="AD154" s="108"/>
      <c r="AE154" s="108"/>
      <c r="AF154" s="108"/>
      <c r="AG154" s="108"/>
      <c r="AH154" s="108"/>
      <c r="AI154" s="108"/>
      <c r="AJ154" s="108"/>
      <c r="AK154" s="108"/>
      <c r="AL154" s="108"/>
      <c r="AM154" s="108"/>
      <c r="AN154" s="108"/>
      <c r="AO154" s="108"/>
      <c r="AP154" s="108"/>
      <c r="AQ154" s="108"/>
      <c r="AR154" s="108"/>
      <c r="AS154" s="108"/>
      <c r="AT154" s="108"/>
      <c r="AU154" s="108"/>
      <c r="AV154" s="108"/>
      <c r="AW154" s="108"/>
      <c r="AX154" s="108"/>
      <c r="AY154" s="108"/>
      <c r="AZ154" s="108"/>
      <c r="BA154" s="108"/>
      <c r="BB154" s="108"/>
      <c r="BC154" s="108"/>
      <c r="BD154" s="108"/>
      <c r="BE154" s="108"/>
      <c r="BF154" s="108"/>
      <c r="BG154" s="108"/>
      <c r="BH154" s="108"/>
      <c r="BI154" s="108"/>
      <c r="BJ154" s="108"/>
      <c r="BK154" s="109"/>
      <c r="BL154" s="108"/>
      <c r="BM154" s="108"/>
      <c r="BN154" s="108"/>
    </row>
    <row r="155" spans="1:66" ht="12" customHeight="1" x14ac:dyDescent="0.2">
      <c r="A155" s="179"/>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c r="AA155" s="108"/>
      <c r="AB155" s="108"/>
      <c r="AC155" s="108"/>
      <c r="AD155" s="108"/>
      <c r="AE155" s="108"/>
      <c r="AF155" s="108"/>
      <c r="AG155" s="108"/>
      <c r="AH155" s="108"/>
      <c r="AI155" s="108"/>
      <c r="AJ155" s="108"/>
      <c r="AK155" s="108"/>
      <c r="AL155" s="108"/>
      <c r="AM155" s="108"/>
      <c r="AN155" s="108"/>
      <c r="AO155" s="108"/>
      <c r="AP155" s="108"/>
      <c r="AQ155" s="108"/>
      <c r="AR155" s="108"/>
      <c r="AS155" s="108"/>
      <c r="AT155" s="108"/>
      <c r="AU155" s="108"/>
      <c r="AV155" s="108"/>
      <c r="AW155" s="108"/>
      <c r="AX155" s="108"/>
      <c r="AY155" s="108"/>
      <c r="AZ155" s="108"/>
      <c r="BA155" s="108"/>
      <c r="BB155" s="108"/>
      <c r="BC155" s="108"/>
      <c r="BD155" s="108"/>
      <c r="BE155" s="108"/>
      <c r="BF155" s="108"/>
      <c r="BG155" s="108"/>
      <c r="BH155" s="108"/>
      <c r="BI155" s="108"/>
      <c r="BJ155" s="108"/>
      <c r="BK155" s="109"/>
      <c r="BL155" s="108"/>
      <c r="BM155" s="108"/>
      <c r="BN155" s="108"/>
    </row>
    <row r="156" spans="1:66" ht="12" customHeight="1" x14ac:dyDescent="0.2">
      <c r="A156" s="179"/>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c r="AA156" s="108"/>
      <c r="AB156" s="108"/>
      <c r="AC156" s="108"/>
      <c r="AD156" s="108"/>
      <c r="AE156" s="108"/>
      <c r="AF156" s="108"/>
      <c r="AG156" s="108"/>
      <c r="AH156" s="108"/>
      <c r="AI156" s="108"/>
      <c r="AJ156" s="108"/>
      <c r="AK156" s="108"/>
      <c r="AL156" s="108"/>
      <c r="AM156" s="108"/>
      <c r="AN156" s="108"/>
      <c r="AO156" s="108"/>
      <c r="AP156" s="108"/>
      <c r="AQ156" s="108"/>
      <c r="AR156" s="108"/>
      <c r="AS156" s="108"/>
      <c r="AT156" s="108"/>
      <c r="AU156" s="108"/>
      <c r="AV156" s="108"/>
      <c r="AW156" s="108"/>
      <c r="AX156" s="108"/>
      <c r="AY156" s="108"/>
      <c r="AZ156" s="108"/>
      <c r="BA156" s="108"/>
      <c r="BB156" s="108"/>
      <c r="BC156" s="108"/>
      <c r="BD156" s="108"/>
      <c r="BE156" s="108"/>
      <c r="BF156" s="108"/>
      <c r="BG156" s="108"/>
      <c r="BH156" s="108"/>
      <c r="BI156" s="108"/>
      <c r="BJ156" s="108"/>
      <c r="BK156" s="109"/>
      <c r="BL156" s="108"/>
      <c r="BM156" s="108"/>
      <c r="BN156" s="108"/>
    </row>
    <row r="157" spans="1:66" ht="12" customHeight="1" x14ac:dyDescent="0.2">
      <c r="A157" s="179"/>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c r="AA157" s="108"/>
      <c r="AB157" s="108"/>
      <c r="AC157" s="108"/>
      <c r="AD157" s="108"/>
      <c r="AE157" s="108"/>
      <c r="AF157" s="108"/>
      <c r="AG157" s="108"/>
      <c r="AH157" s="108"/>
      <c r="AI157" s="108"/>
      <c r="AJ157" s="108"/>
      <c r="AK157" s="108"/>
      <c r="AL157" s="108"/>
      <c r="AM157" s="108"/>
      <c r="AN157" s="108"/>
      <c r="AO157" s="108"/>
      <c r="AP157" s="108"/>
      <c r="AQ157" s="108"/>
      <c r="AR157" s="108"/>
      <c r="AS157" s="108"/>
      <c r="AT157" s="108"/>
      <c r="AU157" s="108"/>
      <c r="AV157" s="108"/>
      <c r="AW157" s="108"/>
      <c r="AX157" s="108"/>
      <c r="AY157" s="108"/>
      <c r="AZ157" s="108"/>
      <c r="BA157" s="108"/>
      <c r="BB157" s="108"/>
      <c r="BC157" s="108"/>
      <c r="BD157" s="108"/>
      <c r="BE157" s="108"/>
      <c r="BF157" s="108"/>
      <c r="BG157" s="108"/>
      <c r="BH157" s="108"/>
      <c r="BI157" s="108"/>
      <c r="BJ157" s="108"/>
      <c r="BK157" s="109"/>
      <c r="BL157" s="108"/>
      <c r="BM157" s="108"/>
      <c r="BN157" s="108"/>
    </row>
    <row r="158" spans="1:66" ht="12" customHeight="1" x14ac:dyDescent="0.2">
      <c r="A158" s="179"/>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c r="AA158" s="108"/>
      <c r="AB158" s="108"/>
      <c r="AC158" s="108"/>
      <c r="AD158" s="108"/>
      <c r="AE158" s="108"/>
      <c r="AF158" s="108"/>
      <c r="AG158" s="108"/>
      <c r="AH158" s="108"/>
      <c r="AI158" s="108"/>
      <c r="AJ158" s="108"/>
      <c r="AK158" s="108"/>
      <c r="AL158" s="108"/>
      <c r="AM158" s="108"/>
      <c r="AN158" s="108"/>
      <c r="AO158" s="108"/>
      <c r="AP158" s="108"/>
      <c r="AQ158" s="108"/>
      <c r="AR158" s="108"/>
      <c r="AS158" s="108"/>
      <c r="AT158" s="108"/>
      <c r="AU158" s="108"/>
      <c r="AV158" s="108"/>
      <c r="AW158" s="108"/>
      <c r="AX158" s="108"/>
      <c r="AY158" s="108"/>
      <c r="AZ158" s="108"/>
      <c r="BA158" s="108"/>
      <c r="BB158" s="108"/>
      <c r="BC158" s="108"/>
      <c r="BD158" s="108"/>
      <c r="BE158" s="108"/>
      <c r="BF158" s="108"/>
      <c r="BG158" s="108"/>
      <c r="BH158" s="108"/>
      <c r="BI158" s="108"/>
      <c r="BJ158" s="108"/>
      <c r="BK158" s="109"/>
      <c r="BL158" s="108"/>
      <c r="BM158" s="108"/>
      <c r="BN158" s="108"/>
    </row>
    <row r="159" spans="1:66" ht="12" customHeight="1" x14ac:dyDescent="0.2">
      <c r="A159" s="179"/>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c r="AA159" s="108"/>
      <c r="AB159" s="108"/>
      <c r="AC159" s="108"/>
      <c r="AD159" s="108"/>
      <c r="AE159" s="108"/>
      <c r="AF159" s="108"/>
      <c r="AG159" s="108"/>
      <c r="AH159" s="108"/>
      <c r="AI159" s="108"/>
      <c r="AJ159" s="108"/>
      <c r="AK159" s="108"/>
      <c r="AL159" s="108"/>
      <c r="AM159" s="108"/>
      <c r="AN159" s="108"/>
      <c r="AO159" s="108"/>
      <c r="AP159" s="108"/>
      <c r="AQ159" s="108"/>
      <c r="AR159" s="108"/>
      <c r="AS159" s="108"/>
      <c r="AT159" s="108"/>
      <c r="AU159" s="108"/>
      <c r="AV159" s="108"/>
      <c r="AW159" s="108"/>
      <c r="AX159" s="108"/>
      <c r="AY159" s="108"/>
      <c r="AZ159" s="108"/>
      <c r="BA159" s="108"/>
      <c r="BB159" s="108"/>
      <c r="BC159" s="108"/>
      <c r="BD159" s="108"/>
      <c r="BE159" s="108"/>
      <c r="BF159" s="108"/>
      <c r="BG159" s="108"/>
      <c r="BH159" s="108"/>
      <c r="BI159" s="108"/>
      <c r="BJ159" s="108"/>
      <c r="BK159" s="109"/>
      <c r="BL159" s="108"/>
      <c r="BM159" s="108"/>
      <c r="BN159" s="108"/>
    </row>
    <row r="160" spans="1:66" ht="12" customHeight="1" x14ac:dyDescent="0.2">
      <c r="A160" s="179"/>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c r="AA160" s="108"/>
      <c r="AB160" s="108"/>
      <c r="AC160" s="108"/>
      <c r="AD160" s="108"/>
      <c r="AE160" s="108"/>
      <c r="AF160" s="108"/>
      <c r="AG160" s="108"/>
      <c r="AH160" s="108"/>
      <c r="AI160" s="108"/>
      <c r="AJ160" s="108"/>
      <c r="AK160" s="108"/>
      <c r="AL160" s="108"/>
      <c r="AM160" s="108"/>
      <c r="AN160" s="108"/>
      <c r="AO160" s="108"/>
      <c r="AP160" s="108"/>
      <c r="AQ160" s="108"/>
      <c r="AR160" s="108"/>
      <c r="AS160" s="108"/>
      <c r="AT160" s="108"/>
      <c r="AU160" s="108"/>
      <c r="AV160" s="108"/>
      <c r="AW160" s="108"/>
      <c r="AX160" s="108"/>
      <c r="AY160" s="108"/>
      <c r="AZ160" s="108"/>
      <c r="BA160" s="108"/>
      <c r="BB160" s="108"/>
      <c r="BC160" s="108"/>
      <c r="BD160" s="108"/>
      <c r="BE160" s="108"/>
      <c r="BF160" s="108"/>
      <c r="BG160" s="108"/>
      <c r="BH160" s="108"/>
      <c r="BI160" s="108"/>
      <c r="BJ160" s="108"/>
      <c r="BK160" s="109"/>
      <c r="BL160" s="108"/>
      <c r="BM160" s="108"/>
      <c r="BN160" s="108"/>
    </row>
    <row r="161" spans="1:66" ht="12" customHeight="1" x14ac:dyDescent="0.2">
      <c r="A161" s="179"/>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c r="AA161" s="108"/>
      <c r="AB161" s="108"/>
      <c r="AC161" s="108"/>
      <c r="AD161" s="108"/>
      <c r="AE161" s="108"/>
      <c r="AF161" s="108"/>
      <c r="AG161" s="108"/>
      <c r="AH161" s="108"/>
      <c r="AI161" s="108"/>
      <c r="AJ161" s="108"/>
      <c r="AK161" s="108"/>
      <c r="AL161" s="108"/>
      <c r="AM161" s="108"/>
      <c r="AN161" s="108"/>
      <c r="AO161" s="108"/>
      <c r="AP161" s="108"/>
      <c r="AQ161" s="108"/>
      <c r="AR161" s="108"/>
      <c r="AS161" s="108"/>
      <c r="AT161" s="108"/>
      <c r="AU161" s="108"/>
      <c r="AV161" s="108"/>
      <c r="AW161" s="108"/>
      <c r="AX161" s="108"/>
      <c r="AY161" s="108"/>
      <c r="AZ161" s="108"/>
      <c r="BA161" s="108"/>
      <c r="BB161" s="108"/>
      <c r="BC161" s="108"/>
      <c r="BD161" s="108"/>
      <c r="BE161" s="108"/>
      <c r="BF161" s="108"/>
      <c r="BG161" s="108"/>
      <c r="BH161" s="108"/>
      <c r="BI161" s="108"/>
      <c r="BJ161" s="108"/>
      <c r="BK161" s="109"/>
      <c r="BL161" s="108"/>
      <c r="BM161" s="108"/>
      <c r="BN161" s="108"/>
    </row>
    <row r="162" spans="1:66" ht="12" customHeight="1" x14ac:dyDescent="0.2">
      <c r="A162" s="179"/>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c r="AA162" s="108"/>
      <c r="AB162" s="108"/>
      <c r="AC162" s="108"/>
      <c r="AD162" s="108"/>
      <c r="AE162" s="108"/>
      <c r="AF162" s="108"/>
      <c r="AG162" s="108"/>
      <c r="AH162" s="108"/>
      <c r="AI162" s="108"/>
      <c r="AJ162" s="108"/>
      <c r="AK162" s="108"/>
      <c r="AL162" s="108"/>
      <c r="AM162" s="108"/>
      <c r="AN162" s="108"/>
      <c r="AO162" s="108"/>
      <c r="AP162" s="108"/>
      <c r="AQ162" s="108"/>
      <c r="AR162" s="108"/>
      <c r="AS162" s="108"/>
      <c r="AT162" s="108"/>
      <c r="AU162" s="108"/>
      <c r="AV162" s="108"/>
      <c r="AW162" s="108"/>
      <c r="AX162" s="108"/>
      <c r="AY162" s="108"/>
      <c r="AZ162" s="108"/>
      <c r="BA162" s="108"/>
      <c r="BB162" s="108"/>
      <c r="BC162" s="108"/>
      <c r="BD162" s="108"/>
      <c r="BE162" s="108"/>
      <c r="BF162" s="108"/>
      <c r="BG162" s="108"/>
      <c r="BH162" s="108"/>
      <c r="BI162" s="108"/>
      <c r="BJ162" s="108"/>
      <c r="BK162" s="109"/>
      <c r="BL162" s="108"/>
      <c r="BM162" s="108"/>
      <c r="BN162" s="108"/>
    </row>
    <row r="163" spans="1:66" ht="12" customHeight="1" x14ac:dyDescent="0.2">
      <c r="A163" s="179"/>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c r="AA163" s="108"/>
      <c r="AB163" s="108"/>
      <c r="AC163" s="108"/>
      <c r="AD163" s="108"/>
      <c r="AE163" s="108"/>
      <c r="AF163" s="108"/>
      <c r="AG163" s="108"/>
      <c r="AH163" s="108"/>
      <c r="AI163" s="108"/>
      <c r="AJ163" s="108"/>
      <c r="AK163" s="108"/>
      <c r="AL163" s="108"/>
      <c r="AM163" s="108"/>
      <c r="AN163" s="108"/>
      <c r="AO163" s="108"/>
      <c r="AP163" s="108"/>
      <c r="AQ163" s="108"/>
      <c r="AR163" s="108"/>
      <c r="AS163" s="108"/>
      <c r="AT163" s="108"/>
      <c r="AU163" s="108"/>
      <c r="AV163" s="108"/>
      <c r="AW163" s="108"/>
      <c r="AX163" s="108"/>
      <c r="AY163" s="108"/>
      <c r="AZ163" s="108"/>
      <c r="BA163" s="108"/>
      <c r="BB163" s="108"/>
      <c r="BC163" s="108"/>
      <c r="BD163" s="108"/>
      <c r="BE163" s="108"/>
      <c r="BF163" s="108"/>
      <c r="BG163" s="108"/>
      <c r="BH163" s="108"/>
      <c r="BI163" s="108"/>
      <c r="BJ163" s="108"/>
      <c r="BK163" s="109"/>
      <c r="BL163" s="108"/>
      <c r="BM163" s="108"/>
      <c r="BN163" s="108"/>
    </row>
    <row r="164" spans="1:66" ht="12" customHeight="1" x14ac:dyDescent="0.2">
      <c r="A164" s="179"/>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c r="AA164" s="108"/>
      <c r="AB164" s="108"/>
      <c r="AC164" s="108"/>
      <c r="AD164" s="108"/>
      <c r="AE164" s="108"/>
      <c r="AF164" s="108"/>
      <c r="AG164" s="108"/>
      <c r="AH164" s="108"/>
      <c r="AI164" s="108"/>
      <c r="AJ164" s="108"/>
      <c r="AK164" s="108"/>
      <c r="AL164" s="108"/>
      <c r="AM164" s="108"/>
      <c r="AN164" s="108"/>
      <c r="AO164" s="108"/>
      <c r="AP164" s="108"/>
      <c r="AQ164" s="108"/>
      <c r="AR164" s="108"/>
      <c r="AS164" s="108"/>
      <c r="AT164" s="108"/>
      <c r="AU164" s="108"/>
      <c r="AV164" s="108"/>
      <c r="AW164" s="108"/>
      <c r="AX164" s="108"/>
      <c r="AY164" s="108"/>
      <c r="AZ164" s="108"/>
      <c r="BA164" s="108"/>
      <c r="BB164" s="108"/>
      <c r="BC164" s="108"/>
      <c r="BD164" s="108"/>
      <c r="BE164" s="108"/>
      <c r="BF164" s="108"/>
      <c r="BG164" s="108"/>
      <c r="BH164" s="108"/>
      <c r="BI164" s="108"/>
      <c r="BJ164" s="108"/>
      <c r="BK164" s="109"/>
      <c r="BL164" s="108"/>
      <c r="BM164" s="108"/>
      <c r="BN164" s="108"/>
    </row>
    <row r="165" spans="1:66" ht="12" customHeight="1" x14ac:dyDescent="0.2">
      <c r="A165" s="179"/>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c r="AA165" s="108"/>
      <c r="AB165" s="108"/>
      <c r="AC165" s="108"/>
      <c r="AD165" s="108"/>
      <c r="AE165" s="108"/>
      <c r="AF165" s="108"/>
      <c r="AG165" s="108"/>
      <c r="AH165" s="108"/>
      <c r="AI165" s="108"/>
      <c r="AJ165" s="108"/>
      <c r="AK165" s="108"/>
      <c r="AL165" s="108"/>
      <c r="AM165" s="108"/>
      <c r="AN165" s="108"/>
      <c r="AO165" s="108"/>
      <c r="AP165" s="108"/>
      <c r="AQ165" s="108"/>
      <c r="AR165" s="108"/>
      <c r="AS165" s="108"/>
      <c r="AT165" s="108"/>
      <c r="AU165" s="108"/>
      <c r="AV165" s="108"/>
      <c r="AW165" s="108"/>
      <c r="AX165" s="108"/>
      <c r="AY165" s="108"/>
      <c r="AZ165" s="108"/>
      <c r="BA165" s="108"/>
      <c r="BB165" s="108"/>
      <c r="BC165" s="108"/>
      <c r="BD165" s="108"/>
      <c r="BE165" s="108"/>
      <c r="BF165" s="108"/>
      <c r="BG165" s="108"/>
      <c r="BH165" s="108"/>
      <c r="BI165" s="108"/>
      <c r="BJ165" s="108"/>
      <c r="BK165" s="109"/>
      <c r="BL165" s="108"/>
      <c r="BM165" s="108"/>
      <c r="BN165" s="108"/>
    </row>
    <row r="166" spans="1:66" ht="12" customHeight="1" x14ac:dyDescent="0.2">
      <c r="A166" s="179"/>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c r="AA166" s="108"/>
      <c r="AB166" s="108"/>
      <c r="AC166" s="108"/>
      <c r="AD166" s="108"/>
      <c r="AE166" s="108"/>
      <c r="AF166" s="108"/>
      <c r="AG166" s="108"/>
      <c r="AH166" s="108"/>
      <c r="AI166" s="108"/>
      <c r="AJ166" s="108"/>
      <c r="AK166" s="108"/>
      <c r="AL166" s="108"/>
      <c r="AM166" s="108"/>
      <c r="AN166" s="108"/>
      <c r="AO166" s="108"/>
      <c r="AP166" s="108"/>
      <c r="AQ166" s="108"/>
      <c r="AR166" s="108"/>
      <c r="AS166" s="108"/>
      <c r="AT166" s="108"/>
      <c r="AU166" s="108"/>
      <c r="AV166" s="108"/>
      <c r="AW166" s="108"/>
      <c r="AX166" s="108"/>
      <c r="AY166" s="108"/>
      <c r="AZ166" s="108"/>
      <c r="BA166" s="108"/>
      <c r="BB166" s="108"/>
      <c r="BC166" s="108"/>
      <c r="BD166" s="108"/>
      <c r="BE166" s="108"/>
      <c r="BF166" s="108"/>
      <c r="BG166" s="108"/>
      <c r="BH166" s="108"/>
      <c r="BI166" s="108"/>
      <c r="BJ166" s="108"/>
      <c r="BK166" s="109"/>
      <c r="BL166" s="108"/>
      <c r="BM166" s="108"/>
      <c r="BN166" s="108"/>
    </row>
    <row r="167" spans="1:66" ht="12" customHeight="1" x14ac:dyDescent="0.2">
      <c r="A167" s="179"/>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c r="AA167" s="108"/>
      <c r="AB167" s="108"/>
      <c r="AC167" s="108"/>
      <c r="AD167" s="108"/>
      <c r="AE167" s="108"/>
      <c r="AF167" s="108"/>
      <c r="AG167" s="108"/>
      <c r="AH167" s="108"/>
      <c r="AI167" s="108"/>
      <c r="AJ167" s="108"/>
      <c r="AK167" s="108"/>
      <c r="AL167" s="108"/>
      <c r="AM167" s="108"/>
      <c r="AN167" s="108"/>
      <c r="AO167" s="108"/>
      <c r="AP167" s="108"/>
      <c r="AQ167" s="108"/>
      <c r="AR167" s="108"/>
      <c r="AS167" s="108"/>
      <c r="AT167" s="108"/>
      <c r="AU167" s="108"/>
      <c r="AV167" s="108"/>
      <c r="AW167" s="108"/>
      <c r="AX167" s="108"/>
      <c r="AY167" s="108"/>
      <c r="AZ167" s="108"/>
      <c r="BA167" s="108"/>
      <c r="BB167" s="108"/>
      <c r="BC167" s="108"/>
      <c r="BD167" s="108"/>
      <c r="BE167" s="108"/>
      <c r="BF167" s="108"/>
      <c r="BG167" s="108"/>
      <c r="BH167" s="108"/>
      <c r="BI167" s="108"/>
      <c r="BJ167" s="108"/>
      <c r="BK167" s="109"/>
      <c r="BL167" s="108"/>
      <c r="BM167" s="108"/>
      <c r="BN167" s="108"/>
    </row>
    <row r="168" spans="1:66" ht="12" customHeight="1" x14ac:dyDescent="0.2">
      <c r="A168" s="179"/>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c r="AA168" s="108"/>
      <c r="AB168" s="108"/>
      <c r="AC168" s="108"/>
      <c r="AD168" s="108"/>
      <c r="AE168" s="108"/>
      <c r="AF168" s="108"/>
      <c r="AG168" s="108"/>
      <c r="AH168" s="108"/>
      <c r="AI168" s="108"/>
      <c r="AJ168" s="108"/>
      <c r="AK168" s="108"/>
      <c r="AL168" s="108"/>
      <c r="AM168" s="108"/>
      <c r="AN168" s="108"/>
      <c r="AO168" s="108"/>
      <c r="AP168" s="108"/>
      <c r="AQ168" s="108"/>
      <c r="AR168" s="108"/>
      <c r="AS168" s="108"/>
      <c r="AT168" s="108"/>
      <c r="AU168" s="108"/>
      <c r="AV168" s="108"/>
      <c r="AW168" s="108"/>
      <c r="AX168" s="108"/>
      <c r="AY168" s="108"/>
      <c r="AZ168" s="108"/>
      <c r="BA168" s="108"/>
      <c r="BB168" s="108"/>
      <c r="BC168" s="108"/>
      <c r="BD168" s="108"/>
      <c r="BE168" s="108"/>
      <c r="BF168" s="108"/>
      <c r="BG168" s="108"/>
      <c r="BH168" s="108"/>
      <c r="BI168" s="108"/>
      <c r="BJ168" s="108"/>
      <c r="BK168" s="109"/>
      <c r="BL168" s="108"/>
      <c r="BM168" s="108"/>
      <c r="BN168" s="108"/>
    </row>
    <row r="169" spans="1:66" ht="12" customHeight="1" x14ac:dyDescent="0.2">
      <c r="A169" s="179"/>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c r="AA169" s="108"/>
      <c r="AB169" s="108"/>
      <c r="AC169" s="108"/>
      <c r="AD169" s="108"/>
      <c r="AE169" s="108"/>
      <c r="AF169" s="108"/>
      <c r="AG169" s="108"/>
      <c r="AH169" s="108"/>
      <c r="AI169" s="108"/>
      <c r="AJ169" s="108"/>
      <c r="AK169" s="108"/>
      <c r="AL169" s="108"/>
      <c r="AM169" s="108"/>
      <c r="AN169" s="108"/>
      <c r="AO169" s="108"/>
      <c r="AP169" s="108"/>
      <c r="AQ169" s="108"/>
      <c r="AR169" s="108"/>
      <c r="AS169" s="108"/>
      <c r="AT169" s="108"/>
      <c r="AU169" s="108"/>
      <c r="AV169" s="108"/>
      <c r="AW169" s="108"/>
      <c r="AX169" s="108"/>
      <c r="AY169" s="108"/>
      <c r="AZ169" s="108"/>
      <c r="BA169" s="108"/>
      <c r="BB169" s="108"/>
      <c r="BC169" s="108"/>
      <c r="BD169" s="108"/>
      <c r="BE169" s="108"/>
      <c r="BF169" s="108"/>
      <c r="BG169" s="108"/>
      <c r="BH169" s="108"/>
      <c r="BI169" s="108"/>
      <c r="BJ169" s="108"/>
      <c r="BK169" s="109"/>
      <c r="BL169" s="108"/>
      <c r="BM169" s="108"/>
      <c r="BN169" s="108"/>
    </row>
    <row r="170" spans="1:66" ht="12" customHeight="1" x14ac:dyDescent="0.2">
      <c r="A170" s="179"/>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c r="AA170" s="108"/>
      <c r="AB170" s="108"/>
      <c r="AC170" s="108"/>
      <c r="AD170" s="108"/>
      <c r="AE170" s="108"/>
      <c r="AF170" s="108"/>
      <c r="AG170" s="108"/>
      <c r="AH170" s="108"/>
      <c r="AI170" s="108"/>
      <c r="AJ170" s="108"/>
      <c r="AK170" s="108"/>
      <c r="AL170" s="108"/>
      <c r="AM170" s="108"/>
      <c r="AN170" s="108"/>
      <c r="AO170" s="108"/>
      <c r="AP170" s="108"/>
      <c r="AQ170" s="108"/>
      <c r="AR170" s="108"/>
      <c r="AS170" s="108"/>
      <c r="AT170" s="108"/>
      <c r="AU170" s="108"/>
      <c r="AV170" s="108"/>
      <c r="AW170" s="108"/>
      <c r="AX170" s="108"/>
      <c r="AY170" s="108"/>
      <c r="AZ170" s="108"/>
      <c r="BA170" s="108"/>
      <c r="BB170" s="108"/>
      <c r="BC170" s="108"/>
      <c r="BD170" s="108"/>
      <c r="BE170" s="108"/>
      <c r="BF170" s="108"/>
      <c r="BG170" s="108"/>
      <c r="BH170" s="108"/>
      <c r="BI170" s="108"/>
      <c r="BJ170" s="108"/>
      <c r="BK170" s="109"/>
      <c r="BL170" s="108"/>
      <c r="BM170" s="108"/>
      <c r="BN170" s="108"/>
    </row>
    <row r="171" spans="1:66" ht="12" customHeight="1" x14ac:dyDescent="0.2">
      <c r="A171" s="179"/>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c r="AA171" s="108"/>
      <c r="AB171" s="108"/>
      <c r="AC171" s="108"/>
      <c r="AD171" s="108"/>
      <c r="AE171" s="108"/>
      <c r="AF171" s="108"/>
      <c r="AG171" s="108"/>
      <c r="AH171" s="108"/>
      <c r="AI171" s="108"/>
      <c r="AJ171" s="108"/>
      <c r="AK171" s="108"/>
      <c r="AL171" s="108"/>
      <c r="AM171" s="108"/>
      <c r="AN171" s="108"/>
      <c r="AO171" s="108"/>
      <c r="AP171" s="108"/>
      <c r="AQ171" s="108"/>
      <c r="AR171" s="108"/>
      <c r="AS171" s="108"/>
      <c r="AT171" s="108"/>
      <c r="AU171" s="108"/>
      <c r="AV171" s="108"/>
      <c r="AW171" s="108"/>
      <c r="AX171" s="108"/>
      <c r="AY171" s="108"/>
      <c r="AZ171" s="108"/>
      <c r="BA171" s="108"/>
      <c r="BB171" s="108"/>
      <c r="BC171" s="108"/>
      <c r="BD171" s="108"/>
      <c r="BE171" s="108"/>
      <c r="BF171" s="108"/>
      <c r="BG171" s="108"/>
      <c r="BH171" s="108"/>
      <c r="BI171" s="108"/>
      <c r="BJ171" s="108"/>
      <c r="BK171" s="109"/>
      <c r="BL171" s="108"/>
      <c r="BM171" s="108"/>
      <c r="BN171" s="108"/>
    </row>
    <row r="172" spans="1:66" ht="12" customHeight="1" x14ac:dyDescent="0.2">
      <c r="A172" s="179"/>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c r="AA172" s="108"/>
      <c r="AB172" s="108"/>
      <c r="AC172" s="108"/>
      <c r="AD172" s="108"/>
      <c r="AE172" s="108"/>
      <c r="AF172" s="108"/>
      <c r="AG172" s="108"/>
      <c r="AH172" s="108"/>
      <c r="AI172" s="108"/>
      <c r="AJ172" s="108"/>
      <c r="AK172" s="108"/>
      <c r="AL172" s="108"/>
      <c r="AM172" s="108"/>
      <c r="AN172" s="108"/>
      <c r="AO172" s="108"/>
      <c r="AP172" s="108"/>
      <c r="AQ172" s="108"/>
      <c r="AR172" s="108"/>
      <c r="AS172" s="108"/>
      <c r="AT172" s="108"/>
      <c r="AU172" s="108"/>
      <c r="AV172" s="108"/>
      <c r="AW172" s="108"/>
      <c r="AX172" s="108"/>
      <c r="AY172" s="108"/>
      <c r="AZ172" s="108"/>
      <c r="BA172" s="108"/>
      <c r="BB172" s="108"/>
      <c r="BC172" s="108"/>
      <c r="BD172" s="108"/>
      <c r="BE172" s="108"/>
      <c r="BF172" s="108"/>
      <c r="BG172" s="108"/>
      <c r="BH172" s="108"/>
      <c r="BI172" s="108"/>
      <c r="BJ172" s="108"/>
      <c r="BK172" s="109"/>
      <c r="BL172" s="108"/>
      <c r="BM172" s="108"/>
      <c r="BN172" s="108"/>
    </row>
    <row r="173" spans="1:66" ht="12" customHeight="1" x14ac:dyDescent="0.2">
      <c r="A173" s="179"/>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c r="AA173" s="108"/>
      <c r="AB173" s="108"/>
      <c r="AC173" s="108"/>
      <c r="AD173" s="108"/>
      <c r="AE173" s="108"/>
      <c r="AF173" s="108"/>
      <c r="AG173" s="108"/>
      <c r="AH173" s="108"/>
      <c r="AI173" s="108"/>
      <c r="AJ173" s="108"/>
      <c r="AK173" s="108"/>
      <c r="AL173" s="108"/>
      <c r="AM173" s="108"/>
      <c r="AN173" s="108"/>
      <c r="AO173" s="108"/>
      <c r="AP173" s="108"/>
      <c r="AQ173" s="108"/>
      <c r="AR173" s="108"/>
      <c r="AS173" s="108"/>
      <c r="AT173" s="108"/>
      <c r="AU173" s="108"/>
      <c r="AV173" s="108"/>
      <c r="AW173" s="108"/>
      <c r="AX173" s="108"/>
      <c r="AY173" s="108"/>
      <c r="AZ173" s="108"/>
      <c r="BA173" s="108"/>
      <c r="BB173" s="108"/>
      <c r="BC173" s="108"/>
      <c r="BD173" s="108"/>
      <c r="BE173" s="108"/>
      <c r="BF173" s="108"/>
      <c r="BG173" s="108"/>
      <c r="BH173" s="108"/>
      <c r="BI173" s="108"/>
      <c r="BJ173" s="108"/>
      <c r="BK173" s="109"/>
      <c r="BL173" s="108"/>
      <c r="BM173" s="108"/>
      <c r="BN173" s="108"/>
    </row>
    <row r="174" spans="1:66" ht="12" customHeight="1" x14ac:dyDescent="0.2">
      <c r="A174" s="179"/>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c r="AA174" s="108"/>
      <c r="AB174" s="108"/>
      <c r="AC174" s="108"/>
      <c r="AD174" s="108"/>
      <c r="AE174" s="108"/>
      <c r="AF174" s="108"/>
      <c r="AG174" s="108"/>
      <c r="AH174" s="108"/>
      <c r="AI174" s="108"/>
      <c r="AJ174" s="108"/>
      <c r="AK174" s="108"/>
      <c r="AL174" s="108"/>
      <c r="AM174" s="108"/>
      <c r="AN174" s="108"/>
      <c r="AO174" s="108"/>
      <c r="AP174" s="108"/>
      <c r="AQ174" s="108"/>
      <c r="AR174" s="108"/>
      <c r="AS174" s="108"/>
      <c r="AT174" s="108"/>
      <c r="AU174" s="108"/>
      <c r="AV174" s="108"/>
      <c r="AW174" s="108"/>
      <c r="AX174" s="108"/>
      <c r="AY174" s="108"/>
      <c r="AZ174" s="108"/>
      <c r="BA174" s="108"/>
      <c r="BB174" s="108"/>
      <c r="BC174" s="108"/>
      <c r="BD174" s="108"/>
      <c r="BE174" s="108"/>
      <c r="BF174" s="108"/>
      <c r="BG174" s="108"/>
      <c r="BH174" s="108"/>
      <c r="BI174" s="108"/>
      <c r="BJ174" s="108"/>
      <c r="BK174" s="109"/>
      <c r="BL174" s="108"/>
      <c r="BM174" s="108"/>
      <c r="BN174" s="108"/>
    </row>
    <row r="175" spans="1:66" ht="12" customHeight="1" x14ac:dyDescent="0.2">
      <c r="A175" s="179"/>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c r="AA175" s="108"/>
      <c r="AB175" s="108"/>
      <c r="AC175" s="108"/>
      <c r="AD175" s="108"/>
      <c r="AE175" s="108"/>
      <c r="AF175" s="108"/>
      <c r="AG175" s="108"/>
      <c r="AH175" s="108"/>
      <c r="AI175" s="108"/>
      <c r="AJ175" s="108"/>
      <c r="AK175" s="108"/>
      <c r="AL175" s="108"/>
      <c r="AM175" s="108"/>
      <c r="AN175" s="108"/>
      <c r="AO175" s="108"/>
      <c r="AP175" s="108"/>
      <c r="AQ175" s="108"/>
      <c r="AR175" s="108"/>
      <c r="AS175" s="108"/>
      <c r="AT175" s="108"/>
      <c r="AU175" s="108"/>
      <c r="AV175" s="108"/>
      <c r="AW175" s="108"/>
      <c r="AX175" s="108"/>
      <c r="AY175" s="108"/>
      <c r="AZ175" s="108"/>
      <c r="BA175" s="108"/>
      <c r="BB175" s="108"/>
      <c r="BC175" s="108"/>
      <c r="BD175" s="108"/>
      <c r="BE175" s="108"/>
      <c r="BF175" s="108"/>
      <c r="BG175" s="108"/>
      <c r="BH175" s="108"/>
      <c r="BI175" s="108"/>
      <c r="BJ175" s="108"/>
      <c r="BK175" s="109"/>
      <c r="BL175" s="108"/>
      <c r="BM175" s="108"/>
      <c r="BN175" s="108"/>
    </row>
    <row r="176" spans="1:66" ht="12" customHeight="1" x14ac:dyDescent="0.2">
      <c r="A176" s="179"/>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c r="AA176" s="108"/>
      <c r="AB176" s="108"/>
      <c r="AC176" s="108"/>
      <c r="AD176" s="108"/>
      <c r="AE176" s="108"/>
      <c r="AF176" s="108"/>
      <c r="AG176" s="108"/>
      <c r="AH176" s="108"/>
      <c r="AI176" s="108"/>
      <c r="AJ176" s="108"/>
      <c r="AK176" s="108"/>
      <c r="AL176" s="108"/>
      <c r="AM176" s="108"/>
      <c r="AN176" s="108"/>
      <c r="AO176" s="108"/>
      <c r="AP176" s="108"/>
      <c r="AQ176" s="108"/>
      <c r="AR176" s="108"/>
      <c r="AS176" s="108"/>
      <c r="AT176" s="108"/>
      <c r="AU176" s="108"/>
      <c r="AV176" s="108"/>
      <c r="AW176" s="108"/>
      <c r="AX176" s="108"/>
      <c r="AY176" s="108"/>
      <c r="AZ176" s="108"/>
      <c r="BA176" s="108"/>
      <c r="BB176" s="108"/>
      <c r="BC176" s="108"/>
      <c r="BD176" s="108"/>
      <c r="BE176" s="108"/>
      <c r="BF176" s="108"/>
      <c r="BG176" s="108"/>
      <c r="BH176" s="108"/>
      <c r="BI176" s="108"/>
      <c r="BJ176" s="108"/>
      <c r="BK176" s="109"/>
      <c r="BL176" s="108"/>
      <c r="BM176" s="108"/>
      <c r="BN176" s="108"/>
    </row>
    <row r="177" spans="1:66" ht="12" customHeight="1" x14ac:dyDescent="0.2">
      <c r="A177" s="179"/>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c r="AA177" s="108"/>
      <c r="AB177" s="108"/>
      <c r="AC177" s="108"/>
      <c r="AD177" s="108"/>
      <c r="AE177" s="108"/>
      <c r="AF177" s="108"/>
      <c r="AG177" s="108"/>
      <c r="AH177" s="108"/>
      <c r="AI177" s="108"/>
      <c r="AJ177" s="108"/>
      <c r="AK177" s="108"/>
      <c r="AL177" s="108"/>
      <c r="AM177" s="108"/>
      <c r="AN177" s="108"/>
      <c r="AO177" s="108"/>
      <c r="AP177" s="108"/>
      <c r="AQ177" s="108"/>
      <c r="AR177" s="108"/>
      <c r="AS177" s="108"/>
      <c r="AT177" s="108"/>
      <c r="AU177" s="108"/>
      <c r="AV177" s="108"/>
      <c r="AW177" s="108"/>
      <c r="AX177" s="108"/>
      <c r="AY177" s="108"/>
      <c r="AZ177" s="108"/>
      <c r="BA177" s="108"/>
      <c r="BB177" s="108"/>
      <c r="BC177" s="108"/>
      <c r="BD177" s="108"/>
      <c r="BE177" s="108"/>
      <c r="BF177" s="108"/>
      <c r="BG177" s="108"/>
      <c r="BH177" s="108"/>
      <c r="BI177" s="108"/>
      <c r="BJ177" s="108"/>
      <c r="BK177" s="109"/>
      <c r="BL177" s="108"/>
      <c r="BM177" s="108"/>
      <c r="BN177" s="108"/>
    </row>
    <row r="178" spans="1:66" ht="12" customHeight="1" x14ac:dyDescent="0.2">
      <c r="A178" s="179"/>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c r="AA178" s="108"/>
      <c r="AB178" s="108"/>
      <c r="AC178" s="108"/>
      <c r="AD178" s="108"/>
      <c r="AE178" s="108"/>
      <c r="AF178" s="108"/>
      <c r="AG178" s="108"/>
      <c r="AH178" s="108"/>
      <c r="AI178" s="108"/>
      <c r="AJ178" s="108"/>
      <c r="AK178" s="108"/>
      <c r="AL178" s="108"/>
      <c r="AM178" s="108"/>
      <c r="AN178" s="108"/>
      <c r="AO178" s="108"/>
      <c r="AP178" s="108"/>
      <c r="AQ178" s="108"/>
      <c r="AR178" s="108"/>
      <c r="AS178" s="108"/>
      <c r="AT178" s="108"/>
      <c r="AU178" s="108"/>
      <c r="AV178" s="108"/>
      <c r="AW178" s="108"/>
      <c r="AX178" s="108"/>
      <c r="AY178" s="108"/>
      <c r="AZ178" s="108"/>
      <c r="BA178" s="108"/>
      <c r="BB178" s="108"/>
      <c r="BC178" s="108"/>
      <c r="BD178" s="108"/>
      <c r="BE178" s="108"/>
      <c r="BF178" s="108"/>
      <c r="BG178" s="108"/>
      <c r="BH178" s="108"/>
      <c r="BI178" s="108"/>
      <c r="BJ178" s="108"/>
      <c r="BK178" s="109"/>
      <c r="BL178" s="108"/>
      <c r="BM178" s="108"/>
      <c r="BN178" s="108"/>
    </row>
    <row r="179" spans="1:66" ht="12" customHeight="1" x14ac:dyDescent="0.2">
      <c r="A179" s="179"/>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c r="AA179" s="108"/>
      <c r="AB179" s="108"/>
      <c r="AC179" s="108"/>
      <c r="AD179" s="108"/>
      <c r="AE179" s="108"/>
      <c r="AF179" s="108"/>
      <c r="AG179" s="108"/>
      <c r="AH179" s="108"/>
      <c r="AI179" s="108"/>
      <c r="AJ179" s="108"/>
      <c r="AK179" s="108"/>
      <c r="AL179" s="108"/>
      <c r="AM179" s="108"/>
      <c r="AN179" s="108"/>
      <c r="AO179" s="108"/>
      <c r="AP179" s="108"/>
      <c r="AQ179" s="108"/>
      <c r="AR179" s="108"/>
      <c r="AS179" s="108"/>
      <c r="AT179" s="108"/>
      <c r="AU179" s="108"/>
      <c r="AV179" s="108"/>
      <c r="AW179" s="108"/>
      <c r="AX179" s="108"/>
      <c r="AY179" s="108"/>
      <c r="AZ179" s="108"/>
      <c r="BA179" s="108"/>
      <c r="BB179" s="108"/>
      <c r="BC179" s="108"/>
      <c r="BD179" s="108"/>
      <c r="BE179" s="108"/>
      <c r="BF179" s="108"/>
      <c r="BG179" s="108"/>
      <c r="BH179" s="108"/>
      <c r="BI179" s="108"/>
      <c r="BJ179" s="108"/>
      <c r="BK179" s="109"/>
      <c r="BL179" s="108"/>
      <c r="BM179" s="108"/>
      <c r="BN179" s="108"/>
    </row>
    <row r="180" spans="1:66" ht="12" customHeight="1" x14ac:dyDescent="0.2">
      <c r="A180" s="179"/>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c r="AA180" s="108"/>
      <c r="AB180" s="108"/>
      <c r="AC180" s="108"/>
      <c r="AD180" s="108"/>
      <c r="AE180" s="108"/>
      <c r="AF180" s="108"/>
      <c r="AG180" s="108"/>
      <c r="AH180" s="108"/>
      <c r="AI180" s="108"/>
      <c r="AJ180" s="108"/>
      <c r="AK180" s="108"/>
      <c r="AL180" s="108"/>
      <c r="AM180" s="108"/>
      <c r="AN180" s="108"/>
      <c r="AO180" s="108"/>
      <c r="AP180" s="108"/>
      <c r="AQ180" s="108"/>
      <c r="AR180" s="108"/>
      <c r="AS180" s="108"/>
      <c r="AT180" s="108"/>
      <c r="AU180" s="108"/>
      <c r="AV180" s="108"/>
      <c r="AW180" s="108"/>
      <c r="AX180" s="108"/>
      <c r="AY180" s="108"/>
      <c r="AZ180" s="108"/>
      <c r="BA180" s="108"/>
      <c r="BB180" s="108"/>
      <c r="BC180" s="108"/>
      <c r="BD180" s="108"/>
      <c r="BE180" s="108"/>
      <c r="BF180" s="108"/>
      <c r="BG180" s="108"/>
      <c r="BH180" s="108"/>
      <c r="BI180" s="108"/>
      <c r="BJ180" s="108"/>
      <c r="BK180" s="109"/>
      <c r="BL180" s="108"/>
      <c r="BM180" s="108"/>
      <c r="BN180" s="108"/>
    </row>
    <row r="181" spans="1:66" ht="12" customHeight="1" x14ac:dyDescent="0.2">
      <c r="A181" s="179"/>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c r="AA181" s="108"/>
      <c r="AB181" s="108"/>
      <c r="AC181" s="108"/>
      <c r="AD181" s="108"/>
      <c r="AE181" s="108"/>
      <c r="AF181" s="108"/>
      <c r="AG181" s="108"/>
      <c r="AH181" s="108"/>
      <c r="AI181" s="108"/>
      <c r="AJ181" s="108"/>
      <c r="AK181" s="108"/>
      <c r="AL181" s="108"/>
      <c r="AM181" s="108"/>
      <c r="AN181" s="108"/>
      <c r="AO181" s="108"/>
      <c r="AP181" s="108"/>
      <c r="AQ181" s="108"/>
      <c r="AR181" s="108"/>
      <c r="AS181" s="108"/>
      <c r="AT181" s="108"/>
      <c r="AU181" s="108"/>
      <c r="AV181" s="108"/>
      <c r="AW181" s="108"/>
      <c r="AX181" s="108"/>
      <c r="AY181" s="108"/>
      <c r="AZ181" s="108"/>
      <c r="BA181" s="108"/>
      <c r="BB181" s="108"/>
      <c r="BC181" s="108"/>
      <c r="BD181" s="108"/>
      <c r="BE181" s="108"/>
      <c r="BF181" s="108"/>
      <c r="BG181" s="108"/>
      <c r="BH181" s="108"/>
      <c r="BI181" s="108"/>
      <c r="BJ181" s="108"/>
      <c r="BK181" s="109"/>
      <c r="BL181" s="108"/>
      <c r="BM181" s="108"/>
      <c r="BN181" s="108"/>
    </row>
    <row r="182" spans="1:66" ht="12" customHeight="1" x14ac:dyDescent="0.2">
      <c r="A182" s="179"/>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c r="AA182" s="108"/>
      <c r="AB182" s="108"/>
      <c r="AC182" s="108"/>
      <c r="AD182" s="108"/>
      <c r="AE182" s="108"/>
      <c r="AF182" s="108"/>
      <c r="AG182" s="108"/>
      <c r="AH182" s="108"/>
      <c r="AI182" s="108"/>
      <c r="AJ182" s="108"/>
      <c r="AK182" s="108"/>
      <c r="AL182" s="108"/>
      <c r="AM182" s="108"/>
      <c r="AN182" s="108"/>
      <c r="AO182" s="108"/>
      <c r="AP182" s="108"/>
      <c r="AQ182" s="108"/>
      <c r="AR182" s="108"/>
      <c r="AS182" s="108"/>
      <c r="AT182" s="108"/>
      <c r="AU182" s="108"/>
      <c r="AV182" s="108"/>
      <c r="AW182" s="108"/>
      <c r="AX182" s="108"/>
      <c r="AY182" s="108"/>
      <c r="AZ182" s="108"/>
      <c r="BA182" s="108"/>
      <c r="BB182" s="108"/>
      <c r="BC182" s="108"/>
      <c r="BD182" s="108"/>
      <c r="BE182" s="108"/>
      <c r="BF182" s="108"/>
      <c r="BG182" s="108"/>
      <c r="BH182" s="108"/>
      <c r="BI182" s="108"/>
      <c r="BJ182" s="108"/>
      <c r="BK182" s="109"/>
      <c r="BL182" s="108"/>
      <c r="BM182" s="108"/>
      <c r="BN182" s="108"/>
    </row>
    <row r="183" spans="1:66" ht="12" customHeight="1" x14ac:dyDescent="0.2">
      <c r="A183" s="179"/>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c r="AA183" s="108"/>
      <c r="AB183" s="108"/>
      <c r="AC183" s="108"/>
      <c r="AD183" s="108"/>
      <c r="AE183" s="108"/>
      <c r="AF183" s="108"/>
      <c r="AG183" s="108"/>
      <c r="AH183" s="108"/>
      <c r="AI183" s="108"/>
      <c r="AJ183" s="108"/>
      <c r="AK183" s="108"/>
      <c r="AL183" s="108"/>
      <c r="AM183" s="108"/>
      <c r="AN183" s="108"/>
      <c r="AO183" s="108"/>
      <c r="AP183" s="108"/>
      <c r="AQ183" s="108"/>
      <c r="AR183" s="108"/>
      <c r="AS183" s="108"/>
      <c r="AT183" s="108"/>
      <c r="AU183" s="108"/>
      <c r="AV183" s="108"/>
      <c r="AW183" s="108"/>
      <c r="AX183" s="108"/>
      <c r="AY183" s="108"/>
      <c r="AZ183" s="108"/>
      <c r="BA183" s="108"/>
      <c r="BB183" s="108"/>
      <c r="BC183" s="108"/>
      <c r="BD183" s="108"/>
      <c r="BE183" s="108"/>
      <c r="BF183" s="108"/>
      <c r="BG183" s="108"/>
      <c r="BH183" s="108"/>
      <c r="BI183" s="108"/>
      <c r="BJ183" s="108"/>
      <c r="BK183" s="109"/>
      <c r="BL183" s="108"/>
      <c r="BM183" s="108"/>
      <c r="BN183" s="108"/>
    </row>
    <row r="184" spans="1:66" ht="12" customHeight="1" x14ac:dyDescent="0.2">
      <c r="A184" s="179"/>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c r="AA184" s="108"/>
      <c r="AB184" s="108"/>
      <c r="AC184" s="108"/>
      <c r="AD184" s="108"/>
      <c r="AE184" s="108"/>
      <c r="AF184" s="108"/>
      <c r="AG184" s="108"/>
      <c r="AH184" s="108"/>
      <c r="AI184" s="108"/>
      <c r="AJ184" s="108"/>
      <c r="AK184" s="108"/>
      <c r="AL184" s="108"/>
      <c r="AM184" s="108"/>
      <c r="AN184" s="108"/>
      <c r="AO184" s="108"/>
      <c r="AP184" s="108"/>
      <c r="AQ184" s="108"/>
      <c r="AR184" s="108"/>
      <c r="AS184" s="108"/>
      <c r="AT184" s="108"/>
      <c r="AU184" s="108"/>
      <c r="AV184" s="108"/>
      <c r="AW184" s="108"/>
      <c r="AX184" s="108"/>
      <c r="AY184" s="108"/>
      <c r="AZ184" s="108"/>
      <c r="BA184" s="108"/>
      <c r="BB184" s="108"/>
      <c r="BC184" s="108"/>
      <c r="BD184" s="108"/>
      <c r="BE184" s="108"/>
      <c r="BF184" s="108"/>
      <c r="BG184" s="108"/>
      <c r="BH184" s="108"/>
      <c r="BI184" s="108"/>
      <c r="BJ184" s="108"/>
      <c r="BK184" s="109"/>
      <c r="BL184" s="108"/>
      <c r="BM184" s="108"/>
      <c r="BN184" s="108"/>
    </row>
    <row r="185" spans="1:66" ht="12" customHeight="1" x14ac:dyDescent="0.2">
      <c r="A185" s="179"/>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c r="AA185" s="108"/>
      <c r="AB185" s="108"/>
      <c r="AC185" s="108"/>
      <c r="AD185" s="108"/>
      <c r="AE185" s="108"/>
      <c r="AF185" s="108"/>
      <c r="AG185" s="108"/>
      <c r="AH185" s="108"/>
      <c r="AI185" s="108"/>
      <c r="AJ185" s="108"/>
      <c r="AK185" s="108"/>
      <c r="AL185" s="108"/>
      <c r="AM185" s="108"/>
      <c r="AN185" s="108"/>
      <c r="AO185" s="108"/>
      <c r="AP185" s="108"/>
      <c r="AQ185" s="108"/>
      <c r="AR185" s="108"/>
      <c r="AS185" s="108"/>
      <c r="AT185" s="108"/>
      <c r="AU185" s="108"/>
      <c r="AV185" s="108"/>
      <c r="AW185" s="108"/>
      <c r="AX185" s="108"/>
      <c r="AY185" s="108"/>
      <c r="AZ185" s="108"/>
      <c r="BA185" s="108"/>
      <c r="BB185" s="108"/>
      <c r="BC185" s="108"/>
      <c r="BD185" s="108"/>
      <c r="BE185" s="108"/>
      <c r="BF185" s="108"/>
      <c r="BG185" s="108"/>
      <c r="BH185" s="108"/>
      <c r="BI185" s="108"/>
      <c r="BJ185" s="108"/>
      <c r="BK185" s="109"/>
      <c r="BL185" s="108"/>
      <c r="BM185" s="108"/>
      <c r="BN185" s="108"/>
    </row>
    <row r="186" spans="1:66" ht="12" customHeight="1" x14ac:dyDescent="0.2">
      <c r="A186" s="179"/>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c r="AA186" s="108"/>
      <c r="AB186" s="108"/>
      <c r="AC186" s="108"/>
      <c r="AD186" s="108"/>
      <c r="AE186" s="108"/>
      <c r="AF186" s="108"/>
      <c r="AG186" s="108"/>
      <c r="AH186" s="108"/>
      <c r="AI186" s="108"/>
      <c r="AJ186" s="108"/>
      <c r="AK186" s="108"/>
      <c r="AL186" s="108"/>
      <c r="AM186" s="108"/>
      <c r="AN186" s="108"/>
      <c r="AO186" s="108"/>
      <c r="AP186" s="108"/>
      <c r="AQ186" s="108"/>
      <c r="AR186" s="108"/>
      <c r="AS186" s="108"/>
      <c r="AT186" s="108"/>
      <c r="AU186" s="108"/>
      <c r="AV186" s="108"/>
      <c r="AW186" s="108"/>
      <c r="AX186" s="108"/>
      <c r="AY186" s="108"/>
      <c r="AZ186" s="108"/>
      <c r="BA186" s="108"/>
      <c r="BB186" s="108"/>
      <c r="BC186" s="108"/>
      <c r="BD186" s="108"/>
      <c r="BE186" s="108"/>
      <c r="BF186" s="108"/>
      <c r="BG186" s="108"/>
      <c r="BH186" s="108"/>
      <c r="BI186" s="108"/>
      <c r="BJ186" s="108"/>
      <c r="BK186" s="109"/>
      <c r="BL186" s="108"/>
      <c r="BM186" s="108"/>
      <c r="BN186" s="108"/>
    </row>
    <row r="187" spans="1:66" ht="12" customHeight="1" x14ac:dyDescent="0.2">
      <c r="A187" s="179"/>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c r="AA187" s="108"/>
      <c r="AB187" s="108"/>
      <c r="AC187" s="108"/>
      <c r="AD187" s="108"/>
      <c r="AE187" s="108"/>
      <c r="AF187" s="108"/>
      <c r="AG187" s="108"/>
      <c r="AH187" s="108"/>
      <c r="AI187" s="108"/>
      <c r="AJ187" s="108"/>
      <c r="AK187" s="108"/>
      <c r="AL187" s="108"/>
      <c r="AM187" s="108"/>
      <c r="AN187" s="108"/>
      <c r="AO187" s="108"/>
      <c r="AP187" s="108"/>
      <c r="AQ187" s="108"/>
      <c r="AR187" s="108"/>
      <c r="AS187" s="108"/>
      <c r="AT187" s="108"/>
      <c r="AU187" s="108"/>
      <c r="AV187" s="108"/>
      <c r="AW187" s="108"/>
      <c r="AX187" s="108"/>
      <c r="AY187" s="108"/>
      <c r="AZ187" s="108"/>
      <c r="BA187" s="108"/>
      <c r="BB187" s="108"/>
      <c r="BC187" s="108"/>
      <c r="BD187" s="108"/>
      <c r="BE187" s="108"/>
      <c r="BF187" s="108"/>
      <c r="BG187" s="108"/>
      <c r="BH187" s="108"/>
      <c r="BI187" s="108"/>
      <c r="BJ187" s="108"/>
      <c r="BK187" s="109"/>
      <c r="BL187" s="108"/>
      <c r="BM187" s="108"/>
      <c r="BN187" s="108"/>
    </row>
    <row r="188" spans="1:66" ht="12" customHeight="1" x14ac:dyDescent="0.2">
      <c r="A188" s="179"/>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c r="AA188" s="108"/>
      <c r="AB188" s="108"/>
      <c r="AC188" s="108"/>
      <c r="AD188" s="108"/>
      <c r="AE188" s="108"/>
      <c r="AF188" s="108"/>
      <c r="AG188" s="108"/>
      <c r="AH188" s="108"/>
      <c r="AI188" s="108"/>
      <c r="AJ188" s="108"/>
      <c r="AK188" s="108"/>
      <c r="AL188" s="108"/>
      <c r="AM188" s="108"/>
      <c r="AN188" s="108"/>
      <c r="AO188" s="108"/>
      <c r="AP188" s="108"/>
      <c r="AQ188" s="108"/>
      <c r="AR188" s="108"/>
      <c r="AS188" s="108"/>
      <c r="AT188" s="108"/>
      <c r="AU188" s="108"/>
      <c r="AV188" s="108"/>
      <c r="AW188" s="108"/>
      <c r="AX188" s="108"/>
      <c r="AY188" s="108"/>
      <c r="AZ188" s="108"/>
      <c r="BA188" s="108"/>
      <c r="BB188" s="108"/>
      <c r="BC188" s="108"/>
      <c r="BD188" s="108"/>
      <c r="BE188" s="108"/>
      <c r="BF188" s="108"/>
      <c r="BG188" s="108"/>
      <c r="BH188" s="108"/>
      <c r="BI188" s="108"/>
      <c r="BJ188" s="108"/>
      <c r="BK188" s="109"/>
      <c r="BL188" s="108"/>
      <c r="BM188" s="108"/>
      <c r="BN188" s="108"/>
    </row>
    <row r="189" spans="1:66" ht="12" customHeight="1" x14ac:dyDescent="0.2">
      <c r="A189" s="179"/>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c r="AA189" s="108"/>
      <c r="AB189" s="108"/>
      <c r="AC189" s="108"/>
      <c r="AD189" s="108"/>
      <c r="AE189" s="108"/>
      <c r="AF189" s="108"/>
      <c r="AG189" s="108"/>
      <c r="AH189" s="108"/>
      <c r="AI189" s="108"/>
      <c r="AJ189" s="108"/>
      <c r="AK189" s="108"/>
      <c r="AL189" s="108"/>
      <c r="AM189" s="108"/>
      <c r="AN189" s="108"/>
      <c r="AO189" s="108"/>
      <c r="AP189" s="108"/>
      <c r="AQ189" s="108"/>
      <c r="AR189" s="108"/>
      <c r="AS189" s="108"/>
      <c r="AT189" s="108"/>
      <c r="AU189" s="108"/>
      <c r="AV189" s="108"/>
      <c r="AW189" s="108"/>
      <c r="AX189" s="108"/>
      <c r="AY189" s="108"/>
      <c r="AZ189" s="108"/>
      <c r="BA189" s="108"/>
      <c r="BB189" s="108"/>
      <c r="BC189" s="108"/>
      <c r="BD189" s="108"/>
      <c r="BE189" s="108"/>
      <c r="BF189" s="108"/>
      <c r="BG189" s="108"/>
      <c r="BH189" s="108"/>
      <c r="BI189" s="108"/>
      <c r="BJ189" s="108"/>
      <c r="BK189" s="109"/>
      <c r="BL189" s="108"/>
      <c r="BM189" s="108"/>
      <c r="BN189" s="108"/>
    </row>
    <row r="190" spans="1:66" ht="12" customHeight="1" x14ac:dyDescent="0.2">
      <c r="A190" s="179"/>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c r="AA190" s="108"/>
      <c r="AB190" s="108"/>
      <c r="AC190" s="108"/>
      <c r="AD190" s="108"/>
      <c r="AE190" s="108"/>
      <c r="AF190" s="108"/>
      <c r="AG190" s="108"/>
      <c r="AH190" s="108"/>
      <c r="AI190" s="108"/>
      <c r="AJ190" s="108"/>
      <c r="AK190" s="108"/>
      <c r="AL190" s="108"/>
      <c r="AM190" s="108"/>
      <c r="AN190" s="108"/>
      <c r="AO190" s="108"/>
      <c r="AP190" s="108"/>
      <c r="AQ190" s="108"/>
      <c r="AR190" s="108"/>
      <c r="AS190" s="108"/>
      <c r="AT190" s="108"/>
      <c r="AU190" s="108"/>
      <c r="AV190" s="108"/>
      <c r="AW190" s="108"/>
      <c r="AX190" s="108"/>
      <c r="AY190" s="108"/>
      <c r="AZ190" s="108"/>
      <c r="BA190" s="108"/>
      <c r="BB190" s="108"/>
      <c r="BC190" s="108"/>
      <c r="BD190" s="108"/>
      <c r="BE190" s="108"/>
      <c r="BF190" s="108"/>
      <c r="BG190" s="108"/>
      <c r="BH190" s="108"/>
      <c r="BI190" s="108"/>
      <c r="BJ190" s="108"/>
      <c r="BK190" s="109"/>
      <c r="BL190" s="108"/>
      <c r="BM190" s="108"/>
      <c r="BN190" s="108"/>
    </row>
    <row r="191" spans="1:66" ht="12" customHeight="1" x14ac:dyDescent="0.2">
      <c r="A191" s="179"/>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c r="AA191" s="108"/>
      <c r="AB191" s="108"/>
      <c r="AC191" s="108"/>
      <c r="AD191" s="108"/>
      <c r="AE191" s="108"/>
      <c r="AF191" s="108"/>
      <c r="AG191" s="108"/>
      <c r="AH191" s="108"/>
      <c r="AI191" s="108"/>
      <c r="AJ191" s="108"/>
      <c r="AK191" s="108"/>
      <c r="AL191" s="108"/>
      <c r="AM191" s="108"/>
      <c r="AN191" s="108"/>
      <c r="AO191" s="108"/>
      <c r="AP191" s="108"/>
      <c r="AQ191" s="108"/>
      <c r="AR191" s="108"/>
      <c r="AS191" s="108"/>
      <c r="AT191" s="108"/>
      <c r="AU191" s="108"/>
      <c r="AV191" s="108"/>
      <c r="AW191" s="108"/>
      <c r="AX191" s="108"/>
      <c r="AY191" s="108"/>
      <c r="AZ191" s="108"/>
      <c r="BA191" s="108"/>
      <c r="BB191" s="108"/>
      <c r="BC191" s="108"/>
      <c r="BD191" s="108"/>
      <c r="BE191" s="108"/>
      <c r="BF191" s="108"/>
      <c r="BG191" s="108"/>
      <c r="BH191" s="108"/>
      <c r="BI191" s="108"/>
      <c r="BJ191" s="108"/>
      <c r="BK191" s="109"/>
      <c r="BL191" s="108"/>
      <c r="BM191" s="108"/>
      <c r="BN191" s="108"/>
    </row>
    <row r="192" spans="1:66" ht="12" customHeight="1" x14ac:dyDescent="0.2">
      <c r="A192" s="179"/>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c r="AA192" s="108"/>
      <c r="AB192" s="108"/>
      <c r="AC192" s="108"/>
      <c r="AD192" s="108"/>
      <c r="AE192" s="108"/>
      <c r="AF192" s="108"/>
      <c r="AG192" s="108"/>
      <c r="AH192" s="108"/>
      <c r="AI192" s="108"/>
      <c r="AJ192" s="108"/>
      <c r="AK192" s="108"/>
      <c r="AL192" s="108"/>
      <c r="AM192" s="108"/>
      <c r="AN192" s="108"/>
      <c r="AO192" s="108"/>
      <c r="AP192" s="108"/>
      <c r="AQ192" s="108"/>
      <c r="AR192" s="108"/>
      <c r="AS192" s="108"/>
      <c r="AT192" s="108"/>
      <c r="AU192" s="108"/>
      <c r="AV192" s="108"/>
      <c r="AW192" s="108"/>
      <c r="AX192" s="108"/>
      <c r="AY192" s="108"/>
      <c r="AZ192" s="108"/>
      <c r="BA192" s="108"/>
      <c r="BB192" s="108"/>
      <c r="BC192" s="108"/>
      <c r="BD192" s="108"/>
      <c r="BE192" s="108"/>
      <c r="BF192" s="108"/>
      <c r="BG192" s="108"/>
      <c r="BH192" s="108"/>
      <c r="BI192" s="108"/>
      <c r="BJ192" s="108"/>
      <c r="BK192" s="109"/>
      <c r="BL192" s="108"/>
      <c r="BM192" s="108"/>
      <c r="BN192" s="108"/>
    </row>
    <row r="193" spans="1:66" ht="12" customHeight="1" x14ac:dyDescent="0.2">
      <c r="A193" s="179"/>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c r="AA193" s="108"/>
      <c r="AB193" s="108"/>
      <c r="AC193" s="108"/>
      <c r="AD193" s="108"/>
      <c r="AE193" s="108"/>
      <c r="AF193" s="108"/>
      <c r="AG193" s="108"/>
      <c r="AH193" s="108"/>
      <c r="AI193" s="108"/>
      <c r="AJ193" s="108"/>
      <c r="AK193" s="108"/>
      <c r="AL193" s="108"/>
      <c r="AM193" s="108"/>
      <c r="AN193" s="108"/>
      <c r="AO193" s="108"/>
      <c r="AP193" s="108"/>
      <c r="AQ193" s="108"/>
      <c r="AR193" s="108"/>
      <c r="AS193" s="108"/>
      <c r="AT193" s="108"/>
      <c r="AU193" s="108"/>
      <c r="AV193" s="108"/>
      <c r="AW193" s="108"/>
      <c r="AX193" s="108"/>
      <c r="AY193" s="108"/>
      <c r="AZ193" s="108"/>
      <c r="BA193" s="108"/>
      <c r="BB193" s="108"/>
      <c r="BC193" s="108"/>
      <c r="BD193" s="108"/>
      <c r="BE193" s="108"/>
      <c r="BF193" s="108"/>
      <c r="BG193" s="108"/>
      <c r="BH193" s="108"/>
      <c r="BI193" s="108"/>
      <c r="BJ193" s="108"/>
      <c r="BK193" s="109"/>
      <c r="BL193" s="108"/>
      <c r="BM193" s="108"/>
      <c r="BN193" s="108"/>
    </row>
    <row r="194" spans="1:66" ht="12" customHeight="1" x14ac:dyDescent="0.2">
      <c r="A194" s="179"/>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c r="AA194" s="108"/>
      <c r="AB194" s="108"/>
      <c r="AC194" s="108"/>
      <c r="AD194" s="108"/>
      <c r="AE194" s="108"/>
      <c r="AF194" s="108"/>
      <c r="AG194" s="108"/>
      <c r="AH194" s="108"/>
      <c r="AI194" s="108"/>
      <c r="AJ194" s="108"/>
      <c r="AK194" s="108"/>
      <c r="AL194" s="108"/>
      <c r="AM194" s="108"/>
      <c r="AN194" s="108"/>
      <c r="AO194" s="108"/>
      <c r="AP194" s="108"/>
      <c r="AQ194" s="108"/>
      <c r="AR194" s="108"/>
      <c r="AS194" s="108"/>
      <c r="AT194" s="108"/>
      <c r="AU194" s="108"/>
      <c r="AV194" s="108"/>
      <c r="AW194" s="108"/>
      <c r="AX194" s="108"/>
      <c r="AY194" s="108"/>
      <c r="AZ194" s="108"/>
      <c r="BA194" s="108"/>
      <c r="BB194" s="108"/>
      <c r="BC194" s="108"/>
      <c r="BD194" s="108"/>
      <c r="BE194" s="108"/>
      <c r="BF194" s="108"/>
      <c r="BG194" s="108"/>
      <c r="BH194" s="108"/>
      <c r="BI194" s="108"/>
      <c r="BJ194" s="108"/>
      <c r="BK194" s="109"/>
      <c r="BL194" s="108"/>
      <c r="BM194" s="108"/>
      <c r="BN194" s="108"/>
    </row>
    <row r="195" spans="1:66" ht="12" customHeight="1" x14ac:dyDescent="0.2">
      <c r="A195" s="179"/>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c r="AA195" s="108"/>
      <c r="AB195" s="108"/>
      <c r="AC195" s="108"/>
      <c r="AD195" s="108"/>
      <c r="AE195" s="108"/>
      <c r="AF195" s="108"/>
      <c r="AG195" s="108"/>
      <c r="AH195" s="108"/>
      <c r="AI195" s="108"/>
      <c r="AJ195" s="108"/>
      <c r="AK195" s="108"/>
      <c r="AL195" s="108"/>
      <c r="AM195" s="108"/>
      <c r="AN195" s="108"/>
      <c r="AO195" s="108"/>
      <c r="AP195" s="108"/>
      <c r="AQ195" s="108"/>
      <c r="AR195" s="108"/>
      <c r="AS195" s="108"/>
      <c r="AT195" s="108"/>
      <c r="AU195" s="108"/>
      <c r="AV195" s="108"/>
      <c r="AW195" s="108"/>
      <c r="AX195" s="108"/>
      <c r="AY195" s="108"/>
      <c r="AZ195" s="108"/>
      <c r="BA195" s="108"/>
      <c r="BB195" s="108"/>
      <c r="BC195" s="108"/>
      <c r="BD195" s="108"/>
      <c r="BE195" s="108"/>
      <c r="BF195" s="108"/>
      <c r="BG195" s="108"/>
      <c r="BH195" s="108"/>
      <c r="BI195" s="108"/>
      <c r="BJ195" s="108"/>
      <c r="BK195" s="109"/>
      <c r="BL195" s="108"/>
      <c r="BM195" s="108"/>
      <c r="BN195" s="108"/>
    </row>
    <row r="196" spans="1:66" ht="12" customHeight="1" x14ac:dyDescent="0.2">
      <c r="A196" s="179"/>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c r="AA196" s="108"/>
      <c r="AB196" s="108"/>
      <c r="AC196" s="108"/>
      <c r="AD196" s="108"/>
      <c r="AE196" s="108"/>
      <c r="AF196" s="108"/>
      <c r="AG196" s="108"/>
      <c r="AH196" s="108"/>
      <c r="AI196" s="108"/>
      <c r="AJ196" s="108"/>
      <c r="AK196" s="108"/>
      <c r="AL196" s="108"/>
      <c r="AM196" s="108"/>
      <c r="AN196" s="108"/>
      <c r="AO196" s="108"/>
      <c r="AP196" s="108"/>
      <c r="AQ196" s="108"/>
      <c r="AR196" s="108"/>
      <c r="AS196" s="108"/>
      <c r="AT196" s="108"/>
      <c r="AU196" s="108"/>
      <c r="AV196" s="108"/>
      <c r="AW196" s="108"/>
      <c r="AX196" s="108"/>
      <c r="AY196" s="108"/>
      <c r="AZ196" s="108"/>
      <c r="BA196" s="108"/>
      <c r="BB196" s="108"/>
      <c r="BC196" s="108"/>
      <c r="BD196" s="108"/>
      <c r="BE196" s="108"/>
      <c r="BF196" s="108"/>
      <c r="BG196" s="108"/>
      <c r="BH196" s="108"/>
      <c r="BI196" s="108"/>
      <c r="BJ196" s="108"/>
      <c r="BK196" s="109"/>
      <c r="BL196" s="108"/>
      <c r="BM196" s="108"/>
      <c r="BN196" s="108"/>
    </row>
    <row r="197" spans="1:66" ht="12" customHeight="1" x14ac:dyDescent="0.2">
      <c r="A197" s="179"/>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c r="AA197" s="108"/>
      <c r="AB197" s="108"/>
      <c r="AC197" s="108"/>
      <c r="AD197" s="108"/>
      <c r="AE197" s="108"/>
      <c r="AF197" s="108"/>
      <c r="AG197" s="108"/>
      <c r="AH197" s="108"/>
      <c r="AI197" s="108"/>
      <c r="AJ197" s="108"/>
      <c r="AK197" s="108"/>
      <c r="AL197" s="108"/>
      <c r="AM197" s="108"/>
      <c r="AN197" s="108"/>
      <c r="AO197" s="108"/>
      <c r="AP197" s="108"/>
      <c r="AQ197" s="108"/>
      <c r="AR197" s="108"/>
      <c r="AS197" s="108"/>
      <c r="AT197" s="108"/>
      <c r="AU197" s="108"/>
      <c r="AV197" s="108"/>
      <c r="AW197" s="108"/>
      <c r="AX197" s="108"/>
      <c r="AY197" s="108"/>
      <c r="AZ197" s="108"/>
      <c r="BA197" s="108"/>
      <c r="BB197" s="108"/>
      <c r="BC197" s="108"/>
      <c r="BD197" s="108"/>
      <c r="BE197" s="108"/>
      <c r="BF197" s="108"/>
      <c r="BG197" s="108"/>
      <c r="BH197" s="108"/>
      <c r="BI197" s="108"/>
      <c r="BJ197" s="108"/>
      <c r="BK197" s="109"/>
      <c r="BL197" s="108"/>
      <c r="BM197" s="108"/>
      <c r="BN197" s="108"/>
    </row>
    <row r="198" spans="1:66" ht="12" customHeight="1" x14ac:dyDescent="0.2">
      <c r="A198" s="179"/>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c r="AA198" s="108"/>
      <c r="AB198" s="108"/>
      <c r="AC198" s="108"/>
      <c r="AD198" s="108"/>
      <c r="AE198" s="108"/>
      <c r="AF198" s="108"/>
      <c r="AG198" s="108"/>
      <c r="AH198" s="108"/>
      <c r="AI198" s="108"/>
      <c r="AJ198" s="108"/>
      <c r="AK198" s="108"/>
      <c r="AL198" s="108"/>
      <c r="AM198" s="108"/>
      <c r="AN198" s="108"/>
      <c r="AO198" s="108"/>
      <c r="AP198" s="108"/>
      <c r="AQ198" s="108"/>
      <c r="AR198" s="108"/>
      <c r="AS198" s="108"/>
      <c r="AT198" s="108"/>
      <c r="AU198" s="108"/>
      <c r="AV198" s="108"/>
      <c r="AW198" s="108"/>
      <c r="AX198" s="108"/>
      <c r="AY198" s="108"/>
      <c r="AZ198" s="108"/>
      <c r="BA198" s="108"/>
      <c r="BB198" s="108"/>
      <c r="BC198" s="108"/>
      <c r="BD198" s="108"/>
      <c r="BE198" s="108"/>
      <c r="BF198" s="108"/>
      <c r="BG198" s="108"/>
      <c r="BH198" s="108"/>
      <c r="BI198" s="108"/>
      <c r="BJ198" s="108"/>
      <c r="BK198" s="109"/>
      <c r="BL198" s="108"/>
      <c r="BM198" s="108"/>
      <c r="BN198" s="108"/>
    </row>
    <row r="199" spans="1:66" ht="12" customHeight="1" x14ac:dyDescent="0.2">
      <c r="A199" s="179"/>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c r="AA199" s="108"/>
      <c r="AB199" s="108"/>
      <c r="AC199" s="108"/>
      <c r="AD199" s="108"/>
      <c r="AE199" s="108"/>
      <c r="AF199" s="108"/>
      <c r="AG199" s="108"/>
      <c r="AH199" s="108"/>
      <c r="AI199" s="108"/>
      <c r="AJ199" s="108"/>
      <c r="AK199" s="108"/>
      <c r="AL199" s="108"/>
      <c r="AM199" s="108"/>
      <c r="AN199" s="108"/>
      <c r="AO199" s="108"/>
      <c r="AP199" s="108"/>
      <c r="AQ199" s="108"/>
      <c r="AR199" s="108"/>
      <c r="AS199" s="108"/>
      <c r="AT199" s="108"/>
      <c r="AU199" s="108"/>
      <c r="AV199" s="108"/>
      <c r="AW199" s="108"/>
      <c r="AX199" s="108"/>
      <c r="AY199" s="108"/>
      <c r="AZ199" s="108"/>
      <c r="BA199" s="108"/>
      <c r="BB199" s="108"/>
      <c r="BC199" s="108"/>
      <c r="BD199" s="108"/>
      <c r="BE199" s="108"/>
      <c r="BF199" s="108"/>
      <c r="BG199" s="108"/>
      <c r="BH199" s="108"/>
      <c r="BI199" s="108"/>
      <c r="BJ199" s="108"/>
      <c r="BK199" s="109"/>
      <c r="BL199" s="108"/>
      <c r="BM199" s="108"/>
      <c r="BN199" s="108"/>
    </row>
    <row r="200" spans="1:66" ht="12" customHeight="1" x14ac:dyDescent="0.2">
      <c r="A200" s="179"/>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c r="AA200" s="108"/>
      <c r="AB200" s="108"/>
      <c r="AC200" s="108"/>
      <c r="AD200" s="108"/>
      <c r="AE200" s="108"/>
      <c r="AF200" s="108"/>
      <c r="AG200" s="108"/>
      <c r="AH200" s="108"/>
      <c r="AI200" s="108"/>
      <c r="AJ200" s="108"/>
      <c r="AK200" s="108"/>
      <c r="AL200" s="108"/>
      <c r="AM200" s="108"/>
      <c r="AN200" s="108"/>
      <c r="AO200" s="108"/>
      <c r="AP200" s="108"/>
      <c r="AQ200" s="108"/>
      <c r="AR200" s="108"/>
      <c r="AS200" s="108"/>
      <c r="AT200" s="108"/>
      <c r="AU200" s="108"/>
      <c r="AV200" s="108"/>
      <c r="AW200" s="108"/>
      <c r="AX200" s="108"/>
      <c r="AY200" s="108"/>
      <c r="AZ200" s="108"/>
      <c r="BA200" s="108"/>
      <c r="BB200" s="108"/>
      <c r="BC200" s="108"/>
      <c r="BD200" s="108"/>
      <c r="BE200" s="108"/>
      <c r="BF200" s="108"/>
      <c r="BG200" s="108"/>
      <c r="BH200" s="108"/>
      <c r="BI200" s="108"/>
      <c r="BJ200" s="108"/>
      <c r="BK200" s="109"/>
      <c r="BL200" s="108"/>
      <c r="BM200" s="108"/>
      <c r="BN200" s="108"/>
    </row>
    <row r="201" spans="1:66" ht="12" customHeight="1" x14ac:dyDescent="0.2">
      <c r="A201" s="179"/>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c r="AA201" s="108"/>
      <c r="AB201" s="108"/>
      <c r="AC201" s="108"/>
      <c r="AD201" s="108"/>
      <c r="AE201" s="108"/>
      <c r="AF201" s="108"/>
      <c r="AG201" s="108"/>
      <c r="AH201" s="108"/>
      <c r="AI201" s="108"/>
      <c r="AJ201" s="108"/>
      <c r="AK201" s="108"/>
      <c r="AL201" s="108"/>
      <c r="AM201" s="108"/>
      <c r="AN201" s="108"/>
      <c r="AO201" s="108"/>
      <c r="AP201" s="108"/>
      <c r="AQ201" s="108"/>
      <c r="AR201" s="108"/>
      <c r="AS201" s="108"/>
      <c r="AT201" s="108"/>
      <c r="AU201" s="108"/>
      <c r="AV201" s="108"/>
      <c r="AW201" s="108"/>
      <c r="AX201" s="108"/>
      <c r="AY201" s="108"/>
      <c r="AZ201" s="108"/>
      <c r="BA201" s="108"/>
      <c r="BB201" s="108"/>
      <c r="BC201" s="108"/>
      <c r="BD201" s="108"/>
      <c r="BE201" s="108"/>
      <c r="BF201" s="108"/>
      <c r="BG201" s="108"/>
      <c r="BH201" s="108"/>
      <c r="BI201" s="108"/>
      <c r="BJ201" s="108"/>
      <c r="BK201" s="109"/>
      <c r="BL201" s="108"/>
      <c r="BM201" s="108"/>
      <c r="BN201" s="108"/>
    </row>
    <row r="202" spans="1:66" ht="12" customHeight="1" x14ac:dyDescent="0.2">
      <c r="A202" s="179"/>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c r="AA202" s="108"/>
      <c r="AB202" s="108"/>
      <c r="AC202" s="108"/>
      <c r="AD202" s="108"/>
      <c r="AE202" s="108"/>
      <c r="AF202" s="108"/>
      <c r="AG202" s="108"/>
      <c r="AH202" s="108"/>
      <c r="AI202" s="108"/>
      <c r="AJ202" s="108"/>
      <c r="AK202" s="108"/>
      <c r="AL202" s="108"/>
      <c r="AM202" s="108"/>
      <c r="AN202" s="108"/>
      <c r="AO202" s="108"/>
      <c r="AP202" s="108"/>
      <c r="AQ202" s="108"/>
      <c r="AR202" s="108"/>
      <c r="AS202" s="108"/>
      <c r="AT202" s="108"/>
      <c r="AU202" s="108"/>
      <c r="AV202" s="108"/>
      <c r="AW202" s="108"/>
      <c r="AX202" s="108"/>
      <c r="AY202" s="108"/>
      <c r="AZ202" s="108"/>
      <c r="BA202" s="108"/>
      <c r="BB202" s="108"/>
      <c r="BC202" s="108"/>
      <c r="BD202" s="108"/>
      <c r="BE202" s="108"/>
      <c r="BF202" s="108"/>
      <c r="BG202" s="108"/>
      <c r="BH202" s="108"/>
      <c r="BI202" s="108"/>
      <c r="BJ202" s="108"/>
      <c r="BK202" s="109"/>
      <c r="BL202" s="108"/>
      <c r="BM202" s="108"/>
      <c r="BN202" s="108"/>
    </row>
    <row r="203" spans="1:66" ht="12" customHeight="1" x14ac:dyDescent="0.2">
      <c r="A203" s="179"/>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c r="AA203" s="108"/>
      <c r="AB203" s="108"/>
      <c r="AC203" s="108"/>
      <c r="AD203" s="108"/>
      <c r="AE203" s="108"/>
      <c r="AF203" s="108"/>
      <c r="AG203" s="108"/>
      <c r="AH203" s="108"/>
      <c r="AI203" s="108"/>
      <c r="AJ203" s="108"/>
      <c r="AK203" s="108"/>
      <c r="AL203" s="108"/>
      <c r="AM203" s="108"/>
      <c r="AN203" s="108"/>
      <c r="AO203" s="108"/>
      <c r="AP203" s="108"/>
      <c r="AQ203" s="108"/>
      <c r="AR203" s="108"/>
      <c r="AS203" s="108"/>
      <c r="AT203" s="108"/>
      <c r="AU203" s="108"/>
      <c r="AV203" s="108"/>
      <c r="AW203" s="108"/>
      <c r="AX203" s="108"/>
      <c r="AY203" s="108"/>
      <c r="AZ203" s="108"/>
      <c r="BA203" s="108"/>
      <c r="BB203" s="108"/>
      <c r="BC203" s="108"/>
      <c r="BD203" s="108"/>
      <c r="BE203" s="108"/>
      <c r="BF203" s="108"/>
      <c r="BG203" s="108"/>
      <c r="BH203" s="108"/>
      <c r="BI203" s="108"/>
      <c r="BJ203" s="108"/>
      <c r="BK203" s="109"/>
      <c r="BL203" s="108"/>
      <c r="BM203" s="108"/>
      <c r="BN203" s="108"/>
    </row>
    <row r="204" spans="1:66" ht="12" customHeight="1" x14ac:dyDescent="0.2">
      <c r="A204" s="179"/>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c r="AA204" s="108"/>
      <c r="AB204" s="108"/>
      <c r="AC204" s="108"/>
      <c r="AD204" s="108"/>
      <c r="AE204" s="108"/>
      <c r="AF204" s="108"/>
      <c r="AG204" s="108"/>
      <c r="AH204" s="108"/>
      <c r="AI204" s="108"/>
      <c r="AJ204" s="108"/>
      <c r="AK204" s="108"/>
      <c r="AL204" s="108"/>
      <c r="AM204" s="108"/>
      <c r="AN204" s="108"/>
      <c r="AO204" s="108"/>
      <c r="AP204" s="108"/>
      <c r="AQ204" s="108"/>
      <c r="AR204" s="108"/>
      <c r="AS204" s="108"/>
      <c r="AT204" s="108"/>
      <c r="AU204" s="108"/>
      <c r="AV204" s="108"/>
      <c r="AW204" s="108"/>
      <c r="AX204" s="108"/>
      <c r="AY204" s="108"/>
      <c r="AZ204" s="108"/>
      <c r="BA204" s="108"/>
      <c r="BB204" s="108"/>
      <c r="BC204" s="108"/>
      <c r="BD204" s="108"/>
      <c r="BE204" s="108"/>
      <c r="BF204" s="108"/>
      <c r="BG204" s="108"/>
      <c r="BH204" s="108"/>
      <c r="BI204" s="108"/>
      <c r="BJ204" s="108"/>
      <c r="BK204" s="109"/>
      <c r="BL204" s="108"/>
      <c r="BM204" s="108"/>
      <c r="BN204" s="108"/>
    </row>
    <row r="205" spans="1:66" ht="12" customHeight="1" x14ac:dyDescent="0.2">
      <c r="A205" s="179"/>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c r="AA205" s="108"/>
      <c r="AB205" s="108"/>
      <c r="AC205" s="108"/>
      <c r="AD205" s="108"/>
      <c r="AE205" s="108"/>
      <c r="AF205" s="108"/>
      <c r="AG205" s="108"/>
      <c r="AH205" s="108"/>
      <c r="AI205" s="108"/>
      <c r="AJ205" s="108"/>
      <c r="AK205" s="108"/>
      <c r="AL205" s="108"/>
      <c r="AM205" s="108"/>
      <c r="AN205" s="108"/>
      <c r="AO205" s="108"/>
      <c r="AP205" s="108"/>
      <c r="AQ205" s="108"/>
      <c r="AR205" s="108"/>
      <c r="AS205" s="108"/>
      <c r="AT205" s="108"/>
      <c r="AU205" s="108"/>
      <c r="AV205" s="108"/>
      <c r="AW205" s="108"/>
      <c r="AX205" s="108"/>
      <c r="AY205" s="108"/>
      <c r="AZ205" s="108"/>
      <c r="BA205" s="108"/>
      <c r="BB205" s="108"/>
      <c r="BC205" s="108"/>
      <c r="BD205" s="108"/>
      <c r="BE205" s="108"/>
      <c r="BF205" s="108"/>
      <c r="BG205" s="108"/>
      <c r="BH205" s="108"/>
      <c r="BI205" s="108"/>
      <c r="BJ205" s="108"/>
      <c r="BK205" s="109"/>
      <c r="BL205" s="108"/>
      <c r="BM205" s="108"/>
      <c r="BN205" s="108"/>
    </row>
    <row r="206" spans="1:66" ht="12" customHeight="1" x14ac:dyDescent="0.2">
      <c r="A206" s="179"/>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c r="AA206" s="108"/>
      <c r="AB206" s="108"/>
      <c r="AC206" s="108"/>
      <c r="AD206" s="108"/>
      <c r="AE206" s="108"/>
      <c r="AF206" s="108"/>
      <c r="AG206" s="108"/>
      <c r="AH206" s="108"/>
      <c r="AI206" s="108"/>
      <c r="AJ206" s="108"/>
      <c r="AK206" s="108"/>
      <c r="AL206" s="108"/>
      <c r="AM206" s="108"/>
      <c r="AN206" s="108"/>
      <c r="AO206" s="108"/>
      <c r="AP206" s="108"/>
      <c r="AQ206" s="108"/>
      <c r="AR206" s="108"/>
      <c r="AS206" s="108"/>
      <c r="AT206" s="108"/>
      <c r="AU206" s="108"/>
      <c r="AV206" s="108"/>
      <c r="AW206" s="108"/>
      <c r="AX206" s="108"/>
      <c r="AY206" s="108"/>
      <c r="AZ206" s="108"/>
      <c r="BA206" s="108"/>
      <c r="BB206" s="108"/>
      <c r="BC206" s="108"/>
      <c r="BD206" s="108"/>
      <c r="BE206" s="108"/>
      <c r="BF206" s="108"/>
      <c r="BG206" s="108"/>
      <c r="BH206" s="108"/>
      <c r="BI206" s="108"/>
      <c r="BJ206" s="108"/>
      <c r="BK206" s="109"/>
      <c r="BL206" s="108"/>
      <c r="BM206" s="108"/>
      <c r="BN206" s="108"/>
    </row>
    <row r="207" spans="1:66" ht="12" customHeight="1" x14ac:dyDescent="0.2">
      <c r="A207" s="179"/>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c r="AA207" s="108"/>
      <c r="AB207" s="108"/>
      <c r="AC207" s="108"/>
      <c r="AD207" s="108"/>
      <c r="AE207" s="108"/>
      <c r="AF207" s="108"/>
      <c r="AG207" s="108"/>
      <c r="AH207" s="108"/>
      <c r="AI207" s="108"/>
      <c r="AJ207" s="108"/>
      <c r="AK207" s="108"/>
      <c r="AL207" s="108"/>
      <c r="AM207" s="108"/>
      <c r="AN207" s="108"/>
      <c r="AO207" s="108"/>
      <c r="AP207" s="108"/>
      <c r="AQ207" s="108"/>
      <c r="AR207" s="108"/>
      <c r="AS207" s="108"/>
      <c r="AT207" s="108"/>
      <c r="AU207" s="108"/>
      <c r="AV207" s="108"/>
      <c r="AW207" s="108"/>
      <c r="AX207" s="108"/>
      <c r="AY207" s="108"/>
      <c r="AZ207" s="108"/>
      <c r="BA207" s="108"/>
      <c r="BB207" s="108"/>
      <c r="BC207" s="108"/>
      <c r="BD207" s="108"/>
      <c r="BE207" s="108"/>
      <c r="BF207" s="108"/>
      <c r="BG207" s="108"/>
      <c r="BH207" s="108"/>
      <c r="BI207" s="108"/>
      <c r="BJ207" s="108"/>
      <c r="BK207" s="109"/>
      <c r="BL207" s="108"/>
      <c r="BM207" s="108"/>
      <c r="BN207" s="108"/>
    </row>
    <row r="208" spans="1:66" ht="12" customHeight="1" x14ac:dyDescent="0.2">
      <c r="A208" s="179"/>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c r="AA208" s="108"/>
      <c r="AB208" s="108"/>
      <c r="AC208" s="108"/>
      <c r="AD208" s="108"/>
      <c r="AE208" s="108"/>
      <c r="AF208" s="108"/>
      <c r="AG208" s="108"/>
      <c r="AH208" s="108"/>
      <c r="AI208" s="108"/>
      <c r="AJ208" s="108"/>
      <c r="AK208" s="108"/>
      <c r="AL208" s="108"/>
      <c r="AM208" s="108"/>
      <c r="AN208" s="108"/>
      <c r="AO208" s="108"/>
      <c r="AP208" s="108"/>
      <c r="AQ208" s="108"/>
      <c r="AR208" s="108"/>
      <c r="AS208" s="108"/>
      <c r="AT208" s="108"/>
      <c r="AU208" s="108"/>
      <c r="AV208" s="108"/>
      <c r="AW208" s="108"/>
      <c r="AX208" s="108"/>
      <c r="AY208" s="108"/>
      <c r="AZ208" s="108"/>
      <c r="BA208" s="108"/>
      <c r="BB208" s="108"/>
      <c r="BC208" s="108"/>
      <c r="BD208" s="108"/>
      <c r="BE208" s="108"/>
      <c r="BF208" s="108"/>
      <c r="BG208" s="108"/>
      <c r="BH208" s="108"/>
      <c r="BI208" s="108"/>
      <c r="BJ208" s="108"/>
      <c r="BK208" s="109"/>
      <c r="BL208" s="108"/>
      <c r="BM208" s="108"/>
      <c r="BN208" s="108"/>
    </row>
    <row r="209" spans="1:66" ht="12" customHeight="1" x14ac:dyDescent="0.2">
      <c r="A209" s="179"/>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c r="AA209" s="108"/>
      <c r="AB209" s="108"/>
      <c r="AC209" s="108"/>
      <c r="AD209" s="108"/>
      <c r="AE209" s="108"/>
      <c r="AF209" s="108"/>
      <c r="AG209" s="108"/>
      <c r="AH209" s="108"/>
      <c r="AI209" s="108"/>
      <c r="AJ209" s="108"/>
      <c r="AK209" s="108"/>
      <c r="AL209" s="108"/>
      <c r="AM209" s="108"/>
      <c r="AN209" s="108"/>
      <c r="AO209" s="108"/>
      <c r="AP209" s="108"/>
      <c r="AQ209" s="108"/>
      <c r="AR209" s="108"/>
      <c r="AS209" s="108"/>
      <c r="AT209" s="108"/>
      <c r="AU209" s="108"/>
      <c r="AV209" s="108"/>
      <c r="AW209" s="108"/>
      <c r="AX209" s="108"/>
      <c r="AY209" s="108"/>
      <c r="AZ209" s="108"/>
      <c r="BA209" s="108"/>
      <c r="BB209" s="108"/>
      <c r="BC209" s="108"/>
      <c r="BD209" s="108"/>
      <c r="BE209" s="108"/>
      <c r="BF209" s="108"/>
      <c r="BG209" s="108"/>
      <c r="BH209" s="108"/>
      <c r="BI209" s="108"/>
      <c r="BJ209" s="108"/>
      <c r="BK209" s="109"/>
      <c r="BL209" s="108"/>
      <c r="BM209" s="108"/>
      <c r="BN209" s="108"/>
    </row>
    <row r="210" spans="1:66" ht="12" customHeight="1" x14ac:dyDescent="0.2">
      <c r="A210" s="179"/>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c r="AA210" s="108"/>
      <c r="AB210" s="108"/>
      <c r="AC210" s="108"/>
      <c r="AD210" s="108"/>
      <c r="AE210" s="108"/>
      <c r="AF210" s="108"/>
      <c r="AG210" s="108"/>
      <c r="AH210" s="108"/>
      <c r="AI210" s="108"/>
      <c r="AJ210" s="108"/>
      <c r="AK210" s="108"/>
      <c r="AL210" s="108"/>
      <c r="AM210" s="108"/>
      <c r="AN210" s="108"/>
      <c r="AO210" s="108"/>
      <c r="AP210" s="108"/>
      <c r="AQ210" s="108"/>
      <c r="AR210" s="108"/>
      <c r="AS210" s="108"/>
      <c r="AT210" s="108"/>
      <c r="AU210" s="108"/>
      <c r="AV210" s="108"/>
      <c r="AW210" s="108"/>
      <c r="AX210" s="108"/>
      <c r="AY210" s="108"/>
      <c r="AZ210" s="108"/>
      <c r="BA210" s="108"/>
      <c r="BB210" s="108"/>
      <c r="BC210" s="108"/>
      <c r="BD210" s="108"/>
      <c r="BE210" s="108"/>
      <c r="BF210" s="108"/>
      <c r="BG210" s="108"/>
      <c r="BH210" s="108"/>
      <c r="BI210" s="108"/>
      <c r="BJ210" s="108"/>
      <c r="BK210" s="109"/>
      <c r="BL210" s="108"/>
      <c r="BM210" s="108"/>
      <c r="BN210" s="108"/>
    </row>
    <row r="211" spans="1:66" ht="12" customHeight="1" x14ac:dyDescent="0.2">
      <c r="A211" s="179"/>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c r="AA211" s="108"/>
      <c r="AB211" s="108"/>
      <c r="AC211" s="108"/>
      <c r="AD211" s="108"/>
      <c r="AE211" s="108"/>
      <c r="AF211" s="108"/>
      <c r="AG211" s="108"/>
      <c r="AH211" s="108"/>
      <c r="AI211" s="108"/>
      <c r="AJ211" s="108"/>
      <c r="AK211" s="108"/>
      <c r="AL211" s="108"/>
      <c r="AM211" s="108"/>
      <c r="AN211" s="108"/>
      <c r="AO211" s="108"/>
      <c r="AP211" s="108"/>
      <c r="AQ211" s="108"/>
      <c r="AR211" s="108"/>
      <c r="AS211" s="108"/>
      <c r="AT211" s="108"/>
      <c r="AU211" s="108"/>
      <c r="AV211" s="108"/>
      <c r="AW211" s="108"/>
      <c r="AX211" s="108"/>
      <c r="AY211" s="108"/>
      <c r="AZ211" s="108"/>
      <c r="BA211" s="108"/>
      <c r="BB211" s="108"/>
      <c r="BC211" s="108"/>
      <c r="BD211" s="108"/>
      <c r="BE211" s="108"/>
      <c r="BF211" s="108"/>
      <c r="BG211" s="108"/>
      <c r="BH211" s="108"/>
      <c r="BI211" s="108"/>
      <c r="BJ211" s="108"/>
      <c r="BK211" s="109"/>
      <c r="BL211" s="108"/>
      <c r="BM211" s="108"/>
      <c r="BN211" s="108"/>
    </row>
    <row r="212" spans="1:66" ht="12" customHeight="1" x14ac:dyDescent="0.2">
      <c r="A212" s="179"/>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c r="AA212" s="108"/>
      <c r="AB212" s="108"/>
      <c r="AC212" s="108"/>
      <c r="AD212" s="108"/>
      <c r="AE212" s="108"/>
      <c r="AF212" s="108"/>
      <c r="AG212" s="108"/>
      <c r="AH212" s="108"/>
      <c r="AI212" s="108"/>
      <c r="AJ212" s="108"/>
      <c r="AK212" s="108"/>
      <c r="AL212" s="108"/>
      <c r="AM212" s="108"/>
      <c r="AN212" s="108"/>
      <c r="AO212" s="108"/>
      <c r="AP212" s="108"/>
      <c r="AQ212" s="108"/>
      <c r="AR212" s="108"/>
      <c r="AS212" s="108"/>
      <c r="AT212" s="108"/>
      <c r="AU212" s="108"/>
      <c r="AV212" s="108"/>
      <c r="AW212" s="108"/>
      <c r="AX212" s="108"/>
      <c r="AY212" s="108"/>
      <c r="AZ212" s="108"/>
      <c r="BA212" s="108"/>
      <c r="BB212" s="108"/>
      <c r="BC212" s="108"/>
      <c r="BD212" s="108"/>
      <c r="BE212" s="108"/>
      <c r="BF212" s="108"/>
      <c r="BG212" s="108"/>
      <c r="BH212" s="108"/>
      <c r="BI212" s="108"/>
      <c r="BJ212" s="108"/>
      <c r="BK212" s="109"/>
      <c r="BL212" s="108"/>
      <c r="BM212" s="108"/>
      <c r="BN212" s="108"/>
    </row>
    <row r="213" spans="1:66" ht="12" customHeight="1" x14ac:dyDescent="0.2">
      <c r="A213" s="179"/>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c r="AA213" s="108"/>
      <c r="AB213" s="108"/>
      <c r="AC213" s="108"/>
      <c r="AD213" s="108"/>
      <c r="AE213" s="108"/>
      <c r="AF213" s="108"/>
      <c r="AG213" s="108"/>
      <c r="AH213" s="108"/>
      <c r="AI213" s="108"/>
      <c r="AJ213" s="108"/>
      <c r="AK213" s="108"/>
      <c r="AL213" s="108"/>
      <c r="AM213" s="108"/>
      <c r="AN213" s="108"/>
      <c r="AO213" s="108"/>
      <c r="AP213" s="108"/>
      <c r="AQ213" s="108"/>
      <c r="AR213" s="108"/>
      <c r="AS213" s="108"/>
      <c r="AT213" s="108"/>
      <c r="AU213" s="108"/>
      <c r="AV213" s="108"/>
      <c r="AW213" s="108"/>
      <c r="AX213" s="108"/>
      <c r="AY213" s="108"/>
      <c r="AZ213" s="108"/>
      <c r="BA213" s="108"/>
      <c r="BB213" s="108"/>
      <c r="BC213" s="108"/>
      <c r="BD213" s="108"/>
      <c r="BE213" s="108"/>
      <c r="BF213" s="108"/>
      <c r="BG213" s="108"/>
      <c r="BH213" s="108"/>
      <c r="BI213" s="108"/>
      <c r="BJ213" s="108"/>
      <c r="BK213" s="109"/>
      <c r="BL213" s="108"/>
      <c r="BM213" s="108"/>
      <c r="BN213" s="108"/>
    </row>
    <row r="214" spans="1:66" ht="12" customHeight="1" x14ac:dyDescent="0.2">
      <c r="A214" s="179"/>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c r="AA214" s="108"/>
      <c r="AB214" s="108"/>
      <c r="AC214" s="108"/>
      <c r="AD214" s="108"/>
      <c r="AE214" s="108"/>
      <c r="AF214" s="108"/>
      <c r="AG214" s="108"/>
      <c r="AH214" s="108"/>
      <c r="AI214" s="108"/>
      <c r="AJ214" s="108"/>
      <c r="AK214" s="108"/>
      <c r="AL214" s="108"/>
      <c r="AM214" s="108"/>
      <c r="AN214" s="108"/>
      <c r="AO214" s="108"/>
      <c r="AP214" s="108"/>
      <c r="AQ214" s="108"/>
      <c r="AR214" s="108"/>
      <c r="AS214" s="108"/>
      <c r="AT214" s="108"/>
      <c r="AU214" s="108"/>
      <c r="AV214" s="108"/>
      <c r="AW214" s="108"/>
      <c r="AX214" s="108"/>
      <c r="AY214" s="108"/>
      <c r="AZ214" s="108"/>
      <c r="BA214" s="108"/>
      <c r="BB214" s="108"/>
      <c r="BC214" s="108"/>
      <c r="BD214" s="108"/>
      <c r="BE214" s="108"/>
      <c r="BF214" s="108"/>
      <c r="BG214" s="108"/>
      <c r="BH214" s="108"/>
      <c r="BI214" s="108"/>
      <c r="BJ214" s="108"/>
      <c r="BK214" s="109"/>
      <c r="BL214" s="108"/>
      <c r="BM214" s="108"/>
      <c r="BN214" s="108"/>
    </row>
    <row r="215" spans="1:66" ht="12" customHeight="1" x14ac:dyDescent="0.2">
      <c r="A215" s="179"/>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c r="AA215" s="108"/>
      <c r="AB215" s="108"/>
      <c r="AC215" s="108"/>
      <c r="AD215" s="108"/>
      <c r="AE215" s="108"/>
      <c r="AF215" s="108"/>
      <c r="AG215" s="108"/>
      <c r="AH215" s="108"/>
      <c r="AI215" s="108"/>
      <c r="AJ215" s="108"/>
      <c r="AK215" s="108"/>
      <c r="AL215" s="108"/>
      <c r="AM215" s="108"/>
      <c r="AN215" s="108"/>
      <c r="AO215" s="108"/>
      <c r="AP215" s="108"/>
      <c r="AQ215" s="108"/>
      <c r="AR215" s="108"/>
      <c r="AS215" s="108"/>
      <c r="AT215" s="108"/>
      <c r="AU215" s="108"/>
      <c r="AV215" s="108"/>
      <c r="AW215" s="108"/>
      <c r="AX215" s="108"/>
      <c r="AY215" s="108"/>
      <c r="AZ215" s="108"/>
      <c r="BA215" s="108"/>
      <c r="BB215" s="108"/>
      <c r="BC215" s="108"/>
      <c r="BD215" s="108"/>
      <c r="BE215" s="108"/>
      <c r="BF215" s="108"/>
      <c r="BG215" s="108"/>
      <c r="BH215" s="108"/>
      <c r="BI215" s="108"/>
      <c r="BJ215" s="108"/>
      <c r="BK215" s="109"/>
      <c r="BL215" s="108"/>
      <c r="BM215" s="108"/>
      <c r="BN215" s="108"/>
    </row>
    <row r="216" spans="1:66" ht="12" customHeight="1" x14ac:dyDescent="0.2">
      <c r="A216" s="179"/>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c r="AA216" s="108"/>
      <c r="AB216" s="108"/>
      <c r="AC216" s="108"/>
      <c r="AD216" s="108"/>
      <c r="AE216" s="108"/>
      <c r="AF216" s="108"/>
      <c r="AG216" s="108"/>
      <c r="AH216" s="108"/>
      <c r="AI216" s="108"/>
      <c r="AJ216" s="108"/>
      <c r="AK216" s="108"/>
      <c r="AL216" s="108"/>
      <c r="AM216" s="108"/>
      <c r="AN216" s="108"/>
      <c r="AO216" s="108"/>
      <c r="AP216" s="108"/>
      <c r="AQ216" s="108"/>
      <c r="AR216" s="108"/>
      <c r="AS216" s="108"/>
      <c r="AT216" s="108"/>
      <c r="AU216" s="108"/>
      <c r="AV216" s="108"/>
      <c r="AW216" s="108"/>
      <c r="AX216" s="108"/>
      <c r="AY216" s="108"/>
      <c r="AZ216" s="108"/>
      <c r="BA216" s="108"/>
      <c r="BB216" s="108"/>
      <c r="BC216" s="108"/>
      <c r="BD216" s="108"/>
      <c r="BE216" s="108"/>
      <c r="BF216" s="108"/>
      <c r="BG216" s="108"/>
      <c r="BH216" s="108"/>
      <c r="BI216" s="108"/>
      <c r="BJ216" s="108"/>
      <c r="BK216" s="109"/>
      <c r="BL216" s="108"/>
      <c r="BM216" s="108"/>
      <c r="BN216" s="108"/>
    </row>
    <row r="217" spans="1:66" ht="12" customHeight="1" x14ac:dyDescent="0.2">
      <c r="A217" s="179"/>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c r="AA217" s="108"/>
      <c r="AB217" s="108"/>
      <c r="AC217" s="108"/>
      <c r="AD217" s="108"/>
      <c r="AE217" s="108"/>
      <c r="AF217" s="108"/>
      <c r="AG217" s="108"/>
      <c r="AH217" s="108"/>
      <c r="AI217" s="108"/>
      <c r="AJ217" s="108"/>
      <c r="AK217" s="108"/>
      <c r="AL217" s="108"/>
      <c r="AM217" s="108"/>
      <c r="AN217" s="108"/>
      <c r="AO217" s="108"/>
      <c r="AP217" s="108"/>
      <c r="AQ217" s="108"/>
      <c r="AR217" s="108"/>
      <c r="AS217" s="108"/>
      <c r="AT217" s="108"/>
      <c r="AU217" s="108"/>
      <c r="AV217" s="108"/>
      <c r="AW217" s="108"/>
      <c r="AX217" s="108"/>
      <c r="AY217" s="108"/>
      <c r="AZ217" s="108"/>
      <c r="BA217" s="108"/>
      <c r="BB217" s="108"/>
      <c r="BC217" s="108"/>
      <c r="BD217" s="108"/>
      <c r="BE217" s="108"/>
      <c r="BF217" s="108"/>
      <c r="BG217" s="108"/>
      <c r="BH217" s="108"/>
      <c r="BI217" s="108"/>
      <c r="BJ217" s="108"/>
      <c r="BK217" s="109"/>
      <c r="BL217" s="108"/>
      <c r="BM217" s="108"/>
      <c r="BN217" s="108"/>
    </row>
    <row r="218" spans="1:66" ht="12" customHeight="1" x14ac:dyDescent="0.2">
      <c r="A218" s="179"/>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c r="AA218" s="108"/>
      <c r="AB218" s="108"/>
      <c r="AC218" s="108"/>
      <c r="AD218" s="108"/>
      <c r="AE218" s="108"/>
      <c r="AF218" s="108"/>
      <c r="AG218" s="108"/>
      <c r="AH218" s="108"/>
      <c r="AI218" s="108"/>
      <c r="AJ218" s="108"/>
      <c r="AK218" s="108"/>
      <c r="AL218" s="108"/>
      <c r="AM218" s="108"/>
      <c r="AN218" s="108"/>
      <c r="AO218" s="108"/>
      <c r="AP218" s="108"/>
      <c r="AQ218" s="108"/>
      <c r="AR218" s="108"/>
      <c r="AS218" s="108"/>
      <c r="AT218" s="108"/>
      <c r="AU218" s="108"/>
      <c r="AV218" s="108"/>
      <c r="AW218" s="108"/>
      <c r="AX218" s="108"/>
      <c r="AY218" s="108"/>
      <c r="AZ218" s="108"/>
      <c r="BA218" s="108"/>
      <c r="BB218" s="108"/>
      <c r="BC218" s="108"/>
      <c r="BD218" s="108"/>
      <c r="BE218" s="108"/>
      <c r="BF218" s="108"/>
      <c r="BG218" s="108"/>
      <c r="BH218" s="108"/>
      <c r="BI218" s="108"/>
      <c r="BJ218" s="108"/>
      <c r="BK218" s="109"/>
      <c r="BL218" s="108"/>
      <c r="BM218" s="108"/>
      <c r="BN218" s="108"/>
    </row>
    <row r="219" spans="1:66" ht="12" customHeight="1" x14ac:dyDescent="0.2">
      <c r="A219" s="179"/>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c r="AA219" s="108"/>
      <c r="AB219" s="108"/>
      <c r="AC219" s="108"/>
      <c r="AD219" s="108"/>
      <c r="AE219" s="108"/>
      <c r="AF219" s="108"/>
      <c r="AG219" s="108"/>
      <c r="AH219" s="108"/>
      <c r="AI219" s="108"/>
      <c r="AJ219" s="108"/>
      <c r="AK219" s="108"/>
      <c r="AL219" s="108"/>
      <c r="AM219" s="108"/>
      <c r="AN219" s="108"/>
      <c r="AO219" s="108"/>
      <c r="AP219" s="108"/>
      <c r="AQ219" s="108"/>
      <c r="AR219" s="108"/>
      <c r="AS219" s="108"/>
      <c r="AT219" s="108"/>
      <c r="AU219" s="108"/>
      <c r="AV219" s="108"/>
      <c r="AW219" s="108"/>
      <c r="AX219" s="108"/>
      <c r="AY219" s="108"/>
      <c r="AZ219" s="108"/>
      <c r="BA219" s="108"/>
      <c r="BB219" s="108"/>
      <c r="BC219" s="108"/>
      <c r="BD219" s="108"/>
      <c r="BE219" s="108"/>
      <c r="BF219" s="108"/>
      <c r="BG219" s="108"/>
      <c r="BH219" s="108"/>
      <c r="BI219" s="108"/>
      <c r="BJ219" s="108"/>
      <c r="BK219" s="109"/>
      <c r="BL219" s="108"/>
      <c r="BM219" s="108"/>
      <c r="BN219" s="108"/>
    </row>
    <row r="220" spans="1:66" ht="12" customHeight="1" x14ac:dyDescent="0.2">
      <c r="A220" s="179"/>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c r="AA220" s="108"/>
      <c r="AB220" s="108"/>
      <c r="AC220" s="108"/>
      <c r="AD220" s="108"/>
      <c r="AE220" s="108"/>
      <c r="AF220" s="108"/>
      <c r="AG220" s="108"/>
      <c r="AH220" s="108"/>
      <c r="AI220" s="108"/>
      <c r="AJ220" s="108"/>
      <c r="AK220" s="108"/>
      <c r="AL220" s="108"/>
      <c r="AM220" s="108"/>
      <c r="AN220" s="108"/>
      <c r="AO220" s="108"/>
      <c r="AP220" s="108"/>
      <c r="AQ220" s="108"/>
      <c r="AR220" s="108"/>
      <c r="AS220" s="108"/>
      <c r="AT220" s="108"/>
      <c r="AU220" s="108"/>
      <c r="AV220" s="108"/>
      <c r="AW220" s="108"/>
      <c r="AX220" s="108"/>
      <c r="AY220" s="108"/>
      <c r="AZ220" s="108"/>
      <c r="BA220" s="108"/>
      <c r="BB220" s="108"/>
      <c r="BC220" s="108"/>
      <c r="BD220" s="108"/>
      <c r="BE220" s="108"/>
      <c r="BF220" s="108"/>
      <c r="BG220" s="108"/>
      <c r="BH220" s="108"/>
      <c r="BI220" s="108"/>
      <c r="BJ220" s="108"/>
      <c r="BK220" s="109"/>
      <c r="BL220" s="108"/>
      <c r="BM220" s="108"/>
      <c r="BN220" s="108"/>
    </row>
    <row r="221" spans="1:66" ht="12" customHeight="1" x14ac:dyDescent="0.2">
      <c r="A221" s="179"/>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c r="AA221" s="108"/>
      <c r="AB221" s="108"/>
      <c r="AC221" s="108"/>
      <c r="AD221" s="108"/>
      <c r="AE221" s="108"/>
      <c r="AF221" s="108"/>
      <c r="AG221" s="108"/>
      <c r="AH221" s="108"/>
      <c r="AI221" s="108"/>
      <c r="AJ221" s="108"/>
      <c r="AK221" s="108"/>
      <c r="AL221" s="108"/>
      <c r="AM221" s="108"/>
      <c r="AN221" s="108"/>
      <c r="AO221" s="108"/>
      <c r="AP221" s="108"/>
      <c r="AQ221" s="108"/>
      <c r="AR221" s="108"/>
      <c r="AS221" s="108"/>
      <c r="AT221" s="108"/>
      <c r="AU221" s="108"/>
      <c r="AV221" s="108"/>
      <c r="AW221" s="108"/>
      <c r="AX221" s="108"/>
      <c r="AY221" s="108"/>
      <c r="AZ221" s="108"/>
      <c r="BA221" s="108"/>
      <c r="BB221" s="108"/>
      <c r="BC221" s="108"/>
      <c r="BD221" s="108"/>
      <c r="BE221" s="108"/>
      <c r="BF221" s="108"/>
      <c r="BG221" s="108"/>
      <c r="BH221" s="108"/>
      <c r="BI221" s="108"/>
      <c r="BJ221" s="108"/>
      <c r="BK221" s="109"/>
      <c r="BL221" s="108"/>
      <c r="BM221" s="108"/>
      <c r="BN221" s="108"/>
    </row>
    <row r="222" spans="1:66" ht="12" customHeight="1" x14ac:dyDescent="0.2">
      <c r="A222" s="179"/>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c r="AA222" s="108"/>
      <c r="AB222" s="108"/>
      <c r="AC222" s="108"/>
      <c r="AD222" s="108"/>
      <c r="AE222" s="108"/>
      <c r="AF222" s="108"/>
      <c r="AG222" s="108"/>
      <c r="AH222" s="108"/>
      <c r="AI222" s="108"/>
      <c r="AJ222" s="108"/>
      <c r="AK222" s="108"/>
      <c r="AL222" s="108"/>
      <c r="AM222" s="108"/>
      <c r="AN222" s="108"/>
      <c r="AO222" s="108"/>
      <c r="AP222" s="108"/>
      <c r="AQ222" s="108"/>
      <c r="AR222" s="108"/>
      <c r="AS222" s="108"/>
      <c r="AT222" s="108"/>
      <c r="AU222" s="108"/>
      <c r="AV222" s="108"/>
      <c r="AW222" s="108"/>
      <c r="AX222" s="108"/>
      <c r="AY222" s="108"/>
      <c r="AZ222" s="108"/>
      <c r="BA222" s="108"/>
      <c r="BB222" s="108"/>
      <c r="BC222" s="108"/>
      <c r="BD222" s="108"/>
      <c r="BE222" s="108"/>
      <c r="BF222" s="108"/>
      <c r="BG222" s="108"/>
      <c r="BH222" s="108"/>
      <c r="BI222" s="108"/>
      <c r="BJ222" s="108"/>
      <c r="BK222" s="109"/>
      <c r="BL222" s="108"/>
      <c r="BM222" s="108"/>
      <c r="BN222" s="108"/>
    </row>
    <row r="223" spans="1:66" ht="12" customHeight="1" x14ac:dyDescent="0.2">
      <c r="A223" s="179"/>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c r="AA223" s="108"/>
      <c r="AB223" s="108"/>
      <c r="AC223" s="108"/>
      <c r="AD223" s="108"/>
      <c r="AE223" s="108"/>
      <c r="AF223" s="108"/>
      <c r="AG223" s="108"/>
      <c r="AH223" s="108"/>
      <c r="AI223" s="108"/>
      <c r="AJ223" s="108"/>
      <c r="AK223" s="108"/>
      <c r="AL223" s="108"/>
      <c r="AM223" s="108"/>
      <c r="AN223" s="108"/>
      <c r="AO223" s="108"/>
      <c r="AP223" s="108"/>
      <c r="AQ223" s="108"/>
      <c r="AR223" s="108"/>
      <c r="AS223" s="108"/>
      <c r="AT223" s="108"/>
      <c r="AU223" s="108"/>
      <c r="AV223" s="108"/>
      <c r="AW223" s="108"/>
      <c r="AX223" s="108"/>
      <c r="AY223" s="108"/>
      <c r="AZ223" s="108"/>
      <c r="BA223" s="108"/>
      <c r="BB223" s="108"/>
      <c r="BC223" s="108"/>
      <c r="BD223" s="108"/>
      <c r="BE223" s="108"/>
      <c r="BF223" s="108"/>
      <c r="BG223" s="108"/>
      <c r="BH223" s="108"/>
      <c r="BI223" s="108"/>
      <c r="BJ223" s="108"/>
      <c r="BK223" s="109"/>
      <c r="BL223" s="108"/>
      <c r="BM223" s="108"/>
      <c r="BN223" s="108"/>
    </row>
    <row r="224" spans="1:66" ht="12" customHeight="1" x14ac:dyDescent="0.2">
      <c r="A224" s="179"/>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c r="AA224" s="108"/>
      <c r="AB224" s="108"/>
      <c r="AC224" s="108"/>
      <c r="AD224" s="108"/>
      <c r="AE224" s="108"/>
      <c r="AF224" s="108"/>
      <c r="AG224" s="108"/>
      <c r="AH224" s="108"/>
      <c r="AI224" s="108"/>
      <c r="AJ224" s="108"/>
      <c r="AK224" s="108"/>
      <c r="AL224" s="108"/>
      <c r="AM224" s="108"/>
      <c r="AN224" s="108"/>
      <c r="AO224" s="108"/>
      <c r="AP224" s="108"/>
      <c r="AQ224" s="108"/>
      <c r="AR224" s="108"/>
      <c r="AS224" s="108"/>
      <c r="AT224" s="108"/>
      <c r="AU224" s="108"/>
      <c r="AV224" s="108"/>
      <c r="AW224" s="108"/>
      <c r="AX224" s="108"/>
      <c r="AY224" s="108"/>
      <c r="AZ224" s="108"/>
      <c r="BA224" s="108"/>
      <c r="BB224" s="108"/>
      <c r="BC224" s="108"/>
      <c r="BD224" s="108"/>
      <c r="BE224" s="108"/>
      <c r="BF224" s="108"/>
      <c r="BG224" s="108"/>
      <c r="BH224" s="108"/>
      <c r="BI224" s="108"/>
      <c r="BJ224" s="108"/>
      <c r="BK224" s="109"/>
      <c r="BL224" s="108"/>
      <c r="BM224" s="108"/>
      <c r="BN224" s="108"/>
    </row>
    <row r="225" spans="1:66" ht="12" customHeight="1" x14ac:dyDescent="0.2">
      <c r="A225" s="179"/>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c r="AA225" s="108"/>
      <c r="AB225" s="108"/>
      <c r="AC225" s="108"/>
      <c r="AD225" s="108"/>
      <c r="AE225" s="108"/>
      <c r="AF225" s="108"/>
      <c r="AG225" s="108"/>
      <c r="AH225" s="108"/>
      <c r="AI225" s="108"/>
      <c r="AJ225" s="108"/>
      <c r="AK225" s="108"/>
      <c r="AL225" s="108"/>
      <c r="AM225" s="108"/>
      <c r="AN225" s="108"/>
      <c r="AO225" s="108"/>
      <c r="AP225" s="108"/>
      <c r="AQ225" s="108"/>
      <c r="AR225" s="108"/>
      <c r="AS225" s="108"/>
      <c r="AT225" s="108"/>
      <c r="AU225" s="108"/>
      <c r="AV225" s="108"/>
      <c r="AW225" s="108"/>
      <c r="AX225" s="108"/>
      <c r="AY225" s="108"/>
      <c r="AZ225" s="108"/>
      <c r="BA225" s="108"/>
      <c r="BB225" s="108"/>
      <c r="BC225" s="108"/>
      <c r="BD225" s="108"/>
      <c r="BE225" s="108"/>
      <c r="BF225" s="108"/>
      <c r="BG225" s="108"/>
      <c r="BH225" s="108"/>
      <c r="BI225" s="108"/>
      <c r="BJ225" s="108"/>
      <c r="BK225" s="109"/>
      <c r="BL225" s="108"/>
      <c r="BM225" s="108"/>
      <c r="BN225" s="108"/>
    </row>
    <row r="226" spans="1:66" ht="12" customHeight="1" x14ac:dyDescent="0.2">
      <c r="A226" s="179"/>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c r="AA226" s="108"/>
      <c r="AB226" s="108"/>
      <c r="AC226" s="108"/>
      <c r="AD226" s="108"/>
      <c r="AE226" s="108"/>
      <c r="AF226" s="108"/>
      <c r="AG226" s="108"/>
      <c r="AH226" s="108"/>
      <c r="AI226" s="108"/>
      <c r="AJ226" s="108"/>
      <c r="AK226" s="108"/>
      <c r="AL226" s="108"/>
      <c r="AM226" s="108"/>
      <c r="AN226" s="108"/>
      <c r="AO226" s="108"/>
      <c r="AP226" s="108"/>
      <c r="AQ226" s="108"/>
      <c r="AR226" s="108"/>
      <c r="AS226" s="108"/>
      <c r="AT226" s="108"/>
      <c r="AU226" s="108"/>
      <c r="AV226" s="108"/>
      <c r="AW226" s="108"/>
      <c r="AX226" s="108"/>
      <c r="AY226" s="108"/>
      <c r="AZ226" s="108"/>
      <c r="BA226" s="108"/>
      <c r="BB226" s="108"/>
      <c r="BC226" s="108"/>
      <c r="BD226" s="108"/>
      <c r="BE226" s="108"/>
      <c r="BF226" s="108"/>
      <c r="BG226" s="108"/>
      <c r="BH226" s="108"/>
      <c r="BI226" s="108"/>
      <c r="BJ226" s="108"/>
      <c r="BK226" s="109"/>
      <c r="BL226" s="108"/>
      <c r="BM226" s="108"/>
      <c r="BN226" s="108"/>
    </row>
    <row r="227" spans="1:66" ht="12" customHeight="1" x14ac:dyDescent="0.2">
      <c r="A227" s="179"/>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c r="AA227" s="108"/>
      <c r="AB227" s="108"/>
      <c r="AC227" s="108"/>
      <c r="AD227" s="108"/>
      <c r="AE227" s="108"/>
      <c r="AF227" s="108"/>
      <c r="AG227" s="108"/>
      <c r="AH227" s="108"/>
      <c r="AI227" s="108"/>
      <c r="AJ227" s="108"/>
      <c r="AK227" s="108"/>
      <c r="AL227" s="108"/>
      <c r="AM227" s="108"/>
      <c r="AN227" s="108"/>
      <c r="AO227" s="108"/>
      <c r="AP227" s="108"/>
      <c r="AQ227" s="108"/>
      <c r="AR227" s="108"/>
      <c r="AS227" s="108"/>
      <c r="AT227" s="108"/>
      <c r="AU227" s="108"/>
      <c r="AV227" s="108"/>
      <c r="AW227" s="108"/>
      <c r="AX227" s="108"/>
      <c r="AY227" s="108"/>
      <c r="AZ227" s="108"/>
      <c r="BA227" s="108"/>
      <c r="BB227" s="108"/>
      <c r="BC227" s="108"/>
      <c r="BD227" s="108"/>
      <c r="BE227" s="108"/>
      <c r="BF227" s="108"/>
      <c r="BG227" s="108"/>
      <c r="BH227" s="108"/>
      <c r="BI227" s="108"/>
      <c r="BJ227" s="108"/>
      <c r="BK227" s="109"/>
      <c r="BL227" s="108"/>
      <c r="BM227" s="108"/>
      <c r="BN227" s="108"/>
    </row>
    <row r="228" spans="1:66" ht="12" customHeight="1" x14ac:dyDescent="0.2">
      <c r="A228" s="179"/>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c r="AA228" s="108"/>
      <c r="AB228" s="108"/>
      <c r="AC228" s="108"/>
      <c r="AD228" s="108"/>
      <c r="AE228" s="108"/>
      <c r="AF228" s="108"/>
      <c r="AG228" s="108"/>
      <c r="AH228" s="108"/>
      <c r="AI228" s="108"/>
      <c r="AJ228" s="108"/>
      <c r="AK228" s="108"/>
      <c r="AL228" s="108"/>
      <c r="AM228" s="108"/>
      <c r="AN228" s="108"/>
      <c r="AO228" s="108"/>
      <c r="AP228" s="108"/>
      <c r="AQ228" s="108"/>
      <c r="AR228" s="108"/>
      <c r="AS228" s="108"/>
      <c r="AT228" s="108"/>
      <c r="AU228" s="108"/>
      <c r="AV228" s="108"/>
      <c r="AW228" s="108"/>
      <c r="AX228" s="108"/>
      <c r="AY228" s="108"/>
      <c r="AZ228" s="108"/>
      <c r="BA228" s="108"/>
      <c r="BB228" s="108"/>
      <c r="BC228" s="108"/>
      <c r="BD228" s="108"/>
      <c r="BE228" s="108"/>
      <c r="BF228" s="108"/>
      <c r="BG228" s="108"/>
      <c r="BH228" s="108"/>
      <c r="BI228" s="108"/>
      <c r="BJ228" s="108"/>
      <c r="BK228" s="109"/>
      <c r="BL228" s="108"/>
      <c r="BM228" s="108"/>
      <c r="BN228" s="108"/>
    </row>
    <row r="229" spans="1:66" ht="12" customHeight="1" x14ac:dyDescent="0.2">
      <c r="A229" s="179"/>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c r="AA229" s="108"/>
      <c r="AB229" s="108"/>
      <c r="AC229" s="108"/>
      <c r="AD229" s="108"/>
      <c r="AE229" s="108"/>
      <c r="AF229" s="108"/>
      <c r="AG229" s="108"/>
      <c r="AH229" s="108"/>
      <c r="AI229" s="108"/>
      <c r="AJ229" s="108"/>
      <c r="AK229" s="108"/>
      <c r="AL229" s="108"/>
      <c r="AM229" s="108"/>
      <c r="AN229" s="108"/>
      <c r="AO229" s="108"/>
      <c r="AP229" s="108"/>
      <c r="AQ229" s="108"/>
      <c r="AR229" s="108"/>
      <c r="AS229" s="108"/>
      <c r="AT229" s="108"/>
      <c r="AU229" s="108"/>
      <c r="AV229" s="108"/>
      <c r="AW229" s="108"/>
      <c r="AX229" s="108"/>
      <c r="AY229" s="108"/>
      <c r="AZ229" s="108"/>
      <c r="BA229" s="108"/>
      <c r="BB229" s="108"/>
      <c r="BC229" s="108"/>
      <c r="BD229" s="108"/>
      <c r="BE229" s="108"/>
      <c r="BF229" s="108"/>
      <c r="BG229" s="108"/>
      <c r="BH229" s="108"/>
      <c r="BI229" s="108"/>
      <c r="BJ229" s="108"/>
      <c r="BK229" s="109"/>
      <c r="BL229" s="108"/>
      <c r="BM229" s="108"/>
      <c r="BN229" s="108"/>
    </row>
    <row r="230" spans="1:66" ht="12" customHeight="1" x14ac:dyDescent="0.2">
      <c r="A230" s="179"/>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c r="AA230" s="108"/>
      <c r="AB230" s="108"/>
      <c r="AC230" s="108"/>
      <c r="AD230" s="108"/>
      <c r="AE230" s="108"/>
      <c r="AF230" s="108"/>
      <c r="AG230" s="108"/>
      <c r="AH230" s="108"/>
      <c r="AI230" s="108"/>
      <c r="AJ230" s="108"/>
      <c r="AK230" s="108"/>
      <c r="AL230" s="108"/>
      <c r="AM230" s="108"/>
      <c r="AN230" s="108"/>
      <c r="AO230" s="108"/>
      <c r="AP230" s="108"/>
      <c r="AQ230" s="108"/>
      <c r="AR230" s="108"/>
      <c r="AS230" s="108"/>
      <c r="AT230" s="108"/>
      <c r="AU230" s="108"/>
      <c r="AV230" s="108"/>
      <c r="AW230" s="108"/>
      <c r="AX230" s="108"/>
      <c r="AY230" s="108"/>
      <c r="AZ230" s="108"/>
      <c r="BA230" s="108"/>
      <c r="BB230" s="108"/>
      <c r="BC230" s="108"/>
      <c r="BD230" s="108"/>
      <c r="BE230" s="108"/>
      <c r="BF230" s="108"/>
      <c r="BG230" s="108"/>
      <c r="BH230" s="108"/>
      <c r="BI230" s="108"/>
      <c r="BJ230" s="108"/>
      <c r="BK230" s="109"/>
      <c r="BL230" s="108"/>
      <c r="BM230" s="108"/>
      <c r="BN230" s="108"/>
    </row>
    <row r="231" spans="1:66" ht="12" customHeight="1" x14ac:dyDescent="0.2">
      <c r="A231" s="179"/>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c r="AA231" s="108"/>
      <c r="AB231" s="108"/>
      <c r="AC231" s="108"/>
      <c r="AD231" s="108"/>
      <c r="AE231" s="108"/>
      <c r="AF231" s="108"/>
      <c r="AG231" s="108"/>
      <c r="AH231" s="108"/>
      <c r="AI231" s="108"/>
      <c r="AJ231" s="108"/>
      <c r="AK231" s="108"/>
      <c r="AL231" s="108"/>
      <c r="AM231" s="108"/>
      <c r="AN231" s="108"/>
      <c r="AO231" s="108"/>
      <c r="AP231" s="108"/>
      <c r="AQ231" s="108"/>
      <c r="AR231" s="108"/>
      <c r="AS231" s="108"/>
      <c r="AT231" s="108"/>
      <c r="AU231" s="108"/>
      <c r="AV231" s="108"/>
      <c r="AW231" s="108"/>
      <c r="AX231" s="108"/>
      <c r="AY231" s="108"/>
      <c r="AZ231" s="108"/>
      <c r="BA231" s="108"/>
      <c r="BB231" s="108"/>
      <c r="BC231" s="108"/>
      <c r="BD231" s="108"/>
      <c r="BE231" s="108"/>
      <c r="BF231" s="108"/>
      <c r="BG231" s="108"/>
      <c r="BH231" s="108"/>
      <c r="BI231" s="108"/>
      <c r="BJ231" s="108"/>
      <c r="BK231" s="109"/>
      <c r="BL231" s="108"/>
      <c r="BM231" s="108"/>
      <c r="BN231" s="108"/>
    </row>
    <row r="232" spans="1:66" ht="12" customHeight="1" x14ac:dyDescent="0.2">
      <c r="A232" s="179"/>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c r="AA232" s="108"/>
      <c r="AB232" s="108"/>
      <c r="AC232" s="108"/>
      <c r="AD232" s="108"/>
      <c r="AE232" s="108"/>
      <c r="AF232" s="108"/>
      <c r="AG232" s="108"/>
      <c r="AH232" s="108"/>
      <c r="AI232" s="108"/>
      <c r="AJ232" s="108"/>
      <c r="AK232" s="108"/>
      <c r="AL232" s="108"/>
      <c r="AM232" s="108"/>
      <c r="AN232" s="108"/>
      <c r="AO232" s="108"/>
      <c r="AP232" s="108"/>
      <c r="AQ232" s="108"/>
      <c r="AR232" s="108"/>
      <c r="AS232" s="108"/>
      <c r="AT232" s="108"/>
      <c r="AU232" s="108"/>
      <c r="AV232" s="108"/>
      <c r="AW232" s="108"/>
      <c r="AX232" s="108"/>
      <c r="AY232" s="108"/>
      <c r="AZ232" s="108"/>
      <c r="BA232" s="108"/>
      <c r="BB232" s="108"/>
      <c r="BC232" s="108"/>
      <c r="BD232" s="108"/>
      <c r="BE232" s="108"/>
      <c r="BF232" s="108"/>
      <c r="BG232" s="108"/>
      <c r="BH232" s="108"/>
      <c r="BI232" s="108"/>
      <c r="BJ232" s="108"/>
      <c r="BK232" s="109"/>
      <c r="BL232" s="108"/>
      <c r="BM232" s="108"/>
      <c r="BN232" s="108"/>
    </row>
    <row r="233" spans="1:66" ht="12" customHeight="1" x14ac:dyDescent="0.2">
      <c r="A233" s="179"/>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c r="AA233" s="108"/>
      <c r="AB233" s="108"/>
      <c r="AC233" s="108"/>
      <c r="AD233" s="108"/>
      <c r="AE233" s="108"/>
      <c r="AF233" s="108"/>
      <c r="AG233" s="108"/>
      <c r="AH233" s="108"/>
      <c r="AI233" s="108"/>
      <c r="AJ233" s="108"/>
      <c r="AK233" s="108"/>
      <c r="AL233" s="108"/>
      <c r="AM233" s="108"/>
      <c r="AN233" s="108"/>
      <c r="AO233" s="108"/>
      <c r="AP233" s="108"/>
      <c r="AQ233" s="108"/>
      <c r="AR233" s="108"/>
      <c r="AS233" s="108"/>
      <c r="AT233" s="108"/>
      <c r="AU233" s="108"/>
      <c r="AV233" s="108"/>
      <c r="AW233" s="108"/>
      <c r="AX233" s="108"/>
      <c r="AY233" s="108"/>
      <c r="AZ233" s="108"/>
      <c r="BA233" s="108"/>
      <c r="BB233" s="108"/>
      <c r="BC233" s="108"/>
      <c r="BD233" s="108"/>
      <c r="BE233" s="108"/>
      <c r="BF233" s="108"/>
      <c r="BG233" s="108"/>
      <c r="BH233" s="108"/>
      <c r="BI233" s="108"/>
      <c r="BJ233" s="108"/>
      <c r="BK233" s="109"/>
      <c r="BL233" s="108"/>
      <c r="BM233" s="108"/>
      <c r="BN233" s="108"/>
    </row>
    <row r="234" spans="1:66" ht="12" customHeight="1" x14ac:dyDescent="0.2">
      <c r="A234" s="179"/>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c r="AA234" s="108"/>
      <c r="AB234" s="108"/>
      <c r="AC234" s="108"/>
      <c r="AD234" s="108"/>
      <c r="AE234" s="108"/>
      <c r="AF234" s="108"/>
      <c r="AG234" s="108"/>
      <c r="AH234" s="108"/>
      <c r="AI234" s="108"/>
      <c r="AJ234" s="108"/>
      <c r="AK234" s="108"/>
      <c r="AL234" s="108"/>
      <c r="AM234" s="108"/>
      <c r="AN234" s="108"/>
      <c r="AO234" s="108"/>
      <c r="AP234" s="108"/>
      <c r="AQ234" s="108"/>
      <c r="AR234" s="108"/>
      <c r="AS234" s="108"/>
      <c r="AT234" s="108"/>
      <c r="AU234" s="108"/>
      <c r="AV234" s="108"/>
      <c r="AW234" s="108"/>
      <c r="AX234" s="108"/>
      <c r="AY234" s="108"/>
      <c r="AZ234" s="108"/>
      <c r="BA234" s="108"/>
      <c r="BB234" s="108"/>
      <c r="BC234" s="108"/>
      <c r="BD234" s="108"/>
      <c r="BE234" s="108"/>
      <c r="BF234" s="108"/>
      <c r="BG234" s="108"/>
      <c r="BH234" s="108"/>
      <c r="BI234" s="108"/>
      <c r="BJ234" s="108"/>
      <c r="BK234" s="109"/>
      <c r="BL234" s="108"/>
      <c r="BM234" s="108"/>
      <c r="BN234" s="108"/>
    </row>
    <row r="235" spans="1:66" ht="12" customHeight="1" x14ac:dyDescent="0.2">
      <c r="A235" s="179"/>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c r="AA235" s="108"/>
      <c r="AB235" s="108"/>
      <c r="AC235" s="108"/>
      <c r="AD235" s="108"/>
      <c r="AE235" s="108"/>
      <c r="AF235" s="108"/>
      <c r="AG235" s="108"/>
      <c r="AH235" s="108"/>
      <c r="AI235" s="108"/>
      <c r="AJ235" s="108"/>
      <c r="AK235" s="108"/>
      <c r="AL235" s="108"/>
      <c r="AM235" s="108"/>
      <c r="AN235" s="108"/>
      <c r="AO235" s="108"/>
      <c r="AP235" s="108"/>
      <c r="AQ235" s="108"/>
      <c r="AR235" s="108"/>
      <c r="AS235" s="108"/>
      <c r="AT235" s="108"/>
      <c r="AU235" s="108"/>
      <c r="AV235" s="108"/>
      <c r="AW235" s="108"/>
      <c r="AX235" s="108"/>
      <c r="AY235" s="108"/>
      <c r="AZ235" s="108"/>
      <c r="BA235" s="108"/>
      <c r="BB235" s="108"/>
      <c r="BC235" s="108"/>
      <c r="BD235" s="108"/>
      <c r="BE235" s="108"/>
      <c r="BF235" s="108"/>
      <c r="BG235" s="108"/>
      <c r="BH235" s="108"/>
      <c r="BI235" s="108"/>
      <c r="BJ235" s="108"/>
      <c r="BK235" s="109"/>
      <c r="BL235" s="108"/>
      <c r="BM235" s="108"/>
      <c r="BN235" s="108"/>
    </row>
    <row r="236" spans="1:66" ht="12" customHeight="1" x14ac:dyDescent="0.2">
      <c r="A236" s="179"/>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c r="AA236" s="108"/>
      <c r="AB236" s="108"/>
      <c r="AC236" s="108"/>
      <c r="AD236" s="108"/>
      <c r="AE236" s="108"/>
      <c r="AF236" s="108"/>
      <c r="AG236" s="108"/>
      <c r="AH236" s="108"/>
      <c r="AI236" s="108"/>
      <c r="AJ236" s="108"/>
      <c r="AK236" s="108"/>
      <c r="AL236" s="108"/>
      <c r="AM236" s="108"/>
      <c r="AN236" s="108"/>
      <c r="AO236" s="108"/>
      <c r="AP236" s="108"/>
      <c r="AQ236" s="108"/>
      <c r="AR236" s="108"/>
      <c r="AS236" s="108"/>
      <c r="AT236" s="108"/>
      <c r="AU236" s="108"/>
      <c r="AV236" s="108"/>
      <c r="AW236" s="108"/>
      <c r="AX236" s="108"/>
      <c r="AY236" s="108"/>
      <c r="AZ236" s="108"/>
      <c r="BA236" s="108"/>
      <c r="BB236" s="108"/>
      <c r="BC236" s="108"/>
      <c r="BD236" s="108"/>
      <c r="BE236" s="108"/>
      <c r="BF236" s="108"/>
      <c r="BG236" s="108"/>
      <c r="BH236" s="108"/>
      <c r="BI236" s="108"/>
      <c r="BJ236" s="108"/>
      <c r="BK236" s="109"/>
      <c r="BL236" s="108"/>
      <c r="BM236" s="108"/>
      <c r="BN236" s="108"/>
    </row>
    <row r="237" spans="1:66" ht="12" customHeight="1" x14ac:dyDescent="0.2">
      <c r="A237" s="179"/>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c r="AA237" s="108"/>
      <c r="AB237" s="108"/>
      <c r="AC237" s="108"/>
      <c r="AD237" s="108"/>
      <c r="AE237" s="108"/>
      <c r="AF237" s="108"/>
      <c r="AG237" s="108"/>
      <c r="AH237" s="108"/>
      <c r="AI237" s="108"/>
      <c r="AJ237" s="108"/>
      <c r="AK237" s="108"/>
      <c r="AL237" s="108"/>
      <c r="AM237" s="108"/>
      <c r="AN237" s="108"/>
      <c r="AO237" s="108"/>
      <c r="AP237" s="108"/>
      <c r="AQ237" s="108"/>
      <c r="AR237" s="108"/>
      <c r="AS237" s="108"/>
      <c r="AT237" s="108"/>
      <c r="AU237" s="108"/>
      <c r="AV237" s="108"/>
      <c r="AW237" s="108"/>
      <c r="AX237" s="108"/>
      <c r="AY237" s="108"/>
      <c r="AZ237" s="108"/>
      <c r="BA237" s="108"/>
      <c r="BB237" s="108"/>
      <c r="BC237" s="108"/>
      <c r="BD237" s="108"/>
      <c r="BE237" s="108"/>
      <c r="BF237" s="108"/>
      <c r="BG237" s="108"/>
      <c r="BH237" s="108"/>
      <c r="BI237" s="108"/>
      <c r="BJ237" s="108"/>
      <c r="BK237" s="109"/>
      <c r="BL237" s="108"/>
      <c r="BM237" s="108"/>
      <c r="BN237" s="108"/>
    </row>
    <row r="238" spans="1:66" ht="12" customHeight="1" x14ac:dyDescent="0.2">
      <c r="A238" s="179"/>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c r="AA238" s="108"/>
      <c r="AB238" s="108"/>
      <c r="AC238" s="108"/>
      <c r="AD238" s="108"/>
      <c r="AE238" s="108"/>
      <c r="AF238" s="108"/>
      <c r="AG238" s="108"/>
      <c r="AH238" s="108"/>
      <c r="AI238" s="108"/>
      <c r="AJ238" s="108"/>
      <c r="AK238" s="108"/>
      <c r="AL238" s="108"/>
      <c r="AM238" s="108"/>
      <c r="AN238" s="108"/>
      <c r="AO238" s="108"/>
      <c r="AP238" s="108"/>
      <c r="AQ238" s="108"/>
      <c r="AR238" s="108"/>
      <c r="AS238" s="108"/>
      <c r="AT238" s="108"/>
      <c r="AU238" s="108"/>
      <c r="AV238" s="108"/>
      <c r="AW238" s="108"/>
      <c r="AX238" s="108"/>
      <c r="AY238" s="108"/>
      <c r="AZ238" s="108"/>
      <c r="BA238" s="108"/>
      <c r="BB238" s="108"/>
      <c r="BC238" s="108"/>
      <c r="BD238" s="108"/>
      <c r="BE238" s="108"/>
      <c r="BF238" s="108"/>
      <c r="BG238" s="108"/>
      <c r="BH238" s="108"/>
      <c r="BI238" s="108"/>
      <c r="BJ238" s="108"/>
      <c r="BK238" s="109"/>
      <c r="BL238" s="108"/>
      <c r="BM238" s="108"/>
      <c r="BN238" s="108"/>
    </row>
    <row r="239" spans="1:66" ht="12" customHeight="1" x14ac:dyDescent="0.2">
      <c r="A239" s="179"/>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c r="AA239" s="108"/>
      <c r="AB239" s="108"/>
      <c r="AC239" s="108"/>
      <c r="AD239" s="108"/>
      <c r="AE239" s="108"/>
      <c r="AF239" s="108"/>
      <c r="AG239" s="108"/>
      <c r="AH239" s="108"/>
      <c r="AI239" s="108"/>
      <c r="AJ239" s="108"/>
      <c r="AK239" s="108"/>
      <c r="AL239" s="108"/>
      <c r="AM239" s="108"/>
      <c r="AN239" s="108"/>
      <c r="AO239" s="108"/>
      <c r="AP239" s="108"/>
      <c r="AQ239" s="108"/>
      <c r="AR239" s="108"/>
      <c r="AS239" s="108"/>
      <c r="AT239" s="108"/>
      <c r="AU239" s="108"/>
      <c r="AV239" s="108"/>
      <c r="AW239" s="108"/>
      <c r="AX239" s="108"/>
      <c r="AY239" s="108"/>
      <c r="AZ239" s="108"/>
      <c r="BA239" s="108"/>
      <c r="BB239" s="108"/>
      <c r="BC239" s="108"/>
      <c r="BD239" s="108"/>
      <c r="BE239" s="108"/>
      <c r="BF239" s="108"/>
      <c r="BG239" s="108"/>
      <c r="BH239" s="108"/>
      <c r="BI239" s="108"/>
      <c r="BJ239" s="108"/>
      <c r="BK239" s="109"/>
      <c r="BL239" s="108"/>
      <c r="BM239" s="108"/>
      <c r="BN239" s="108"/>
    </row>
    <row r="240" spans="1:66" ht="12" customHeight="1" x14ac:dyDescent="0.2">
      <c r="A240" s="179"/>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c r="AA240" s="108"/>
      <c r="AB240" s="108"/>
      <c r="AC240" s="108"/>
      <c r="AD240" s="108"/>
      <c r="AE240" s="108"/>
      <c r="AF240" s="108"/>
      <c r="AG240" s="108"/>
      <c r="AH240" s="108"/>
      <c r="AI240" s="108"/>
      <c r="AJ240" s="108"/>
      <c r="AK240" s="108"/>
      <c r="AL240" s="108"/>
      <c r="AM240" s="108"/>
      <c r="AN240" s="108"/>
      <c r="AO240" s="108"/>
      <c r="AP240" s="108"/>
      <c r="AQ240" s="108"/>
      <c r="AR240" s="108"/>
      <c r="AS240" s="108"/>
      <c r="AT240" s="108"/>
      <c r="AU240" s="108"/>
      <c r="AV240" s="108"/>
      <c r="AW240" s="108"/>
      <c r="AX240" s="108"/>
      <c r="AY240" s="108"/>
      <c r="AZ240" s="108"/>
      <c r="BA240" s="108"/>
      <c r="BB240" s="108"/>
      <c r="BC240" s="108"/>
      <c r="BD240" s="108"/>
      <c r="BE240" s="108"/>
      <c r="BF240" s="108"/>
      <c r="BG240" s="108"/>
      <c r="BH240" s="108"/>
      <c r="BI240" s="108"/>
      <c r="BJ240" s="108"/>
      <c r="BK240" s="109"/>
      <c r="BL240" s="108"/>
      <c r="BM240" s="108"/>
      <c r="BN240" s="108"/>
    </row>
    <row r="241" spans="1:66" ht="12" customHeight="1" x14ac:dyDescent="0.2">
      <c r="A241" s="179"/>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c r="AA241" s="108"/>
      <c r="AB241" s="108"/>
      <c r="AC241" s="108"/>
      <c r="AD241" s="108"/>
      <c r="AE241" s="108"/>
      <c r="AF241" s="108"/>
      <c r="AG241" s="108"/>
      <c r="AH241" s="108"/>
      <c r="AI241" s="108"/>
      <c r="AJ241" s="108"/>
      <c r="AK241" s="108"/>
      <c r="AL241" s="108"/>
      <c r="AM241" s="108"/>
      <c r="AN241" s="108"/>
      <c r="AO241" s="108"/>
      <c r="AP241" s="108"/>
      <c r="AQ241" s="108"/>
      <c r="AR241" s="108"/>
      <c r="AS241" s="108"/>
      <c r="AT241" s="108"/>
      <c r="AU241" s="108"/>
      <c r="AV241" s="108"/>
      <c r="AW241" s="108"/>
      <c r="AX241" s="108"/>
      <c r="AY241" s="108"/>
      <c r="AZ241" s="108"/>
      <c r="BA241" s="108"/>
      <c r="BB241" s="108"/>
      <c r="BC241" s="108"/>
      <c r="BD241" s="108"/>
      <c r="BE241" s="108"/>
      <c r="BF241" s="108"/>
      <c r="BG241" s="108"/>
      <c r="BH241" s="108"/>
      <c r="BI241" s="108"/>
      <c r="BJ241" s="108"/>
      <c r="BK241" s="109"/>
      <c r="BL241" s="108"/>
      <c r="BM241" s="108"/>
      <c r="BN241" s="108"/>
    </row>
    <row r="242" spans="1:66" ht="12" customHeight="1" x14ac:dyDescent="0.2">
      <c r="A242" s="179"/>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c r="AA242" s="108"/>
      <c r="AB242" s="108"/>
      <c r="AC242" s="108"/>
      <c r="AD242" s="108"/>
      <c r="AE242" s="108"/>
      <c r="AF242" s="108"/>
      <c r="AG242" s="108"/>
      <c r="AH242" s="108"/>
      <c r="AI242" s="108"/>
      <c r="AJ242" s="108"/>
      <c r="AK242" s="108"/>
      <c r="AL242" s="108"/>
      <c r="AM242" s="108"/>
      <c r="AN242" s="108"/>
      <c r="AO242" s="108"/>
      <c r="AP242" s="108"/>
      <c r="AQ242" s="108"/>
      <c r="AR242" s="108"/>
      <c r="AS242" s="108"/>
      <c r="AT242" s="108"/>
      <c r="AU242" s="108"/>
      <c r="AV242" s="108"/>
      <c r="AW242" s="108"/>
      <c r="AX242" s="108"/>
      <c r="AY242" s="108"/>
      <c r="AZ242" s="108"/>
      <c r="BA242" s="108"/>
      <c r="BB242" s="108"/>
      <c r="BC242" s="108"/>
      <c r="BD242" s="108"/>
      <c r="BE242" s="108"/>
      <c r="BF242" s="108"/>
      <c r="BG242" s="108"/>
      <c r="BH242" s="108"/>
      <c r="BI242" s="108"/>
      <c r="BJ242" s="108"/>
      <c r="BK242" s="109"/>
      <c r="BL242" s="108"/>
      <c r="BM242" s="108"/>
      <c r="BN242" s="108"/>
    </row>
    <row r="243" spans="1:66" ht="12" customHeight="1" x14ac:dyDescent="0.2">
      <c r="A243" s="179"/>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c r="AA243" s="108"/>
      <c r="AB243" s="108"/>
      <c r="AC243" s="108"/>
      <c r="AD243" s="108"/>
      <c r="AE243" s="108"/>
      <c r="AF243" s="108"/>
      <c r="AG243" s="108"/>
      <c r="AH243" s="108"/>
      <c r="AI243" s="108"/>
      <c r="AJ243" s="108"/>
      <c r="AK243" s="108"/>
      <c r="AL243" s="108"/>
      <c r="AM243" s="108"/>
      <c r="AN243" s="108"/>
      <c r="AO243" s="108"/>
      <c r="AP243" s="108"/>
      <c r="AQ243" s="108"/>
      <c r="AR243" s="108"/>
      <c r="AS243" s="108"/>
      <c r="AT243" s="108"/>
      <c r="AU243" s="108"/>
      <c r="AV243" s="108"/>
      <c r="AW243" s="108"/>
      <c r="AX243" s="108"/>
      <c r="AY243" s="108"/>
      <c r="AZ243" s="108"/>
      <c r="BA243" s="108"/>
      <c r="BB243" s="108"/>
      <c r="BC243" s="108"/>
      <c r="BD243" s="108"/>
      <c r="BE243" s="108"/>
      <c r="BF243" s="108"/>
      <c r="BG243" s="108"/>
      <c r="BH243" s="108"/>
      <c r="BI243" s="108"/>
      <c r="BJ243" s="108"/>
      <c r="BK243" s="109"/>
      <c r="BL243" s="108"/>
      <c r="BM243" s="108"/>
      <c r="BN243" s="108"/>
    </row>
    <row r="244" spans="1:66" ht="12" customHeight="1" x14ac:dyDescent="0.2">
      <c r="A244" s="179"/>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c r="AA244" s="108"/>
      <c r="AB244" s="108"/>
      <c r="AC244" s="108"/>
      <c r="AD244" s="108"/>
      <c r="AE244" s="108"/>
      <c r="AF244" s="108"/>
      <c r="AG244" s="108"/>
      <c r="AH244" s="108"/>
      <c r="AI244" s="108"/>
      <c r="AJ244" s="108"/>
      <c r="AK244" s="108"/>
      <c r="AL244" s="108"/>
      <c r="AM244" s="108"/>
      <c r="AN244" s="108"/>
      <c r="AO244" s="108"/>
      <c r="AP244" s="108"/>
      <c r="AQ244" s="108"/>
      <c r="AR244" s="108"/>
      <c r="AS244" s="108"/>
      <c r="AT244" s="108"/>
      <c r="AU244" s="108"/>
      <c r="AV244" s="108"/>
      <c r="AW244" s="108"/>
      <c r="AX244" s="108"/>
      <c r="AY244" s="108"/>
      <c r="AZ244" s="108"/>
      <c r="BA244" s="108"/>
      <c r="BB244" s="108"/>
      <c r="BC244" s="108"/>
      <c r="BD244" s="108"/>
      <c r="BE244" s="108"/>
      <c r="BF244" s="108"/>
      <c r="BG244" s="108"/>
      <c r="BH244" s="108"/>
      <c r="BI244" s="108"/>
      <c r="BJ244" s="108"/>
      <c r="BK244" s="109"/>
      <c r="BL244" s="108"/>
      <c r="BM244" s="108"/>
      <c r="BN244" s="108"/>
    </row>
    <row r="245" spans="1:66" ht="12" customHeight="1" x14ac:dyDescent="0.2">
      <c r="A245" s="179"/>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c r="AA245" s="108"/>
      <c r="AB245" s="108"/>
      <c r="AC245" s="108"/>
      <c r="AD245" s="108"/>
      <c r="AE245" s="108"/>
      <c r="AF245" s="108"/>
      <c r="AG245" s="108"/>
      <c r="AH245" s="108"/>
      <c r="AI245" s="108"/>
      <c r="AJ245" s="108"/>
      <c r="AK245" s="108"/>
      <c r="AL245" s="108"/>
      <c r="AM245" s="108"/>
      <c r="AN245" s="108"/>
      <c r="AO245" s="108"/>
      <c r="AP245" s="108"/>
      <c r="AQ245" s="108"/>
      <c r="AR245" s="108"/>
      <c r="AS245" s="108"/>
      <c r="AT245" s="108"/>
      <c r="AU245" s="108"/>
      <c r="AV245" s="108"/>
      <c r="AW245" s="108"/>
      <c r="AX245" s="108"/>
      <c r="AY245" s="108"/>
      <c r="AZ245" s="108"/>
      <c r="BA245" s="108"/>
      <c r="BB245" s="108"/>
      <c r="BC245" s="108"/>
      <c r="BD245" s="108"/>
      <c r="BE245" s="108"/>
      <c r="BF245" s="108"/>
      <c r="BG245" s="108"/>
      <c r="BH245" s="108"/>
      <c r="BI245" s="108"/>
      <c r="BJ245" s="108"/>
      <c r="BK245" s="109"/>
      <c r="BL245" s="108"/>
      <c r="BM245" s="108"/>
      <c r="BN245" s="108"/>
    </row>
    <row r="246" spans="1:66" ht="12" customHeight="1" x14ac:dyDescent="0.2">
      <c r="A246" s="179"/>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c r="AA246" s="108"/>
      <c r="AB246" s="108"/>
      <c r="AC246" s="108"/>
      <c r="AD246" s="108"/>
      <c r="AE246" s="108"/>
      <c r="AF246" s="108"/>
      <c r="AG246" s="108"/>
      <c r="AH246" s="108"/>
      <c r="AI246" s="108"/>
      <c r="AJ246" s="108"/>
      <c r="AK246" s="108"/>
      <c r="AL246" s="108"/>
      <c r="AM246" s="108"/>
      <c r="AN246" s="108"/>
      <c r="AO246" s="108"/>
      <c r="AP246" s="108"/>
      <c r="AQ246" s="108"/>
      <c r="AR246" s="108"/>
      <c r="AS246" s="108"/>
      <c r="AT246" s="108"/>
      <c r="AU246" s="108"/>
      <c r="AV246" s="108"/>
      <c r="AW246" s="108"/>
      <c r="AX246" s="108"/>
      <c r="AY246" s="108"/>
      <c r="AZ246" s="108"/>
      <c r="BA246" s="108"/>
      <c r="BB246" s="108"/>
      <c r="BC246" s="108"/>
      <c r="BD246" s="108"/>
      <c r="BE246" s="108"/>
      <c r="BF246" s="108"/>
      <c r="BG246" s="108"/>
      <c r="BH246" s="108"/>
      <c r="BI246" s="108"/>
      <c r="BJ246" s="108"/>
      <c r="BK246" s="109"/>
      <c r="BL246" s="108"/>
      <c r="BM246" s="108"/>
      <c r="BN246" s="108"/>
    </row>
    <row r="247" spans="1:66" ht="12" customHeight="1" x14ac:dyDescent="0.2">
      <c r="A247" s="179"/>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c r="AA247" s="108"/>
      <c r="AB247" s="108"/>
      <c r="AC247" s="108"/>
      <c r="AD247" s="108"/>
      <c r="AE247" s="108"/>
      <c r="AF247" s="108"/>
      <c r="AG247" s="108"/>
      <c r="AH247" s="108"/>
      <c r="AI247" s="108"/>
      <c r="AJ247" s="108"/>
      <c r="AK247" s="108"/>
      <c r="AL247" s="108"/>
      <c r="AM247" s="108"/>
      <c r="AN247" s="108"/>
      <c r="AO247" s="108"/>
      <c r="AP247" s="108"/>
      <c r="AQ247" s="108"/>
      <c r="AR247" s="108"/>
      <c r="AS247" s="108"/>
      <c r="AT247" s="108"/>
      <c r="AU247" s="108"/>
      <c r="AV247" s="108"/>
      <c r="AW247" s="108"/>
      <c r="AX247" s="108"/>
      <c r="AY247" s="108"/>
      <c r="AZ247" s="108"/>
      <c r="BA247" s="108"/>
      <c r="BB247" s="108"/>
      <c r="BC247" s="108"/>
      <c r="BD247" s="108"/>
      <c r="BE247" s="108"/>
      <c r="BF247" s="108"/>
      <c r="BG247" s="108"/>
      <c r="BH247" s="108"/>
      <c r="BI247" s="108"/>
      <c r="BJ247" s="108"/>
      <c r="BK247" s="109"/>
      <c r="BL247" s="108"/>
      <c r="BM247" s="108"/>
      <c r="BN247" s="108"/>
    </row>
    <row r="248" spans="1:66" ht="12" customHeight="1" x14ac:dyDescent="0.2">
      <c r="A248" s="179"/>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c r="AA248" s="108"/>
      <c r="AB248" s="108"/>
      <c r="AC248" s="108"/>
      <c r="AD248" s="108"/>
      <c r="AE248" s="108"/>
      <c r="AF248" s="108"/>
      <c r="AG248" s="108"/>
      <c r="AH248" s="108"/>
      <c r="AI248" s="108"/>
      <c r="AJ248" s="108"/>
      <c r="AK248" s="108"/>
      <c r="AL248" s="108"/>
      <c r="AM248" s="108"/>
      <c r="AN248" s="108"/>
      <c r="AO248" s="108"/>
      <c r="AP248" s="108"/>
      <c r="AQ248" s="108"/>
      <c r="AR248" s="108"/>
      <c r="AS248" s="108"/>
      <c r="AT248" s="108"/>
      <c r="AU248" s="108"/>
      <c r="AV248" s="108"/>
      <c r="AW248" s="108"/>
      <c r="AX248" s="108"/>
      <c r="AY248" s="108"/>
      <c r="AZ248" s="108"/>
      <c r="BA248" s="108"/>
      <c r="BB248" s="108"/>
      <c r="BC248" s="108"/>
      <c r="BD248" s="108"/>
      <c r="BE248" s="108"/>
      <c r="BF248" s="108"/>
      <c r="BG248" s="108"/>
      <c r="BH248" s="108"/>
      <c r="BI248" s="108"/>
      <c r="BJ248" s="108"/>
      <c r="BK248" s="109"/>
      <c r="BL248" s="108"/>
      <c r="BM248" s="108"/>
      <c r="BN248" s="108"/>
    </row>
    <row r="249" spans="1:66" ht="12" customHeight="1" x14ac:dyDescent="0.2">
      <c r="A249" s="179"/>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c r="AA249" s="108"/>
      <c r="AB249" s="108"/>
      <c r="AC249" s="108"/>
      <c r="AD249" s="108"/>
      <c r="AE249" s="108"/>
      <c r="AF249" s="108"/>
      <c r="AG249" s="108"/>
      <c r="AH249" s="108"/>
      <c r="AI249" s="108"/>
      <c r="AJ249" s="108"/>
      <c r="AK249" s="108"/>
      <c r="AL249" s="108"/>
      <c r="AM249" s="108"/>
      <c r="AN249" s="108"/>
      <c r="AO249" s="108"/>
      <c r="AP249" s="108"/>
      <c r="AQ249" s="108"/>
      <c r="AR249" s="108"/>
      <c r="AS249" s="108"/>
      <c r="AT249" s="108"/>
      <c r="AU249" s="108"/>
      <c r="AV249" s="108"/>
      <c r="AW249" s="108"/>
      <c r="AX249" s="108"/>
      <c r="AY249" s="108"/>
      <c r="AZ249" s="108"/>
      <c r="BA249" s="108"/>
      <c r="BB249" s="108"/>
      <c r="BC249" s="108"/>
      <c r="BD249" s="108"/>
      <c r="BE249" s="108"/>
      <c r="BF249" s="108"/>
      <c r="BG249" s="108"/>
      <c r="BH249" s="108"/>
      <c r="BI249" s="108"/>
      <c r="BJ249" s="108"/>
      <c r="BK249" s="109"/>
      <c r="BL249" s="108"/>
      <c r="BM249" s="108"/>
      <c r="BN249" s="108"/>
    </row>
    <row r="250" spans="1:66" ht="12" customHeight="1" x14ac:dyDescent="0.2">
      <c r="A250" s="179"/>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c r="AA250" s="108"/>
      <c r="AB250" s="108"/>
      <c r="AC250" s="108"/>
      <c r="AD250" s="108"/>
      <c r="AE250" s="108"/>
      <c r="AF250" s="108"/>
      <c r="AG250" s="108"/>
      <c r="AH250" s="108"/>
      <c r="AI250" s="108"/>
      <c r="AJ250" s="108"/>
      <c r="AK250" s="108"/>
      <c r="AL250" s="108"/>
      <c r="AM250" s="108"/>
      <c r="AN250" s="108"/>
      <c r="AO250" s="108"/>
      <c r="AP250" s="108"/>
      <c r="AQ250" s="108"/>
      <c r="AR250" s="108"/>
      <c r="AS250" s="108"/>
      <c r="AT250" s="108"/>
      <c r="AU250" s="108"/>
      <c r="AV250" s="108"/>
      <c r="AW250" s="108"/>
      <c r="AX250" s="108"/>
      <c r="AY250" s="108"/>
      <c r="AZ250" s="108"/>
      <c r="BA250" s="108"/>
      <c r="BB250" s="108"/>
      <c r="BC250" s="108"/>
      <c r="BD250" s="108"/>
      <c r="BE250" s="108"/>
      <c r="BF250" s="108"/>
      <c r="BG250" s="108"/>
      <c r="BH250" s="108"/>
      <c r="BI250" s="108"/>
      <c r="BJ250" s="108"/>
      <c r="BK250" s="109"/>
      <c r="BL250" s="108"/>
      <c r="BM250" s="108"/>
      <c r="BN250" s="108"/>
    </row>
    <row r="251" spans="1:66" ht="12" customHeight="1" x14ac:dyDescent="0.2">
      <c r="A251" s="179"/>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c r="AA251" s="108"/>
      <c r="AB251" s="108"/>
      <c r="AC251" s="108"/>
      <c r="AD251" s="108"/>
      <c r="AE251" s="108"/>
      <c r="AF251" s="108"/>
      <c r="AG251" s="108"/>
      <c r="AH251" s="108"/>
      <c r="AI251" s="108"/>
      <c r="AJ251" s="108"/>
      <c r="AK251" s="108"/>
      <c r="AL251" s="108"/>
      <c r="AM251" s="108"/>
      <c r="AN251" s="108"/>
      <c r="AO251" s="108"/>
      <c r="AP251" s="108"/>
      <c r="AQ251" s="108"/>
      <c r="AR251" s="108"/>
      <c r="AS251" s="108"/>
      <c r="AT251" s="108"/>
      <c r="AU251" s="108"/>
      <c r="AV251" s="108"/>
      <c r="AW251" s="108"/>
      <c r="AX251" s="108"/>
      <c r="AY251" s="108"/>
      <c r="AZ251" s="108"/>
      <c r="BA251" s="108"/>
      <c r="BB251" s="108"/>
      <c r="BC251" s="108"/>
      <c r="BD251" s="108"/>
      <c r="BE251" s="108"/>
      <c r="BF251" s="108"/>
      <c r="BG251" s="108"/>
      <c r="BH251" s="108"/>
      <c r="BI251" s="108"/>
      <c r="BJ251" s="108"/>
      <c r="BK251" s="109"/>
      <c r="BL251" s="108"/>
      <c r="BM251" s="108"/>
      <c r="BN251" s="108"/>
    </row>
    <row r="252" spans="1:66" ht="12" customHeight="1" x14ac:dyDescent="0.2">
      <c r="A252" s="179"/>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c r="AA252" s="108"/>
      <c r="AB252" s="108"/>
      <c r="AC252" s="108"/>
      <c r="AD252" s="108"/>
      <c r="AE252" s="108"/>
      <c r="AF252" s="108"/>
      <c r="AG252" s="108"/>
      <c r="AH252" s="108"/>
      <c r="AI252" s="108"/>
      <c r="AJ252" s="108"/>
      <c r="AK252" s="108"/>
      <c r="AL252" s="108"/>
      <c r="AM252" s="108"/>
      <c r="AN252" s="108"/>
      <c r="AO252" s="108"/>
      <c r="AP252" s="108"/>
      <c r="AQ252" s="108"/>
      <c r="AR252" s="108"/>
      <c r="AS252" s="108"/>
      <c r="AT252" s="108"/>
      <c r="AU252" s="108"/>
      <c r="AV252" s="108"/>
      <c r="AW252" s="108"/>
      <c r="AX252" s="108"/>
      <c r="AY252" s="108"/>
      <c r="AZ252" s="108"/>
      <c r="BA252" s="108"/>
      <c r="BB252" s="108"/>
      <c r="BC252" s="108"/>
      <c r="BD252" s="108"/>
      <c r="BE252" s="108"/>
      <c r="BF252" s="108"/>
      <c r="BG252" s="108"/>
      <c r="BH252" s="108"/>
      <c r="BI252" s="108"/>
      <c r="BJ252" s="108"/>
      <c r="BK252" s="109"/>
      <c r="BL252" s="108"/>
      <c r="BM252" s="108"/>
      <c r="BN252" s="108"/>
    </row>
    <row r="253" spans="1:66" ht="12" customHeight="1" x14ac:dyDescent="0.2">
      <c r="A253" s="179"/>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c r="AA253" s="108"/>
      <c r="AB253" s="108"/>
      <c r="AC253" s="108"/>
      <c r="AD253" s="108"/>
      <c r="AE253" s="108"/>
      <c r="AF253" s="108"/>
      <c r="AG253" s="108"/>
      <c r="AH253" s="108"/>
      <c r="AI253" s="108"/>
      <c r="AJ253" s="108"/>
      <c r="AK253" s="108"/>
      <c r="AL253" s="108"/>
      <c r="AM253" s="108"/>
      <c r="AN253" s="108"/>
      <c r="AO253" s="108"/>
      <c r="AP253" s="108"/>
      <c r="AQ253" s="108"/>
      <c r="AR253" s="108"/>
      <c r="AS253" s="108"/>
      <c r="AT253" s="108"/>
      <c r="AU253" s="108"/>
      <c r="AV253" s="108"/>
      <c r="AW253" s="108"/>
      <c r="AX253" s="108"/>
      <c r="AY253" s="108"/>
      <c r="AZ253" s="108"/>
      <c r="BA253" s="108"/>
      <c r="BB253" s="108"/>
      <c r="BC253" s="108"/>
      <c r="BD253" s="108"/>
      <c r="BE253" s="108"/>
      <c r="BF253" s="108"/>
      <c r="BG253" s="108"/>
      <c r="BH253" s="108"/>
      <c r="BI253" s="108"/>
      <c r="BJ253" s="108"/>
      <c r="BK253" s="109"/>
      <c r="BL253" s="108"/>
      <c r="BM253" s="108"/>
      <c r="BN253" s="108"/>
    </row>
    <row r="254" spans="1:66" ht="12" customHeight="1" x14ac:dyDescent="0.2">
      <c r="A254" s="179"/>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c r="AA254" s="108"/>
      <c r="AB254" s="108"/>
      <c r="AC254" s="108"/>
      <c r="AD254" s="108"/>
      <c r="AE254" s="108"/>
      <c r="AF254" s="108"/>
      <c r="AG254" s="108"/>
      <c r="AH254" s="108"/>
      <c r="AI254" s="108"/>
      <c r="AJ254" s="108"/>
      <c r="AK254" s="108"/>
      <c r="AL254" s="108"/>
      <c r="AM254" s="108"/>
      <c r="AN254" s="108"/>
      <c r="AO254" s="108"/>
      <c r="AP254" s="108"/>
      <c r="AQ254" s="108"/>
      <c r="AR254" s="108"/>
      <c r="AS254" s="108"/>
      <c r="AT254" s="108"/>
      <c r="AU254" s="108"/>
      <c r="AV254" s="108"/>
      <c r="AW254" s="108"/>
      <c r="AX254" s="108"/>
      <c r="AY254" s="108"/>
      <c r="AZ254" s="108"/>
      <c r="BA254" s="108"/>
      <c r="BB254" s="108"/>
      <c r="BC254" s="108"/>
      <c r="BD254" s="108"/>
      <c r="BE254" s="108"/>
      <c r="BF254" s="108"/>
      <c r="BG254" s="108"/>
      <c r="BH254" s="108"/>
      <c r="BI254" s="108"/>
      <c r="BJ254" s="108"/>
      <c r="BK254" s="109"/>
      <c r="BL254" s="108"/>
      <c r="BM254" s="108"/>
      <c r="BN254" s="108"/>
    </row>
    <row r="255" spans="1:66" ht="12" customHeight="1" x14ac:dyDescent="0.2">
      <c r="A255" s="179"/>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c r="AA255" s="108"/>
      <c r="AB255" s="108"/>
      <c r="AC255" s="108"/>
      <c r="AD255" s="108"/>
      <c r="AE255" s="108"/>
      <c r="AF255" s="108"/>
      <c r="AG255" s="108"/>
      <c r="AH255" s="108"/>
      <c r="AI255" s="108"/>
      <c r="AJ255" s="108"/>
      <c r="AK255" s="108"/>
      <c r="AL255" s="108"/>
      <c r="AM255" s="108"/>
      <c r="AN255" s="108"/>
      <c r="AO255" s="108"/>
      <c r="AP255" s="108"/>
      <c r="AQ255" s="108"/>
      <c r="AR255" s="108"/>
      <c r="AS255" s="108"/>
      <c r="AT255" s="108"/>
      <c r="AU255" s="108"/>
      <c r="AV255" s="108"/>
      <c r="AW255" s="108"/>
      <c r="AX255" s="108"/>
      <c r="AY255" s="108"/>
      <c r="AZ255" s="108"/>
      <c r="BA255" s="108"/>
      <c r="BB255" s="108"/>
      <c r="BC255" s="108"/>
      <c r="BD255" s="108"/>
      <c r="BE255" s="108"/>
      <c r="BF255" s="108"/>
      <c r="BG255" s="108"/>
      <c r="BH255" s="108"/>
      <c r="BI255" s="108"/>
      <c r="BJ255" s="108"/>
      <c r="BK255" s="109"/>
      <c r="BL255" s="108"/>
      <c r="BM255" s="108"/>
      <c r="BN255" s="108"/>
    </row>
    <row r="256" spans="1:66" ht="12" customHeight="1" x14ac:dyDescent="0.2">
      <c r="A256" s="179"/>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c r="AA256" s="108"/>
      <c r="AB256" s="108"/>
      <c r="AC256" s="108"/>
      <c r="AD256" s="108"/>
      <c r="AE256" s="108"/>
      <c r="AF256" s="108"/>
      <c r="AG256" s="108"/>
      <c r="AH256" s="108"/>
      <c r="AI256" s="108"/>
      <c r="AJ256" s="108"/>
      <c r="AK256" s="108"/>
      <c r="AL256" s="108"/>
      <c r="AM256" s="108"/>
      <c r="AN256" s="108"/>
      <c r="AO256" s="108"/>
      <c r="AP256" s="108"/>
      <c r="AQ256" s="108"/>
      <c r="AR256" s="108"/>
      <c r="AS256" s="108"/>
      <c r="AT256" s="108"/>
      <c r="AU256" s="108"/>
      <c r="AV256" s="108"/>
      <c r="AW256" s="108"/>
      <c r="AX256" s="108"/>
      <c r="AY256" s="108"/>
      <c r="AZ256" s="108"/>
      <c r="BA256" s="108"/>
      <c r="BB256" s="108"/>
      <c r="BC256" s="108"/>
      <c r="BD256" s="108"/>
      <c r="BE256" s="108"/>
      <c r="BF256" s="108"/>
      <c r="BG256" s="108"/>
      <c r="BH256" s="108"/>
      <c r="BI256" s="108"/>
      <c r="BJ256" s="108"/>
      <c r="BK256" s="109"/>
      <c r="BL256" s="108"/>
      <c r="BM256" s="108"/>
      <c r="BN256" s="108"/>
    </row>
    <row r="257" spans="1:66" ht="12" customHeight="1" x14ac:dyDescent="0.2">
      <c r="A257" s="179"/>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c r="AA257" s="108"/>
      <c r="AB257" s="108"/>
      <c r="AC257" s="108"/>
      <c r="AD257" s="108"/>
      <c r="AE257" s="108"/>
      <c r="AF257" s="108"/>
      <c r="AG257" s="108"/>
      <c r="AH257" s="108"/>
      <c r="AI257" s="108"/>
      <c r="AJ257" s="108"/>
      <c r="AK257" s="108"/>
      <c r="AL257" s="108"/>
      <c r="AM257" s="108"/>
      <c r="AN257" s="108"/>
      <c r="AO257" s="108"/>
      <c r="AP257" s="108"/>
      <c r="AQ257" s="108"/>
      <c r="AR257" s="108"/>
      <c r="AS257" s="108"/>
      <c r="AT257" s="108"/>
      <c r="AU257" s="108"/>
      <c r="AV257" s="108"/>
      <c r="AW257" s="108"/>
      <c r="AX257" s="108"/>
      <c r="AY257" s="108"/>
      <c r="AZ257" s="108"/>
      <c r="BA257" s="108"/>
      <c r="BB257" s="108"/>
      <c r="BC257" s="108"/>
      <c r="BD257" s="108"/>
      <c r="BE257" s="108"/>
      <c r="BF257" s="108"/>
      <c r="BG257" s="108"/>
      <c r="BH257" s="108"/>
      <c r="BI257" s="108"/>
      <c r="BJ257" s="108"/>
      <c r="BK257" s="109"/>
      <c r="BL257" s="108"/>
      <c r="BM257" s="108"/>
      <c r="BN257" s="108"/>
    </row>
    <row r="258" spans="1:66" ht="12" customHeight="1" x14ac:dyDescent="0.2">
      <c r="A258" s="179"/>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c r="AA258" s="108"/>
      <c r="AB258" s="108"/>
      <c r="AC258" s="108"/>
      <c r="AD258" s="108"/>
      <c r="AE258" s="108"/>
      <c r="AF258" s="108"/>
      <c r="AG258" s="108"/>
      <c r="AH258" s="108"/>
      <c r="AI258" s="108"/>
      <c r="AJ258" s="108"/>
      <c r="AK258" s="108"/>
      <c r="AL258" s="108"/>
      <c r="AM258" s="108"/>
      <c r="AN258" s="108"/>
      <c r="AO258" s="108"/>
      <c r="AP258" s="108"/>
      <c r="AQ258" s="108"/>
      <c r="AR258" s="108"/>
      <c r="AS258" s="108"/>
      <c r="AT258" s="108"/>
      <c r="AU258" s="108"/>
      <c r="AV258" s="108"/>
      <c r="AW258" s="108"/>
      <c r="AX258" s="108"/>
      <c r="AY258" s="108"/>
      <c r="AZ258" s="108"/>
      <c r="BA258" s="108"/>
      <c r="BB258" s="108"/>
      <c r="BC258" s="108"/>
      <c r="BD258" s="108"/>
      <c r="BE258" s="108"/>
      <c r="BF258" s="108"/>
      <c r="BG258" s="108"/>
      <c r="BH258" s="108"/>
      <c r="BI258" s="108"/>
      <c r="BJ258" s="108"/>
      <c r="BK258" s="109"/>
      <c r="BL258" s="108"/>
      <c r="BM258" s="108"/>
      <c r="BN258" s="108"/>
    </row>
    <row r="259" spans="1:66" ht="12" customHeight="1" x14ac:dyDescent="0.2">
      <c r="A259" s="179"/>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c r="AA259" s="108"/>
      <c r="AB259" s="108"/>
      <c r="AC259" s="108"/>
      <c r="AD259" s="108"/>
      <c r="AE259" s="108"/>
      <c r="AF259" s="108"/>
      <c r="AG259" s="108"/>
      <c r="AH259" s="108"/>
      <c r="AI259" s="108"/>
      <c r="AJ259" s="108"/>
      <c r="AK259" s="108"/>
      <c r="AL259" s="108"/>
      <c r="AM259" s="108"/>
      <c r="AN259" s="108"/>
      <c r="AO259" s="108"/>
      <c r="AP259" s="108"/>
      <c r="AQ259" s="108"/>
      <c r="AR259" s="108"/>
      <c r="AS259" s="108"/>
      <c r="AT259" s="108"/>
      <c r="AU259" s="108"/>
      <c r="AV259" s="108"/>
      <c r="AW259" s="108"/>
      <c r="AX259" s="108"/>
      <c r="AY259" s="108"/>
      <c r="AZ259" s="108"/>
      <c r="BA259" s="108"/>
      <c r="BB259" s="108"/>
      <c r="BC259" s="108"/>
      <c r="BD259" s="108"/>
      <c r="BE259" s="108"/>
      <c r="BF259" s="108"/>
      <c r="BG259" s="108"/>
      <c r="BH259" s="108"/>
      <c r="BI259" s="108"/>
      <c r="BJ259" s="108"/>
      <c r="BK259" s="109"/>
      <c r="BL259" s="108"/>
      <c r="BM259" s="108"/>
      <c r="BN259" s="108"/>
    </row>
    <row r="260" spans="1:66" ht="12" customHeight="1" x14ac:dyDescent="0.2">
      <c r="A260" s="179"/>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c r="AA260" s="108"/>
      <c r="AB260" s="108"/>
      <c r="AC260" s="108"/>
      <c r="AD260" s="108"/>
      <c r="AE260" s="108"/>
      <c r="AF260" s="108"/>
      <c r="AG260" s="108"/>
      <c r="AH260" s="108"/>
      <c r="AI260" s="108"/>
      <c r="AJ260" s="108"/>
      <c r="AK260" s="108"/>
      <c r="AL260" s="108"/>
      <c r="AM260" s="108"/>
      <c r="AN260" s="108"/>
      <c r="AO260" s="108"/>
      <c r="AP260" s="108"/>
      <c r="AQ260" s="108"/>
      <c r="AR260" s="108"/>
      <c r="AS260" s="108"/>
      <c r="AT260" s="108"/>
      <c r="AU260" s="108"/>
      <c r="AV260" s="108"/>
      <c r="AW260" s="108"/>
      <c r="AX260" s="108"/>
      <c r="AY260" s="108"/>
      <c r="AZ260" s="108"/>
      <c r="BA260" s="108"/>
      <c r="BB260" s="108"/>
      <c r="BC260" s="108"/>
      <c r="BD260" s="108"/>
      <c r="BE260" s="108"/>
      <c r="BF260" s="108"/>
      <c r="BG260" s="108"/>
      <c r="BH260" s="108"/>
      <c r="BI260" s="108"/>
      <c r="BJ260" s="108"/>
      <c r="BK260" s="109"/>
      <c r="BL260" s="108"/>
      <c r="BM260" s="108"/>
      <c r="BN260" s="108"/>
    </row>
    <row r="261" spans="1:66" ht="12" customHeight="1" x14ac:dyDescent="0.2">
      <c r="A261" s="179"/>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c r="AA261" s="108"/>
      <c r="AB261" s="108"/>
      <c r="AC261" s="108"/>
      <c r="AD261" s="108"/>
      <c r="AE261" s="108"/>
      <c r="AF261" s="108"/>
      <c r="AG261" s="108"/>
      <c r="AH261" s="108"/>
      <c r="AI261" s="108"/>
      <c r="AJ261" s="108"/>
      <c r="AK261" s="108"/>
      <c r="AL261" s="108"/>
      <c r="AM261" s="108"/>
      <c r="AN261" s="108"/>
      <c r="AO261" s="108"/>
      <c r="AP261" s="108"/>
      <c r="AQ261" s="108"/>
      <c r="AR261" s="108"/>
      <c r="AS261" s="108"/>
      <c r="AT261" s="108"/>
      <c r="AU261" s="108"/>
      <c r="AV261" s="108"/>
      <c r="AW261" s="108"/>
      <c r="AX261" s="108"/>
      <c r="AY261" s="108"/>
      <c r="AZ261" s="108"/>
      <c r="BA261" s="108"/>
      <c r="BB261" s="108"/>
      <c r="BC261" s="108"/>
      <c r="BD261" s="108"/>
      <c r="BE261" s="108"/>
      <c r="BF261" s="108"/>
      <c r="BG261" s="108"/>
      <c r="BH261" s="108"/>
      <c r="BI261" s="108"/>
      <c r="BJ261" s="108"/>
      <c r="BK261" s="109"/>
      <c r="BL261" s="108"/>
      <c r="BM261" s="108"/>
      <c r="BN261" s="108"/>
    </row>
    <row r="262" spans="1:66" ht="12" customHeight="1" x14ac:dyDescent="0.2">
      <c r="A262" s="179"/>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c r="AA262" s="108"/>
      <c r="AB262" s="108"/>
      <c r="AC262" s="108"/>
      <c r="AD262" s="108"/>
      <c r="AE262" s="108"/>
      <c r="AF262" s="108"/>
      <c r="AG262" s="108"/>
      <c r="AH262" s="108"/>
      <c r="AI262" s="108"/>
      <c r="AJ262" s="108"/>
      <c r="AK262" s="108"/>
      <c r="AL262" s="108"/>
      <c r="AM262" s="108"/>
      <c r="AN262" s="108"/>
      <c r="AO262" s="108"/>
      <c r="AP262" s="108"/>
      <c r="AQ262" s="108"/>
      <c r="AR262" s="108"/>
      <c r="AS262" s="108"/>
      <c r="AT262" s="108"/>
      <c r="AU262" s="108"/>
      <c r="AV262" s="108"/>
      <c r="AW262" s="108"/>
      <c r="AX262" s="108"/>
      <c r="AY262" s="108"/>
      <c r="AZ262" s="108"/>
      <c r="BA262" s="108"/>
      <c r="BB262" s="108"/>
      <c r="BC262" s="108"/>
      <c r="BD262" s="108"/>
      <c r="BE262" s="108"/>
      <c r="BF262" s="108"/>
      <c r="BG262" s="108"/>
      <c r="BH262" s="108"/>
      <c r="BI262" s="108"/>
      <c r="BJ262" s="108"/>
      <c r="BK262" s="109"/>
      <c r="BL262" s="108"/>
      <c r="BM262" s="108"/>
      <c r="BN262" s="108"/>
    </row>
    <row r="263" spans="1:66" ht="12" customHeight="1" x14ac:dyDescent="0.2">
      <c r="A263" s="179"/>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c r="AA263" s="108"/>
      <c r="AB263" s="108"/>
      <c r="AC263" s="108"/>
      <c r="AD263" s="108"/>
      <c r="AE263" s="108"/>
      <c r="AF263" s="108"/>
      <c r="AG263" s="108"/>
      <c r="AH263" s="108"/>
      <c r="AI263" s="108"/>
      <c r="AJ263" s="108"/>
      <c r="AK263" s="108"/>
      <c r="AL263" s="108"/>
      <c r="AM263" s="108"/>
      <c r="AN263" s="108"/>
      <c r="AO263" s="108"/>
      <c r="AP263" s="108"/>
      <c r="AQ263" s="108"/>
      <c r="AR263" s="108"/>
      <c r="AS263" s="108"/>
      <c r="AT263" s="108"/>
      <c r="AU263" s="108"/>
      <c r="AV263" s="108"/>
      <c r="AW263" s="108"/>
      <c r="AX263" s="108"/>
      <c r="AY263" s="108"/>
      <c r="AZ263" s="108"/>
      <c r="BA263" s="108"/>
      <c r="BB263" s="108"/>
      <c r="BC263" s="108"/>
      <c r="BD263" s="108"/>
      <c r="BE263" s="108"/>
      <c r="BF263" s="108"/>
      <c r="BG263" s="108"/>
      <c r="BH263" s="108"/>
      <c r="BI263" s="108"/>
      <c r="BJ263" s="108"/>
      <c r="BK263" s="109"/>
      <c r="BL263" s="108"/>
      <c r="BM263" s="108"/>
      <c r="BN263" s="108"/>
    </row>
    <row r="264" spans="1:66" ht="12" customHeight="1" x14ac:dyDescent="0.2">
      <c r="A264" s="179"/>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c r="AA264" s="108"/>
      <c r="AB264" s="108"/>
      <c r="AC264" s="108"/>
      <c r="AD264" s="108"/>
      <c r="AE264" s="108"/>
      <c r="AF264" s="108"/>
      <c r="AG264" s="108"/>
      <c r="AH264" s="108"/>
      <c r="AI264" s="108"/>
      <c r="AJ264" s="108"/>
      <c r="AK264" s="108"/>
      <c r="AL264" s="108"/>
      <c r="AM264" s="108"/>
      <c r="AN264" s="108"/>
      <c r="AO264" s="108"/>
      <c r="AP264" s="108"/>
      <c r="AQ264" s="108"/>
      <c r="AR264" s="108"/>
      <c r="AS264" s="108"/>
      <c r="AT264" s="108"/>
      <c r="AU264" s="108"/>
      <c r="AV264" s="108"/>
      <c r="AW264" s="108"/>
      <c r="AX264" s="108"/>
      <c r="AY264" s="108"/>
      <c r="AZ264" s="108"/>
      <c r="BA264" s="108"/>
      <c r="BB264" s="108"/>
      <c r="BC264" s="108"/>
      <c r="BD264" s="108"/>
      <c r="BE264" s="108"/>
      <c r="BF264" s="108"/>
      <c r="BG264" s="108"/>
      <c r="BH264" s="108"/>
      <c r="BI264" s="108"/>
      <c r="BJ264" s="108"/>
      <c r="BK264" s="109"/>
      <c r="BL264" s="108"/>
      <c r="BM264" s="108"/>
      <c r="BN264" s="108"/>
    </row>
    <row r="265" spans="1:66" ht="12" customHeight="1" x14ac:dyDescent="0.2">
      <c r="A265" s="179"/>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c r="AA265" s="108"/>
      <c r="AB265" s="108"/>
      <c r="AC265" s="108"/>
      <c r="AD265" s="108"/>
      <c r="AE265" s="108"/>
      <c r="AF265" s="108"/>
      <c r="AG265" s="108"/>
      <c r="AH265" s="108"/>
      <c r="AI265" s="108"/>
      <c r="AJ265" s="108"/>
      <c r="AK265" s="108"/>
      <c r="AL265" s="108"/>
      <c r="AM265" s="108"/>
      <c r="AN265" s="108"/>
      <c r="AO265" s="108"/>
      <c r="AP265" s="108"/>
      <c r="AQ265" s="108"/>
      <c r="AR265" s="108"/>
      <c r="AS265" s="108"/>
      <c r="AT265" s="108"/>
      <c r="AU265" s="108"/>
      <c r="AV265" s="108"/>
      <c r="AW265" s="108"/>
      <c r="AX265" s="108"/>
      <c r="AY265" s="108"/>
      <c r="AZ265" s="108"/>
      <c r="BA265" s="108"/>
      <c r="BB265" s="108"/>
      <c r="BC265" s="108"/>
      <c r="BD265" s="108"/>
      <c r="BE265" s="108"/>
      <c r="BF265" s="108"/>
      <c r="BG265" s="108"/>
      <c r="BH265" s="108"/>
      <c r="BI265" s="108"/>
      <c r="BJ265" s="108"/>
      <c r="BK265" s="109"/>
      <c r="BL265" s="108"/>
      <c r="BM265" s="108"/>
      <c r="BN265" s="108"/>
    </row>
    <row r="266" spans="1:66" ht="12" customHeight="1" x14ac:dyDescent="0.2">
      <c r="A266" s="179"/>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c r="AA266" s="108"/>
      <c r="AB266" s="108"/>
      <c r="AC266" s="108"/>
      <c r="AD266" s="108"/>
      <c r="AE266" s="108"/>
      <c r="AF266" s="108"/>
      <c r="AG266" s="108"/>
      <c r="AH266" s="108"/>
      <c r="AI266" s="108"/>
      <c r="AJ266" s="108"/>
      <c r="AK266" s="108"/>
      <c r="AL266" s="108"/>
      <c r="AM266" s="108"/>
      <c r="AN266" s="108"/>
      <c r="AO266" s="108"/>
      <c r="AP266" s="108"/>
      <c r="AQ266" s="108"/>
      <c r="AR266" s="108"/>
      <c r="AS266" s="108"/>
      <c r="AT266" s="108"/>
      <c r="AU266" s="108"/>
      <c r="AV266" s="108"/>
      <c r="AW266" s="108"/>
      <c r="AX266" s="108"/>
      <c r="AY266" s="108"/>
      <c r="AZ266" s="108"/>
      <c r="BA266" s="108"/>
      <c r="BB266" s="108"/>
      <c r="BC266" s="108"/>
      <c r="BD266" s="108"/>
      <c r="BE266" s="108"/>
      <c r="BF266" s="108"/>
      <c r="BG266" s="108"/>
      <c r="BH266" s="108"/>
      <c r="BI266" s="108"/>
      <c r="BJ266" s="108"/>
      <c r="BK266" s="109"/>
      <c r="BL266" s="108"/>
      <c r="BM266" s="108"/>
      <c r="BN266" s="108"/>
    </row>
    <row r="267" spans="1:66" ht="12" customHeight="1" x14ac:dyDescent="0.2">
      <c r="A267" s="179"/>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c r="AA267" s="108"/>
      <c r="AB267" s="108"/>
      <c r="AC267" s="108"/>
      <c r="AD267" s="108"/>
      <c r="AE267" s="108"/>
      <c r="AF267" s="108"/>
      <c r="AG267" s="108"/>
      <c r="AH267" s="108"/>
      <c r="AI267" s="108"/>
      <c r="AJ267" s="108"/>
      <c r="AK267" s="108"/>
      <c r="AL267" s="108"/>
      <c r="AM267" s="108"/>
      <c r="AN267" s="108"/>
      <c r="AO267" s="108"/>
      <c r="AP267" s="108"/>
      <c r="AQ267" s="108"/>
      <c r="AR267" s="108"/>
      <c r="AS267" s="108"/>
      <c r="AT267" s="108"/>
      <c r="AU267" s="108"/>
      <c r="AV267" s="108"/>
      <c r="AW267" s="108"/>
      <c r="AX267" s="108"/>
      <c r="AY267" s="108"/>
      <c r="AZ267" s="108"/>
      <c r="BA267" s="108"/>
      <c r="BB267" s="108"/>
      <c r="BC267" s="108"/>
      <c r="BD267" s="108"/>
      <c r="BE267" s="108"/>
      <c r="BF267" s="108"/>
      <c r="BG267" s="108"/>
      <c r="BH267" s="108"/>
      <c r="BI267" s="108"/>
      <c r="BJ267" s="108"/>
      <c r="BK267" s="109"/>
      <c r="BL267" s="108"/>
      <c r="BM267" s="108"/>
      <c r="BN267" s="108"/>
    </row>
    <row r="268" spans="1:66" ht="12" customHeight="1" x14ac:dyDescent="0.2">
      <c r="A268" s="179"/>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c r="AA268" s="108"/>
      <c r="AB268" s="108"/>
      <c r="AC268" s="108"/>
      <c r="AD268" s="108"/>
      <c r="AE268" s="108"/>
      <c r="AF268" s="108"/>
      <c r="AG268" s="108"/>
      <c r="AH268" s="108"/>
      <c r="AI268" s="108"/>
      <c r="AJ268" s="108"/>
      <c r="AK268" s="108"/>
      <c r="AL268" s="108"/>
      <c r="AM268" s="108"/>
      <c r="AN268" s="108"/>
      <c r="AO268" s="108"/>
      <c r="AP268" s="108"/>
      <c r="AQ268" s="108"/>
      <c r="AR268" s="108"/>
      <c r="AS268" s="108"/>
      <c r="AT268" s="108"/>
      <c r="AU268" s="108"/>
      <c r="AV268" s="108"/>
      <c r="AW268" s="108"/>
      <c r="AX268" s="108"/>
      <c r="AY268" s="108"/>
      <c r="AZ268" s="108"/>
      <c r="BA268" s="108"/>
      <c r="BB268" s="108"/>
      <c r="BC268" s="108"/>
      <c r="BD268" s="108"/>
      <c r="BE268" s="108"/>
      <c r="BF268" s="108"/>
      <c r="BG268" s="108"/>
      <c r="BH268" s="108"/>
      <c r="BI268" s="108"/>
      <c r="BJ268" s="108"/>
      <c r="BK268" s="109"/>
      <c r="BL268" s="108"/>
      <c r="BM268" s="108"/>
      <c r="BN268" s="108"/>
    </row>
    <row r="269" spans="1:66" ht="12" customHeight="1" x14ac:dyDescent="0.2">
      <c r="A269" s="179"/>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c r="AA269" s="108"/>
      <c r="AB269" s="108"/>
      <c r="AC269" s="108"/>
      <c r="AD269" s="108"/>
      <c r="AE269" s="108"/>
      <c r="AF269" s="108"/>
      <c r="AG269" s="108"/>
      <c r="AH269" s="108"/>
      <c r="AI269" s="108"/>
      <c r="AJ269" s="108"/>
      <c r="AK269" s="108"/>
      <c r="AL269" s="108"/>
      <c r="AM269" s="108"/>
      <c r="AN269" s="108"/>
      <c r="AO269" s="108"/>
      <c r="AP269" s="108"/>
      <c r="AQ269" s="108"/>
      <c r="AR269" s="108"/>
      <c r="AS269" s="108"/>
      <c r="AT269" s="108"/>
      <c r="AU269" s="108"/>
      <c r="AV269" s="108"/>
      <c r="AW269" s="108"/>
      <c r="AX269" s="108"/>
      <c r="AY269" s="108"/>
      <c r="AZ269" s="108"/>
      <c r="BA269" s="108"/>
      <c r="BB269" s="108"/>
      <c r="BC269" s="108"/>
      <c r="BD269" s="108"/>
      <c r="BE269" s="108"/>
      <c r="BF269" s="108"/>
      <c r="BG269" s="108"/>
      <c r="BH269" s="108"/>
      <c r="BI269" s="108"/>
      <c r="BJ269" s="108"/>
      <c r="BK269" s="109"/>
      <c r="BL269" s="108"/>
      <c r="BM269" s="108"/>
      <c r="BN269" s="108"/>
    </row>
    <row r="270" spans="1:66" ht="12" customHeight="1" x14ac:dyDescent="0.2">
      <c r="A270" s="179"/>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c r="AA270" s="108"/>
      <c r="AB270" s="108"/>
      <c r="AC270" s="108"/>
      <c r="AD270" s="108"/>
      <c r="AE270" s="108"/>
      <c r="AF270" s="108"/>
      <c r="AG270" s="108"/>
      <c r="AH270" s="108"/>
      <c r="AI270" s="108"/>
      <c r="AJ270" s="108"/>
      <c r="AK270" s="108"/>
      <c r="AL270" s="108"/>
      <c r="AM270" s="108"/>
      <c r="AN270" s="108"/>
      <c r="AO270" s="108"/>
      <c r="AP270" s="108"/>
      <c r="AQ270" s="108"/>
      <c r="AR270" s="108"/>
      <c r="AS270" s="108"/>
      <c r="AT270" s="108"/>
      <c r="AU270" s="108"/>
      <c r="AV270" s="108"/>
      <c r="AW270" s="108"/>
      <c r="AX270" s="108"/>
      <c r="AY270" s="108"/>
      <c r="AZ270" s="108"/>
      <c r="BA270" s="108"/>
      <c r="BB270" s="108"/>
      <c r="BC270" s="108"/>
      <c r="BD270" s="108"/>
      <c r="BE270" s="108"/>
      <c r="BF270" s="108"/>
      <c r="BG270" s="108"/>
      <c r="BH270" s="108"/>
      <c r="BI270" s="108"/>
      <c r="BJ270" s="108"/>
      <c r="BK270" s="109"/>
      <c r="BL270" s="108"/>
      <c r="BM270" s="108"/>
      <c r="BN270" s="108"/>
    </row>
    <row r="271" spans="1:66" ht="12" customHeight="1" x14ac:dyDescent="0.2">
      <c r="A271" s="179"/>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c r="AA271" s="108"/>
      <c r="AB271" s="108"/>
      <c r="AC271" s="108"/>
      <c r="AD271" s="108"/>
      <c r="AE271" s="108"/>
      <c r="AF271" s="108"/>
      <c r="AG271" s="108"/>
      <c r="AH271" s="108"/>
      <c r="AI271" s="108"/>
      <c r="AJ271" s="108"/>
      <c r="AK271" s="108"/>
      <c r="AL271" s="108"/>
      <c r="AM271" s="108"/>
      <c r="AN271" s="108"/>
      <c r="AO271" s="108"/>
      <c r="AP271" s="108"/>
      <c r="AQ271" s="108"/>
      <c r="AR271" s="108"/>
      <c r="AS271" s="108"/>
      <c r="AT271" s="108"/>
      <c r="AU271" s="108"/>
      <c r="AV271" s="108"/>
      <c r="AW271" s="108"/>
      <c r="AX271" s="108"/>
      <c r="AY271" s="108"/>
      <c r="AZ271" s="108"/>
      <c r="BA271" s="108"/>
      <c r="BB271" s="108"/>
      <c r="BC271" s="108"/>
      <c r="BD271" s="108"/>
      <c r="BE271" s="108"/>
      <c r="BF271" s="108"/>
      <c r="BG271" s="108"/>
      <c r="BH271" s="108"/>
      <c r="BI271" s="108"/>
      <c r="BJ271" s="108"/>
      <c r="BK271" s="109"/>
      <c r="BL271" s="108"/>
      <c r="BM271" s="108"/>
      <c r="BN271" s="108"/>
    </row>
    <row r="272" spans="1:66" ht="12" customHeight="1" x14ac:dyDescent="0.2">
      <c r="A272" s="179"/>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c r="AA272" s="108"/>
      <c r="AB272" s="108"/>
      <c r="AC272" s="108"/>
      <c r="AD272" s="108"/>
      <c r="AE272" s="108"/>
      <c r="AF272" s="108"/>
      <c r="AG272" s="108"/>
      <c r="AH272" s="108"/>
      <c r="AI272" s="108"/>
      <c r="AJ272" s="108"/>
      <c r="AK272" s="108"/>
      <c r="AL272" s="108"/>
      <c r="AM272" s="108"/>
      <c r="AN272" s="108"/>
      <c r="AO272" s="108"/>
      <c r="AP272" s="108"/>
      <c r="AQ272" s="108"/>
      <c r="AR272" s="108"/>
      <c r="AS272" s="108"/>
      <c r="AT272" s="108"/>
      <c r="AU272" s="108"/>
      <c r="AV272" s="108"/>
      <c r="AW272" s="108"/>
      <c r="AX272" s="108"/>
      <c r="AY272" s="108"/>
      <c r="AZ272" s="108"/>
      <c r="BA272" s="108"/>
      <c r="BB272" s="108"/>
      <c r="BC272" s="108"/>
      <c r="BD272" s="108"/>
      <c r="BE272" s="108"/>
      <c r="BF272" s="108"/>
      <c r="BG272" s="108"/>
      <c r="BH272" s="108"/>
      <c r="BI272" s="108"/>
      <c r="BJ272" s="108"/>
      <c r="BK272" s="109"/>
      <c r="BL272" s="108"/>
      <c r="BM272" s="108"/>
      <c r="BN272" s="108"/>
    </row>
    <row r="273" spans="1:66" ht="12" customHeight="1" x14ac:dyDescent="0.2">
      <c r="A273" s="179"/>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c r="AA273" s="108"/>
      <c r="AB273" s="108"/>
      <c r="AC273" s="108"/>
      <c r="AD273" s="108"/>
      <c r="AE273" s="108"/>
      <c r="AF273" s="108"/>
      <c r="AG273" s="108"/>
      <c r="AH273" s="108"/>
      <c r="AI273" s="108"/>
      <c r="AJ273" s="108"/>
      <c r="AK273" s="108"/>
      <c r="AL273" s="108"/>
      <c r="AM273" s="108"/>
      <c r="AN273" s="108"/>
      <c r="AO273" s="108"/>
      <c r="AP273" s="108"/>
      <c r="AQ273" s="108"/>
      <c r="AR273" s="108"/>
      <c r="AS273" s="108"/>
      <c r="AT273" s="108"/>
      <c r="AU273" s="108"/>
      <c r="AV273" s="108"/>
      <c r="AW273" s="108"/>
      <c r="AX273" s="108"/>
      <c r="AY273" s="108"/>
      <c r="AZ273" s="108"/>
      <c r="BA273" s="108"/>
      <c r="BB273" s="108"/>
      <c r="BC273" s="108"/>
      <c r="BD273" s="108"/>
      <c r="BE273" s="108"/>
      <c r="BF273" s="108"/>
      <c r="BG273" s="108"/>
      <c r="BH273" s="108"/>
      <c r="BI273" s="108"/>
      <c r="BJ273" s="108"/>
      <c r="BK273" s="109"/>
      <c r="BL273" s="108"/>
      <c r="BM273" s="108"/>
      <c r="BN273" s="108"/>
    </row>
    <row r="274" spans="1:66" ht="12" customHeight="1" x14ac:dyDescent="0.2">
      <c r="A274" s="179"/>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c r="AA274" s="108"/>
      <c r="AB274" s="108"/>
      <c r="AC274" s="108"/>
      <c r="AD274" s="108"/>
      <c r="AE274" s="108"/>
      <c r="AF274" s="108"/>
      <c r="AG274" s="108"/>
      <c r="AH274" s="108"/>
      <c r="AI274" s="108"/>
      <c r="AJ274" s="108"/>
      <c r="AK274" s="108"/>
      <c r="AL274" s="108"/>
      <c r="AM274" s="108"/>
      <c r="AN274" s="108"/>
      <c r="AO274" s="108"/>
      <c r="AP274" s="108"/>
      <c r="AQ274" s="108"/>
      <c r="AR274" s="108"/>
      <c r="AS274" s="108"/>
      <c r="AT274" s="108"/>
      <c r="AU274" s="108"/>
      <c r="AV274" s="108"/>
      <c r="AW274" s="108"/>
      <c r="AX274" s="108"/>
      <c r="AY274" s="108"/>
      <c r="AZ274" s="108"/>
      <c r="BA274" s="108"/>
      <c r="BB274" s="108"/>
      <c r="BC274" s="108"/>
      <c r="BD274" s="108"/>
      <c r="BE274" s="108"/>
      <c r="BF274" s="108"/>
      <c r="BG274" s="108"/>
      <c r="BH274" s="108"/>
      <c r="BI274" s="108"/>
      <c r="BJ274" s="108"/>
      <c r="BK274" s="109"/>
      <c r="BL274" s="108"/>
      <c r="BM274" s="108"/>
      <c r="BN274" s="108"/>
    </row>
    <row r="275" spans="1:66" ht="12" customHeight="1" x14ac:dyDescent="0.2">
      <c r="A275" s="179"/>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c r="AA275" s="108"/>
      <c r="AB275" s="108"/>
      <c r="AC275" s="108"/>
      <c r="AD275" s="108"/>
      <c r="AE275" s="108"/>
      <c r="AF275" s="108"/>
      <c r="AG275" s="108"/>
      <c r="AH275" s="108"/>
      <c r="AI275" s="108"/>
      <c r="AJ275" s="108"/>
      <c r="AK275" s="108"/>
      <c r="AL275" s="108"/>
      <c r="AM275" s="108"/>
      <c r="AN275" s="108"/>
      <c r="AO275" s="108"/>
      <c r="AP275" s="108"/>
      <c r="AQ275" s="108"/>
      <c r="AR275" s="108"/>
      <c r="AS275" s="108"/>
      <c r="AT275" s="108"/>
      <c r="AU275" s="108"/>
      <c r="AV275" s="108"/>
      <c r="AW275" s="108"/>
      <c r="AX275" s="108"/>
      <c r="AY275" s="108"/>
      <c r="AZ275" s="108"/>
      <c r="BA275" s="108"/>
      <c r="BB275" s="108"/>
      <c r="BC275" s="108"/>
      <c r="BD275" s="108"/>
      <c r="BE275" s="108"/>
      <c r="BF275" s="108"/>
      <c r="BG275" s="108"/>
      <c r="BH275" s="108"/>
      <c r="BI275" s="108"/>
      <c r="BJ275" s="108"/>
      <c r="BK275" s="109"/>
      <c r="BL275" s="108"/>
      <c r="BM275" s="108"/>
      <c r="BN275" s="108"/>
    </row>
    <row r="276" spans="1:66" ht="12" customHeight="1" x14ac:dyDescent="0.2">
      <c r="A276" s="179"/>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c r="AA276" s="108"/>
      <c r="AB276" s="108"/>
      <c r="AC276" s="108"/>
      <c r="AD276" s="108"/>
      <c r="AE276" s="108"/>
      <c r="AF276" s="108"/>
      <c r="AG276" s="108"/>
      <c r="AH276" s="108"/>
      <c r="AI276" s="108"/>
      <c r="AJ276" s="108"/>
      <c r="AK276" s="108"/>
      <c r="AL276" s="108"/>
      <c r="AM276" s="108"/>
      <c r="AN276" s="108"/>
      <c r="AO276" s="108"/>
      <c r="AP276" s="108"/>
      <c r="AQ276" s="108"/>
      <c r="AR276" s="108"/>
      <c r="AS276" s="108"/>
      <c r="AT276" s="108"/>
      <c r="AU276" s="108"/>
      <c r="AV276" s="108"/>
      <c r="AW276" s="108"/>
      <c r="AX276" s="108"/>
      <c r="AY276" s="108"/>
      <c r="AZ276" s="108"/>
      <c r="BA276" s="108"/>
      <c r="BB276" s="108"/>
      <c r="BC276" s="108"/>
      <c r="BD276" s="108"/>
      <c r="BE276" s="108"/>
      <c r="BF276" s="108"/>
      <c r="BG276" s="108"/>
      <c r="BH276" s="108"/>
      <c r="BI276" s="108"/>
      <c r="BJ276" s="108"/>
      <c r="BK276" s="109"/>
      <c r="BL276" s="108"/>
      <c r="BM276" s="108"/>
      <c r="BN276" s="108"/>
    </row>
    <row r="277" spans="1:66" ht="12" customHeight="1" x14ac:dyDescent="0.2">
      <c r="A277" s="179"/>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c r="AA277" s="108"/>
      <c r="AB277" s="108"/>
      <c r="AC277" s="108"/>
      <c r="AD277" s="108"/>
      <c r="AE277" s="108"/>
      <c r="AF277" s="108"/>
      <c r="AG277" s="108"/>
      <c r="AH277" s="108"/>
      <c r="AI277" s="108"/>
      <c r="AJ277" s="108"/>
      <c r="AK277" s="108"/>
      <c r="AL277" s="108"/>
      <c r="AM277" s="108"/>
      <c r="AN277" s="108"/>
      <c r="AO277" s="108"/>
      <c r="AP277" s="108"/>
      <c r="AQ277" s="108"/>
      <c r="AR277" s="108"/>
      <c r="AS277" s="108"/>
      <c r="AT277" s="108"/>
      <c r="AU277" s="108"/>
      <c r="AV277" s="108"/>
      <c r="AW277" s="108"/>
      <c r="AX277" s="108"/>
      <c r="AY277" s="108"/>
      <c r="AZ277" s="108"/>
      <c r="BA277" s="108"/>
      <c r="BB277" s="108"/>
      <c r="BC277" s="108"/>
      <c r="BD277" s="108"/>
      <c r="BE277" s="108"/>
      <c r="BF277" s="108"/>
      <c r="BG277" s="108"/>
      <c r="BH277" s="108"/>
      <c r="BI277" s="108"/>
      <c r="BJ277" s="108"/>
      <c r="BK277" s="109"/>
      <c r="BL277" s="108"/>
      <c r="BM277" s="108"/>
      <c r="BN277" s="108"/>
    </row>
    <row r="278" spans="1:66" ht="12" customHeight="1" x14ac:dyDescent="0.2">
      <c r="A278" s="179"/>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c r="AA278" s="108"/>
      <c r="AB278" s="108"/>
      <c r="AC278" s="108"/>
      <c r="AD278" s="108"/>
      <c r="AE278" s="108"/>
      <c r="AF278" s="108"/>
      <c r="AG278" s="108"/>
      <c r="AH278" s="108"/>
      <c r="AI278" s="108"/>
      <c r="AJ278" s="108"/>
      <c r="AK278" s="108"/>
      <c r="AL278" s="108"/>
      <c r="AM278" s="108"/>
      <c r="AN278" s="108"/>
      <c r="AO278" s="108"/>
      <c r="AP278" s="108"/>
      <c r="AQ278" s="108"/>
      <c r="AR278" s="108"/>
      <c r="AS278" s="108"/>
      <c r="AT278" s="108"/>
      <c r="AU278" s="108"/>
      <c r="AV278" s="108"/>
      <c r="AW278" s="108"/>
      <c r="AX278" s="108"/>
      <c r="AY278" s="108"/>
      <c r="AZ278" s="108"/>
      <c r="BA278" s="108"/>
      <c r="BB278" s="108"/>
      <c r="BC278" s="108"/>
      <c r="BD278" s="108"/>
      <c r="BE278" s="108"/>
      <c r="BF278" s="108"/>
      <c r="BG278" s="108"/>
      <c r="BH278" s="108"/>
      <c r="BI278" s="108"/>
      <c r="BJ278" s="108"/>
      <c r="BK278" s="109"/>
      <c r="BL278" s="108"/>
      <c r="BM278" s="108"/>
      <c r="BN278" s="108"/>
    </row>
    <row r="279" spans="1:66" ht="12" customHeight="1" x14ac:dyDescent="0.2">
      <c r="A279" s="179"/>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c r="AA279" s="108"/>
      <c r="AB279" s="108"/>
      <c r="AC279" s="108"/>
      <c r="AD279" s="108"/>
      <c r="AE279" s="108"/>
      <c r="AF279" s="108"/>
      <c r="AG279" s="108"/>
      <c r="AH279" s="108"/>
      <c r="AI279" s="108"/>
      <c r="AJ279" s="108"/>
      <c r="AK279" s="108"/>
      <c r="AL279" s="108"/>
      <c r="AM279" s="108"/>
      <c r="AN279" s="108"/>
      <c r="AO279" s="108"/>
      <c r="AP279" s="108"/>
      <c r="AQ279" s="108"/>
      <c r="AR279" s="108"/>
      <c r="AS279" s="108"/>
      <c r="AT279" s="108"/>
      <c r="AU279" s="108"/>
      <c r="AV279" s="108"/>
      <c r="AW279" s="108"/>
      <c r="AX279" s="108"/>
      <c r="AY279" s="108"/>
      <c r="AZ279" s="108"/>
      <c r="BA279" s="108"/>
      <c r="BB279" s="108"/>
      <c r="BC279" s="108"/>
      <c r="BD279" s="108"/>
      <c r="BE279" s="108"/>
      <c r="BF279" s="108"/>
      <c r="BG279" s="108"/>
      <c r="BH279" s="108"/>
      <c r="BI279" s="108"/>
      <c r="BJ279" s="108"/>
      <c r="BK279" s="109"/>
      <c r="BL279" s="108"/>
      <c r="BM279" s="108"/>
      <c r="BN279" s="108"/>
    </row>
    <row r="280" spans="1:66" ht="12" customHeight="1" x14ac:dyDescent="0.2">
      <c r="A280" s="179"/>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c r="AA280" s="108"/>
      <c r="AB280" s="108"/>
      <c r="AC280" s="108"/>
      <c r="AD280" s="108"/>
      <c r="AE280" s="108"/>
      <c r="AF280" s="108"/>
      <c r="AG280" s="108"/>
      <c r="AH280" s="108"/>
      <c r="AI280" s="108"/>
      <c r="AJ280" s="108"/>
      <c r="AK280" s="108"/>
      <c r="AL280" s="108"/>
      <c r="AM280" s="108"/>
      <c r="AN280" s="108"/>
      <c r="AO280" s="108"/>
      <c r="AP280" s="108"/>
      <c r="AQ280" s="108"/>
      <c r="AR280" s="108"/>
      <c r="AS280" s="108"/>
      <c r="AT280" s="108"/>
      <c r="AU280" s="108"/>
      <c r="AV280" s="108"/>
      <c r="AW280" s="108"/>
      <c r="AX280" s="108"/>
      <c r="AY280" s="108"/>
      <c r="AZ280" s="108"/>
      <c r="BA280" s="108"/>
      <c r="BB280" s="108"/>
      <c r="BC280" s="108"/>
      <c r="BD280" s="108"/>
      <c r="BE280" s="108"/>
      <c r="BF280" s="108"/>
      <c r="BG280" s="108"/>
      <c r="BH280" s="108"/>
      <c r="BI280" s="108"/>
      <c r="BJ280" s="108"/>
      <c r="BK280" s="109"/>
      <c r="BL280" s="108"/>
      <c r="BM280" s="108"/>
      <c r="BN280" s="108"/>
    </row>
    <row r="281" spans="1:66" ht="12" customHeight="1" x14ac:dyDescent="0.2">
      <c r="A281" s="179"/>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c r="AA281" s="108"/>
      <c r="AB281" s="108"/>
      <c r="AC281" s="108"/>
      <c r="AD281" s="108"/>
      <c r="AE281" s="108"/>
      <c r="AF281" s="108"/>
      <c r="AG281" s="108"/>
      <c r="AH281" s="108"/>
      <c r="AI281" s="108"/>
      <c r="AJ281" s="108"/>
      <c r="AK281" s="108"/>
      <c r="AL281" s="108"/>
      <c r="AM281" s="108"/>
      <c r="AN281" s="108"/>
      <c r="AO281" s="108"/>
      <c r="AP281" s="108"/>
      <c r="AQ281" s="108"/>
      <c r="AR281" s="108"/>
      <c r="AS281" s="108"/>
      <c r="AT281" s="108"/>
      <c r="AU281" s="108"/>
      <c r="AV281" s="108"/>
      <c r="AW281" s="108"/>
      <c r="AX281" s="108"/>
      <c r="AY281" s="108"/>
      <c r="AZ281" s="108"/>
      <c r="BA281" s="108"/>
      <c r="BB281" s="108"/>
      <c r="BC281" s="108"/>
      <c r="BD281" s="108"/>
      <c r="BE281" s="108"/>
      <c r="BF281" s="108"/>
      <c r="BG281" s="108"/>
      <c r="BH281" s="108"/>
      <c r="BI281" s="108"/>
      <c r="BJ281" s="108"/>
      <c r="BK281" s="109"/>
      <c r="BL281" s="108"/>
      <c r="BM281" s="108"/>
      <c r="BN281" s="108"/>
    </row>
    <row r="282" spans="1:66" ht="12" customHeight="1" x14ac:dyDescent="0.2">
      <c r="A282" s="179"/>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c r="AA282" s="108"/>
      <c r="AB282" s="108"/>
      <c r="AC282" s="108"/>
      <c r="AD282" s="108"/>
      <c r="AE282" s="108"/>
      <c r="AF282" s="108"/>
      <c r="AG282" s="108"/>
      <c r="AH282" s="108"/>
      <c r="AI282" s="108"/>
      <c r="AJ282" s="108"/>
      <c r="AK282" s="108"/>
      <c r="AL282" s="108"/>
      <c r="AM282" s="108"/>
      <c r="AN282" s="108"/>
      <c r="AO282" s="108"/>
      <c r="AP282" s="108"/>
      <c r="AQ282" s="108"/>
      <c r="AR282" s="108"/>
      <c r="AS282" s="108"/>
      <c r="AT282" s="108"/>
      <c r="AU282" s="108"/>
      <c r="AV282" s="108"/>
      <c r="AW282" s="108"/>
      <c r="AX282" s="108"/>
      <c r="AY282" s="108"/>
      <c r="AZ282" s="108"/>
      <c r="BA282" s="108"/>
      <c r="BB282" s="108"/>
      <c r="BC282" s="108"/>
      <c r="BD282" s="108"/>
      <c r="BE282" s="108"/>
      <c r="BF282" s="108"/>
      <c r="BG282" s="108"/>
      <c r="BH282" s="108"/>
      <c r="BI282" s="108"/>
      <c r="BJ282" s="108"/>
      <c r="BK282" s="109"/>
      <c r="BL282" s="108"/>
      <c r="BM282" s="108"/>
      <c r="BN282" s="108"/>
    </row>
    <row r="283" spans="1:66" ht="12" customHeight="1" x14ac:dyDescent="0.2">
      <c r="A283" s="179"/>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c r="AA283" s="108"/>
      <c r="AB283" s="108"/>
      <c r="AC283" s="108"/>
      <c r="AD283" s="108"/>
      <c r="AE283" s="108"/>
      <c r="AF283" s="108"/>
      <c r="AG283" s="108"/>
      <c r="AH283" s="108"/>
      <c r="AI283" s="108"/>
      <c r="AJ283" s="108"/>
      <c r="AK283" s="108"/>
      <c r="AL283" s="108"/>
      <c r="AM283" s="108"/>
      <c r="AN283" s="108"/>
      <c r="AO283" s="108"/>
      <c r="AP283" s="108"/>
      <c r="AQ283" s="108"/>
      <c r="AR283" s="108"/>
      <c r="AS283" s="108"/>
      <c r="AT283" s="108"/>
      <c r="AU283" s="108"/>
      <c r="AV283" s="108"/>
      <c r="AW283" s="108"/>
      <c r="AX283" s="108"/>
      <c r="AY283" s="108"/>
      <c r="AZ283" s="108"/>
      <c r="BA283" s="108"/>
      <c r="BB283" s="108"/>
      <c r="BC283" s="108"/>
      <c r="BD283" s="108"/>
      <c r="BE283" s="108"/>
      <c r="BF283" s="108"/>
      <c r="BG283" s="108"/>
      <c r="BH283" s="108"/>
      <c r="BI283" s="108"/>
      <c r="BJ283" s="108"/>
      <c r="BK283" s="109"/>
      <c r="BL283" s="108"/>
      <c r="BM283" s="108"/>
      <c r="BN283" s="108"/>
    </row>
    <row r="284" spans="1:66" ht="12" customHeight="1" x14ac:dyDescent="0.2">
      <c r="A284" s="179"/>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c r="AA284" s="108"/>
      <c r="AB284" s="108"/>
      <c r="AC284" s="108"/>
      <c r="AD284" s="108"/>
      <c r="AE284" s="108"/>
      <c r="AF284" s="108"/>
      <c r="AG284" s="108"/>
      <c r="AH284" s="108"/>
      <c r="AI284" s="108"/>
      <c r="AJ284" s="108"/>
      <c r="AK284" s="108"/>
      <c r="AL284" s="108"/>
      <c r="AM284" s="108"/>
      <c r="AN284" s="108"/>
      <c r="AO284" s="108"/>
      <c r="AP284" s="108"/>
      <c r="AQ284" s="108"/>
      <c r="AR284" s="108"/>
      <c r="AS284" s="108"/>
      <c r="AT284" s="108"/>
      <c r="AU284" s="108"/>
      <c r="AV284" s="108"/>
      <c r="AW284" s="108"/>
      <c r="AX284" s="108"/>
      <c r="AY284" s="108"/>
      <c r="AZ284" s="108"/>
      <c r="BA284" s="108"/>
      <c r="BB284" s="108"/>
      <c r="BC284" s="108"/>
      <c r="BD284" s="108"/>
      <c r="BE284" s="108"/>
      <c r="BF284" s="108"/>
      <c r="BG284" s="108"/>
      <c r="BH284" s="108"/>
      <c r="BI284" s="108"/>
      <c r="BJ284" s="108"/>
      <c r="BK284" s="109"/>
      <c r="BL284" s="108"/>
      <c r="BM284" s="108"/>
      <c r="BN284" s="108"/>
    </row>
    <row r="285" spans="1:66" ht="12" customHeight="1" x14ac:dyDescent="0.2">
      <c r="A285" s="179"/>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c r="AA285" s="108"/>
      <c r="AB285" s="108"/>
      <c r="AC285" s="108"/>
      <c r="AD285" s="108"/>
      <c r="AE285" s="108"/>
      <c r="AF285" s="108"/>
      <c r="AG285" s="108"/>
      <c r="AH285" s="108"/>
      <c r="AI285" s="108"/>
      <c r="AJ285" s="108"/>
      <c r="AK285" s="108"/>
      <c r="AL285" s="108"/>
      <c r="AM285" s="108"/>
      <c r="AN285" s="108"/>
      <c r="AO285" s="108"/>
      <c r="AP285" s="108"/>
      <c r="AQ285" s="108"/>
      <c r="AR285" s="108"/>
      <c r="AS285" s="108"/>
      <c r="AT285" s="108"/>
      <c r="AU285" s="108"/>
      <c r="AV285" s="108"/>
      <c r="AW285" s="108"/>
      <c r="AX285" s="108"/>
      <c r="AY285" s="108"/>
      <c r="AZ285" s="108"/>
      <c r="BA285" s="108"/>
      <c r="BB285" s="108"/>
      <c r="BC285" s="108"/>
      <c r="BD285" s="108"/>
      <c r="BE285" s="108"/>
      <c r="BF285" s="108"/>
      <c r="BG285" s="108"/>
      <c r="BH285" s="108"/>
      <c r="BI285" s="108"/>
      <c r="BJ285" s="108"/>
      <c r="BK285" s="109"/>
      <c r="BL285" s="108"/>
      <c r="BM285" s="108"/>
      <c r="BN285" s="108"/>
    </row>
    <row r="286" spans="1:66" ht="12" customHeight="1" x14ac:dyDescent="0.2">
      <c r="A286" s="179"/>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c r="AA286" s="108"/>
      <c r="AB286" s="108"/>
      <c r="AC286" s="108"/>
      <c r="AD286" s="108"/>
      <c r="AE286" s="108"/>
      <c r="AF286" s="108"/>
      <c r="AG286" s="108"/>
      <c r="AH286" s="108"/>
      <c r="AI286" s="108"/>
      <c r="AJ286" s="108"/>
      <c r="AK286" s="108"/>
      <c r="AL286" s="108"/>
      <c r="AM286" s="108"/>
      <c r="AN286" s="108"/>
      <c r="AO286" s="108"/>
      <c r="AP286" s="108"/>
      <c r="AQ286" s="108"/>
      <c r="AR286" s="108"/>
      <c r="AS286" s="108"/>
      <c r="AT286" s="108"/>
      <c r="AU286" s="108"/>
      <c r="AV286" s="108"/>
      <c r="AW286" s="108"/>
      <c r="AX286" s="108"/>
      <c r="AY286" s="108"/>
      <c r="AZ286" s="108"/>
      <c r="BA286" s="108"/>
      <c r="BB286" s="108"/>
      <c r="BC286" s="108"/>
      <c r="BD286" s="108"/>
      <c r="BE286" s="108"/>
      <c r="BF286" s="108"/>
      <c r="BG286" s="108"/>
      <c r="BH286" s="108"/>
      <c r="BI286" s="108"/>
      <c r="BJ286" s="108"/>
      <c r="BK286" s="109"/>
      <c r="BL286" s="108"/>
      <c r="BM286" s="108"/>
      <c r="BN286" s="108"/>
    </row>
    <row r="287" spans="1:66" ht="12" customHeight="1" x14ac:dyDescent="0.2">
      <c r="A287" s="179"/>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c r="AA287" s="108"/>
      <c r="AB287" s="108"/>
      <c r="AC287" s="108"/>
      <c r="AD287" s="108"/>
      <c r="AE287" s="108"/>
      <c r="AF287" s="108"/>
      <c r="AG287" s="108"/>
      <c r="AH287" s="108"/>
      <c r="AI287" s="108"/>
      <c r="AJ287" s="108"/>
      <c r="AK287" s="108"/>
      <c r="AL287" s="108"/>
      <c r="AM287" s="108"/>
      <c r="AN287" s="108"/>
      <c r="AO287" s="108"/>
      <c r="AP287" s="108"/>
      <c r="AQ287" s="108"/>
      <c r="AR287" s="108"/>
      <c r="AS287" s="108"/>
      <c r="AT287" s="108"/>
      <c r="AU287" s="108"/>
      <c r="AV287" s="108"/>
      <c r="AW287" s="108"/>
      <c r="AX287" s="108"/>
      <c r="AY287" s="108"/>
      <c r="AZ287" s="108"/>
      <c r="BA287" s="108"/>
      <c r="BB287" s="108"/>
      <c r="BC287" s="108"/>
      <c r="BD287" s="108"/>
      <c r="BE287" s="108"/>
      <c r="BF287" s="108"/>
      <c r="BG287" s="108"/>
      <c r="BH287" s="108"/>
      <c r="BI287" s="108"/>
      <c r="BJ287" s="108"/>
      <c r="BK287" s="109"/>
      <c r="BL287" s="108"/>
      <c r="BM287" s="108"/>
      <c r="BN287" s="108"/>
    </row>
    <row r="288" spans="1:66" ht="12" customHeight="1" x14ac:dyDescent="0.2">
      <c r="A288" s="179"/>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c r="AA288" s="108"/>
      <c r="AB288" s="108"/>
      <c r="AC288" s="108"/>
      <c r="AD288" s="108"/>
      <c r="AE288" s="108"/>
      <c r="AF288" s="108"/>
      <c r="AG288" s="108"/>
      <c r="AH288" s="108"/>
      <c r="AI288" s="108"/>
      <c r="AJ288" s="108"/>
      <c r="AK288" s="108"/>
      <c r="AL288" s="108"/>
      <c r="AM288" s="108"/>
      <c r="AN288" s="108"/>
      <c r="AO288" s="108"/>
      <c r="AP288" s="108"/>
      <c r="AQ288" s="108"/>
      <c r="AR288" s="108"/>
      <c r="AS288" s="108"/>
      <c r="AT288" s="108"/>
      <c r="AU288" s="108"/>
      <c r="AV288" s="108"/>
      <c r="AW288" s="108"/>
      <c r="AX288" s="108"/>
      <c r="AY288" s="108"/>
      <c r="AZ288" s="108"/>
      <c r="BA288" s="108"/>
      <c r="BB288" s="108"/>
      <c r="BC288" s="108"/>
      <c r="BD288" s="108"/>
      <c r="BE288" s="108"/>
      <c r="BF288" s="108"/>
      <c r="BG288" s="108"/>
      <c r="BH288" s="108"/>
      <c r="BI288" s="108"/>
      <c r="BJ288" s="108"/>
      <c r="BK288" s="109"/>
      <c r="BL288" s="108"/>
      <c r="BM288" s="108"/>
      <c r="BN288" s="108"/>
    </row>
    <row r="289" spans="1:66" ht="12" customHeight="1" x14ac:dyDescent="0.2">
      <c r="A289" s="179"/>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c r="AA289" s="108"/>
      <c r="AB289" s="108"/>
      <c r="AC289" s="108"/>
      <c r="AD289" s="108"/>
      <c r="AE289" s="108"/>
      <c r="AF289" s="108"/>
      <c r="AG289" s="108"/>
      <c r="AH289" s="108"/>
      <c r="AI289" s="108"/>
      <c r="AJ289" s="108"/>
      <c r="AK289" s="108"/>
      <c r="AL289" s="108"/>
      <c r="AM289" s="108"/>
      <c r="AN289" s="108"/>
      <c r="AO289" s="108"/>
      <c r="AP289" s="108"/>
      <c r="AQ289" s="108"/>
      <c r="AR289" s="108"/>
      <c r="AS289" s="108"/>
      <c r="AT289" s="108"/>
      <c r="AU289" s="108"/>
      <c r="AV289" s="108"/>
      <c r="AW289" s="108"/>
      <c r="AX289" s="108"/>
      <c r="AY289" s="108"/>
      <c r="AZ289" s="108"/>
      <c r="BA289" s="108"/>
      <c r="BB289" s="108"/>
      <c r="BC289" s="108"/>
      <c r="BD289" s="108"/>
      <c r="BE289" s="108"/>
      <c r="BF289" s="108"/>
      <c r="BG289" s="108"/>
      <c r="BH289" s="108"/>
      <c r="BI289" s="108"/>
      <c r="BJ289" s="108"/>
      <c r="BK289" s="109"/>
      <c r="BL289" s="108"/>
      <c r="BM289" s="108"/>
      <c r="BN289" s="108"/>
    </row>
    <row r="290" spans="1:66" ht="12" customHeight="1" x14ac:dyDescent="0.2">
      <c r="A290" s="179"/>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c r="AA290" s="108"/>
      <c r="AB290" s="108"/>
      <c r="AC290" s="108"/>
      <c r="AD290" s="108"/>
      <c r="AE290" s="108"/>
      <c r="AF290" s="108"/>
      <c r="AG290" s="108"/>
      <c r="AH290" s="108"/>
      <c r="AI290" s="108"/>
      <c r="AJ290" s="108"/>
      <c r="AK290" s="108"/>
      <c r="AL290" s="108"/>
      <c r="AM290" s="108"/>
      <c r="AN290" s="108"/>
      <c r="AO290" s="108"/>
      <c r="AP290" s="108"/>
      <c r="AQ290" s="108"/>
      <c r="AR290" s="108"/>
      <c r="AS290" s="108"/>
      <c r="AT290" s="108"/>
      <c r="AU290" s="108"/>
      <c r="AV290" s="108"/>
      <c r="AW290" s="108"/>
      <c r="AX290" s="108"/>
      <c r="AY290" s="108"/>
      <c r="AZ290" s="108"/>
      <c r="BA290" s="108"/>
      <c r="BB290" s="108"/>
      <c r="BC290" s="108"/>
      <c r="BD290" s="108"/>
      <c r="BE290" s="108"/>
      <c r="BF290" s="108"/>
      <c r="BG290" s="108"/>
      <c r="BH290" s="108"/>
      <c r="BI290" s="108"/>
      <c r="BJ290" s="108"/>
      <c r="BK290" s="109"/>
      <c r="BL290" s="108"/>
      <c r="BM290" s="108"/>
      <c r="BN290" s="108"/>
    </row>
    <row r="291" spans="1:66" ht="12" customHeight="1" x14ac:dyDescent="0.2">
      <c r="A291" s="179"/>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c r="AA291" s="108"/>
      <c r="AB291" s="108"/>
      <c r="AC291" s="108"/>
      <c r="AD291" s="108"/>
      <c r="AE291" s="108"/>
      <c r="AF291" s="108"/>
      <c r="AG291" s="108"/>
      <c r="AH291" s="108"/>
      <c r="AI291" s="108"/>
      <c r="AJ291" s="108"/>
      <c r="AK291" s="108"/>
      <c r="AL291" s="108"/>
      <c r="AM291" s="108"/>
      <c r="AN291" s="108"/>
      <c r="AO291" s="108"/>
      <c r="AP291" s="108"/>
      <c r="AQ291" s="108"/>
      <c r="AR291" s="108"/>
      <c r="AS291" s="108"/>
      <c r="AT291" s="108"/>
      <c r="AU291" s="108"/>
      <c r="AV291" s="108"/>
      <c r="AW291" s="108"/>
      <c r="AX291" s="108"/>
      <c r="AY291" s="108"/>
      <c r="AZ291" s="108"/>
      <c r="BA291" s="108"/>
      <c r="BB291" s="108"/>
      <c r="BC291" s="108"/>
      <c r="BD291" s="108"/>
      <c r="BE291" s="108"/>
      <c r="BF291" s="108"/>
      <c r="BG291" s="108"/>
      <c r="BH291" s="108"/>
      <c r="BI291" s="108"/>
      <c r="BJ291" s="108"/>
      <c r="BK291" s="109"/>
      <c r="BL291" s="108"/>
      <c r="BM291" s="108"/>
      <c r="BN291" s="108"/>
    </row>
    <row r="292" spans="1:66" ht="12" customHeight="1" x14ac:dyDescent="0.2">
      <c r="A292" s="179"/>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c r="AA292" s="108"/>
      <c r="AB292" s="108"/>
      <c r="AC292" s="108"/>
      <c r="AD292" s="108"/>
      <c r="AE292" s="108"/>
      <c r="AF292" s="108"/>
      <c r="AG292" s="108"/>
      <c r="AH292" s="108"/>
      <c r="AI292" s="108"/>
      <c r="AJ292" s="108"/>
      <c r="AK292" s="108"/>
      <c r="AL292" s="108"/>
      <c r="AM292" s="108"/>
      <c r="AN292" s="108"/>
      <c r="AO292" s="108"/>
      <c r="AP292" s="108"/>
      <c r="AQ292" s="108"/>
      <c r="AR292" s="108"/>
      <c r="AS292" s="108"/>
      <c r="AT292" s="108"/>
      <c r="AU292" s="108"/>
      <c r="AV292" s="108"/>
      <c r="AW292" s="108"/>
      <c r="AX292" s="108"/>
      <c r="AY292" s="108"/>
      <c r="AZ292" s="108"/>
      <c r="BA292" s="108"/>
      <c r="BB292" s="108"/>
      <c r="BC292" s="108"/>
      <c r="BD292" s="108"/>
      <c r="BE292" s="108"/>
      <c r="BF292" s="108"/>
      <c r="BG292" s="108"/>
      <c r="BH292" s="108"/>
      <c r="BI292" s="108"/>
      <c r="BJ292" s="108"/>
      <c r="BK292" s="109"/>
      <c r="BL292" s="108"/>
      <c r="BM292" s="108"/>
      <c r="BN292" s="108"/>
    </row>
    <row r="293" spans="1:66" ht="12" customHeight="1" x14ac:dyDescent="0.2">
      <c r="A293" s="179"/>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c r="AA293" s="108"/>
      <c r="AB293" s="108"/>
      <c r="AC293" s="108"/>
      <c r="AD293" s="108"/>
      <c r="AE293" s="108"/>
      <c r="AF293" s="108"/>
      <c r="AG293" s="108"/>
      <c r="AH293" s="108"/>
      <c r="AI293" s="108"/>
      <c r="AJ293" s="108"/>
      <c r="AK293" s="108"/>
      <c r="AL293" s="108"/>
      <c r="AM293" s="108"/>
      <c r="AN293" s="108"/>
      <c r="AO293" s="108"/>
      <c r="AP293" s="108"/>
      <c r="AQ293" s="108"/>
      <c r="AR293" s="108"/>
      <c r="AS293" s="108"/>
      <c r="AT293" s="108"/>
      <c r="AU293" s="108"/>
      <c r="AV293" s="108"/>
      <c r="AW293" s="108"/>
      <c r="AX293" s="108"/>
      <c r="AY293" s="108"/>
      <c r="AZ293" s="108"/>
      <c r="BA293" s="108"/>
      <c r="BB293" s="108"/>
      <c r="BC293" s="108"/>
      <c r="BD293" s="108"/>
      <c r="BE293" s="108"/>
      <c r="BF293" s="108"/>
      <c r="BG293" s="108"/>
      <c r="BH293" s="108"/>
      <c r="BI293" s="108"/>
      <c r="BJ293" s="108"/>
      <c r="BK293" s="109"/>
      <c r="BL293" s="108"/>
      <c r="BM293" s="108"/>
      <c r="BN293" s="108"/>
    </row>
    <row r="294" spans="1:66" ht="12" customHeight="1" x14ac:dyDescent="0.2">
      <c r="A294" s="179"/>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c r="AA294" s="108"/>
      <c r="AB294" s="108"/>
      <c r="AC294" s="108"/>
      <c r="AD294" s="108"/>
      <c r="AE294" s="108"/>
      <c r="AF294" s="108"/>
      <c r="AG294" s="108"/>
      <c r="AH294" s="108"/>
      <c r="AI294" s="108"/>
      <c r="AJ294" s="108"/>
      <c r="AK294" s="108"/>
      <c r="AL294" s="108"/>
      <c r="AM294" s="108"/>
      <c r="AN294" s="108"/>
      <c r="AO294" s="108"/>
      <c r="AP294" s="108"/>
      <c r="AQ294" s="108"/>
      <c r="AR294" s="108"/>
      <c r="AS294" s="108"/>
      <c r="AT294" s="108"/>
      <c r="AU294" s="108"/>
      <c r="AV294" s="108"/>
      <c r="AW294" s="108"/>
      <c r="AX294" s="108"/>
      <c r="AY294" s="108"/>
      <c r="AZ294" s="108"/>
      <c r="BA294" s="108"/>
      <c r="BB294" s="108"/>
      <c r="BC294" s="108"/>
      <c r="BD294" s="108"/>
      <c r="BE294" s="108"/>
      <c r="BF294" s="108"/>
      <c r="BG294" s="108"/>
      <c r="BH294" s="108"/>
      <c r="BI294" s="108"/>
      <c r="BJ294" s="108"/>
      <c r="BK294" s="109"/>
      <c r="BL294" s="108"/>
      <c r="BM294" s="108"/>
      <c r="BN294" s="108"/>
    </row>
    <row r="295" spans="1:66" ht="12" customHeight="1" x14ac:dyDescent="0.2">
      <c r="A295" s="179"/>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c r="AA295" s="108"/>
      <c r="AB295" s="108"/>
      <c r="AC295" s="108"/>
      <c r="AD295" s="108"/>
      <c r="AE295" s="108"/>
      <c r="AF295" s="108"/>
      <c r="AG295" s="108"/>
      <c r="AH295" s="108"/>
      <c r="AI295" s="108"/>
      <c r="AJ295" s="108"/>
      <c r="AK295" s="108"/>
      <c r="AL295" s="108"/>
      <c r="AM295" s="108"/>
      <c r="AN295" s="108"/>
      <c r="AO295" s="108"/>
      <c r="AP295" s="108"/>
      <c r="AQ295" s="108"/>
      <c r="AR295" s="108"/>
      <c r="AS295" s="108"/>
      <c r="AT295" s="108"/>
      <c r="AU295" s="108"/>
      <c r="AV295" s="108"/>
      <c r="AW295" s="108"/>
      <c r="AX295" s="108"/>
      <c r="AY295" s="108"/>
      <c r="AZ295" s="108"/>
      <c r="BA295" s="108"/>
      <c r="BB295" s="108"/>
      <c r="BC295" s="108"/>
      <c r="BD295" s="108"/>
      <c r="BE295" s="108"/>
      <c r="BF295" s="108"/>
      <c r="BG295" s="108"/>
      <c r="BH295" s="108"/>
      <c r="BI295" s="108"/>
      <c r="BJ295" s="108"/>
      <c r="BK295" s="109"/>
      <c r="BL295" s="108"/>
      <c r="BM295" s="108"/>
      <c r="BN295" s="108"/>
    </row>
    <row r="296" spans="1:66" ht="12" customHeight="1" x14ac:dyDescent="0.2">
      <c r="A296" s="179"/>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c r="AA296" s="108"/>
      <c r="AB296" s="108"/>
      <c r="AC296" s="108"/>
      <c r="AD296" s="108"/>
      <c r="AE296" s="108"/>
      <c r="AF296" s="108"/>
      <c r="AG296" s="108"/>
      <c r="AH296" s="108"/>
      <c r="AI296" s="108"/>
      <c r="AJ296" s="108"/>
      <c r="AK296" s="108"/>
      <c r="AL296" s="108"/>
      <c r="AM296" s="108"/>
      <c r="AN296" s="108"/>
      <c r="AO296" s="108"/>
      <c r="AP296" s="108"/>
      <c r="AQ296" s="108"/>
      <c r="AR296" s="108"/>
      <c r="AS296" s="108"/>
      <c r="AT296" s="108"/>
      <c r="AU296" s="108"/>
      <c r="AV296" s="108"/>
      <c r="AW296" s="108"/>
      <c r="AX296" s="108"/>
      <c r="AY296" s="108"/>
      <c r="AZ296" s="108"/>
      <c r="BA296" s="108"/>
      <c r="BB296" s="108"/>
      <c r="BC296" s="108"/>
      <c r="BD296" s="108"/>
      <c r="BE296" s="108"/>
      <c r="BF296" s="108"/>
      <c r="BG296" s="108"/>
      <c r="BH296" s="108"/>
      <c r="BI296" s="108"/>
      <c r="BJ296" s="108"/>
      <c r="BK296" s="109"/>
      <c r="BL296" s="108"/>
      <c r="BM296" s="108"/>
      <c r="BN296" s="108"/>
    </row>
    <row r="297" spans="1:66" ht="12" customHeight="1" x14ac:dyDescent="0.2">
      <c r="A297" s="179"/>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c r="AA297" s="108"/>
      <c r="AB297" s="108"/>
      <c r="AC297" s="108"/>
      <c r="AD297" s="108"/>
      <c r="AE297" s="108"/>
      <c r="AF297" s="108"/>
      <c r="AG297" s="108"/>
      <c r="AH297" s="108"/>
      <c r="AI297" s="108"/>
      <c r="AJ297" s="108"/>
      <c r="AK297" s="108"/>
      <c r="AL297" s="108"/>
      <c r="AM297" s="108"/>
      <c r="AN297" s="108"/>
      <c r="AO297" s="108"/>
      <c r="AP297" s="108"/>
      <c r="AQ297" s="108"/>
      <c r="AR297" s="108"/>
      <c r="AS297" s="108"/>
      <c r="AT297" s="108"/>
      <c r="AU297" s="108"/>
      <c r="AV297" s="108"/>
      <c r="AW297" s="108"/>
      <c r="AX297" s="108"/>
      <c r="AY297" s="108"/>
      <c r="AZ297" s="108"/>
      <c r="BA297" s="108"/>
      <c r="BB297" s="108"/>
      <c r="BC297" s="108"/>
      <c r="BD297" s="108"/>
      <c r="BE297" s="108"/>
      <c r="BF297" s="108"/>
      <c r="BG297" s="108"/>
      <c r="BH297" s="108"/>
      <c r="BI297" s="108"/>
      <c r="BJ297" s="108"/>
      <c r="BK297" s="109"/>
      <c r="BL297" s="108"/>
      <c r="BM297" s="108"/>
      <c r="BN297" s="108"/>
    </row>
    <row r="298" spans="1:66" ht="12" customHeight="1" x14ac:dyDescent="0.2">
      <c r="A298" s="179"/>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c r="AA298" s="108"/>
      <c r="AB298" s="108"/>
      <c r="AC298" s="108"/>
      <c r="AD298" s="108"/>
      <c r="AE298" s="108"/>
      <c r="AF298" s="108"/>
      <c r="AG298" s="108"/>
      <c r="AH298" s="108"/>
      <c r="AI298" s="108"/>
      <c r="AJ298" s="108"/>
      <c r="AK298" s="108"/>
      <c r="AL298" s="108"/>
      <c r="AM298" s="108"/>
      <c r="AN298" s="108"/>
      <c r="AO298" s="108"/>
      <c r="AP298" s="108"/>
      <c r="AQ298" s="108"/>
      <c r="AR298" s="108"/>
      <c r="AS298" s="108"/>
      <c r="AT298" s="108"/>
      <c r="AU298" s="108"/>
      <c r="AV298" s="108"/>
      <c r="AW298" s="108"/>
      <c r="AX298" s="108"/>
      <c r="AY298" s="108"/>
      <c r="AZ298" s="108"/>
      <c r="BA298" s="108"/>
      <c r="BB298" s="108"/>
      <c r="BC298" s="108"/>
      <c r="BD298" s="108"/>
      <c r="BE298" s="108"/>
      <c r="BF298" s="108"/>
      <c r="BG298" s="108"/>
      <c r="BH298" s="108"/>
      <c r="BI298" s="108"/>
      <c r="BJ298" s="108"/>
      <c r="BK298" s="109"/>
      <c r="BL298" s="108"/>
      <c r="BM298" s="108"/>
      <c r="BN298" s="108"/>
    </row>
    <row r="299" spans="1:66" ht="12" customHeight="1" x14ac:dyDescent="0.2">
      <c r="A299" s="179"/>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c r="AA299" s="108"/>
      <c r="AB299" s="108"/>
      <c r="AC299" s="108"/>
      <c r="AD299" s="108"/>
      <c r="AE299" s="108"/>
      <c r="AF299" s="108"/>
      <c r="AG299" s="108"/>
      <c r="AH299" s="108"/>
      <c r="AI299" s="108"/>
      <c r="AJ299" s="108"/>
      <c r="AK299" s="108"/>
      <c r="AL299" s="108"/>
      <c r="AM299" s="108"/>
      <c r="AN299" s="108"/>
      <c r="AO299" s="108"/>
      <c r="AP299" s="108"/>
      <c r="AQ299" s="108"/>
      <c r="AR299" s="108"/>
      <c r="AS299" s="108"/>
      <c r="AT299" s="108"/>
      <c r="AU299" s="108"/>
      <c r="AV299" s="108"/>
      <c r="AW299" s="108"/>
      <c r="AX299" s="108"/>
      <c r="AY299" s="108"/>
      <c r="AZ299" s="108"/>
      <c r="BA299" s="108"/>
      <c r="BB299" s="108"/>
      <c r="BC299" s="108"/>
      <c r="BD299" s="108"/>
      <c r="BE299" s="108"/>
      <c r="BF299" s="108"/>
      <c r="BG299" s="108"/>
      <c r="BH299" s="108"/>
      <c r="BI299" s="108"/>
      <c r="BJ299" s="108"/>
      <c r="BK299" s="109"/>
      <c r="BL299" s="108"/>
      <c r="BM299" s="108"/>
      <c r="BN299" s="108"/>
    </row>
    <row r="300" spans="1:66" ht="12" customHeight="1" x14ac:dyDescent="0.2">
      <c r="A300" s="179"/>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c r="AA300" s="108"/>
      <c r="AB300" s="108"/>
      <c r="AC300" s="108"/>
      <c r="AD300" s="108"/>
      <c r="AE300" s="108"/>
      <c r="AF300" s="108"/>
      <c r="AG300" s="108"/>
      <c r="AH300" s="108"/>
      <c r="AI300" s="108"/>
      <c r="AJ300" s="108"/>
      <c r="AK300" s="108"/>
      <c r="AL300" s="108"/>
      <c r="AM300" s="108"/>
      <c r="AN300" s="108"/>
      <c r="AO300" s="108"/>
      <c r="AP300" s="108"/>
      <c r="AQ300" s="108"/>
      <c r="AR300" s="108"/>
      <c r="AS300" s="108"/>
      <c r="AT300" s="108"/>
      <c r="AU300" s="108"/>
      <c r="AV300" s="108"/>
      <c r="AW300" s="108"/>
      <c r="AX300" s="108"/>
      <c r="AY300" s="108"/>
      <c r="AZ300" s="108"/>
      <c r="BA300" s="108"/>
      <c r="BB300" s="108"/>
      <c r="BC300" s="108"/>
      <c r="BD300" s="108"/>
      <c r="BE300" s="108"/>
      <c r="BF300" s="108"/>
      <c r="BG300" s="108"/>
      <c r="BH300" s="108"/>
      <c r="BI300" s="108"/>
      <c r="BJ300" s="108"/>
      <c r="BK300" s="109"/>
      <c r="BL300" s="108"/>
      <c r="BM300" s="108"/>
      <c r="BN300" s="108"/>
    </row>
    <row r="301" spans="1:66" ht="12" customHeight="1" x14ac:dyDescent="0.2">
      <c r="A301" s="179"/>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c r="AA301" s="108"/>
      <c r="AB301" s="108"/>
      <c r="AC301" s="108"/>
      <c r="AD301" s="108"/>
      <c r="AE301" s="108"/>
      <c r="AF301" s="108"/>
      <c r="AG301" s="108"/>
      <c r="AH301" s="108"/>
      <c r="AI301" s="108"/>
      <c r="AJ301" s="108"/>
      <c r="AK301" s="108"/>
      <c r="AL301" s="108"/>
      <c r="AM301" s="108"/>
      <c r="AN301" s="108"/>
      <c r="AO301" s="108"/>
      <c r="AP301" s="108"/>
      <c r="AQ301" s="108"/>
      <c r="AR301" s="108"/>
      <c r="AS301" s="108"/>
      <c r="AT301" s="108"/>
      <c r="AU301" s="108"/>
      <c r="AV301" s="108"/>
      <c r="AW301" s="108"/>
      <c r="AX301" s="108"/>
      <c r="AY301" s="108"/>
      <c r="AZ301" s="108"/>
      <c r="BA301" s="108"/>
      <c r="BB301" s="108"/>
      <c r="BC301" s="108"/>
      <c r="BD301" s="108"/>
      <c r="BE301" s="108"/>
      <c r="BF301" s="108"/>
      <c r="BG301" s="108"/>
      <c r="BH301" s="108"/>
      <c r="BI301" s="108"/>
      <c r="BJ301" s="108"/>
      <c r="BK301" s="109"/>
      <c r="BL301" s="108"/>
      <c r="BM301" s="108"/>
      <c r="BN301" s="108"/>
    </row>
    <row r="302" spans="1:66" ht="12" customHeight="1" x14ac:dyDescent="0.2">
      <c r="A302" s="179"/>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c r="AA302" s="108"/>
      <c r="AB302" s="108"/>
      <c r="AC302" s="108"/>
      <c r="AD302" s="108"/>
      <c r="AE302" s="108"/>
      <c r="AF302" s="108"/>
      <c r="AG302" s="108"/>
      <c r="AH302" s="108"/>
      <c r="AI302" s="108"/>
      <c r="AJ302" s="108"/>
      <c r="AK302" s="108"/>
      <c r="AL302" s="108"/>
      <c r="AM302" s="108"/>
      <c r="AN302" s="108"/>
      <c r="AO302" s="108"/>
      <c r="AP302" s="108"/>
      <c r="AQ302" s="108"/>
      <c r="AR302" s="108"/>
      <c r="AS302" s="108"/>
      <c r="AT302" s="108"/>
      <c r="AU302" s="108"/>
      <c r="AV302" s="108"/>
      <c r="AW302" s="108"/>
      <c r="AX302" s="108"/>
      <c r="AY302" s="108"/>
      <c r="AZ302" s="108"/>
      <c r="BA302" s="108"/>
      <c r="BB302" s="108"/>
      <c r="BC302" s="108"/>
      <c r="BD302" s="108"/>
      <c r="BE302" s="108"/>
      <c r="BF302" s="108"/>
      <c r="BG302" s="108"/>
      <c r="BH302" s="108"/>
      <c r="BI302" s="108"/>
      <c r="BJ302" s="108"/>
      <c r="BK302" s="109"/>
      <c r="BL302" s="108"/>
      <c r="BM302" s="108"/>
      <c r="BN302" s="108"/>
    </row>
    <row r="303" spans="1:66" ht="12" customHeight="1" x14ac:dyDescent="0.2">
      <c r="A303" s="179"/>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c r="AA303" s="108"/>
      <c r="AB303" s="108"/>
      <c r="AC303" s="108"/>
      <c r="AD303" s="108"/>
      <c r="AE303" s="108"/>
      <c r="AF303" s="108"/>
      <c r="AG303" s="108"/>
      <c r="AH303" s="108"/>
      <c r="AI303" s="108"/>
      <c r="AJ303" s="108"/>
      <c r="AK303" s="108"/>
      <c r="AL303" s="108"/>
      <c r="AM303" s="108"/>
      <c r="AN303" s="108"/>
      <c r="AO303" s="108"/>
      <c r="AP303" s="108"/>
      <c r="AQ303" s="108"/>
      <c r="AR303" s="108"/>
      <c r="AS303" s="108"/>
      <c r="AT303" s="108"/>
      <c r="AU303" s="108"/>
      <c r="AV303" s="108"/>
      <c r="AW303" s="108"/>
      <c r="AX303" s="108"/>
      <c r="AY303" s="108"/>
      <c r="AZ303" s="108"/>
      <c r="BA303" s="108"/>
      <c r="BB303" s="108"/>
      <c r="BC303" s="108"/>
      <c r="BD303" s="108"/>
      <c r="BE303" s="108"/>
      <c r="BF303" s="108"/>
      <c r="BG303" s="108"/>
      <c r="BH303" s="108"/>
      <c r="BI303" s="108"/>
      <c r="BJ303" s="108"/>
      <c r="BK303" s="109"/>
      <c r="BL303" s="108"/>
      <c r="BM303" s="108"/>
      <c r="BN303" s="108"/>
    </row>
    <row r="304" spans="1:66" ht="12" customHeight="1" x14ac:dyDescent="0.2">
      <c r="A304" s="179"/>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c r="AA304" s="108"/>
      <c r="AB304" s="108"/>
      <c r="AC304" s="108"/>
      <c r="AD304" s="108"/>
      <c r="AE304" s="108"/>
      <c r="AF304" s="108"/>
      <c r="AG304" s="108"/>
      <c r="AH304" s="108"/>
      <c r="AI304" s="108"/>
      <c r="AJ304" s="108"/>
      <c r="AK304" s="108"/>
      <c r="AL304" s="108"/>
      <c r="AM304" s="108"/>
      <c r="AN304" s="108"/>
      <c r="AO304" s="108"/>
      <c r="AP304" s="108"/>
      <c r="AQ304" s="108"/>
      <c r="AR304" s="108"/>
      <c r="AS304" s="108"/>
      <c r="AT304" s="108"/>
      <c r="AU304" s="108"/>
      <c r="AV304" s="108"/>
      <c r="AW304" s="108"/>
      <c r="AX304" s="108"/>
      <c r="AY304" s="108"/>
      <c r="AZ304" s="108"/>
      <c r="BA304" s="108"/>
      <c r="BB304" s="108"/>
      <c r="BC304" s="108"/>
      <c r="BD304" s="108"/>
      <c r="BE304" s="108"/>
      <c r="BF304" s="108"/>
      <c r="BG304" s="108"/>
      <c r="BH304" s="108"/>
      <c r="BI304" s="108"/>
      <c r="BJ304" s="108"/>
      <c r="BK304" s="109"/>
      <c r="BL304" s="108"/>
      <c r="BM304" s="108"/>
      <c r="BN304" s="108"/>
    </row>
    <row r="305" spans="1:66" ht="12" customHeight="1" x14ac:dyDescent="0.2">
      <c r="A305" s="179"/>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c r="AA305" s="108"/>
      <c r="AB305" s="108"/>
      <c r="AC305" s="108"/>
      <c r="AD305" s="108"/>
      <c r="AE305" s="108"/>
      <c r="AF305" s="108"/>
      <c r="AG305" s="108"/>
      <c r="AH305" s="108"/>
      <c r="AI305" s="108"/>
      <c r="AJ305" s="108"/>
      <c r="AK305" s="108"/>
      <c r="AL305" s="108"/>
      <c r="AM305" s="108"/>
      <c r="AN305" s="108"/>
      <c r="AO305" s="108"/>
      <c r="AP305" s="108"/>
      <c r="AQ305" s="108"/>
      <c r="AR305" s="108"/>
      <c r="AS305" s="108"/>
      <c r="AT305" s="108"/>
      <c r="AU305" s="108"/>
      <c r="AV305" s="108"/>
      <c r="AW305" s="108"/>
      <c r="AX305" s="108"/>
      <c r="AY305" s="108"/>
      <c r="AZ305" s="108"/>
      <c r="BA305" s="108"/>
      <c r="BB305" s="108"/>
      <c r="BC305" s="108"/>
      <c r="BD305" s="108"/>
      <c r="BE305" s="108"/>
      <c r="BF305" s="108"/>
      <c r="BG305" s="108"/>
      <c r="BH305" s="108"/>
      <c r="BI305" s="108"/>
      <c r="BJ305" s="108"/>
      <c r="BK305" s="109"/>
      <c r="BL305" s="108"/>
      <c r="BM305" s="108"/>
      <c r="BN305" s="108"/>
    </row>
    <row r="306" spans="1:66" ht="12" customHeight="1" x14ac:dyDescent="0.2">
      <c r="A306" s="179"/>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c r="AA306" s="108"/>
      <c r="AB306" s="108"/>
      <c r="AC306" s="108"/>
      <c r="AD306" s="108"/>
      <c r="AE306" s="108"/>
      <c r="AF306" s="108"/>
      <c r="AG306" s="108"/>
      <c r="AH306" s="108"/>
      <c r="AI306" s="108"/>
      <c r="AJ306" s="108"/>
      <c r="AK306" s="108"/>
      <c r="AL306" s="108"/>
      <c r="AM306" s="108"/>
      <c r="AN306" s="108"/>
      <c r="AO306" s="108"/>
      <c r="AP306" s="108"/>
      <c r="AQ306" s="108"/>
      <c r="AR306" s="108"/>
      <c r="AS306" s="108"/>
      <c r="AT306" s="108"/>
      <c r="AU306" s="108"/>
      <c r="AV306" s="108"/>
      <c r="AW306" s="108"/>
      <c r="AX306" s="108"/>
      <c r="AY306" s="108"/>
      <c r="AZ306" s="108"/>
      <c r="BA306" s="108"/>
      <c r="BB306" s="108"/>
      <c r="BC306" s="108"/>
      <c r="BD306" s="108"/>
      <c r="BE306" s="108"/>
      <c r="BF306" s="108"/>
      <c r="BG306" s="108"/>
      <c r="BH306" s="108"/>
      <c r="BI306" s="108"/>
      <c r="BJ306" s="108"/>
      <c r="BK306" s="109"/>
      <c r="BL306" s="108"/>
      <c r="BM306" s="108"/>
      <c r="BN306" s="108"/>
    </row>
    <row r="307" spans="1:66" ht="12" customHeight="1" x14ac:dyDescent="0.2">
      <c r="A307" s="179"/>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c r="AA307" s="108"/>
      <c r="AB307" s="108"/>
      <c r="AC307" s="108"/>
      <c r="AD307" s="108"/>
      <c r="AE307" s="108"/>
      <c r="AF307" s="108"/>
      <c r="AG307" s="108"/>
      <c r="AH307" s="108"/>
      <c r="AI307" s="108"/>
      <c r="AJ307" s="108"/>
      <c r="AK307" s="108"/>
      <c r="AL307" s="108"/>
      <c r="AM307" s="108"/>
      <c r="AN307" s="108"/>
      <c r="AO307" s="108"/>
      <c r="AP307" s="108"/>
      <c r="AQ307" s="108"/>
      <c r="AR307" s="108"/>
      <c r="AS307" s="108"/>
      <c r="AT307" s="108"/>
      <c r="AU307" s="108"/>
      <c r="AV307" s="108"/>
      <c r="AW307" s="108"/>
      <c r="AX307" s="108"/>
      <c r="AY307" s="108"/>
      <c r="AZ307" s="108"/>
      <c r="BA307" s="108"/>
      <c r="BB307" s="108"/>
      <c r="BC307" s="108"/>
      <c r="BD307" s="108"/>
      <c r="BE307" s="108"/>
      <c r="BF307" s="108"/>
      <c r="BG307" s="108"/>
      <c r="BH307" s="108"/>
      <c r="BI307" s="108"/>
      <c r="BJ307" s="108"/>
      <c r="BK307" s="109"/>
      <c r="BL307" s="108"/>
      <c r="BM307" s="108"/>
      <c r="BN307" s="108"/>
    </row>
    <row r="308" spans="1:66" ht="12" customHeight="1" x14ac:dyDescent="0.2">
      <c r="A308" s="179"/>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c r="AA308" s="108"/>
      <c r="AB308" s="108"/>
      <c r="AC308" s="108"/>
      <c r="AD308" s="108"/>
      <c r="AE308" s="108"/>
      <c r="AF308" s="108"/>
      <c r="AG308" s="108"/>
      <c r="AH308" s="108"/>
      <c r="AI308" s="108"/>
      <c r="AJ308" s="108"/>
      <c r="AK308" s="108"/>
      <c r="AL308" s="108"/>
      <c r="AM308" s="108"/>
      <c r="AN308" s="108"/>
      <c r="AO308" s="108"/>
      <c r="AP308" s="108"/>
      <c r="AQ308" s="108"/>
      <c r="AR308" s="108"/>
      <c r="AS308" s="108"/>
      <c r="AT308" s="108"/>
      <c r="AU308" s="108"/>
      <c r="AV308" s="108"/>
      <c r="AW308" s="108"/>
      <c r="AX308" s="108"/>
      <c r="AY308" s="108"/>
      <c r="AZ308" s="108"/>
      <c r="BA308" s="108"/>
      <c r="BB308" s="108"/>
      <c r="BC308" s="108"/>
      <c r="BD308" s="108"/>
      <c r="BE308" s="108"/>
      <c r="BF308" s="108"/>
      <c r="BG308" s="108"/>
      <c r="BH308" s="108"/>
      <c r="BI308" s="108"/>
      <c r="BJ308" s="108"/>
      <c r="BK308" s="109"/>
      <c r="BL308" s="108"/>
      <c r="BM308" s="108"/>
      <c r="BN308" s="108"/>
    </row>
    <row r="309" spans="1:66" ht="12" customHeight="1" x14ac:dyDescent="0.2">
      <c r="A309" s="179"/>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c r="AA309" s="108"/>
      <c r="AB309" s="108"/>
      <c r="AC309" s="108"/>
      <c r="AD309" s="108"/>
      <c r="AE309" s="108"/>
      <c r="AF309" s="108"/>
      <c r="AG309" s="108"/>
      <c r="AH309" s="108"/>
      <c r="AI309" s="108"/>
      <c r="AJ309" s="108"/>
      <c r="AK309" s="108"/>
      <c r="AL309" s="108"/>
      <c r="AM309" s="108"/>
      <c r="AN309" s="108"/>
      <c r="AO309" s="108"/>
      <c r="AP309" s="108"/>
      <c r="AQ309" s="108"/>
      <c r="AR309" s="108"/>
      <c r="AS309" s="108"/>
      <c r="AT309" s="108"/>
      <c r="AU309" s="108"/>
      <c r="AV309" s="108"/>
      <c r="AW309" s="108"/>
      <c r="AX309" s="108"/>
      <c r="AY309" s="108"/>
      <c r="AZ309" s="108"/>
      <c r="BA309" s="108"/>
      <c r="BB309" s="108"/>
      <c r="BC309" s="108"/>
      <c r="BD309" s="108"/>
      <c r="BE309" s="108"/>
      <c r="BF309" s="108"/>
      <c r="BG309" s="108"/>
      <c r="BH309" s="108"/>
      <c r="BI309" s="108"/>
      <c r="BJ309" s="108"/>
      <c r="BK309" s="109"/>
      <c r="BL309" s="108"/>
      <c r="BM309" s="108"/>
      <c r="BN309" s="108"/>
    </row>
    <row r="310" spans="1:66" ht="12" customHeight="1" x14ac:dyDescent="0.2">
      <c r="A310" s="179"/>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c r="AA310" s="108"/>
      <c r="AB310" s="108"/>
      <c r="AC310" s="108"/>
      <c r="AD310" s="108"/>
      <c r="AE310" s="108"/>
      <c r="AF310" s="108"/>
      <c r="AG310" s="108"/>
      <c r="AH310" s="108"/>
      <c r="AI310" s="108"/>
      <c r="AJ310" s="108"/>
      <c r="AK310" s="108"/>
      <c r="AL310" s="108"/>
      <c r="AM310" s="108"/>
      <c r="AN310" s="108"/>
      <c r="AO310" s="108"/>
      <c r="AP310" s="108"/>
      <c r="AQ310" s="108"/>
      <c r="AR310" s="108"/>
      <c r="AS310" s="108"/>
      <c r="AT310" s="108"/>
      <c r="AU310" s="108"/>
      <c r="AV310" s="108"/>
      <c r="AW310" s="108"/>
      <c r="AX310" s="108"/>
      <c r="AY310" s="108"/>
      <c r="AZ310" s="108"/>
      <c r="BA310" s="108"/>
      <c r="BB310" s="108"/>
      <c r="BC310" s="108"/>
      <c r="BD310" s="108"/>
      <c r="BE310" s="108"/>
      <c r="BF310" s="108"/>
      <c r="BG310" s="108"/>
      <c r="BH310" s="108"/>
      <c r="BI310" s="108"/>
      <c r="BJ310" s="108"/>
      <c r="BK310" s="109"/>
      <c r="BL310" s="108"/>
      <c r="BM310" s="108"/>
      <c r="BN310" s="108"/>
    </row>
    <row r="311" spans="1:66" ht="12" customHeight="1" x14ac:dyDescent="0.2">
      <c r="A311" s="179"/>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c r="AA311" s="108"/>
      <c r="AB311" s="108"/>
      <c r="AC311" s="108"/>
      <c r="AD311" s="108"/>
      <c r="AE311" s="108"/>
      <c r="AF311" s="108"/>
      <c r="AG311" s="108"/>
      <c r="AH311" s="108"/>
      <c r="AI311" s="108"/>
      <c r="AJ311" s="108"/>
      <c r="AK311" s="108"/>
      <c r="AL311" s="108"/>
      <c r="AM311" s="108"/>
      <c r="AN311" s="108"/>
      <c r="AO311" s="108"/>
      <c r="AP311" s="108"/>
      <c r="AQ311" s="108"/>
      <c r="AR311" s="108"/>
      <c r="AS311" s="108"/>
      <c r="AT311" s="108"/>
      <c r="AU311" s="108"/>
      <c r="AV311" s="108"/>
      <c r="AW311" s="108"/>
      <c r="AX311" s="108"/>
      <c r="AY311" s="108"/>
      <c r="AZ311" s="108"/>
      <c r="BA311" s="108"/>
      <c r="BB311" s="108"/>
      <c r="BC311" s="108"/>
      <c r="BD311" s="108"/>
      <c r="BE311" s="108"/>
      <c r="BF311" s="108"/>
      <c r="BG311" s="108"/>
      <c r="BH311" s="108"/>
      <c r="BI311" s="108"/>
      <c r="BJ311" s="108"/>
      <c r="BK311" s="109"/>
      <c r="BL311" s="108"/>
      <c r="BM311" s="108"/>
      <c r="BN311" s="108"/>
    </row>
    <row r="312" spans="1:66" ht="12" customHeight="1" x14ac:dyDescent="0.2">
      <c r="A312" s="179"/>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c r="AA312" s="108"/>
      <c r="AB312" s="108"/>
      <c r="AC312" s="108"/>
      <c r="AD312" s="108"/>
      <c r="AE312" s="108"/>
      <c r="AF312" s="108"/>
      <c r="AG312" s="108"/>
      <c r="AH312" s="108"/>
      <c r="AI312" s="108"/>
      <c r="AJ312" s="108"/>
      <c r="AK312" s="108"/>
      <c r="AL312" s="108"/>
      <c r="AM312" s="108"/>
      <c r="AN312" s="108"/>
      <c r="AO312" s="108"/>
      <c r="AP312" s="108"/>
      <c r="AQ312" s="108"/>
      <c r="AR312" s="108"/>
      <c r="AS312" s="108"/>
      <c r="AT312" s="108"/>
      <c r="AU312" s="108"/>
      <c r="AV312" s="108"/>
      <c r="AW312" s="108"/>
      <c r="AX312" s="108"/>
      <c r="AY312" s="108"/>
      <c r="AZ312" s="108"/>
      <c r="BA312" s="108"/>
      <c r="BB312" s="108"/>
      <c r="BC312" s="108"/>
      <c r="BD312" s="108"/>
      <c r="BE312" s="108"/>
      <c r="BF312" s="108"/>
      <c r="BG312" s="108"/>
      <c r="BH312" s="108"/>
      <c r="BI312" s="108"/>
      <c r="BJ312" s="108"/>
      <c r="BK312" s="109"/>
      <c r="BL312" s="108"/>
      <c r="BM312" s="108"/>
      <c r="BN312" s="108"/>
    </row>
    <row r="313" spans="1:66" ht="12" customHeight="1" x14ac:dyDescent="0.2">
      <c r="A313" s="179"/>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c r="AA313" s="108"/>
      <c r="AB313" s="108"/>
      <c r="AC313" s="108"/>
      <c r="AD313" s="108"/>
      <c r="AE313" s="108"/>
      <c r="AF313" s="108"/>
      <c r="AG313" s="108"/>
      <c r="AH313" s="108"/>
      <c r="AI313" s="108"/>
      <c r="AJ313" s="108"/>
      <c r="AK313" s="108"/>
      <c r="AL313" s="108"/>
      <c r="AM313" s="108"/>
      <c r="AN313" s="108"/>
      <c r="AO313" s="108"/>
      <c r="AP313" s="108"/>
      <c r="AQ313" s="108"/>
      <c r="AR313" s="108"/>
      <c r="AS313" s="108"/>
      <c r="AT313" s="108"/>
      <c r="AU313" s="108"/>
      <c r="AV313" s="108"/>
      <c r="AW313" s="108"/>
      <c r="AX313" s="108"/>
      <c r="AY313" s="108"/>
      <c r="AZ313" s="108"/>
      <c r="BA313" s="108"/>
      <c r="BB313" s="108"/>
      <c r="BC313" s="108"/>
      <c r="BD313" s="108"/>
      <c r="BE313" s="108"/>
      <c r="BF313" s="108"/>
      <c r="BG313" s="108"/>
      <c r="BH313" s="108"/>
      <c r="BI313" s="108"/>
      <c r="BJ313" s="108"/>
      <c r="BK313" s="109"/>
      <c r="BL313" s="108"/>
      <c r="BM313" s="108"/>
      <c r="BN313" s="108"/>
    </row>
    <row r="314" spans="1:66" ht="12" customHeight="1" x14ac:dyDescent="0.2">
      <c r="A314" s="179"/>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c r="AA314" s="108"/>
      <c r="AB314" s="108"/>
      <c r="AC314" s="108"/>
      <c r="AD314" s="108"/>
      <c r="AE314" s="108"/>
      <c r="AF314" s="108"/>
      <c r="AG314" s="108"/>
      <c r="AH314" s="108"/>
      <c r="AI314" s="108"/>
      <c r="AJ314" s="108"/>
      <c r="AK314" s="108"/>
      <c r="AL314" s="108"/>
      <c r="AM314" s="108"/>
      <c r="AN314" s="108"/>
      <c r="AO314" s="108"/>
      <c r="AP314" s="108"/>
      <c r="AQ314" s="108"/>
      <c r="AR314" s="108"/>
      <c r="AS314" s="108"/>
      <c r="AT314" s="108"/>
      <c r="AU314" s="108"/>
      <c r="AV314" s="108"/>
      <c r="AW314" s="108"/>
      <c r="AX314" s="108"/>
      <c r="AY314" s="108"/>
      <c r="AZ314" s="108"/>
      <c r="BA314" s="108"/>
      <c r="BB314" s="108"/>
      <c r="BC314" s="108"/>
      <c r="BD314" s="108"/>
      <c r="BE314" s="108"/>
      <c r="BF314" s="108"/>
      <c r="BG314" s="108"/>
      <c r="BH314" s="108"/>
      <c r="BI314" s="108"/>
      <c r="BJ314" s="108"/>
      <c r="BK314" s="109"/>
      <c r="BL314" s="108"/>
      <c r="BM314" s="108"/>
      <c r="BN314" s="108"/>
    </row>
    <row r="315" spans="1:66" ht="12" customHeight="1" x14ac:dyDescent="0.2">
      <c r="A315" s="179"/>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c r="AA315" s="108"/>
      <c r="AB315" s="108"/>
      <c r="AC315" s="108"/>
      <c r="AD315" s="108"/>
      <c r="AE315" s="108"/>
      <c r="AF315" s="108"/>
      <c r="AG315" s="108"/>
      <c r="AH315" s="108"/>
      <c r="AI315" s="108"/>
      <c r="AJ315" s="108"/>
      <c r="AK315" s="108"/>
      <c r="AL315" s="108"/>
      <c r="AM315" s="108"/>
      <c r="AN315" s="108"/>
      <c r="AO315" s="108"/>
      <c r="AP315" s="108"/>
      <c r="AQ315" s="108"/>
      <c r="AR315" s="108"/>
      <c r="AS315" s="108"/>
      <c r="AT315" s="108"/>
      <c r="AU315" s="108"/>
      <c r="AV315" s="108"/>
      <c r="AW315" s="108"/>
      <c r="AX315" s="108"/>
      <c r="AY315" s="108"/>
      <c r="AZ315" s="108"/>
      <c r="BA315" s="108"/>
      <c r="BB315" s="108"/>
      <c r="BC315" s="108"/>
      <c r="BD315" s="108"/>
      <c r="BE315" s="108"/>
      <c r="BF315" s="108"/>
      <c r="BG315" s="108"/>
      <c r="BH315" s="108"/>
      <c r="BI315" s="108"/>
      <c r="BJ315" s="108"/>
      <c r="BK315" s="109"/>
      <c r="BL315" s="108"/>
      <c r="BM315" s="108"/>
      <c r="BN315" s="108"/>
    </row>
    <row r="316" spans="1:66" ht="12" customHeight="1" x14ac:dyDescent="0.2">
      <c r="A316" s="179"/>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c r="AA316" s="108"/>
      <c r="AB316" s="108"/>
      <c r="AC316" s="108"/>
      <c r="AD316" s="108"/>
      <c r="AE316" s="108"/>
      <c r="AF316" s="108"/>
      <c r="AG316" s="108"/>
      <c r="AH316" s="108"/>
      <c r="AI316" s="108"/>
      <c r="AJ316" s="108"/>
      <c r="AK316" s="108"/>
      <c r="AL316" s="108"/>
      <c r="AM316" s="108"/>
      <c r="AN316" s="108"/>
      <c r="AO316" s="108"/>
      <c r="AP316" s="108"/>
      <c r="AQ316" s="108"/>
      <c r="AR316" s="108"/>
      <c r="AS316" s="108"/>
      <c r="AT316" s="108"/>
      <c r="AU316" s="108"/>
      <c r="AV316" s="108"/>
      <c r="AW316" s="108"/>
      <c r="AX316" s="108"/>
      <c r="AY316" s="108"/>
      <c r="AZ316" s="108"/>
      <c r="BA316" s="108"/>
      <c r="BB316" s="108"/>
      <c r="BC316" s="108"/>
      <c r="BD316" s="108"/>
      <c r="BE316" s="108"/>
      <c r="BF316" s="108"/>
      <c r="BG316" s="108"/>
      <c r="BH316" s="108"/>
      <c r="BI316" s="108"/>
      <c r="BJ316" s="108"/>
      <c r="BK316" s="109"/>
      <c r="BL316" s="108"/>
      <c r="BM316" s="108"/>
      <c r="BN316" s="108"/>
    </row>
    <row r="317" spans="1:66" ht="12" customHeight="1" x14ac:dyDescent="0.2">
      <c r="A317" s="179"/>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c r="AA317" s="108"/>
      <c r="AB317" s="108"/>
      <c r="AC317" s="108"/>
      <c r="AD317" s="108"/>
      <c r="AE317" s="108"/>
      <c r="AF317" s="108"/>
      <c r="AG317" s="108"/>
      <c r="AH317" s="108"/>
      <c r="AI317" s="108"/>
      <c r="AJ317" s="108"/>
      <c r="AK317" s="108"/>
      <c r="AL317" s="108"/>
      <c r="AM317" s="108"/>
      <c r="AN317" s="108"/>
      <c r="AO317" s="108"/>
      <c r="AP317" s="108"/>
      <c r="AQ317" s="108"/>
      <c r="AR317" s="108"/>
      <c r="AS317" s="108"/>
      <c r="AT317" s="108"/>
      <c r="AU317" s="108"/>
      <c r="AV317" s="108"/>
      <c r="AW317" s="108"/>
      <c r="AX317" s="108"/>
      <c r="AY317" s="108"/>
      <c r="AZ317" s="108"/>
      <c r="BA317" s="108"/>
      <c r="BB317" s="108"/>
      <c r="BC317" s="108"/>
      <c r="BD317" s="108"/>
      <c r="BE317" s="108"/>
      <c r="BF317" s="108"/>
      <c r="BG317" s="108"/>
      <c r="BH317" s="108"/>
      <c r="BI317" s="108"/>
      <c r="BJ317" s="108"/>
      <c r="BK317" s="109"/>
      <c r="BL317" s="108"/>
      <c r="BM317" s="108"/>
      <c r="BN317" s="108"/>
    </row>
    <row r="318" spans="1:66" ht="12" customHeight="1" x14ac:dyDescent="0.2">
      <c r="A318" s="179"/>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c r="AA318" s="108"/>
      <c r="AB318" s="108"/>
      <c r="AC318" s="108"/>
      <c r="AD318" s="108"/>
      <c r="AE318" s="108"/>
      <c r="AF318" s="108"/>
      <c r="AG318" s="108"/>
      <c r="AH318" s="108"/>
      <c r="AI318" s="108"/>
      <c r="AJ318" s="108"/>
      <c r="AK318" s="108"/>
      <c r="AL318" s="108"/>
      <c r="AM318" s="108"/>
      <c r="AN318" s="108"/>
      <c r="AO318" s="108"/>
      <c r="AP318" s="108"/>
      <c r="AQ318" s="108"/>
      <c r="AR318" s="108"/>
      <c r="AS318" s="108"/>
      <c r="AT318" s="108"/>
      <c r="AU318" s="108"/>
      <c r="AV318" s="108"/>
      <c r="AW318" s="108"/>
      <c r="AX318" s="108"/>
      <c r="AY318" s="108"/>
      <c r="AZ318" s="108"/>
      <c r="BA318" s="108"/>
      <c r="BB318" s="108"/>
      <c r="BC318" s="108"/>
      <c r="BD318" s="108"/>
      <c r="BE318" s="108"/>
      <c r="BF318" s="108"/>
      <c r="BG318" s="108"/>
      <c r="BH318" s="108"/>
      <c r="BI318" s="108"/>
      <c r="BJ318" s="108"/>
      <c r="BK318" s="109"/>
      <c r="BL318" s="108"/>
      <c r="BM318" s="108"/>
      <c r="BN318" s="108"/>
    </row>
    <row r="319" spans="1:66" ht="12" customHeight="1" x14ac:dyDescent="0.2">
      <c r="A319" s="179"/>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c r="AA319" s="108"/>
      <c r="AB319" s="108"/>
      <c r="AC319" s="108"/>
      <c r="AD319" s="108"/>
      <c r="AE319" s="108"/>
      <c r="AF319" s="108"/>
      <c r="AG319" s="108"/>
      <c r="AH319" s="108"/>
      <c r="AI319" s="108"/>
      <c r="AJ319" s="108"/>
      <c r="AK319" s="108"/>
      <c r="AL319" s="108"/>
      <c r="AM319" s="108"/>
      <c r="AN319" s="108"/>
      <c r="AO319" s="108"/>
      <c r="AP319" s="108"/>
      <c r="AQ319" s="108"/>
      <c r="AR319" s="108"/>
      <c r="AS319" s="108"/>
      <c r="AT319" s="108"/>
      <c r="AU319" s="108"/>
      <c r="AV319" s="108"/>
      <c r="AW319" s="108"/>
      <c r="AX319" s="108"/>
      <c r="AY319" s="108"/>
      <c r="AZ319" s="108"/>
      <c r="BA319" s="108"/>
      <c r="BB319" s="108"/>
      <c r="BC319" s="108"/>
      <c r="BD319" s="108"/>
      <c r="BE319" s="108"/>
      <c r="BF319" s="108"/>
      <c r="BG319" s="108"/>
      <c r="BH319" s="108"/>
      <c r="BI319" s="108"/>
      <c r="BJ319" s="108"/>
      <c r="BK319" s="109"/>
      <c r="BL319" s="108"/>
      <c r="BM319" s="108"/>
      <c r="BN319" s="108"/>
    </row>
    <row r="320" spans="1:66" ht="12" customHeight="1" x14ac:dyDescent="0.2">
      <c r="A320" s="179"/>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c r="AA320" s="108"/>
      <c r="AB320" s="108"/>
      <c r="AC320" s="108"/>
      <c r="AD320" s="108"/>
      <c r="AE320" s="108"/>
      <c r="AF320" s="108"/>
      <c r="AG320" s="108"/>
      <c r="AH320" s="108"/>
      <c r="AI320" s="108"/>
      <c r="AJ320" s="108"/>
      <c r="AK320" s="108"/>
      <c r="AL320" s="108"/>
      <c r="AM320" s="108"/>
      <c r="AN320" s="108"/>
      <c r="AO320" s="108"/>
      <c r="AP320" s="108"/>
      <c r="AQ320" s="108"/>
      <c r="AR320" s="108"/>
      <c r="AS320" s="108"/>
      <c r="AT320" s="108"/>
      <c r="AU320" s="108"/>
      <c r="AV320" s="108"/>
      <c r="AW320" s="108"/>
      <c r="AX320" s="108"/>
      <c r="AY320" s="108"/>
      <c r="AZ320" s="108"/>
      <c r="BA320" s="108"/>
      <c r="BB320" s="108"/>
      <c r="BC320" s="108"/>
      <c r="BD320" s="108"/>
      <c r="BE320" s="108"/>
      <c r="BF320" s="108"/>
      <c r="BG320" s="108"/>
      <c r="BH320" s="108"/>
      <c r="BI320" s="108"/>
      <c r="BJ320" s="108"/>
      <c r="BK320" s="109"/>
      <c r="BL320" s="108"/>
      <c r="BM320" s="108"/>
      <c r="BN320" s="108"/>
    </row>
    <row r="321" spans="1:66" ht="12" customHeight="1" x14ac:dyDescent="0.2">
      <c r="A321" s="179"/>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c r="AA321" s="108"/>
      <c r="AB321" s="108"/>
      <c r="AC321" s="108"/>
      <c r="AD321" s="108"/>
      <c r="AE321" s="108"/>
      <c r="AF321" s="108"/>
      <c r="AG321" s="108"/>
      <c r="AH321" s="108"/>
      <c r="AI321" s="108"/>
      <c r="AJ321" s="108"/>
      <c r="AK321" s="108"/>
      <c r="AL321" s="108"/>
      <c r="AM321" s="108"/>
      <c r="AN321" s="108"/>
      <c r="AO321" s="108"/>
      <c r="AP321" s="108"/>
      <c r="AQ321" s="108"/>
      <c r="AR321" s="108"/>
      <c r="AS321" s="108"/>
      <c r="AT321" s="108"/>
      <c r="AU321" s="108"/>
      <c r="AV321" s="108"/>
      <c r="AW321" s="108"/>
      <c r="AX321" s="108"/>
      <c r="AY321" s="108"/>
      <c r="AZ321" s="108"/>
      <c r="BA321" s="108"/>
      <c r="BB321" s="108"/>
      <c r="BC321" s="108"/>
      <c r="BD321" s="108"/>
      <c r="BE321" s="108"/>
      <c r="BF321" s="108"/>
      <c r="BG321" s="108"/>
      <c r="BH321" s="108"/>
      <c r="BI321" s="108"/>
      <c r="BJ321" s="108"/>
      <c r="BK321" s="109"/>
      <c r="BL321" s="108"/>
      <c r="BM321" s="108"/>
      <c r="BN321" s="108"/>
    </row>
    <row r="322" spans="1:66" ht="12" customHeight="1" x14ac:dyDescent="0.2">
      <c r="A322" s="179"/>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c r="AA322" s="108"/>
      <c r="AB322" s="108"/>
      <c r="AC322" s="108"/>
      <c r="AD322" s="108"/>
      <c r="AE322" s="108"/>
      <c r="AF322" s="108"/>
      <c r="AG322" s="108"/>
      <c r="AH322" s="108"/>
      <c r="AI322" s="108"/>
      <c r="AJ322" s="108"/>
      <c r="AK322" s="108"/>
      <c r="AL322" s="108"/>
      <c r="AM322" s="108"/>
      <c r="AN322" s="108"/>
      <c r="AO322" s="108"/>
      <c r="AP322" s="108"/>
      <c r="AQ322" s="108"/>
      <c r="AR322" s="108"/>
      <c r="AS322" s="108"/>
      <c r="AT322" s="108"/>
      <c r="AU322" s="108"/>
      <c r="AV322" s="108"/>
      <c r="AW322" s="108"/>
      <c r="AX322" s="108"/>
      <c r="AY322" s="108"/>
      <c r="AZ322" s="108"/>
      <c r="BA322" s="108"/>
      <c r="BB322" s="108"/>
      <c r="BC322" s="108"/>
      <c r="BD322" s="108"/>
      <c r="BE322" s="108"/>
      <c r="BF322" s="108"/>
      <c r="BG322" s="108"/>
      <c r="BH322" s="108"/>
      <c r="BI322" s="108"/>
      <c r="BJ322" s="108"/>
      <c r="BK322" s="109"/>
      <c r="BL322" s="108"/>
      <c r="BM322" s="108"/>
      <c r="BN322" s="108"/>
    </row>
    <row r="323" spans="1:66" ht="12" customHeight="1" x14ac:dyDescent="0.2">
      <c r="A323" s="179"/>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c r="AA323" s="108"/>
      <c r="AB323" s="108"/>
      <c r="AC323" s="108"/>
      <c r="AD323" s="108"/>
      <c r="AE323" s="108"/>
      <c r="AF323" s="108"/>
      <c r="AG323" s="108"/>
      <c r="AH323" s="108"/>
      <c r="AI323" s="108"/>
      <c r="AJ323" s="108"/>
      <c r="AK323" s="108"/>
      <c r="AL323" s="108"/>
      <c r="AM323" s="108"/>
      <c r="AN323" s="108"/>
      <c r="AO323" s="108"/>
      <c r="AP323" s="108"/>
      <c r="AQ323" s="108"/>
      <c r="AR323" s="108"/>
      <c r="AS323" s="108"/>
      <c r="AT323" s="108"/>
      <c r="AU323" s="108"/>
      <c r="AV323" s="108"/>
      <c r="AW323" s="108"/>
      <c r="AX323" s="108"/>
      <c r="AY323" s="108"/>
      <c r="AZ323" s="108"/>
      <c r="BA323" s="108"/>
      <c r="BB323" s="108"/>
      <c r="BC323" s="108"/>
      <c r="BD323" s="108"/>
      <c r="BE323" s="108"/>
      <c r="BF323" s="108"/>
      <c r="BG323" s="108"/>
      <c r="BH323" s="108"/>
      <c r="BI323" s="108"/>
      <c r="BJ323" s="108"/>
      <c r="BK323" s="109"/>
      <c r="BL323" s="108"/>
      <c r="BM323" s="108"/>
      <c r="BN323" s="108"/>
    </row>
    <row r="324" spans="1:66" ht="12" customHeight="1" x14ac:dyDescent="0.2">
      <c r="A324" s="179"/>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c r="AA324" s="108"/>
      <c r="AB324" s="108"/>
      <c r="AC324" s="108"/>
      <c r="AD324" s="108"/>
      <c r="AE324" s="108"/>
      <c r="AF324" s="108"/>
      <c r="AG324" s="108"/>
      <c r="AH324" s="108"/>
      <c r="AI324" s="108"/>
      <c r="AJ324" s="108"/>
      <c r="AK324" s="108"/>
      <c r="AL324" s="108"/>
      <c r="AM324" s="108"/>
      <c r="AN324" s="108"/>
      <c r="AO324" s="108"/>
      <c r="AP324" s="108"/>
      <c r="AQ324" s="108"/>
      <c r="AR324" s="108"/>
      <c r="AS324" s="108"/>
      <c r="AT324" s="108"/>
      <c r="AU324" s="108"/>
      <c r="AV324" s="108"/>
      <c r="AW324" s="108"/>
      <c r="AX324" s="108"/>
      <c r="AY324" s="108"/>
      <c r="AZ324" s="108"/>
      <c r="BA324" s="108"/>
      <c r="BB324" s="108"/>
      <c r="BC324" s="108"/>
      <c r="BD324" s="108"/>
      <c r="BE324" s="108"/>
      <c r="BF324" s="108"/>
      <c r="BG324" s="108"/>
      <c r="BH324" s="108"/>
      <c r="BI324" s="108"/>
      <c r="BJ324" s="108"/>
      <c r="BK324" s="109"/>
      <c r="BL324" s="108"/>
      <c r="BM324" s="108"/>
      <c r="BN324" s="108"/>
    </row>
    <row r="325" spans="1:66" ht="12" customHeight="1" x14ac:dyDescent="0.2">
      <c r="A325" s="179"/>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c r="AA325" s="108"/>
      <c r="AB325" s="108"/>
      <c r="AC325" s="108"/>
      <c r="AD325" s="108"/>
      <c r="AE325" s="108"/>
      <c r="AF325" s="108"/>
      <c r="AG325" s="108"/>
      <c r="AH325" s="108"/>
      <c r="AI325" s="108"/>
      <c r="AJ325" s="108"/>
      <c r="AK325" s="108"/>
      <c r="AL325" s="108"/>
      <c r="AM325" s="108"/>
      <c r="AN325" s="108"/>
      <c r="AO325" s="108"/>
      <c r="AP325" s="108"/>
      <c r="AQ325" s="108"/>
      <c r="AR325" s="108"/>
      <c r="AS325" s="108"/>
      <c r="AT325" s="108"/>
      <c r="AU325" s="108"/>
      <c r="AV325" s="108"/>
      <c r="AW325" s="108"/>
      <c r="AX325" s="108"/>
      <c r="AY325" s="108"/>
      <c r="AZ325" s="108"/>
      <c r="BA325" s="108"/>
      <c r="BB325" s="108"/>
      <c r="BC325" s="108"/>
      <c r="BD325" s="108"/>
      <c r="BE325" s="108"/>
      <c r="BF325" s="108"/>
      <c r="BG325" s="108"/>
      <c r="BH325" s="108"/>
      <c r="BI325" s="108"/>
      <c r="BJ325" s="108"/>
      <c r="BK325" s="109"/>
      <c r="BL325" s="108"/>
      <c r="BM325" s="108"/>
      <c r="BN325" s="108"/>
    </row>
    <row r="326" spans="1:66" ht="12" customHeight="1" x14ac:dyDescent="0.2">
      <c r="A326" s="179"/>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c r="AA326" s="108"/>
      <c r="AB326" s="108"/>
      <c r="AC326" s="108"/>
      <c r="AD326" s="108"/>
      <c r="AE326" s="108"/>
      <c r="AF326" s="108"/>
      <c r="AG326" s="108"/>
      <c r="AH326" s="108"/>
      <c r="AI326" s="108"/>
      <c r="AJ326" s="108"/>
      <c r="AK326" s="108"/>
      <c r="AL326" s="108"/>
      <c r="AM326" s="108"/>
      <c r="AN326" s="108"/>
      <c r="AO326" s="108"/>
      <c r="AP326" s="108"/>
      <c r="AQ326" s="108"/>
      <c r="AR326" s="108"/>
      <c r="AS326" s="108"/>
      <c r="AT326" s="108"/>
      <c r="AU326" s="108"/>
      <c r="AV326" s="108"/>
      <c r="AW326" s="108"/>
      <c r="AX326" s="108"/>
      <c r="AY326" s="108"/>
      <c r="AZ326" s="108"/>
      <c r="BA326" s="108"/>
      <c r="BB326" s="108"/>
      <c r="BC326" s="108"/>
      <c r="BD326" s="108"/>
      <c r="BE326" s="108"/>
      <c r="BF326" s="108"/>
      <c r="BG326" s="108"/>
      <c r="BH326" s="108"/>
      <c r="BI326" s="108"/>
      <c r="BJ326" s="108"/>
      <c r="BK326" s="109"/>
      <c r="BL326" s="108"/>
      <c r="BM326" s="108"/>
      <c r="BN326" s="108"/>
    </row>
    <row r="327" spans="1:66" ht="12" customHeight="1" x14ac:dyDescent="0.2">
      <c r="A327" s="179"/>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c r="AA327" s="108"/>
      <c r="AB327" s="108"/>
      <c r="AC327" s="108"/>
      <c r="AD327" s="108"/>
      <c r="AE327" s="108"/>
      <c r="AF327" s="108"/>
      <c r="AG327" s="108"/>
      <c r="AH327" s="108"/>
      <c r="AI327" s="108"/>
      <c r="AJ327" s="108"/>
      <c r="AK327" s="108"/>
      <c r="AL327" s="108"/>
      <c r="AM327" s="108"/>
      <c r="AN327" s="108"/>
      <c r="AO327" s="108"/>
      <c r="AP327" s="108"/>
      <c r="AQ327" s="108"/>
      <c r="AR327" s="108"/>
      <c r="AS327" s="108"/>
      <c r="AT327" s="108"/>
      <c r="AU327" s="108"/>
      <c r="AV327" s="108"/>
      <c r="AW327" s="108"/>
      <c r="AX327" s="108"/>
      <c r="AY327" s="108"/>
      <c r="AZ327" s="108"/>
      <c r="BA327" s="108"/>
      <c r="BB327" s="108"/>
      <c r="BC327" s="108"/>
      <c r="BD327" s="108"/>
      <c r="BE327" s="108"/>
      <c r="BF327" s="108"/>
      <c r="BG327" s="108"/>
      <c r="BH327" s="108"/>
      <c r="BI327" s="108"/>
      <c r="BJ327" s="108"/>
      <c r="BK327" s="109"/>
      <c r="BL327" s="108"/>
      <c r="BM327" s="108"/>
      <c r="BN327" s="108"/>
    </row>
    <row r="328" spans="1:66" ht="12" customHeight="1" x14ac:dyDescent="0.2">
      <c r="A328" s="179"/>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c r="AA328" s="108"/>
      <c r="AB328" s="108"/>
      <c r="AC328" s="108"/>
      <c r="AD328" s="108"/>
      <c r="AE328" s="108"/>
      <c r="AF328" s="108"/>
      <c r="AG328" s="108"/>
      <c r="AH328" s="108"/>
      <c r="AI328" s="108"/>
      <c r="AJ328" s="108"/>
      <c r="AK328" s="108"/>
      <c r="AL328" s="108"/>
      <c r="AM328" s="108"/>
      <c r="AN328" s="108"/>
      <c r="AO328" s="108"/>
      <c r="AP328" s="108"/>
      <c r="AQ328" s="108"/>
      <c r="AR328" s="108"/>
      <c r="AS328" s="108"/>
      <c r="AT328" s="108"/>
      <c r="AU328" s="108"/>
      <c r="AV328" s="108"/>
      <c r="AW328" s="108"/>
      <c r="AX328" s="108"/>
      <c r="AY328" s="108"/>
      <c r="AZ328" s="108"/>
      <c r="BA328" s="108"/>
      <c r="BB328" s="108"/>
      <c r="BC328" s="108"/>
      <c r="BD328" s="108"/>
      <c r="BE328" s="108"/>
      <c r="BF328" s="108"/>
      <c r="BG328" s="108"/>
      <c r="BH328" s="108"/>
      <c r="BI328" s="108"/>
      <c r="BJ328" s="108"/>
      <c r="BK328" s="109"/>
      <c r="BL328" s="108"/>
      <c r="BM328" s="108"/>
      <c r="BN328" s="108"/>
    </row>
    <row r="329" spans="1:66" ht="12" customHeight="1" x14ac:dyDescent="0.2">
      <c r="A329" s="179"/>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c r="AA329" s="108"/>
      <c r="AB329" s="108"/>
      <c r="AC329" s="108"/>
      <c r="AD329" s="108"/>
      <c r="AE329" s="108"/>
      <c r="AF329" s="108"/>
      <c r="AG329" s="108"/>
      <c r="AH329" s="108"/>
      <c r="AI329" s="108"/>
      <c r="AJ329" s="108"/>
      <c r="AK329" s="108"/>
      <c r="AL329" s="108"/>
      <c r="AM329" s="108"/>
      <c r="AN329" s="108"/>
      <c r="AO329" s="108"/>
      <c r="AP329" s="108"/>
      <c r="AQ329" s="108"/>
      <c r="AR329" s="108"/>
      <c r="AS329" s="108"/>
      <c r="AT329" s="108"/>
      <c r="AU329" s="108"/>
      <c r="AV329" s="108"/>
      <c r="AW329" s="108"/>
      <c r="AX329" s="108"/>
      <c r="AY329" s="108"/>
      <c r="AZ329" s="108"/>
      <c r="BA329" s="108"/>
      <c r="BB329" s="108"/>
      <c r="BC329" s="108"/>
      <c r="BD329" s="108"/>
      <c r="BE329" s="108"/>
      <c r="BF329" s="108"/>
      <c r="BG329" s="108"/>
      <c r="BH329" s="108"/>
      <c r="BI329" s="108"/>
      <c r="BJ329" s="108"/>
      <c r="BK329" s="109"/>
      <c r="BL329" s="108"/>
      <c r="BM329" s="108"/>
      <c r="BN329" s="108"/>
    </row>
    <row r="330" spans="1:66" ht="12" customHeight="1" x14ac:dyDescent="0.2">
      <c r="A330" s="179"/>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c r="AA330" s="108"/>
      <c r="AB330" s="108"/>
      <c r="AC330" s="108"/>
      <c r="AD330" s="108"/>
      <c r="AE330" s="108"/>
      <c r="AF330" s="108"/>
      <c r="AG330" s="108"/>
      <c r="AH330" s="108"/>
      <c r="AI330" s="108"/>
      <c r="AJ330" s="108"/>
      <c r="AK330" s="108"/>
      <c r="AL330" s="108"/>
      <c r="AM330" s="108"/>
      <c r="AN330" s="108"/>
      <c r="AO330" s="108"/>
      <c r="AP330" s="108"/>
      <c r="AQ330" s="108"/>
      <c r="AR330" s="108"/>
      <c r="AS330" s="108"/>
      <c r="AT330" s="108"/>
      <c r="AU330" s="108"/>
      <c r="AV330" s="108"/>
      <c r="AW330" s="108"/>
      <c r="AX330" s="108"/>
      <c r="AY330" s="108"/>
      <c r="AZ330" s="108"/>
      <c r="BA330" s="108"/>
      <c r="BB330" s="108"/>
      <c r="BC330" s="108"/>
      <c r="BD330" s="108"/>
      <c r="BE330" s="108"/>
      <c r="BF330" s="108"/>
      <c r="BG330" s="108"/>
      <c r="BH330" s="108"/>
      <c r="BI330" s="108"/>
      <c r="BJ330" s="108"/>
      <c r="BK330" s="109"/>
      <c r="BL330" s="108"/>
      <c r="BM330" s="108"/>
      <c r="BN330" s="108"/>
    </row>
    <row r="331" spans="1:66" ht="12" customHeight="1" x14ac:dyDescent="0.2">
      <c r="A331" s="179"/>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c r="AA331" s="108"/>
      <c r="AB331" s="108"/>
      <c r="AC331" s="108"/>
      <c r="AD331" s="108"/>
      <c r="AE331" s="108"/>
      <c r="AF331" s="108"/>
      <c r="AG331" s="108"/>
      <c r="AH331" s="108"/>
      <c r="AI331" s="108"/>
      <c r="AJ331" s="108"/>
      <c r="AK331" s="108"/>
      <c r="AL331" s="108"/>
      <c r="AM331" s="108"/>
      <c r="AN331" s="108"/>
      <c r="AO331" s="108"/>
      <c r="AP331" s="108"/>
      <c r="AQ331" s="108"/>
      <c r="AR331" s="108"/>
      <c r="AS331" s="108"/>
      <c r="AT331" s="108"/>
      <c r="AU331" s="108"/>
      <c r="AV331" s="108"/>
      <c r="AW331" s="108"/>
      <c r="AX331" s="108"/>
      <c r="AY331" s="108"/>
      <c r="AZ331" s="108"/>
      <c r="BA331" s="108"/>
      <c r="BB331" s="108"/>
      <c r="BC331" s="108"/>
      <c r="BD331" s="108"/>
      <c r="BE331" s="108"/>
      <c r="BF331" s="108"/>
      <c r="BG331" s="108"/>
      <c r="BH331" s="108"/>
      <c r="BI331" s="108"/>
      <c r="BJ331" s="108"/>
      <c r="BK331" s="109"/>
      <c r="BL331" s="108"/>
      <c r="BM331" s="108"/>
      <c r="BN331" s="108"/>
    </row>
    <row r="332" spans="1:66" ht="12" customHeight="1" x14ac:dyDescent="0.2">
      <c r="A332" s="179"/>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c r="AA332" s="108"/>
      <c r="AB332" s="108"/>
      <c r="AC332" s="108"/>
      <c r="AD332" s="108"/>
      <c r="AE332" s="108"/>
      <c r="AF332" s="108"/>
      <c r="AG332" s="108"/>
      <c r="AH332" s="108"/>
      <c r="AI332" s="108"/>
      <c r="AJ332" s="108"/>
      <c r="AK332" s="108"/>
      <c r="AL332" s="108"/>
      <c r="AM332" s="108"/>
      <c r="AN332" s="108"/>
      <c r="AO332" s="108"/>
      <c r="AP332" s="108"/>
      <c r="AQ332" s="108"/>
      <c r="AR332" s="108"/>
      <c r="AS332" s="108"/>
      <c r="AT332" s="108"/>
      <c r="AU332" s="108"/>
      <c r="AV332" s="108"/>
      <c r="AW332" s="108"/>
      <c r="AX332" s="108"/>
      <c r="AY332" s="108"/>
      <c r="AZ332" s="108"/>
      <c r="BA332" s="108"/>
      <c r="BB332" s="108"/>
      <c r="BC332" s="108"/>
      <c r="BD332" s="108"/>
      <c r="BE332" s="108"/>
      <c r="BF332" s="108"/>
      <c r="BG332" s="108"/>
      <c r="BH332" s="108"/>
      <c r="BI332" s="108"/>
      <c r="BJ332" s="108"/>
      <c r="BK332" s="109"/>
      <c r="BL332" s="108"/>
      <c r="BM332" s="108"/>
      <c r="BN332" s="108"/>
    </row>
    <row r="333" spans="1:66" ht="12" customHeight="1" x14ac:dyDescent="0.2">
      <c r="A333" s="179"/>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c r="AA333" s="108"/>
      <c r="AB333" s="108"/>
      <c r="AC333" s="108"/>
      <c r="AD333" s="108"/>
      <c r="AE333" s="108"/>
      <c r="AF333" s="108"/>
      <c r="AG333" s="108"/>
      <c r="AH333" s="108"/>
      <c r="AI333" s="108"/>
      <c r="AJ333" s="108"/>
      <c r="AK333" s="108"/>
      <c r="AL333" s="108"/>
      <c r="AM333" s="108"/>
      <c r="AN333" s="108"/>
      <c r="AO333" s="108"/>
      <c r="AP333" s="108"/>
      <c r="AQ333" s="108"/>
      <c r="AR333" s="108"/>
      <c r="AS333" s="108"/>
      <c r="AT333" s="108"/>
      <c r="AU333" s="108"/>
      <c r="AV333" s="108"/>
      <c r="AW333" s="108"/>
      <c r="AX333" s="108"/>
      <c r="AY333" s="108"/>
      <c r="AZ333" s="108"/>
      <c r="BA333" s="108"/>
      <c r="BB333" s="108"/>
      <c r="BC333" s="108"/>
      <c r="BD333" s="108"/>
      <c r="BE333" s="108"/>
      <c r="BF333" s="108"/>
      <c r="BG333" s="108"/>
      <c r="BH333" s="108"/>
      <c r="BI333" s="108"/>
      <c r="BJ333" s="108"/>
      <c r="BK333" s="109"/>
      <c r="BL333" s="108"/>
      <c r="BM333" s="108"/>
      <c r="BN333" s="108"/>
    </row>
    <row r="334" spans="1:66" ht="12" customHeight="1" x14ac:dyDescent="0.2">
      <c r="A334" s="179"/>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c r="AA334" s="108"/>
      <c r="AB334" s="108"/>
      <c r="AC334" s="108"/>
      <c r="AD334" s="108"/>
      <c r="AE334" s="108"/>
      <c r="AF334" s="108"/>
      <c r="AG334" s="108"/>
      <c r="AH334" s="108"/>
      <c r="AI334" s="108"/>
      <c r="AJ334" s="108"/>
      <c r="AK334" s="108"/>
      <c r="AL334" s="108"/>
      <c r="AM334" s="108"/>
      <c r="AN334" s="108"/>
      <c r="AO334" s="108"/>
      <c r="AP334" s="108"/>
      <c r="AQ334" s="108"/>
      <c r="AR334" s="108"/>
      <c r="AS334" s="108"/>
      <c r="AT334" s="108"/>
      <c r="AU334" s="108"/>
      <c r="AV334" s="108"/>
      <c r="AW334" s="108"/>
      <c r="AX334" s="108"/>
      <c r="AY334" s="108"/>
      <c r="AZ334" s="108"/>
      <c r="BA334" s="108"/>
      <c r="BB334" s="108"/>
      <c r="BC334" s="108"/>
      <c r="BD334" s="108"/>
      <c r="BE334" s="108"/>
      <c r="BF334" s="108"/>
      <c r="BG334" s="108"/>
      <c r="BH334" s="108"/>
      <c r="BI334" s="108"/>
      <c r="BJ334" s="108"/>
      <c r="BK334" s="109"/>
      <c r="BL334" s="108"/>
      <c r="BM334" s="108"/>
      <c r="BN334" s="108"/>
    </row>
    <row r="335" spans="1:66" ht="12" customHeight="1" x14ac:dyDescent="0.2">
      <c r="A335" s="179"/>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c r="AA335" s="108"/>
      <c r="AB335" s="108"/>
      <c r="AC335" s="108"/>
      <c r="AD335" s="108"/>
      <c r="AE335" s="108"/>
      <c r="AF335" s="108"/>
      <c r="AG335" s="108"/>
      <c r="AH335" s="108"/>
      <c r="AI335" s="108"/>
      <c r="AJ335" s="108"/>
      <c r="AK335" s="108"/>
      <c r="AL335" s="108"/>
      <c r="AM335" s="108"/>
      <c r="AN335" s="108"/>
      <c r="AO335" s="108"/>
      <c r="AP335" s="108"/>
      <c r="AQ335" s="108"/>
      <c r="AR335" s="108"/>
      <c r="AS335" s="108"/>
      <c r="AT335" s="108"/>
      <c r="AU335" s="108"/>
      <c r="AV335" s="108"/>
      <c r="AW335" s="108"/>
      <c r="AX335" s="108"/>
      <c r="AY335" s="108"/>
      <c r="AZ335" s="108"/>
      <c r="BA335" s="108"/>
      <c r="BB335" s="108"/>
      <c r="BC335" s="108"/>
      <c r="BD335" s="108"/>
      <c r="BE335" s="108"/>
      <c r="BF335" s="108"/>
      <c r="BG335" s="108"/>
      <c r="BH335" s="108"/>
      <c r="BI335" s="108"/>
      <c r="BJ335" s="108"/>
      <c r="BK335" s="109"/>
      <c r="BL335" s="108"/>
      <c r="BM335" s="108"/>
      <c r="BN335" s="108"/>
    </row>
    <row r="336" spans="1:66" ht="12" customHeight="1" x14ac:dyDescent="0.2">
      <c r="A336" s="179"/>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c r="AA336" s="108"/>
      <c r="AB336" s="108"/>
      <c r="AC336" s="108"/>
      <c r="AD336" s="108"/>
      <c r="AE336" s="108"/>
      <c r="AF336" s="108"/>
      <c r="AG336" s="108"/>
      <c r="AH336" s="108"/>
      <c r="AI336" s="108"/>
      <c r="AJ336" s="108"/>
      <c r="AK336" s="108"/>
      <c r="AL336" s="108"/>
      <c r="AM336" s="108"/>
      <c r="AN336" s="108"/>
      <c r="AO336" s="108"/>
      <c r="AP336" s="108"/>
      <c r="AQ336" s="108"/>
      <c r="AR336" s="108"/>
      <c r="AS336" s="108"/>
      <c r="AT336" s="108"/>
      <c r="AU336" s="108"/>
      <c r="AV336" s="108"/>
      <c r="AW336" s="108"/>
      <c r="AX336" s="108"/>
      <c r="AY336" s="108"/>
      <c r="AZ336" s="108"/>
      <c r="BA336" s="108"/>
      <c r="BB336" s="108"/>
      <c r="BC336" s="108"/>
      <c r="BD336" s="108"/>
      <c r="BE336" s="108"/>
      <c r="BF336" s="108"/>
      <c r="BG336" s="108"/>
      <c r="BH336" s="108"/>
      <c r="BI336" s="108"/>
      <c r="BJ336" s="108"/>
      <c r="BK336" s="109"/>
      <c r="BL336" s="108"/>
      <c r="BM336" s="108"/>
      <c r="BN336" s="108"/>
    </row>
    <row r="337" spans="1:66" ht="12" customHeight="1" x14ac:dyDescent="0.2">
      <c r="A337" s="179"/>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c r="AA337" s="108"/>
      <c r="AB337" s="108"/>
      <c r="AC337" s="108"/>
      <c r="AD337" s="108"/>
      <c r="AE337" s="108"/>
      <c r="AF337" s="108"/>
      <c r="AG337" s="108"/>
      <c r="AH337" s="108"/>
      <c r="AI337" s="108"/>
      <c r="AJ337" s="108"/>
      <c r="AK337" s="108"/>
      <c r="AL337" s="108"/>
      <c r="AM337" s="108"/>
      <c r="AN337" s="108"/>
      <c r="AO337" s="108"/>
      <c r="AP337" s="108"/>
      <c r="AQ337" s="108"/>
      <c r="AR337" s="108"/>
      <c r="AS337" s="108"/>
      <c r="AT337" s="108"/>
      <c r="AU337" s="108"/>
      <c r="AV337" s="108"/>
      <c r="AW337" s="108"/>
      <c r="AX337" s="108"/>
      <c r="AY337" s="108"/>
      <c r="AZ337" s="108"/>
      <c r="BA337" s="108"/>
      <c r="BB337" s="108"/>
      <c r="BC337" s="108"/>
      <c r="BD337" s="108"/>
      <c r="BE337" s="108"/>
      <c r="BF337" s="108"/>
      <c r="BG337" s="108"/>
      <c r="BH337" s="108"/>
      <c r="BI337" s="108"/>
      <c r="BJ337" s="108"/>
      <c r="BK337" s="109"/>
      <c r="BL337" s="108"/>
      <c r="BM337" s="108"/>
      <c r="BN337" s="108"/>
    </row>
    <row r="338" spans="1:66" ht="12" customHeight="1" x14ac:dyDescent="0.2">
      <c r="A338" s="179"/>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c r="AA338" s="108"/>
      <c r="AB338" s="108"/>
      <c r="AC338" s="108"/>
      <c r="AD338" s="108"/>
      <c r="AE338" s="108"/>
      <c r="AF338" s="108"/>
      <c r="AG338" s="108"/>
      <c r="AH338" s="108"/>
      <c r="AI338" s="108"/>
      <c r="AJ338" s="108"/>
      <c r="AK338" s="108"/>
      <c r="AL338" s="108"/>
      <c r="AM338" s="108"/>
      <c r="AN338" s="108"/>
      <c r="AO338" s="108"/>
      <c r="AP338" s="108"/>
      <c r="AQ338" s="108"/>
      <c r="AR338" s="108"/>
      <c r="AS338" s="108"/>
      <c r="AT338" s="108"/>
      <c r="AU338" s="108"/>
      <c r="AV338" s="108"/>
      <c r="AW338" s="108"/>
      <c r="AX338" s="108"/>
      <c r="AY338" s="108"/>
      <c r="AZ338" s="108"/>
      <c r="BA338" s="108"/>
      <c r="BB338" s="108"/>
      <c r="BC338" s="108"/>
      <c r="BD338" s="108"/>
      <c r="BE338" s="108"/>
      <c r="BF338" s="108"/>
      <c r="BG338" s="108"/>
      <c r="BH338" s="108"/>
      <c r="BI338" s="108"/>
      <c r="BJ338" s="108"/>
      <c r="BK338" s="109"/>
      <c r="BL338" s="108"/>
      <c r="BM338" s="108"/>
      <c r="BN338" s="108"/>
    </row>
    <row r="339" spans="1:66" ht="12" customHeight="1" x14ac:dyDescent="0.2">
      <c r="A339" s="179"/>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c r="AA339" s="108"/>
      <c r="AB339" s="108"/>
      <c r="AC339" s="108"/>
      <c r="AD339" s="108"/>
      <c r="AE339" s="108"/>
      <c r="AF339" s="108"/>
      <c r="AG339" s="108"/>
      <c r="AH339" s="108"/>
      <c r="AI339" s="108"/>
      <c r="AJ339" s="108"/>
      <c r="AK339" s="108"/>
      <c r="AL339" s="108"/>
      <c r="AM339" s="108"/>
      <c r="AN339" s="108"/>
      <c r="AO339" s="108"/>
      <c r="AP339" s="108"/>
      <c r="AQ339" s="108"/>
      <c r="AR339" s="108"/>
      <c r="AS339" s="108"/>
      <c r="AT339" s="108"/>
      <c r="AU339" s="108"/>
      <c r="AV339" s="108"/>
      <c r="AW339" s="108"/>
      <c r="AX339" s="108"/>
      <c r="AY339" s="108"/>
      <c r="AZ339" s="108"/>
      <c r="BA339" s="108"/>
      <c r="BB339" s="108"/>
      <c r="BC339" s="108"/>
      <c r="BD339" s="108"/>
      <c r="BE339" s="108"/>
      <c r="BF339" s="108"/>
      <c r="BG339" s="108"/>
      <c r="BH339" s="108"/>
      <c r="BI339" s="108"/>
      <c r="BJ339" s="108"/>
      <c r="BK339" s="109"/>
      <c r="BL339" s="108"/>
      <c r="BM339" s="108"/>
      <c r="BN339" s="108"/>
    </row>
    <row r="340" spans="1:66" ht="12" customHeight="1" x14ac:dyDescent="0.2">
      <c r="A340" s="179"/>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c r="AA340" s="108"/>
      <c r="AB340" s="108"/>
      <c r="AC340" s="108"/>
      <c r="AD340" s="108"/>
      <c r="AE340" s="108"/>
      <c r="AF340" s="108"/>
      <c r="AG340" s="108"/>
      <c r="AH340" s="108"/>
      <c r="AI340" s="108"/>
      <c r="AJ340" s="108"/>
      <c r="AK340" s="108"/>
      <c r="AL340" s="108"/>
      <c r="AM340" s="108"/>
      <c r="AN340" s="108"/>
      <c r="AO340" s="108"/>
      <c r="AP340" s="108"/>
      <c r="AQ340" s="108"/>
      <c r="AR340" s="108"/>
      <c r="AS340" s="108"/>
      <c r="AT340" s="108"/>
      <c r="AU340" s="108"/>
      <c r="AV340" s="108"/>
      <c r="AW340" s="108"/>
      <c r="AX340" s="108"/>
      <c r="AY340" s="108"/>
      <c r="AZ340" s="108"/>
      <c r="BA340" s="108"/>
      <c r="BB340" s="108"/>
      <c r="BC340" s="108"/>
      <c r="BD340" s="108"/>
      <c r="BE340" s="108"/>
      <c r="BF340" s="108"/>
      <c r="BG340" s="108"/>
      <c r="BH340" s="108"/>
      <c r="BI340" s="108"/>
      <c r="BJ340" s="108"/>
      <c r="BK340" s="109"/>
      <c r="BL340" s="108"/>
      <c r="BM340" s="108"/>
      <c r="BN340" s="108"/>
    </row>
    <row r="341" spans="1:66" ht="12" customHeight="1" x14ac:dyDescent="0.2">
      <c r="A341" s="179"/>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c r="AA341" s="108"/>
      <c r="AB341" s="108"/>
      <c r="AC341" s="108"/>
      <c r="AD341" s="108"/>
      <c r="AE341" s="108"/>
      <c r="AF341" s="108"/>
      <c r="AG341" s="108"/>
      <c r="AH341" s="108"/>
      <c r="AI341" s="108"/>
      <c r="AJ341" s="108"/>
      <c r="AK341" s="108"/>
      <c r="AL341" s="108"/>
      <c r="AM341" s="108"/>
      <c r="AN341" s="108"/>
      <c r="AO341" s="108"/>
      <c r="AP341" s="108"/>
      <c r="AQ341" s="108"/>
      <c r="AR341" s="108"/>
      <c r="AS341" s="108"/>
      <c r="AT341" s="108"/>
      <c r="AU341" s="108"/>
      <c r="AV341" s="108"/>
      <c r="AW341" s="108"/>
      <c r="AX341" s="108"/>
      <c r="AY341" s="108"/>
      <c r="AZ341" s="108"/>
      <c r="BA341" s="108"/>
      <c r="BB341" s="108"/>
      <c r="BC341" s="108"/>
      <c r="BD341" s="108"/>
      <c r="BE341" s="108"/>
      <c r="BF341" s="108"/>
      <c r="BG341" s="108"/>
      <c r="BH341" s="108"/>
      <c r="BI341" s="108"/>
      <c r="BJ341" s="108"/>
      <c r="BK341" s="109"/>
      <c r="BL341" s="108"/>
      <c r="BM341" s="108"/>
      <c r="BN341" s="108"/>
    </row>
    <row r="342" spans="1:66" ht="12" customHeight="1" x14ac:dyDescent="0.2">
      <c r="A342" s="179"/>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c r="AA342" s="108"/>
      <c r="AB342" s="108"/>
      <c r="AC342" s="108"/>
      <c r="AD342" s="108"/>
      <c r="AE342" s="108"/>
      <c r="AF342" s="108"/>
      <c r="AG342" s="108"/>
      <c r="AH342" s="108"/>
      <c r="AI342" s="108"/>
      <c r="AJ342" s="108"/>
      <c r="AK342" s="108"/>
      <c r="AL342" s="108"/>
      <c r="AM342" s="108"/>
      <c r="AN342" s="108"/>
      <c r="AO342" s="108"/>
      <c r="AP342" s="108"/>
      <c r="AQ342" s="108"/>
      <c r="AR342" s="108"/>
      <c r="AS342" s="108"/>
      <c r="AT342" s="108"/>
      <c r="AU342" s="108"/>
      <c r="AV342" s="108"/>
      <c r="AW342" s="108"/>
      <c r="AX342" s="108"/>
      <c r="AY342" s="108"/>
      <c r="AZ342" s="108"/>
      <c r="BA342" s="108"/>
      <c r="BB342" s="108"/>
      <c r="BC342" s="108"/>
      <c r="BD342" s="108"/>
      <c r="BE342" s="108"/>
      <c r="BF342" s="108"/>
      <c r="BG342" s="108"/>
      <c r="BH342" s="108"/>
      <c r="BI342" s="108"/>
      <c r="BJ342" s="108"/>
      <c r="BK342" s="109"/>
      <c r="BL342" s="108"/>
      <c r="BM342" s="108"/>
      <c r="BN342" s="108"/>
    </row>
    <row r="343" spans="1:66" ht="12" customHeight="1" x14ac:dyDescent="0.2">
      <c r="A343" s="179"/>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c r="AA343" s="108"/>
      <c r="AB343" s="108"/>
      <c r="AC343" s="108"/>
      <c r="AD343" s="108"/>
      <c r="AE343" s="108"/>
      <c r="AF343" s="108"/>
      <c r="AG343" s="108"/>
      <c r="AH343" s="108"/>
      <c r="AI343" s="108"/>
      <c r="AJ343" s="108"/>
      <c r="AK343" s="108"/>
      <c r="AL343" s="108"/>
      <c r="AM343" s="108"/>
      <c r="AN343" s="108"/>
      <c r="AO343" s="108"/>
      <c r="AP343" s="108"/>
      <c r="AQ343" s="108"/>
      <c r="AR343" s="108"/>
      <c r="AS343" s="108"/>
      <c r="AT343" s="108"/>
      <c r="AU343" s="108"/>
      <c r="AV343" s="108"/>
      <c r="AW343" s="108"/>
      <c r="AX343" s="108"/>
      <c r="AY343" s="108"/>
      <c r="AZ343" s="108"/>
      <c r="BA343" s="108"/>
      <c r="BB343" s="108"/>
      <c r="BC343" s="108"/>
      <c r="BD343" s="108"/>
      <c r="BE343" s="108"/>
      <c r="BF343" s="108"/>
      <c r="BG343" s="108"/>
      <c r="BH343" s="108"/>
      <c r="BI343" s="108"/>
      <c r="BJ343" s="108"/>
      <c r="BK343" s="109"/>
      <c r="BL343" s="108"/>
      <c r="BM343" s="108"/>
      <c r="BN343" s="108"/>
    </row>
    <row r="344" spans="1:66" ht="12" customHeight="1" x14ac:dyDescent="0.2">
      <c r="A344" s="179"/>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c r="AA344" s="108"/>
      <c r="AB344" s="108"/>
      <c r="AC344" s="108"/>
      <c r="AD344" s="108"/>
      <c r="AE344" s="108"/>
      <c r="AF344" s="108"/>
      <c r="AG344" s="108"/>
      <c r="AH344" s="108"/>
      <c r="AI344" s="108"/>
      <c r="AJ344" s="108"/>
      <c r="AK344" s="108"/>
      <c r="AL344" s="108"/>
      <c r="AM344" s="108"/>
      <c r="AN344" s="108"/>
      <c r="AO344" s="108"/>
      <c r="AP344" s="108"/>
      <c r="AQ344" s="108"/>
      <c r="AR344" s="108"/>
      <c r="AS344" s="108"/>
      <c r="AT344" s="108"/>
      <c r="AU344" s="108"/>
      <c r="AV344" s="108"/>
      <c r="AW344" s="108"/>
      <c r="AX344" s="108"/>
      <c r="AY344" s="108"/>
      <c r="AZ344" s="108"/>
      <c r="BA344" s="108"/>
      <c r="BB344" s="108"/>
      <c r="BC344" s="108"/>
      <c r="BD344" s="108"/>
      <c r="BE344" s="108"/>
      <c r="BF344" s="108"/>
      <c r="BG344" s="108"/>
      <c r="BH344" s="108"/>
      <c r="BI344" s="108"/>
      <c r="BJ344" s="108"/>
      <c r="BK344" s="109"/>
      <c r="BL344" s="108"/>
      <c r="BM344" s="108"/>
      <c r="BN344" s="108"/>
    </row>
    <row r="345" spans="1:66" ht="12" customHeight="1" x14ac:dyDescent="0.2">
      <c r="A345" s="179"/>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c r="AA345" s="108"/>
      <c r="AB345" s="108"/>
      <c r="AC345" s="108"/>
      <c r="AD345" s="108"/>
      <c r="AE345" s="108"/>
      <c r="AF345" s="108"/>
      <c r="AG345" s="108"/>
      <c r="AH345" s="108"/>
      <c r="AI345" s="108"/>
      <c r="AJ345" s="108"/>
      <c r="AK345" s="108"/>
      <c r="AL345" s="108"/>
      <c r="AM345" s="108"/>
      <c r="AN345" s="108"/>
      <c r="AO345" s="108"/>
      <c r="AP345" s="108"/>
      <c r="AQ345" s="108"/>
      <c r="AR345" s="108"/>
      <c r="AS345" s="108"/>
      <c r="AT345" s="108"/>
      <c r="AU345" s="108"/>
      <c r="AV345" s="108"/>
      <c r="AW345" s="108"/>
      <c r="AX345" s="108"/>
      <c r="AY345" s="108"/>
      <c r="AZ345" s="108"/>
      <c r="BA345" s="108"/>
      <c r="BB345" s="108"/>
      <c r="BC345" s="108"/>
      <c r="BD345" s="108"/>
      <c r="BE345" s="108"/>
      <c r="BF345" s="108"/>
      <c r="BG345" s="108"/>
      <c r="BH345" s="108"/>
      <c r="BI345" s="108"/>
      <c r="BJ345" s="108"/>
      <c r="BK345" s="109"/>
      <c r="BL345" s="108"/>
      <c r="BM345" s="108"/>
      <c r="BN345" s="108"/>
    </row>
    <row r="346" spans="1:66" ht="12" customHeight="1" x14ac:dyDescent="0.2">
      <c r="A346" s="179"/>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c r="AA346" s="108"/>
      <c r="AB346" s="108"/>
      <c r="AC346" s="108"/>
      <c r="AD346" s="108"/>
      <c r="AE346" s="108"/>
      <c r="AF346" s="108"/>
      <c r="AG346" s="108"/>
      <c r="AH346" s="108"/>
      <c r="AI346" s="108"/>
      <c r="AJ346" s="108"/>
      <c r="AK346" s="108"/>
      <c r="AL346" s="108"/>
      <c r="AM346" s="108"/>
      <c r="AN346" s="108"/>
      <c r="AO346" s="108"/>
      <c r="AP346" s="108"/>
      <c r="AQ346" s="108"/>
      <c r="AR346" s="108"/>
      <c r="AS346" s="108"/>
      <c r="AT346" s="108"/>
      <c r="AU346" s="108"/>
      <c r="AV346" s="108"/>
      <c r="AW346" s="108"/>
      <c r="AX346" s="108"/>
      <c r="AY346" s="108"/>
      <c r="AZ346" s="108"/>
      <c r="BA346" s="108"/>
      <c r="BB346" s="108"/>
      <c r="BC346" s="108"/>
      <c r="BD346" s="108"/>
      <c r="BE346" s="108"/>
      <c r="BF346" s="108"/>
      <c r="BG346" s="108"/>
      <c r="BH346" s="108"/>
      <c r="BI346" s="108"/>
      <c r="BJ346" s="108"/>
      <c r="BK346" s="109"/>
      <c r="BL346" s="108"/>
      <c r="BM346" s="108"/>
      <c r="BN346" s="108"/>
    </row>
    <row r="347" spans="1:66" ht="12" customHeight="1" x14ac:dyDescent="0.2">
      <c r="A347" s="179"/>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c r="AA347" s="108"/>
      <c r="AB347" s="108"/>
      <c r="AC347" s="108"/>
      <c r="AD347" s="108"/>
      <c r="AE347" s="108"/>
      <c r="AF347" s="108"/>
      <c r="AG347" s="108"/>
      <c r="AH347" s="108"/>
      <c r="AI347" s="108"/>
      <c r="AJ347" s="108"/>
      <c r="AK347" s="108"/>
      <c r="AL347" s="108"/>
      <c r="AM347" s="108"/>
      <c r="AN347" s="108"/>
      <c r="AO347" s="108"/>
      <c r="AP347" s="108"/>
      <c r="AQ347" s="108"/>
      <c r="AR347" s="108"/>
      <c r="AS347" s="108"/>
      <c r="AT347" s="108"/>
      <c r="AU347" s="108"/>
      <c r="AV347" s="108"/>
      <c r="AW347" s="108"/>
      <c r="AX347" s="108"/>
      <c r="AY347" s="108"/>
      <c r="AZ347" s="108"/>
      <c r="BA347" s="108"/>
      <c r="BB347" s="108"/>
      <c r="BC347" s="108"/>
      <c r="BD347" s="108"/>
      <c r="BE347" s="108"/>
      <c r="BF347" s="108"/>
      <c r="BG347" s="108"/>
      <c r="BH347" s="108"/>
      <c r="BI347" s="108"/>
      <c r="BJ347" s="108"/>
      <c r="BK347" s="109"/>
      <c r="BL347" s="108"/>
      <c r="BM347" s="108"/>
      <c r="BN347" s="108"/>
    </row>
    <row r="348" spans="1:66" ht="12" customHeight="1" x14ac:dyDescent="0.2">
      <c r="A348" s="179"/>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c r="AA348" s="108"/>
      <c r="AB348" s="108"/>
      <c r="AC348" s="108"/>
      <c r="AD348" s="108"/>
      <c r="AE348" s="108"/>
      <c r="AF348" s="108"/>
      <c r="AG348" s="108"/>
      <c r="AH348" s="108"/>
      <c r="AI348" s="108"/>
      <c r="AJ348" s="108"/>
      <c r="AK348" s="108"/>
      <c r="AL348" s="108"/>
      <c r="AM348" s="108"/>
      <c r="AN348" s="108"/>
      <c r="AO348" s="108"/>
      <c r="AP348" s="108"/>
      <c r="AQ348" s="108"/>
      <c r="AR348" s="108"/>
      <c r="AS348" s="108"/>
      <c r="AT348" s="108"/>
      <c r="AU348" s="108"/>
      <c r="AV348" s="108"/>
      <c r="AW348" s="108"/>
      <c r="AX348" s="108"/>
      <c r="AY348" s="108"/>
      <c r="AZ348" s="108"/>
      <c r="BA348" s="108"/>
      <c r="BB348" s="108"/>
      <c r="BC348" s="108"/>
      <c r="BD348" s="108"/>
      <c r="BE348" s="108"/>
      <c r="BF348" s="108"/>
      <c r="BG348" s="108"/>
      <c r="BH348" s="108"/>
      <c r="BI348" s="108"/>
      <c r="BJ348" s="108"/>
      <c r="BK348" s="109"/>
      <c r="BL348" s="108"/>
      <c r="BM348" s="108"/>
      <c r="BN348" s="108"/>
    </row>
    <row r="349" spans="1:66" ht="12" customHeight="1" x14ac:dyDescent="0.2">
      <c r="A349" s="179"/>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c r="AA349" s="108"/>
      <c r="AB349" s="108"/>
      <c r="AC349" s="108"/>
      <c r="AD349" s="108"/>
      <c r="AE349" s="108"/>
      <c r="AF349" s="108"/>
      <c r="AG349" s="108"/>
      <c r="AH349" s="108"/>
      <c r="AI349" s="108"/>
      <c r="AJ349" s="108"/>
      <c r="AK349" s="108"/>
      <c r="AL349" s="108"/>
      <c r="AM349" s="108"/>
      <c r="AN349" s="108"/>
      <c r="AO349" s="108"/>
      <c r="AP349" s="108"/>
      <c r="AQ349" s="108"/>
      <c r="AR349" s="108"/>
      <c r="AS349" s="108"/>
      <c r="AT349" s="108"/>
      <c r="AU349" s="108"/>
      <c r="AV349" s="108"/>
      <c r="AW349" s="108"/>
      <c r="AX349" s="108"/>
      <c r="AY349" s="108"/>
      <c r="AZ349" s="108"/>
      <c r="BA349" s="108"/>
      <c r="BB349" s="108"/>
      <c r="BC349" s="108"/>
      <c r="BD349" s="108"/>
      <c r="BE349" s="108"/>
      <c r="BF349" s="108"/>
      <c r="BG349" s="108"/>
      <c r="BH349" s="108"/>
      <c r="BI349" s="108"/>
      <c r="BJ349" s="108"/>
      <c r="BK349" s="109"/>
      <c r="BL349" s="108"/>
      <c r="BM349" s="108"/>
      <c r="BN349" s="108"/>
    </row>
    <row r="350" spans="1:66" ht="12" customHeight="1" x14ac:dyDescent="0.2">
      <c r="A350" s="179"/>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c r="AA350" s="108"/>
      <c r="AB350" s="108"/>
      <c r="AC350" s="108"/>
      <c r="AD350" s="108"/>
      <c r="AE350" s="108"/>
      <c r="AF350" s="108"/>
      <c r="AG350" s="108"/>
      <c r="AH350" s="108"/>
      <c r="AI350" s="108"/>
      <c r="AJ350" s="108"/>
      <c r="AK350" s="108"/>
      <c r="AL350" s="108"/>
      <c r="AM350" s="108"/>
      <c r="AN350" s="108"/>
      <c r="AO350" s="108"/>
      <c r="AP350" s="108"/>
      <c r="AQ350" s="108"/>
      <c r="AR350" s="108"/>
      <c r="AS350" s="108"/>
      <c r="AT350" s="108"/>
      <c r="AU350" s="108"/>
      <c r="AV350" s="108"/>
      <c r="AW350" s="108"/>
      <c r="AX350" s="108"/>
      <c r="AY350" s="108"/>
      <c r="AZ350" s="108"/>
      <c r="BA350" s="108"/>
      <c r="BB350" s="108"/>
      <c r="BC350" s="108"/>
      <c r="BD350" s="108"/>
      <c r="BE350" s="108"/>
      <c r="BF350" s="108"/>
      <c r="BG350" s="108"/>
      <c r="BH350" s="108"/>
      <c r="BI350" s="108"/>
      <c r="BJ350" s="108"/>
      <c r="BK350" s="109"/>
      <c r="BL350" s="108"/>
      <c r="BM350" s="108"/>
      <c r="BN350" s="108"/>
    </row>
    <row r="351" spans="1:66" ht="12" customHeight="1" x14ac:dyDescent="0.2">
      <c r="A351" s="179"/>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c r="AA351" s="108"/>
      <c r="AB351" s="108"/>
      <c r="AC351" s="108"/>
      <c r="AD351" s="108"/>
      <c r="AE351" s="108"/>
      <c r="AF351" s="108"/>
      <c r="AG351" s="108"/>
      <c r="AH351" s="108"/>
      <c r="AI351" s="108"/>
      <c r="AJ351" s="108"/>
      <c r="AK351" s="108"/>
      <c r="AL351" s="108"/>
      <c r="AM351" s="108"/>
      <c r="AN351" s="108"/>
      <c r="AO351" s="108"/>
      <c r="AP351" s="108"/>
      <c r="AQ351" s="108"/>
      <c r="AR351" s="108"/>
      <c r="AS351" s="108"/>
      <c r="AT351" s="108"/>
      <c r="AU351" s="108"/>
      <c r="AV351" s="108"/>
      <c r="AW351" s="108"/>
      <c r="AX351" s="108"/>
      <c r="AY351" s="108"/>
      <c r="AZ351" s="108"/>
      <c r="BA351" s="108"/>
      <c r="BB351" s="108"/>
      <c r="BC351" s="108"/>
      <c r="BD351" s="108"/>
      <c r="BE351" s="108"/>
      <c r="BF351" s="108"/>
      <c r="BG351" s="108"/>
      <c r="BH351" s="108"/>
      <c r="BI351" s="108"/>
      <c r="BJ351" s="108"/>
      <c r="BK351" s="109"/>
      <c r="BL351" s="108"/>
      <c r="BM351" s="108"/>
      <c r="BN351" s="108"/>
    </row>
    <row r="352" spans="1:66" ht="12" customHeight="1" x14ac:dyDescent="0.2">
      <c r="A352" s="179"/>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c r="AA352" s="108"/>
      <c r="AB352" s="108"/>
      <c r="AC352" s="108"/>
      <c r="AD352" s="108"/>
      <c r="AE352" s="108"/>
      <c r="AF352" s="108"/>
      <c r="AG352" s="108"/>
      <c r="AH352" s="108"/>
      <c r="AI352" s="108"/>
      <c r="AJ352" s="108"/>
      <c r="AK352" s="108"/>
      <c r="AL352" s="108"/>
      <c r="AM352" s="108"/>
      <c r="AN352" s="108"/>
      <c r="AO352" s="108"/>
      <c r="AP352" s="108"/>
      <c r="AQ352" s="108"/>
      <c r="AR352" s="108"/>
      <c r="AS352" s="108"/>
      <c r="AT352" s="108"/>
      <c r="AU352" s="108"/>
      <c r="AV352" s="108"/>
      <c r="AW352" s="108"/>
      <c r="AX352" s="108"/>
      <c r="AY352" s="108"/>
      <c r="AZ352" s="108"/>
      <c r="BA352" s="108"/>
      <c r="BB352" s="108"/>
      <c r="BC352" s="108"/>
      <c r="BD352" s="108"/>
      <c r="BE352" s="108"/>
      <c r="BF352" s="108"/>
      <c r="BG352" s="108"/>
      <c r="BH352" s="108"/>
      <c r="BI352" s="108"/>
      <c r="BJ352" s="108"/>
      <c r="BK352" s="109"/>
      <c r="BL352" s="108"/>
      <c r="BM352" s="108"/>
      <c r="BN352" s="108"/>
    </row>
    <row r="353" spans="1:66" ht="12" customHeight="1" x14ac:dyDescent="0.2">
      <c r="A353" s="179"/>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c r="AA353" s="108"/>
      <c r="AB353" s="108"/>
      <c r="AC353" s="108"/>
      <c r="AD353" s="108"/>
      <c r="AE353" s="108"/>
      <c r="AF353" s="108"/>
      <c r="AG353" s="108"/>
      <c r="AH353" s="108"/>
      <c r="AI353" s="108"/>
      <c r="AJ353" s="108"/>
      <c r="AK353" s="108"/>
      <c r="AL353" s="108"/>
      <c r="AM353" s="108"/>
      <c r="AN353" s="108"/>
      <c r="AO353" s="108"/>
      <c r="AP353" s="108"/>
      <c r="AQ353" s="108"/>
      <c r="AR353" s="108"/>
      <c r="AS353" s="108"/>
      <c r="AT353" s="108"/>
      <c r="AU353" s="108"/>
      <c r="AV353" s="108"/>
      <c r="AW353" s="108"/>
      <c r="AX353" s="108"/>
      <c r="AY353" s="108"/>
      <c r="AZ353" s="108"/>
      <c r="BA353" s="108"/>
      <c r="BB353" s="108"/>
      <c r="BC353" s="108"/>
      <c r="BD353" s="108"/>
      <c r="BE353" s="108"/>
      <c r="BF353" s="108"/>
      <c r="BG353" s="108"/>
      <c r="BH353" s="108"/>
      <c r="BI353" s="108"/>
      <c r="BJ353" s="108"/>
      <c r="BK353" s="109"/>
      <c r="BL353" s="108"/>
      <c r="BM353" s="108"/>
      <c r="BN353" s="108"/>
    </row>
    <row r="354" spans="1:66" ht="12" customHeight="1" x14ac:dyDescent="0.2">
      <c r="A354" s="179"/>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c r="AA354" s="108"/>
      <c r="AB354" s="108"/>
      <c r="AC354" s="108"/>
      <c r="AD354" s="108"/>
      <c r="AE354" s="108"/>
      <c r="AF354" s="108"/>
      <c r="AG354" s="108"/>
      <c r="AH354" s="108"/>
      <c r="AI354" s="108"/>
      <c r="AJ354" s="108"/>
      <c r="AK354" s="108"/>
      <c r="AL354" s="108"/>
      <c r="AM354" s="108"/>
      <c r="AN354" s="108"/>
      <c r="AO354" s="108"/>
      <c r="AP354" s="108"/>
      <c r="AQ354" s="108"/>
      <c r="AR354" s="108"/>
      <c r="AS354" s="108"/>
      <c r="AT354" s="108"/>
      <c r="AU354" s="108"/>
      <c r="AV354" s="108"/>
      <c r="AW354" s="108"/>
      <c r="AX354" s="108"/>
      <c r="AY354" s="108"/>
      <c r="AZ354" s="108"/>
      <c r="BA354" s="108"/>
      <c r="BB354" s="108"/>
      <c r="BC354" s="108"/>
      <c r="BD354" s="108"/>
      <c r="BE354" s="108"/>
      <c r="BF354" s="108"/>
      <c r="BG354" s="108"/>
      <c r="BH354" s="108"/>
      <c r="BI354" s="108"/>
      <c r="BJ354" s="108"/>
      <c r="BK354" s="109"/>
      <c r="BL354" s="108"/>
      <c r="BM354" s="108"/>
      <c r="BN354" s="108"/>
    </row>
    <row r="355" spans="1:66" ht="12" customHeight="1" x14ac:dyDescent="0.2">
      <c r="A355" s="179"/>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c r="AA355" s="108"/>
      <c r="AB355" s="108"/>
      <c r="AC355" s="108"/>
      <c r="AD355" s="108"/>
      <c r="AE355" s="108"/>
      <c r="AF355" s="108"/>
      <c r="AG355" s="108"/>
      <c r="AH355" s="108"/>
      <c r="AI355" s="108"/>
      <c r="AJ355" s="108"/>
      <c r="AK355" s="108"/>
      <c r="AL355" s="108"/>
      <c r="AM355" s="108"/>
      <c r="AN355" s="108"/>
      <c r="AO355" s="108"/>
      <c r="AP355" s="108"/>
      <c r="AQ355" s="108"/>
      <c r="AR355" s="108"/>
      <c r="AS355" s="108"/>
      <c r="AT355" s="108"/>
      <c r="AU355" s="108"/>
      <c r="AV355" s="108"/>
      <c r="AW355" s="108"/>
      <c r="AX355" s="108"/>
      <c r="AY355" s="108"/>
      <c r="AZ355" s="108"/>
      <c r="BA355" s="108"/>
      <c r="BB355" s="108"/>
      <c r="BC355" s="108"/>
      <c r="BD355" s="108"/>
      <c r="BE355" s="108"/>
      <c r="BF355" s="108"/>
      <c r="BG355" s="108"/>
      <c r="BH355" s="108"/>
      <c r="BI355" s="108"/>
      <c r="BJ355" s="108"/>
      <c r="BK355" s="109"/>
      <c r="BL355" s="108"/>
      <c r="BM355" s="108"/>
      <c r="BN355" s="108"/>
    </row>
    <row r="356" spans="1:66" ht="12" customHeight="1" x14ac:dyDescent="0.2">
      <c r="A356" s="179"/>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c r="AA356" s="108"/>
      <c r="AB356" s="108"/>
      <c r="AC356" s="108"/>
      <c r="AD356" s="108"/>
      <c r="AE356" s="108"/>
      <c r="AF356" s="108"/>
      <c r="AG356" s="108"/>
      <c r="AH356" s="108"/>
      <c r="AI356" s="108"/>
      <c r="AJ356" s="108"/>
      <c r="AK356" s="108"/>
      <c r="AL356" s="108"/>
      <c r="AM356" s="108"/>
      <c r="AN356" s="108"/>
      <c r="AO356" s="108"/>
      <c r="AP356" s="108"/>
      <c r="AQ356" s="108"/>
      <c r="AR356" s="108"/>
      <c r="AS356" s="108"/>
      <c r="AT356" s="108"/>
      <c r="AU356" s="108"/>
      <c r="AV356" s="108"/>
      <c r="AW356" s="108"/>
      <c r="AX356" s="108"/>
      <c r="AY356" s="108"/>
      <c r="AZ356" s="108"/>
      <c r="BA356" s="108"/>
      <c r="BB356" s="108"/>
      <c r="BC356" s="108"/>
      <c r="BD356" s="108"/>
      <c r="BE356" s="108"/>
      <c r="BF356" s="108"/>
      <c r="BG356" s="108"/>
      <c r="BH356" s="108"/>
      <c r="BI356" s="108"/>
      <c r="BJ356" s="108"/>
      <c r="BK356" s="109"/>
      <c r="BL356" s="108"/>
      <c r="BM356" s="108"/>
      <c r="BN356" s="108"/>
    </row>
    <row r="357" spans="1:66" ht="12" customHeight="1" x14ac:dyDescent="0.2">
      <c r="A357" s="179"/>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c r="AA357" s="108"/>
      <c r="AB357" s="108"/>
      <c r="AC357" s="108"/>
      <c r="AD357" s="108"/>
      <c r="AE357" s="108"/>
      <c r="AF357" s="108"/>
      <c r="AG357" s="108"/>
      <c r="AH357" s="108"/>
      <c r="AI357" s="108"/>
      <c r="AJ357" s="108"/>
      <c r="AK357" s="108"/>
      <c r="AL357" s="108"/>
      <c r="AM357" s="108"/>
      <c r="AN357" s="108"/>
      <c r="AO357" s="108"/>
      <c r="AP357" s="108"/>
      <c r="AQ357" s="108"/>
      <c r="AR357" s="108"/>
      <c r="AS357" s="108"/>
      <c r="AT357" s="108"/>
      <c r="AU357" s="108"/>
      <c r="AV357" s="108"/>
      <c r="AW357" s="108"/>
      <c r="AX357" s="108"/>
      <c r="AY357" s="108"/>
      <c r="AZ357" s="108"/>
      <c r="BA357" s="108"/>
      <c r="BB357" s="108"/>
      <c r="BC357" s="108"/>
      <c r="BD357" s="108"/>
      <c r="BE357" s="108"/>
      <c r="BF357" s="108"/>
      <c r="BG357" s="108"/>
      <c r="BH357" s="108"/>
      <c r="BI357" s="108"/>
      <c r="BJ357" s="108"/>
      <c r="BK357" s="109"/>
      <c r="BL357" s="108"/>
      <c r="BM357" s="108"/>
      <c r="BN357" s="108"/>
    </row>
    <row r="358" spans="1:66" ht="12" customHeight="1" x14ac:dyDescent="0.2">
      <c r="A358" s="179"/>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c r="AA358" s="108"/>
      <c r="AB358" s="108"/>
      <c r="AC358" s="108"/>
      <c r="AD358" s="108"/>
      <c r="AE358" s="108"/>
      <c r="AF358" s="108"/>
      <c r="AG358" s="108"/>
      <c r="AH358" s="108"/>
      <c r="AI358" s="108"/>
      <c r="AJ358" s="108"/>
      <c r="AK358" s="108"/>
      <c r="AL358" s="108"/>
      <c r="AM358" s="108"/>
      <c r="AN358" s="108"/>
      <c r="AO358" s="108"/>
      <c r="AP358" s="108"/>
      <c r="AQ358" s="108"/>
      <c r="AR358" s="108"/>
      <c r="AS358" s="108"/>
      <c r="AT358" s="108"/>
      <c r="AU358" s="108"/>
      <c r="AV358" s="108"/>
      <c r="AW358" s="108"/>
      <c r="AX358" s="108"/>
      <c r="AY358" s="108"/>
      <c r="AZ358" s="108"/>
      <c r="BA358" s="108"/>
      <c r="BB358" s="108"/>
      <c r="BC358" s="108"/>
      <c r="BD358" s="108"/>
      <c r="BE358" s="108"/>
      <c r="BF358" s="108"/>
      <c r="BG358" s="108"/>
      <c r="BH358" s="108"/>
      <c r="BI358" s="108"/>
      <c r="BJ358" s="108"/>
      <c r="BK358" s="109"/>
      <c r="BL358" s="108"/>
      <c r="BM358" s="108"/>
      <c r="BN358" s="108"/>
    </row>
    <row r="359" spans="1:66" ht="12" customHeight="1" x14ac:dyDescent="0.2">
      <c r="A359" s="179"/>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c r="AA359" s="108"/>
      <c r="AB359" s="108"/>
      <c r="AC359" s="108"/>
      <c r="AD359" s="108"/>
      <c r="AE359" s="108"/>
      <c r="AF359" s="108"/>
      <c r="AG359" s="108"/>
      <c r="AH359" s="108"/>
      <c r="AI359" s="108"/>
      <c r="AJ359" s="108"/>
      <c r="AK359" s="108"/>
      <c r="AL359" s="108"/>
      <c r="AM359" s="108"/>
      <c r="AN359" s="108"/>
      <c r="AO359" s="108"/>
      <c r="AP359" s="108"/>
      <c r="AQ359" s="108"/>
      <c r="AR359" s="108"/>
      <c r="AS359" s="108"/>
      <c r="AT359" s="108"/>
      <c r="AU359" s="108"/>
      <c r="AV359" s="108"/>
      <c r="AW359" s="108"/>
      <c r="AX359" s="108"/>
      <c r="AY359" s="108"/>
      <c r="AZ359" s="108"/>
      <c r="BA359" s="108"/>
      <c r="BB359" s="108"/>
      <c r="BC359" s="108"/>
      <c r="BD359" s="108"/>
      <c r="BE359" s="108"/>
      <c r="BF359" s="108"/>
      <c r="BG359" s="108"/>
      <c r="BH359" s="108"/>
      <c r="BI359" s="108"/>
      <c r="BJ359" s="108"/>
      <c r="BK359" s="109"/>
      <c r="BL359" s="108"/>
      <c r="BM359" s="108"/>
      <c r="BN359" s="108"/>
    </row>
    <row r="360" spans="1:66" ht="12" customHeight="1" x14ac:dyDescent="0.2">
      <c r="A360" s="179"/>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c r="AA360" s="108"/>
      <c r="AB360" s="108"/>
      <c r="AC360" s="108"/>
      <c r="AD360" s="108"/>
      <c r="AE360" s="108"/>
      <c r="AF360" s="108"/>
      <c r="AG360" s="108"/>
      <c r="AH360" s="108"/>
      <c r="AI360" s="108"/>
      <c r="AJ360" s="108"/>
      <c r="AK360" s="108"/>
      <c r="AL360" s="108"/>
      <c r="AM360" s="108"/>
      <c r="AN360" s="108"/>
      <c r="AO360" s="108"/>
      <c r="AP360" s="108"/>
      <c r="AQ360" s="108"/>
      <c r="AR360" s="108"/>
      <c r="AS360" s="108"/>
      <c r="AT360" s="108"/>
      <c r="AU360" s="108"/>
      <c r="AV360" s="108"/>
      <c r="AW360" s="108"/>
      <c r="AX360" s="108"/>
      <c r="AY360" s="108"/>
      <c r="AZ360" s="108"/>
      <c r="BA360" s="108"/>
      <c r="BB360" s="108"/>
      <c r="BC360" s="108"/>
      <c r="BD360" s="108"/>
      <c r="BE360" s="108"/>
      <c r="BF360" s="108"/>
      <c r="BG360" s="108"/>
      <c r="BH360" s="108"/>
      <c r="BI360" s="108"/>
      <c r="BJ360" s="108"/>
      <c r="BK360" s="109"/>
      <c r="BL360" s="108"/>
      <c r="BM360" s="108"/>
      <c r="BN360" s="108"/>
    </row>
    <row r="361" spans="1:66" ht="12" customHeight="1" x14ac:dyDescent="0.2">
      <c r="A361" s="179"/>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c r="AA361" s="108"/>
      <c r="AB361" s="108"/>
      <c r="AC361" s="108"/>
      <c r="AD361" s="108"/>
      <c r="AE361" s="108"/>
      <c r="AF361" s="108"/>
      <c r="AG361" s="108"/>
      <c r="AH361" s="108"/>
      <c r="AI361" s="108"/>
      <c r="AJ361" s="108"/>
      <c r="AK361" s="108"/>
      <c r="AL361" s="108"/>
      <c r="AM361" s="108"/>
      <c r="AN361" s="108"/>
      <c r="AO361" s="108"/>
      <c r="AP361" s="108"/>
      <c r="AQ361" s="108"/>
      <c r="AR361" s="108"/>
      <c r="AS361" s="108"/>
      <c r="AT361" s="108"/>
      <c r="AU361" s="108"/>
      <c r="AV361" s="108"/>
      <c r="AW361" s="108"/>
      <c r="AX361" s="108"/>
      <c r="AY361" s="108"/>
      <c r="AZ361" s="108"/>
      <c r="BA361" s="108"/>
      <c r="BB361" s="108"/>
      <c r="BC361" s="108"/>
      <c r="BD361" s="108"/>
      <c r="BE361" s="108"/>
      <c r="BF361" s="108"/>
      <c r="BG361" s="108"/>
      <c r="BH361" s="108"/>
      <c r="BI361" s="108"/>
      <c r="BJ361" s="108"/>
      <c r="BK361" s="109"/>
      <c r="BL361" s="108"/>
      <c r="BM361" s="108"/>
      <c r="BN361" s="108"/>
    </row>
    <row r="362" spans="1:66" ht="12" customHeight="1" x14ac:dyDescent="0.2">
      <c r="A362" s="179"/>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c r="AA362" s="108"/>
      <c r="AB362" s="108"/>
      <c r="AC362" s="108"/>
      <c r="AD362" s="108"/>
      <c r="AE362" s="108"/>
      <c r="AF362" s="108"/>
      <c r="AG362" s="108"/>
      <c r="AH362" s="108"/>
      <c r="AI362" s="108"/>
      <c r="AJ362" s="108"/>
      <c r="AK362" s="108"/>
      <c r="AL362" s="108"/>
      <c r="AM362" s="108"/>
      <c r="AN362" s="108"/>
      <c r="AO362" s="108"/>
      <c r="AP362" s="108"/>
      <c r="AQ362" s="108"/>
      <c r="AR362" s="108"/>
      <c r="AS362" s="108"/>
      <c r="AT362" s="108"/>
      <c r="AU362" s="108"/>
      <c r="AV362" s="108"/>
      <c r="AW362" s="108"/>
      <c r="AX362" s="108"/>
      <c r="AY362" s="108"/>
      <c r="AZ362" s="108"/>
      <c r="BA362" s="108"/>
      <c r="BB362" s="108"/>
      <c r="BC362" s="108"/>
      <c r="BD362" s="108"/>
      <c r="BE362" s="108"/>
      <c r="BF362" s="108"/>
      <c r="BG362" s="108"/>
      <c r="BH362" s="108"/>
      <c r="BI362" s="108"/>
      <c r="BJ362" s="108"/>
      <c r="BK362" s="109"/>
      <c r="BL362" s="108"/>
      <c r="BM362" s="108"/>
      <c r="BN362" s="108"/>
    </row>
    <row r="363" spans="1:66" ht="12" customHeight="1" x14ac:dyDescent="0.2">
      <c r="A363" s="179"/>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c r="AA363" s="108"/>
      <c r="AB363" s="108"/>
      <c r="AC363" s="108"/>
      <c r="AD363" s="108"/>
      <c r="AE363" s="108"/>
      <c r="AF363" s="108"/>
      <c r="AG363" s="108"/>
      <c r="AH363" s="108"/>
      <c r="AI363" s="108"/>
      <c r="AJ363" s="108"/>
      <c r="AK363" s="108"/>
      <c r="AL363" s="108"/>
      <c r="AM363" s="108"/>
      <c r="AN363" s="108"/>
      <c r="AO363" s="108"/>
      <c r="AP363" s="108"/>
      <c r="AQ363" s="108"/>
      <c r="AR363" s="108"/>
      <c r="AS363" s="108"/>
      <c r="AT363" s="108"/>
      <c r="AU363" s="108"/>
      <c r="AV363" s="108"/>
      <c r="AW363" s="108"/>
      <c r="AX363" s="108"/>
      <c r="AY363" s="108"/>
      <c r="AZ363" s="108"/>
      <c r="BA363" s="108"/>
      <c r="BB363" s="108"/>
      <c r="BC363" s="108"/>
      <c r="BD363" s="108"/>
      <c r="BE363" s="108"/>
      <c r="BF363" s="108"/>
      <c r="BG363" s="108"/>
      <c r="BH363" s="108"/>
      <c r="BI363" s="108"/>
      <c r="BJ363" s="108"/>
      <c r="BK363" s="109"/>
      <c r="BL363" s="108"/>
      <c r="BM363" s="108"/>
      <c r="BN363" s="108"/>
    </row>
    <row r="364" spans="1:66" ht="12" customHeight="1" x14ac:dyDescent="0.2">
      <c r="A364" s="179"/>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c r="AA364" s="108"/>
      <c r="AB364" s="108"/>
      <c r="AC364" s="108"/>
      <c r="AD364" s="108"/>
      <c r="AE364" s="108"/>
      <c r="AF364" s="108"/>
      <c r="AG364" s="108"/>
      <c r="AH364" s="108"/>
      <c r="AI364" s="108"/>
      <c r="AJ364" s="108"/>
      <c r="AK364" s="108"/>
      <c r="AL364" s="108"/>
      <c r="AM364" s="108"/>
      <c r="AN364" s="108"/>
      <c r="AO364" s="108"/>
      <c r="AP364" s="108"/>
      <c r="AQ364" s="108"/>
      <c r="AR364" s="108"/>
      <c r="AS364" s="108"/>
      <c r="AT364" s="108"/>
      <c r="AU364" s="108"/>
      <c r="AV364" s="108"/>
      <c r="AW364" s="108"/>
      <c r="AX364" s="108"/>
      <c r="AY364" s="108"/>
      <c r="AZ364" s="108"/>
      <c r="BA364" s="108"/>
      <c r="BB364" s="108"/>
      <c r="BC364" s="108"/>
      <c r="BD364" s="108"/>
      <c r="BE364" s="108"/>
      <c r="BF364" s="108"/>
      <c r="BG364" s="108"/>
      <c r="BH364" s="108"/>
      <c r="BI364" s="108"/>
      <c r="BJ364" s="108"/>
      <c r="BK364" s="109"/>
      <c r="BL364" s="108"/>
      <c r="BM364" s="108"/>
      <c r="BN364" s="108"/>
    </row>
    <row r="365" spans="1:66" ht="12" customHeight="1" x14ac:dyDescent="0.2">
      <c r="A365" s="179"/>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c r="AA365" s="108"/>
      <c r="AB365" s="108"/>
      <c r="AC365" s="108"/>
      <c r="AD365" s="108"/>
      <c r="AE365" s="108"/>
      <c r="AF365" s="108"/>
      <c r="AG365" s="108"/>
      <c r="AH365" s="108"/>
      <c r="AI365" s="108"/>
      <c r="AJ365" s="108"/>
      <c r="AK365" s="108"/>
      <c r="AL365" s="108"/>
      <c r="AM365" s="108"/>
      <c r="AN365" s="108"/>
      <c r="AO365" s="108"/>
      <c r="AP365" s="108"/>
      <c r="AQ365" s="108"/>
      <c r="AR365" s="108"/>
      <c r="AS365" s="108"/>
      <c r="AT365" s="108"/>
      <c r="AU365" s="108"/>
      <c r="AV365" s="108"/>
      <c r="AW365" s="108"/>
      <c r="AX365" s="108"/>
      <c r="AY365" s="108"/>
      <c r="AZ365" s="108"/>
      <c r="BA365" s="108"/>
      <c r="BB365" s="108"/>
      <c r="BC365" s="108"/>
      <c r="BD365" s="108"/>
      <c r="BE365" s="108"/>
      <c r="BF365" s="108"/>
      <c r="BG365" s="108"/>
      <c r="BH365" s="108"/>
      <c r="BI365" s="108"/>
      <c r="BJ365" s="108"/>
      <c r="BK365" s="109"/>
      <c r="BL365" s="108"/>
      <c r="BM365" s="108"/>
      <c r="BN365" s="108"/>
    </row>
    <row r="366" spans="1:66" ht="12" customHeight="1" x14ac:dyDescent="0.2">
      <c r="A366" s="179"/>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c r="AA366" s="108"/>
      <c r="AB366" s="108"/>
      <c r="AC366" s="108"/>
      <c r="AD366" s="108"/>
      <c r="AE366" s="108"/>
      <c r="AF366" s="108"/>
      <c r="AG366" s="108"/>
      <c r="AH366" s="108"/>
      <c r="AI366" s="108"/>
      <c r="AJ366" s="108"/>
      <c r="AK366" s="108"/>
      <c r="AL366" s="108"/>
      <c r="AM366" s="108"/>
      <c r="AN366" s="108"/>
      <c r="AO366" s="108"/>
      <c r="AP366" s="108"/>
      <c r="AQ366" s="108"/>
      <c r="AR366" s="108"/>
      <c r="AS366" s="108"/>
      <c r="AT366" s="108"/>
      <c r="AU366" s="108"/>
      <c r="AV366" s="108"/>
      <c r="AW366" s="108"/>
      <c r="AX366" s="108"/>
      <c r="AY366" s="108"/>
      <c r="AZ366" s="108"/>
      <c r="BA366" s="108"/>
      <c r="BB366" s="108"/>
      <c r="BC366" s="108"/>
      <c r="BD366" s="108"/>
      <c r="BE366" s="108"/>
      <c r="BF366" s="108"/>
      <c r="BG366" s="108"/>
      <c r="BH366" s="108"/>
      <c r="BI366" s="108"/>
      <c r="BJ366" s="108"/>
      <c r="BK366" s="109"/>
      <c r="BL366" s="108"/>
      <c r="BM366" s="108"/>
      <c r="BN366" s="108"/>
    </row>
    <row r="367" spans="1:66" ht="12" customHeight="1" x14ac:dyDescent="0.2">
      <c r="A367" s="179"/>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c r="AA367" s="108"/>
      <c r="AB367" s="108"/>
      <c r="AC367" s="108"/>
      <c r="AD367" s="108"/>
      <c r="AE367" s="108"/>
      <c r="AF367" s="108"/>
      <c r="AG367" s="108"/>
      <c r="AH367" s="108"/>
      <c r="AI367" s="108"/>
      <c r="AJ367" s="108"/>
      <c r="AK367" s="108"/>
      <c r="AL367" s="108"/>
      <c r="AM367" s="108"/>
      <c r="AN367" s="108"/>
      <c r="AO367" s="108"/>
      <c r="AP367" s="108"/>
      <c r="AQ367" s="108"/>
      <c r="AR367" s="108"/>
      <c r="AS367" s="108"/>
      <c r="AT367" s="108"/>
      <c r="AU367" s="108"/>
      <c r="AV367" s="108"/>
      <c r="AW367" s="108"/>
      <c r="AX367" s="108"/>
      <c r="AY367" s="108"/>
      <c r="AZ367" s="108"/>
      <c r="BA367" s="108"/>
      <c r="BB367" s="108"/>
      <c r="BC367" s="108"/>
      <c r="BD367" s="108"/>
      <c r="BE367" s="108"/>
      <c r="BF367" s="108"/>
      <c r="BG367" s="108"/>
      <c r="BH367" s="108"/>
      <c r="BI367" s="108"/>
      <c r="BJ367" s="108"/>
      <c r="BK367" s="109"/>
      <c r="BL367" s="108"/>
      <c r="BM367" s="108"/>
      <c r="BN367" s="108"/>
    </row>
    <row r="368" spans="1:66" ht="12" customHeight="1" x14ac:dyDescent="0.2">
      <c r="A368" s="179"/>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c r="AA368" s="108"/>
      <c r="AB368" s="108"/>
      <c r="AC368" s="108"/>
      <c r="AD368" s="108"/>
      <c r="AE368" s="108"/>
      <c r="AF368" s="108"/>
      <c r="AG368" s="108"/>
      <c r="AH368" s="108"/>
      <c r="AI368" s="108"/>
      <c r="AJ368" s="108"/>
      <c r="AK368" s="108"/>
      <c r="AL368" s="108"/>
      <c r="AM368" s="108"/>
      <c r="AN368" s="108"/>
      <c r="AO368" s="108"/>
      <c r="AP368" s="108"/>
      <c r="AQ368" s="108"/>
      <c r="AR368" s="108"/>
      <c r="AS368" s="108"/>
      <c r="AT368" s="108"/>
      <c r="AU368" s="108"/>
      <c r="AV368" s="108"/>
      <c r="AW368" s="108"/>
      <c r="AX368" s="108"/>
      <c r="AY368" s="108"/>
      <c r="AZ368" s="108"/>
      <c r="BA368" s="108"/>
      <c r="BB368" s="108"/>
      <c r="BC368" s="108"/>
      <c r="BD368" s="108"/>
      <c r="BE368" s="108"/>
      <c r="BF368" s="108"/>
      <c r="BG368" s="108"/>
      <c r="BH368" s="108"/>
      <c r="BI368" s="108"/>
      <c r="BJ368" s="108"/>
      <c r="BK368" s="109"/>
      <c r="BL368" s="108"/>
      <c r="BM368" s="108"/>
      <c r="BN368" s="108"/>
    </row>
    <row r="369" spans="1:66" ht="12" customHeight="1" x14ac:dyDescent="0.2">
      <c r="A369" s="179"/>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c r="AA369" s="108"/>
      <c r="AB369" s="108"/>
      <c r="AC369" s="108"/>
      <c r="AD369" s="108"/>
      <c r="AE369" s="108"/>
      <c r="AF369" s="108"/>
      <c r="AG369" s="108"/>
      <c r="AH369" s="108"/>
      <c r="AI369" s="108"/>
      <c r="AJ369" s="108"/>
      <c r="AK369" s="108"/>
      <c r="AL369" s="108"/>
      <c r="AM369" s="108"/>
      <c r="AN369" s="108"/>
      <c r="AO369" s="108"/>
      <c r="AP369" s="108"/>
      <c r="AQ369" s="108"/>
      <c r="AR369" s="108"/>
      <c r="AS369" s="108"/>
      <c r="AT369" s="108"/>
      <c r="AU369" s="108"/>
      <c r="AV369" s="108"/>
      <c r="AW369" s="108"/>
      <c r="AX369" s="108"/>
      <c r="AY369" s="108"/>
      <c r="AZ369" s="108"/>
      <c r="BA369" s="108"/>
      <c r="BB369" s="108"/>
      <c r="BC369" s="108"/>
      <c r="BD369" s="108"/>
      <c r="BE369" s="108"/>
      <c r="BF369" s="108"/>
      <c r="BG369" s="108"/>
      <c r="BH369" s="108"/>
      <c r="BI369" s="108"/>
      <c r="BJ369" s="108"/>
      <c r="BK369" s="109"/>
      <c r="BL369" s="108"/>
      <c r="BM369" s="108"/>
      <c r="BN369" s="108"/>
    </row>
    <row r="370" spans="1:66" ht="12" customHeight="1" x14ac:dyDescent="0.2">
      <c r="A370" s="179"/>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c r="AA370" s="108"/>
      <c r="AB370" s="108"/>
      <c r="AC370" s="108"/>
      <c r="AD370" s="108"/>
      <c r="AE370" s="108"/>
      <c r="AF370" s="108"/>
      <c r="AG370" s="108"/>
      <c r="AH370" s="108"/>
      <c r="AI370" s="108"/>
      <c r="AJ370" s="108"/>
      <c r="AK370" s="108"/>
      <c r="AL370" s="108"/>
      <c r="AM370" s="108"/>
      <c r="AN370" s="108"/>
      <c r="AO370" s="108"/>
      <c r="AP370" s="108"/>
      <c r="AQ370" s="108"/>
      <c r="AR370" s="108"/>
      <c r="AS370" s="108"/>
      <c r="AT370" s="108"/>
      <c r="AU370" s="108"/>
      <c r="AV370" s="108"/>
      <c r="AW370" s="108"/>
      <c r="AX370" s="108"/>
      <c r="AY370" s="108"/>
      <c r="AZ370" s="108"/>
      <c r="BA370" s="108"/>
      <c r="BB370" s="108"/>
      <c r="BC370" s="108"/>
      <c r="BD370" s="108"/>
      <c r="BE370" s="108"/>
      <c r="BF370" s="108"/>
      <c r="BG370" s="108"/>
      <c r="BH370" s="108"/>
      <c r="BI370" s="108"/>
      <c r="BJ370" s="108"/>
      <c r="BK370" s="109"/>
      <c r="BL370" s="108"/>
      <c r="BM370" s="108"/>
      <c r="BN370" s="108"/>
    </row>
    <row r="371" spans="1:66" ht="12" customHeight="1" x14ac:dyDescent="0.2">
      <c r="A371" s="179"/>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c r="AA371" s="108"/>
      <c r="AB371" s="108"/>
      <c r="AC371" s="108"/>
      <c r="AD371" s="108"/>
      <c r="AE371" s="108"/>
      <c r="AF371" s="108"/>
      <c r="AG371" s="108"/>
      <c r="AH371" s="108"/>
      <c r="AI371" s="108"/>
      <c r="AJ371" s="108"/>
      <c r="AK371" s="108"/>
      <c r="AL371" s="108"/>
      <c r="AM371" s="108"/>
      <c r="AN371" s="108"/>
      <c r="AO371" s="108"/>
      <c r="AP371" s="108"/>
      <c r="AQ371" s="108"/>
      <c r="AR371" s="108"/>
      <c r="AS371" s="108"/>
      <c r="AT371" s="108"/>
      <c r="AU371" s="108"/>
      <c r="AV371" s="108"/>
      <c r="AW371" s="108"/>
      <c r="AX371" s="108"/>
      <c r="AY371" s="108"/>
      <c r="AZ371" s="108"/>
      <c r="BA371" s="108"/>
      <c r="BB371" s="108"/>
      <c r="BC371" s="108"/>
      <c r="BD371" s="108"/>
      <c r="BE371" s="108"/>
      <c r="BF371" s="108"/>
      <c r="BG371" s="108"/>
      <c r="BH371" s="108"/>
      <c r="BI371" s="108"/>
      <c r="BJ371" s="108"/>
      <c r="BK371" s="109"/>
      <c r="BL371" s="108"/>
      <c r="BM371" s="108"/>
      <c r="BN371" s="108"/>
    </row>
    <row r="372" spans="1:66" ht="12" customHeight="1" x14ac:dyDescent="0.2">
      <c r="A372" s="179"/>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c r="AA372" s="108"/>
      <c r="AB372" s="108"/>
      <c r="AC372" s="108"/>
      <c r="AD372" s="108"/>
      <c r="AE372" s="108"/>
      <c r="AF372" s="108"/>
      <c r="AG372" s="108"/>
      <c r="AH372" s="108"/>
      <c r="AI372" s="108"/>
      <c r="AJ372" s="108"/>
      <c r="AK372" s="108"/>
      <c r="AL372" s="108"/>
      <c r="AM372" s="108"/>
      <c r="AN372" s="108"/>
      <c r="AO372" s="108"/>
      <c r="AP372" s="108"/>
      <c r="AQ372" s="108"/>
      <c r="AR372" s="108"/>
      <c r="AS372" s="108"/>
      <c r="AT372" s="108"/>
      <c r="AU372" s="108"/>
      <c r="AV372" s="108"/>
      <c r="AW372" s="108"/>
      <c r="AX372" s="108"/>
      <c r="AY372" s="108"/>
      <c r="AZ372" s="108"/>
      <c r="BA372" s="108"/>
      <c r="BB372" s="108"/>
      <c r="BC372" s="108"/>
      <c r="BD372" s="108"/>
      <c r="BE372" s="108"/>
      <c r="BF372" s="108"/>
      <c r="BG372" s="108"/>
      <c r="BH372" s="108"/>
      <c r="BI372" s="108"/>
      <c r="BJ372" s="108"/>
      <c r="BK372" s="109"/>
      <c r="BL372" s="108"/>
      <c r="BM372" s="108"/>
      <c r="BN372" s="108"/>
    </row>
    <row r="373" spans="1:66" ht="12" customHeight="1" x14ac:dyDescent="0.2">
      <c r="A373" s="179"/>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c r="AA373" s="108"/>
      <c r="AB373" s="108"/>
      <c r="AC373" s="108"/>
      <c r="AD373" s="108"/>
      <c r="AE373" s="108"/>
      <c r="AF373" s="108"/>
      <c r="AG373" s="108"/>
      <c r="AH373" s="108"/>
      <c r="AI373" s="108"/>
      <c r="AJ373" s="108"/>
      <c r="AK373" s="108"/>
      <c r="AL373" s="108"/>
      <c r="AM373" s="108"/>
      <c r="AN373" s="108"/>
      <c r="AO373" s="108"/>
      <c r="AP373" s="108"/>
      <c r="AQ373" s="108"/>
      <c r="AR373" s="108"/>
      <c r="AS373" s="108"/>
      <c r="AT373" s="108"/>
      <c r="AU373" s="108"/>
      <c r="AV373" s="108"/>
      <c r="AW373" s="108"/>
      <c r="AX373" s="108"/>
      <c r="AY373" s="108"/>
      <c r="AZ373" s="108"/>
      <c r="BA373" s="108"/>
      <c r="BB373" s="108"/>
      <c r="BC373" s="108"/>
      <c r="BD373" s="108"/>
      <c r="BE373" s="108"/>
      <c r="BF373" s="108"/>
      <c r="BG373" s="108"/>
      <c r="BH373" s="108"/>
      <c r="BI373" s="108"/>
      <c r="BJ373" s="108"/>
      <c r="BK373" s="109"/>
      <c r="BL373" s="108"/>
      <c r="BM373" s="108"/>
      <c r="BN373" s="108"/>
    </row>
    <row r="374" spans="1:66" ht="12" customHeight="1" x14ac:dyDescent="0.2">
      <c r="A374" s="179"/>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c r="AA374" s="108"/>
      <c r="AB374" s="108"/>
      <c r="AC374" s="108"/>
      <c r="AD374" s="108"/>
      <c r="AE374" s="108"/>
      <c r="AF374" s="108"/>
      <c r="AG374" s="108"/>
      <c r="AH374" s="108"/>
      <c r="AI374" s="108"/>
      <c r="AJ374" s="108"/>
      <c r="AK374" s="108"/>
      <c r="AL374" s="108"/>
      <c r="AM374" s="108"/>
      <c r="AN374" s="108"/>
      <c r="AO374" s="108"/>
      <c r="AP374" s="108"/>
      <c r="AQ374" s="108"/>
      <c r="AR374" s="108"/>
      <c r="AS374" s="108"/>
      <c r="AT374" s="108"/>
      <c r="AU374" s="108"/>
      <c r="AV374" s="108"/>
      <c r="AW374" s="108"/>
      <c r="AX374" s="108"/>
      <c r="AY374" s="108"/>
      <c r="AZ374" s="108"/>
      <c r="BA374" s="108"/>
      <c r="BB374" s="108"/>
      <c r="BC374" s="108"/>
      <c r="BD374" s="108"/>
      <c r="BE374" s="108"/>
      <c r="BF374" s="108"/>
      <c r="BG374" s="108"/>
      <c r="BH374" s="108"/>
      <c r="BI374" s="108"/>
      <c r="BJ374" s="108"/>
      <c r="BK374" s="109"/>
      <c r="BL374" s="108"/>
      <c r="BM374" s="108"/>
      <c r="BN374" s="108"/>
    </row>
    <row r="375" spans="1:66" ht="12" customHeight="1" x14ac:dyDescent="0.2">
      <c r="A375" s="179"/>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c r="AA375" s="108"/>
      <c r="AB375" s="108"/>
      <c r="AC375" s="108"/>
      <c r="AD375" s="108"/>
      <c r="AE375" s="108"/>
      <c r="AF375" s="108"/>
      <c r="AG375" s="108"/>
      <c r="AH375" s="108"/>
      <c r="AI375" s="108"/>
      <c r="AJ375" s="108"/>
      <c r="AK375" s="108"/>
      <c r="AL375" s="108"/>
      <c r="AM375" s="108"/>
      <c r="AN375" s="108"/>
      <c r="AO375" s="108"/>
      <c r="AP375" s="108"/>
      <c r="AQ375" s="108"/>
      <c r="AR375" s="108"/>
      <c r="AS375" s="108"/>
      <c r="AT375" s="108"/>
      <c r="AU375" s="108"/>
      <c r="AV375" s="108"/>
      <c r="AW375" s="108"/>
      <c r="AX375" s="108"/>
      <c r="AY375" s="108"/>
      <c r="AZ375" s="108"/>
      <c r="BA375" s="108"/>
      <c r="BB375" s="108"/>
      <c r="BC375" s="108"/>
      <c r="BD375" s="108"/>
      <c r="BE375" s="108"/>
      <c r="BF375" s="108"/>
      <c r="BG375" s="108"/>
      <c r="BH375" s="108"/>
      <c r="BI375" s="108"/>
      <c r="BJ375" s="108"/>
      <c r="BK375" s="109"/>
      <c r="BL375" s="108"/>
      <c r="BM375" s="108"/>
      <c r="BN375" s="108"/>
    </row>
    <row r="376" spans="1:66" ht="12" customHeight="1" x14ac:dyDescent="0.2">
      <c r="A376" s="179"/>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c r="AA376" s="108"/>
      <c r="AB376" s="108"/>
      <c r="AC376" s="108"/>
      <c r="AD376" s="108"/>
      <c r="AE376" s="108"/>
      <c r="AF376" s="108"/>
      <c r="AG376" s="108"/>
      <c r="AH376" s="108"/>
      <c r="AI376" s="108"/>
      <c r="AJ376" s="108"/>
      <c r="AK376" s="108"/>
      <c r="AL376" s="108"/>
      <c r="AM376" s="108"/>
      <c r="AN376" s="108"/>
      <c r="AO376" s="108"/>
      <c r="AP376" s="108"/>
      <c r="AQ376" s="108"/>
      <c r="AR376" s="108"/>
      <c r="AS376" s="108"/>
      <c r="AT376" s="108"/>
      <c r="AU376" s="108"/>
      <c r="AV376" s="108"/>
      <c r="AW376" s="108"/>
      <c r="AX376" s="108"/>
      <c r="AY376" s="108"/>
      <c r="AZ376" s="108"/>
      <c r="BA376" s="108"/>
      <c r="BB376" s="108"/>
      <c r="BC376" s="108"/>
      <c r="BD376" s="108"/>
      <c r="BE376" s="108"/>
      <c r="BF376" s="108"/>
      <c r="BG376" s="108"/>
      <c r="BH376" s="108"/>
      <c r="BI376" s="108"/>
      <c r="BJ376" s="108"/>
      <c r="BK376" s="109"/>
      <c r="BL376" s="108"/>
      <c r="BM376" s="108"/>
      <c r="BN376" s="108"/>
    </row>
    <row r="377" spans="1:66" ht="12" customHeight="1" x14ac:dyDescent="0.2">
      <c r="A377" s="179"/>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c r="AA377" s="108"/>
      <c r="AB377" s="108"/>
      <c r="AC377" s="108"/>
      <c r="AD377" s="108"/>
      <c r="AE377" s="108"/>
      <c r="AF377" s="108"/>
      <c r="AG377" s="108"/>
      <c r="AH377" s="108"/>
      <c r="AI377" s="108"/>
      <c r="AJ377" s="108"/>
      <c r="AK377" s="108"/>
      <c r="AL377" s="108"/>
      <c r="AM377" s="108"/>
      <c r="AN377" s="108"/>
      <c r="AO377" s="108"/>
      <c r="AP377" s="108"/>
      <c r="AQ377" s="108"/>
      <c r="AR377" s="108"/>
      <c r="AS377" s="108"/>
      <c r="AT377" s="108"/>
      <c r="AU377" s="108"/>
      <c r="AV377" s="108"/>
      <c r="AW377" s="108"/>
      <c r="AX377" s="108"/>
      <c r="AY377" s="108"/>
      <c r="AZ377" s="108"/>
      <c r="BA377" s="108"/>
      <c r="BB377" s="108"/>
      <c r="BC377" s="108"/>
      <c r="BD377" s="108"/>
      <c r="BE377" s="108"/>
      <c r="BF377" s="108"/>
      <c r="BG377" s="108"/>
      <c r="BH377" s="108"/>
      <c r="BI377" s="108"/>
      <c r="BJ377" s="108"/>
      <c r="BK377" s="109"/>
      <c r="BL377" s="108"/>
      <c r="BM377" s="108"/>
      <c r="BN377" s="108"/>
    </row>
    <row r="378" spans="1:66" ht="12" customHeight="1" x14ac:dyDescent="0.2">
      <c r="A378" s="179"/>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c r="AA378" s="108"/>
      <c r="AB378" s="108"/>
      <c r="AC378" s="108"/>
      <c r="AD378" s="108"/>
      <c r="AE378" s="108"/>
      <c r="AF378" s="108"/>
      <c r="AG378" s="108"/>
      <c r="AH378" s="108"/>
      <c r="AI378" s="108"/>
      <c r="AJ378" s="108"/>
      <c r="AK378" s="108"/>
      <c r="AL378" s="108"/>
      <c r="AM378" s="108"/>
      <c r="AN378" s="108"/>
      <c r="AO378" s="108"/>
      <c r="AP378" s="108"/>
      <c r="AQ378" s="108"/>
      <c r="AR378" s="108"/>
      <c r="AS378" s="108"/>
      <c r="AT378" s="108"/>
      <c r="AU378" s="108"/>
      <c r="AV378" s="108"/>
      <c r="AW378" s="108"/>
      <c r="AX378" s="108"/>
      <c r="AY378" s="108"/>
      <c r="AZ378" s="108"/>
      <c r="BA378" s="108"/>
      <c r="BB378" s="108"/>
      <c r="BC378" s="108"/>
      <c r="BD378" s="108"/>
      <c r="BE378" s="108"/>
      <c r="BF378" s="108"/>
      <c r="BG378" s="108"/>
      <c r="BH378" s="108"/>
      <c r="BI378" s="108"/>
      <c r="BJ378" s="108"/>
      <c r="BK378" s="109"/>
      <c r="BL378" s="108"/>
      <c r="BM378" s="108"/>
      <c r="BN378" s="108"/>
    </row>
    <row r="379" spans="1:66" ht="12" customHeight="1" x14ac:dyDescent="0.2">
      <c r="A379" s="179"/>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c r="AA379" s="108"/>
      <c r="AB379" s="108"/>
      <c r="AC379" s="108"/>
      <c r="AD379" s="108"/>
      <c r="AE379" s="108"/>
      <c r="AF379" s="108"/>
      <c r="AG379" s="108"/>
      <c r="AH379" s="108"/>
      <c r="AI379" s="108"/>
      <c r="AJ379" s="108"/>
      <c r="AK379" s="108"/>
      <c r="AL379" s="108"/>
      <c r="AM379" s="108"/>
      <c r="AN379" s="108"/>
      <c r="AO379" s="108"/>
      <c r="AP379" s="108"/>
      <c r="AQ379" s="108"/>
      <c r="AR379" s="108"/>
      <c r="AS379" s="108"/>
      <c r="AT379" s="108"/>
      <c r="AU379" s="108"/>
      <c r="AV379" s="108"/>
      <c r="AW379" s="108"/>
      <c r="AX379" s="108"/>
      <c r="AY379" s="108"/>
      <c r="AZ379" s="108"/>
      <c r="BA379" s="108"/>
      <c r="BB379" s="108"/>
      <c r="BC379" s="108"/>
      <c r="BD379" s="108"/>
      <c r="BE379" s="108"/>
      <c r="BF379" s="108"/>
      <c r="BG379" s="108"/>
      <c r="BH379" s="108"/>
      <c r="BI379" s="108"/>
      <c r="BJ379" s="108"/>
      <c r="BK379" s="109"/>
      <c r="BL379" s="108"/>
      <c r="BM379" s="108"/>
      <c r="BN379" s="108"/>
    </row>
    <row r="380" spans="1:66" ht="12" customHeight="1" x14ac:dyDescent="0.2">
      <c r="A380" s="179"/>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c r="AA380" s="108"/>
      <c r="AB380" s="108"/>
      <c r="AC380" s="108"/>
      <c r="AD380" s="108"/>
      <c r="AE380" s="108"/>
      <c r="AF380" s="108"/>
      <c r="AG380" s="108"/>
      <c r="AH380" s="108"/>
      <c r="AI380" s="108"/>
      <c r="AJ380" s="108"/>
      <c r="AK380" s="108"/>
      <c r="AL380" s="108"/>
      <c r="AM380" s="108"/>
      <c r="AN380" s="108"/>
      <c r="AO380" s="108"/>
      <c r="AP380" s="108"/>
      <c r="AQ380" s="108"/>
      <c r="AR380" s="108"/>
      <c r="AS380" s="108"/>
      <c r="AT380" s="108"/>
      <c r="AU380" s="108"/>
      <c r="AV380" s="108"/>
      <c r="AW380" s="108"/>
      <c r="AX380" s="108"/>
      <c r="AY380" s="108"/>
      <c r="AZ380" s="108"/>
      <c r="BA380" s="108"/>
      <c r="BB380" s="108"/>
      <c r="BC380" s="108"/>
      <c r="BD380" s="108"/>
      <c r="BE380" s="108"/>
      <c r="BF380" s="108"/>
      <c r="BG380" s="108"/>
      <c r="BH380" s="108"/>
      <c r="BI380" s="108"/>
      <c r="BJ380" s="108"/>
      <c r="BK380" s="109"/>
      <c r="BL380" s="108"/>
      <c r="BM380" s="108"/>
      <c r="BN380" s="108"/>
    </row>
    <row r="381" spans="1:66" ht="12" customHeight="1" x14ac:dyDescent="0.2">
      <c r="A381" s="179"/>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c r="AA381" s="108"/>
      <c r="AB381" s="108"/>
      <c r="AC381" s="108"/>
      <c r="AD381" s="108"/>
      <c r="AE381" s="108"/>
      <c r="AF381" s="108"/>
      <c r="AG381" s="108"/>
      <c r="AH381" s="108"/>
      <c r="AI381" s="108"/>
      <c r="AJ381" s="108"/>
      <c r="AK381" s="108"/>
      <c r="AL381" s="108"/>
      <c r="AM381" s="108"/>
      <c r="AN381" s="108"/>
      <c r="AO381" s="108"/>
      <c r="AP381" s="108"/>
      <c r="AQ381" s="108"/>
      <c r="AR381" s="108"/>
      <c r="AS381" s="108"/>
      <c r="AT381" s="108"/>
      <c r="AU381" s="108"/>
      <c r="AV381" s="108"/>
      <c r="AW381" s="108"/>
      <c r="AX381" s="108"/>
      <c r="AY381" s="108"/>
      <c r="AZ381" s="108"/>
      <c r="BA381" s="108"/>
      <c r="BB381" s="108"/>
      <c r="BC381" s="108"/>
      <c r="BD381" s="108"/>
      <c r="BE381" s="108"/>
      <c r="BF381" s="108"/>
      <c r="BG381" s="108"/>
      <c r="BH381" s="108"/>
      <c r="BI381" s="108"/>
      <c r="BJ381" s="108"/>
      <c r="BK381" s="109"/>
      <c r="BL381" s="108"/>
      <c r="BM381" s="108"/>
      <c r="BN381" s="108"/>
    </row>
    <row r="382" spans="1:66" ht="12" customHeight="1" x14ac:dyDescent="0.2">
      <c r="A382" s="179"/>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c r="AA382" s="108"/>
      <c r="AB382" s="108"/>
      <c r="AC382" s="108"/>
      <c r="AD382" s="108"/>
      <c r="AE382" s="108"/>
      <c r="AF382" s="108"/>
      <c r="AG382" s="108"/>
      <c r="AH382" s="108"/>
      <c r="AI382" s="108"/>
      <c r="AJ382" s="108"/>
      <c r="AK382" s="108"/>
      <c r="AL382" s="108"/>
      <c r="AM382" s="108"/>
      <c r="AN382" s="108"/>
      <c r="AO382" s="108"/>
      <c r="AP382" s="108"/>
      <c r="AQ382" s="108"/>
      <c r="AR382" s="108"/>
      <c r="AS382" s="108"/>
      <c r="AT382" s="108"/>
      <c r="AU382" s="108"/>
      <c r="AV382" s="108"/>
      <c r="AW382" s="108"/>
      <c r="AX382" s="108"/>
      <c r="AY382" s="108"/>
      <c r="AZ382" s="108"/>
      <c r="BA382" s="108"/>
      <c r="BB382" s="108"/>
      <c r="BC382" s="108"/>
      <c r="BD382" s="108"/>
      <c r="BE382" s="108"/>
      <c r="BF382" s="108"/>
      <c r="BG382" s="108"/>
      <c r="BH382" s="108"/>
      <c r="BI382" s="108"/>
      <c r="BJ382" s="108"/>
      <c r="BK382" s="109"/>
      <c r="BL382" s="108"/>
      <c r="BM382" s="108"/>
      <c r="BN382" s="108"/>
    </row>
    <row r="383" spans="1:66" ht="12" customHeight="1" x14ac:dyDescent="0.2">
      <c r="A383" s="179"/>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c r="AA383" s="108"/>
      <c r="AB383" s="108"/>
      <c r="AC383" s="108"/>
      <c r="AD383" s="108"/>
      <c r="AE383" s="108"/>
      <c r="AF383" s="108"/>
      <c r="AG383" s="108"/>
      <c r="AH383" s="108"/>
      <c r="AI383" s="108"/>
      <c r="AJ383" s="108"/>
      <c r="AK383" s="108"/>
      <c r="AL383" s="108"/>
      <c r="AM383" s="108"/>
      <c r="AN383" s="108"/>
      <c r="AO383" s="108"/>
      <c r="AP383" s="108"/>
      <c r="AQ383" s="108"/>
      <c r="AR383" s="108"/>
      <c r="AS383" s="108"/>
      <c r="AT383" s="108"/>
      <c r="AU383" s="108"/>
      <c r="AV383" s="108"/>
      <c r="AW383" s="108"/>
      <c r="AX383" s="108"/>
      <c r="AY383" s="108"/>
      <c r="AZ383" s="108"/>
      <c r="BA383" s="108"/>
      <c r="BB383" s="108"/>
      <c r="BC383" s="108"/>
      <c r="BD383" s="108"/>
      <c r="BE383" s="108"/>
      <c r="BF383" s="108"/>
      <c r="BG383" s="108"/>
      <c r="BH383" s="108"/>
      <c r="BI383" s="108"/>
      <c r="BJ383" s="108"/>
      <c r="BK383" s="109"/>
      <c r="BL383" s="108"/>
      <c r="BM383" s="108"/>
      <c r="BN383" s="108"/>
    </row>
    <row r="384" spans="1:66" ht="12" customHeight="1" x14ac:dyDescent="0.2">
      <c r="A384" s="179"/>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c r="AA384" s="108"/>
      <c r="AB384" s="108"/>
      <c r="AC384" s="108"/>
      <c r="AD384" s="108"/>
      <c r="AE384" s="108"/>
      <c r="AF384" s="108"/>
      <c r="AG384" s="108"/>
      <c r="AH384" s="108"/>
      <c r="AI384" s="108"/>
      <c r="AJ384" s="108"/>
      <c r="AK384" s="108"/>
      <c r="AL384" s="108"/>
      <c r="AM384" s="108"/>
      <c r="AN384" s="108"/>
      <c r="AO384" s="108"/>
      <c r="AP384" s="108"/>
      <c r="AQ384" s="108"/>
      <c r="AR384" s="108"/>
      <c r="AS384" s="108"/>
      <c r="AT384" s="108"/>
      <c r="AU384" s="108"/>
      <c r="AV384" s="108"/>
      <c r="AW384" s="108"/>
      <c r="AX384" s="108"/>
      <c r="AY384" s="108"/>
      <c r="AZ384" s="108"/>
      <c r="BA384" s="108"/>
      <c r="BB384" s="108"/>
      <c r="BC384" s="108"/>
      <c r="BD384" s="108"/>
      <c r="BE384" s="108"/>
      <c r="BF384" s="108"/>
      <c r="BG384" s="108"/>
      <c r="BH384" s="108"/>
      <c r="BI384" s="108"/>
      <c r="BJ384" s="108"/>
      <c r="BK384" s="109"/>
      <c r="BL384" s="108"/>
      <c r="BM384" s="108"/>
      <c r="BN384" s="108"/>
    </row>
    <row r="385" spans="1:66" ht="12" customHeight="1" x14ac:dyDescent="0.2">
      <c r="A385" s="179"/>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c r="AA385" s="108"/>
      <c r="AB385" s="108"/>
      <c r="AC385" s="108"/>
      <c r="AD385" s="108"/>
      <c r="AE385" s="108"/>
      <c r="AF385" s="108"/>
      <c r="AG385" s="108"/>
      <c r="AH385" s="108"/>
      <c r="AI385" s="108"/>
      <c r="AJ385" s="108"/>
      <c r="AK385" s="108"/>
      <c r="AL385" s="108"/>
      <c r="AM385" s="108"/>
      <c r="AN385" s="108"/>
      <c r="AO385" s="108"/>
      <c r="AP385" s="108"/>
      <c r="AQ385" s="108"/>
      <c r="AR385" s="108"/>
      <c r="AS385" s="108"/>
      <c r="AT385" s="108"/>
      <c r="AU385" s="108"/>
      <c r="AV385" s="108"/>
      <c r="AW385" s="108"/>
      <c r="AX385" s="108"/>
      <c r="AY385" s="108"/>
      <c r="AZ385" s="108"/>
      <c r="BA385" s="108"/>
      <c r="BB385" s="108"/>
      <c r="BC385" s="108"/>
      <c r="BD385" s="108"/>
      <c r="BE385" s="108"/>
      <c r="BF385" s="108"/>
      <c r="BG385" s="108"/>
      <c r="BH385" s="108"/>
      <c r="BI385" s="108"/>
      <c r="BJ385" s="108"/>
      <c r="BK385" s="109"/>
      <c r="BL385" s="108"/>
      <c r="BM385" s="108"/>
      <c r="BN385" s="108"/>
    </row>
    <row r="386" spans="1:66" ht="12" customHeight="1" x14ac:dyDescent="0.2">
      <c r="A386" s="179"/>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c r="AA386" s="108"/>
      <c r="AB386" s="108"/>
      <c r="AC386" s="108"/>
      <c r="AD386" s="108"/>
      <c r="AE386" s="108"/>
      <c r="AF386" s="108"/>
      <c r="AG386" s="108"/>
      <c r="AH386" s="108"/>
      <c r="AI386" s="108"/>
      <c r="AJ386" s="108"/>
      <c r="AK386" s="108"/>
      <c r="AL386" s="108"/>
      <c r="AM386" s="108"/>
      <c r="AN386" s="108"/>
      <c r="AO386" s="108"/>
      <c r="AP386" s="108"/>
      <c r="AQ386" s="108"/>
      <c r="AR386" s="108"/>
      <c r="AS386" s="108"/>
      <c r="AT386" s="108"/>
      <c r="AU386" s="108"/>
      <c r="AV386" s="108"/>
      <c r="AW386" s="108"/>
      <c r="AX386" s="108"/>
      <c r="AY386" s="108"/>
      <c r="AZ386" s="108"/>
      <c r="BA386" s="108"/>
      <c r="BB386" s="108"/>
      <c r="BC386" s="108"/>
      <c r="BD386" s="108"/>
      <c r="BE386" s="108"/>
      <c r="BF386" s="108"/>
      <c r="BG386" s="108"/>
      <c r="BH386" s="108"/>
      <c r="BI386" s="108"/>
      <c r="BJ386" s="108"/>
      <c r="BK386" s="109"/>
      <c r="BL386" s="108"/>
      <c r="BM386" s="108"/>
      <c r="BN386" s="108"/>
    </row>
    <row r="387" spans="1:66" ht="12" customHeight="1" x14ac:dyDescent="0.2">
      <c r="A387" s="179"/>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c r="AA387" s="108"/>
      <c r="AB387" s="108"/>
      <c r="AC387" s="108"/>
      <c r="AD387" s="108"/>
      <c r="AE387" s="108"/>
      <c r="AF387" s="108"/>
      <c r="AG387" s="108"/>
      <c r="AH387" s="108"/>
      <c r="AI387" s="108"/>
      <c r="AJ387" s="108"/>
      <c r="AK387" s="108"/>
      <c r="AL387" s="108"/>
      <c r="AM387" s="108"/>
      <c r="AN387" s="108"/>
      <c r="AO387" s="108"/>
      <c r="AP387" s="108"/>
      <c r="AQ387" s="108"/>
      <c r="AR387" s="108"/>
      <c r="AS387" s="108"/>
      <c r="AT387" s="108"/>
      <c r="AU387" s="108"/>
      <c r="AV387" s="108"/>
      <c r="AW387" s="108"/>
      <c r="AX387" s="108"/>
      <c r="AY387" s="108"/>
      <c r="AZ387" s="108"/>
      <c r="BA387" s="108"/>
      <c r="BB387" s="108"/>
      <c r="BC387" s="108"/>
      <c r="BD387" s="108"/>
      <c r="BE387" s="108"/>
      <c r="BF387" s="108"/>
      <c r="BG387" s="108"/>
      <c r="BH387" s="108"/>
      <c r="BI387" s="108"/>
      <c r="BJ387" s="108"/>
      <c r="BK387" s="109"/>
      <c r="BL387" s="108"/>
      <c r="BM387" s="108"/>
      <c r="BN387" s="108"/>
    </row>
    <row r="388" spans="1:66" ht="12" customHeight="1" x14ac:dyDescent="0.2">
      <c r="A388" s="179"/>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c r="AA388" s="108"/>
      <c r="AB388" s="108"/>
      <c r="AC388" s="108"/>
      <c r="AD388" s="108"/>
      <c r="AE388" s="108"/>
      <c r="AF388" s="108"/>
      <c r="AG388" s="108"/>
      <c r="AH388" s="108"/>
      <c r="AI388" s="108"/>
      <c r="AJ388" s="108"/>
      <c r="AK388" s="108"/>
      <c r="AL388" s="108"/>
      <c r="AM388" s="108"/>
      <c r="AN388" s="108"/>
      <c r="AO388" s="108"/>
      <c r="AP388" s="108"/>
      <c r="AQ388" s="108"/>
      <c r="AR388" s="108"/>
      <c r="AS388" s="108"/>
      <c r="AT388" s="108"/>
      <c r="AU388" s="108"/>
      <c r="AV388" s="108"/>
      <c r="AW388" s="108"/>
      <c r="AX388" s="108"/>
      <c r="AY388" s="108"/>
      <c r="AZ388" s="108"/>
      <c r="BA388" s="108"/>
      <c r="BB388" s="108"/>
      <c r="BC388" s="108"/>
      <c r="BD388" s="108"/>
      <c r="BE388" s="108"/>
      <c r="BF388" s="108"/>
      <c r="BG388" s="108"/>
      <c r="BH388" s="108"/>
      <c r="BI388" s="108"/>
      <c r="BJ388" s="108"/>
      <c r="BK388" s="109"/>
      <c r="BL388" s="108"/>
      <c r="BM388" s="108"/>
      <c r="BN388" s="108"/>
    </row>
    <row r="389" spans="1:66" ht="12" customHeight="1" x14ac:dyDescent="0.2">
      <c r="A389" s="179"/>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c r="AA389" s="108"/>
      <c r="AB389" s="108"/>
      <c r="AC389" s="108"/>
      <c r="AD389" s="108"/>
      <c r="AE389" s="108"/>
      <c r="AF389" s="108"/>
      <c r="AG389" s="108"/>
      <c r="AH389" s="108"/>
      <c r="AI389" s="108"/>
      <c r="AJ389" s="108"/>
      <c r="AK389" s="108"/>
      <c r="AL389" s="108"/>
      <c r="AM389" s="108"/>
      <c r="AN389" s="108"/>
      <c r="AO389" s="108"/>
      <c r="AP389" s="108"/>
      <c r="AQ389" s="108"/>
      <c r="AR389" s="108"/>
      <c r="AS389" s="108"/>
      <c r="AT389" s="108"/>
      <c r="AU389" s="108"/>
      <c r="AV389" s="108"/>
      <c r="AW389" s="108"/>
      <c r="AX389" s="108"/>
      <c r="AY389" s="108"/>
      <c r="AZ389" s="108"/>
      <c r="BA389" s="108"/>
      <c r="BB389" s="108"/>
      <c r="BC389" s="108"/>
      <c r="BD389" s="108"/>
      <c r="BE389" s="108"/>
      <c r="BF389" s="108"/>
      <c r="BG389" s="108"/>
      <c r="BH389" s="108"/>
      <c r="BI389" s="108"/>
      <c r="BJ389" s="108"/>
      <c r="BK389" s="109"/>
      <c r="BL389" s="108"/>
      <c r="BM389" s="108"/>
      <c r="BN389" s="108"/>
    </row>
    <row r="390" spans="1:66" ht="12" customHeight="1" x14ac:dyDescent="0.2">
      <c r="A390" s="179"/>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c r="AA390" s="108"/>
      <c r="AB390" s="108"/>
      <c r="AC390" s="108"/>
      <c r="AD390" s="108"/>
      <c r="AE390" s="108"/>
      <c r="AF390" s="108"/>
      <c r="AG390" s="108"/>
      <c r="AH390" s="108"/>
      <c r="AI390" s="108"/>
      <c r="AJ390" s="108"/>
      <c r="AK390" s="108"/>
      <c r="AL390" s="108"/>
      <c r="AM390" s="108"/>
      <c r="AN390" s="108"/>
      <c r="AO390" s="108"/>
      <c r="AP390" s="108"/>
      <c r="AQ390" s="108"/>
      <c r="AR390" s="108"/>
      <c r="AS390" s="108"/>
      <c r="AT390" s="108"/>
      <c r="AU390" s="108"/>
      <c r="AV390" s="108"/>
      <c r="AW390" s="108"/>
      <c r="AX390" s="108"/>
      <c r="AY390" s="108"/>
      <c r="AZ390" s="108"/>
      <c r="BA390" s="108"/>
      <c r="BB390" s="108"/>
      <c r="BC390" s="108"/>
      <c r="BD390" s="108"/>
      <c r="BE390" s="108"/>
      <c r="BF390" s="108"/>
      <c r="BG390" s="108"/>
      <c r="BH390" s="108"/>
      <c r="BI390" s="108"/>
      <c r="BJ390" s="108"/>
      <c r="BK390" s="109"/>
      <c r="BL390" s="108"/>
      <c r="BM390" s="108"/>
      <c r="BN390" s="108"/>
    </row>
    <row r="391" spans="1:66" ht="12" customHeight="1" x14ac:dyDescent="0.2">
      <c r="A391" s="179"/>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c r="AA391" s="108"/>
      <c r="AB391" s="108"/>
      <c r="AC391" s="108"/>
      <c r="AD391" s="108"/>
      <c r="AE391" s="108"/>
      <c r="AF391" s="108"/>
      <c r="AG391" s="108"/>
      <c r="AH391" s="108"/>
      <c r="AI391" s="108"/>
      <c r="AJ391" s="108"/>
      <c r="AK391" s="108"/>
      <c r="AL391" s="108"/>
      <c r="AM391" s="108"/>
      <c r="AN391" s="108"/>
      <c r="AO391" s="108"/>
      <c r="AP391" s="108"/>
      <c r="AQ391" s="108"/>
      <c r="AR391" s="108"/>
      <c r="AS391" s="108"/>
      <c r="AT391" s="108"/>
      <c r="AU391" s="108"/>
      <c r="AV391" s="108"/>
      <c r="AW391" s="108"/>
      <c r="AX391" s="108"/>
      <c r="AY391" s="108"/>
      <c r="AZ391" s="108"/>
      <c r="BA391" s="108"/>
      <c r="BB391" s="108"/>
      <c r="BC391" s="108"/>
      <c r="BD391" s="108"/>
      <c r="BE391" s="108"/>
      <c r="BF391" s="108"/>
      <c r="BG391" s="108"/>
      <c r="BH391" s="108"/>
      <c r="BI391" s="108"/>
      <c r="BJ391" s="108"/>
      <c r="BK391" s="109"/>
      <c r="BL391" s="108"/>
      <c r="BM391" s="108"/>
      <c r="BN391" s="108"/>
    </row>
    <row r="392" spans="1:66" ht="12" customHeight="1" x14ac:dyDescent="0.2">
      <c r="A392" s="179"/>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c r="AA392" s="108"/>
      <c r="AB392" s="108"/>
      <c r="AC392" s="108"/>
      <c r="AD392" s="108"/>
      <c r="AE392" s="108"/>
      <c r="AF392" s="108"/>
      <c r="AG392" s="108"/>
      <c r="AH392" s="108"/>
      <c r="AI392" s="108"/>
      <c r="AJ392" s="108"/>
      <c r="AK392" s="108"/>
      <c r="AL392" s="108"/>
      <c r="AM392" s="108"/>
      <c r="AN392" s="108"/>
      <c r="AO392" s="108"/>
      <c r="AP392" s="108"/>
      <c r="AQ392" s="108"/>
      <c r="AR392" s="108"/>
      <c r="AS392" s="108"/>
      <c r="AT392" s="108"/>
      <c r="AU392" s="108"/>
      <c r="AV392" s="108"/>
      <c r="AW392" s="108"/>
      <c r="AX392" s="108"/>
      <c r="AY392" s="108"/>
      <c r="AZ392" s="108"/>
      <c r="BA392" s="108"/>
      <c r="BB392" s="108"/>
      <c r="BC392" s="108"/>
      <c r="BD392" s="108"/>
      <c r="BE392" s="108"/>
      <c r="BF392" s="108"/>
      <c r="BG392" s="108"/>
      <c r="BH392" s="108"/>
      <c r="BI392" s="108"/>
      <c r="BJ392" s="108"/>
      <c r="BK392" s="109"/>
      <c r="BL392" s="108"/>
      <c r="BM392" s="108"/>
      <c r="BN392" s="108"/>
    </row>
    <row r="393" spans="1:66" ht="12" customHeight="1" x14ac:dyDescent="0.2">
      <c r="A393" s="179"/>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c r="AA393" s="108"/>
      <c r="AB393" s="108"/>
      <c r="AC393" s="108"/>
      <c r="AD393" s="108"/>
      <c r="AE393" s="108"/>
      <c r="AF393" s="108"/>
      <c r="AG393" s="108"/>
      <c r="AH393" s="108"/>
      <c r="AI393" s="108"/>
      <c r="AJ393" s="108"/>
      <c r="AK393" s="108"/>
      <c r="AL393" s="108"/>
      <c r="AM393" s="108"/>
      <c r="AN393" s="108"/>
      <c r="AO393" s="108"/>
      <c r="AP393" s="108"/>
      <c r="AQ393" s="108"/>
      <c r="AR393" s="108"/>
      <c r="AS393" s="108"/>
      <c r="AT393" s="108"/>
      <c r="AU393" s="108"/>
      <c r="AV393" s="108"/>
      <c r="AW393" s="108"/>
      <c r="AX393" s="108"/>
      <c r="AY393" s="108"/>
      <c r="AZ393" s="108"/>
      <c r="BA393" s="108"/>
      <c r="BB393" s="108"/>
      <c r="BC393" s="108"/>
      <c r="BD393" s="108"/>
      <c r="BE393" s="108"/>
      <c r="BF393" s="108"/>
      <c r="BG393" s="108"/>
      <c r="BH393" s="108"/>
      <c r="BI393" s="108"/>
      <c r="BJ393" s="108"/>
      <c r="BK393" s="109"/>
      <c r="BL393" s="108"/>
      <c r="BM393" s="108"/>
      <c r="BN393" s="108"/>
    </row>
    <row r="394" spans="1:66" ht="12" customHeight="1" x14ac:dyDescent="0.2">
      <c r="A394" s="179"/>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c r="AA394" s="108"/>
      <c r="AB394" s="108"/>
      <c r="AC394" s="108"/>
      <c r="AD394" s="108"/>
      <c r="AE394" s="108"/>
      <c r="AF394" s="108"/>
      <c r="AG394" s="108"/>
      <c r="AH394" s="108"/>
      <c r="AI394" s="108"/>
      <c r="AJ394" s="108"/>
      <c r="AK394" s="108"/>
      <c r="AL394" s="108"/>
      <c r="AM394" s="108"/>
      <c r="AN394" s="108"/>
      <c r="AO394" s="108"/>
      <c r="AP394" s="108"/>
      <c r="AQ394" s="108"/>
      <c r="AR394" s="108"/>
      <c r="AS394" s="108"/>
      <c r="AT394" s="108"/>
      <c r="AU394" s="108"/>
      <c r="AV394" s="108"/>
      <c r="AW394" s="108"/>
      <c r="AX394" s="108"/>
      <c r="AY394" s="108"/>
      <c r="AZ394" s="108"/>
      <c r="BA394" s="108"/>
      <c r="BB394" s="108"/>
      <c r="BC394" s="108"/>
      <c r="BD394" s="108"/>
      <c r="BE394" s="108"/>
      <c r="BF394" s="108"/>
      <c r="BG394" s="108"/>
      <c r="BH394" s="108"/>
      <c r="BI394" s="108"/>
      <c r="BJ394" s="108"/>
      <c r="BK394" s="109"/>
      <c r="BL394" s="108"/>
      <c r="BM394" s="108"/>
      <c r="BN394" s="108"/>
    </row>
    <row r="395" spans="1:66" ht="12" customHeight="1" x14ac:dyDescent="0.2">
      <c r="A395" s="179"/>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c r="AA395" s="108"/>
      <c r="AB395" s="108"/>
      <c r="AC395" s="108"/>
      <c r="AD395" s="108"/>
      <c r="AE395" s="108"/>
      <c r="AF395" s="108"/>
      <c r="AG395" s="108"/>
      <c r="AH395" s="108"/>
      <c r="AI395" s="108"/>
      <c r="AJ395" s="108"/>
      <c r="AK395" s="108"/>
      <c r="AL395" s="108"/>
      <c r="AM395" s="108"/>
      <c r="AN395" s="108"/>
      <c r="AO395" s="108"/>
      <c r="AP395" s="108"/>
      <c r="AQ395" s="108"/>
      <c r="AR395" s="108"/>
      <c r="AS395" s="108"/>
      <c r="AT395" s="108"/>
      <c r="AU395" s="108"/>
      <c r="AV395" s="108"/>
      <c r="AW395" s="108"/>
      <c r="AX395" s="108"/>
      <c r="AY395" s="108"/>
      <c r="AZ395" s="108"/>
      <c r="BA395" s="108"/>
      <c r="BB395" s="108"/>
      <c r="BC395" s="108"/>
      <c r="BD395" s="108"/>
      <c r="BE395" s="108"/>
      <c r="BF395" s="108"/>
      <c r="BG395" s="108"/>
      <c r="BH395" s="108"/>
      <c r="BI395" s="108"/>
      <c r="BJ395" s="108"/>
      <c r="BK395" s="109"/>
      <c r="BL395" s="108"/>
      <c r="BM395" s="108"/>
      <c r="BN395" s="108"/>
    </row>
    <row r="396" spans="1:66" ht="12" customHeight="1" x14ac:dyDescent="0.2">
      <c r="A396" s="179"/>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c r="AA396" s="108"/>
      <c r="AB396" s="108"/>
      <c r="AC396" s="108"/>
      <c r="AD396" s="108"/>
      <c r="AE396" s="108"/>
      <c r="AF396" s="108"/>
      <c r="AG396" s="108"/>
      <c r="AH396" s="108"/>
      <c r="AI396" s="108"/>
      <c r="AJ396" s="108"/>
      <c r="AK396" s="108"/>
      <c r="AL396" s="108"/>
      <c r="AM396" s="108"/>
      <c r="AN396" s="108"/>
      <c r="AO396" s="108"/>
      <c r="AP396" s="108"/>
      <c r="AQ396" s="108"/>
      <c r="AR396" s="108"/>
      <c r="AS396" s="108"/>
      <c r="AT396" s="108"/>
      <c r="AU396" s="108"/>
      <c r="AV396" s="108"/>
      <c r="AW396" s="108"/>
      <c r="AX396" s="108"/>
      <c r="AY396" s="108"/>
      <c r="AZ396" s="108"/>
      <c r="BA396" s="108"/>
      <c r="BB396" s="108"/>
      <c r="BC396" s="108"/>
      <c r="BD396" s="108"/>
      <c r="BE396" s="108"/>
      <c r="BF396" s="108"/>
      <c r="BG396" s="108"/>
      <c r="BH396" s="108"/>
      <c r="BI396" s="108"/>
      <c r="BJ396" s="108"/>
      <c r="BK396" s="109"/>
      <c r="BL396" s="108"/>
      <c r="BM396" s="108"/>
      <c r="BN396" s="108"/>
    </row>
    <row r="397" spans="1:66" ht="12" customHeight="1" x14ac:dyDescent="0.2">
      <c r="A397" s="179"/>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c r="AA397" s="108"/>
      <c r="AB397" s="108"/>
      <c r="AC397" s="108"/>
      <c r="AD397" s="108"/>
      <c r="AE397" s="108"/>
      <c r="AF397" s="108"/>
      <c r="AG397" s="108"/>
      <c r="AH397" s="108"/>
      <c r="AI397" s="108"/>
      <c r="AJ397" s="108"/>
      <c r="AK397" s="108"/>
      <c r="AL397" s="108"/>
      <c r="AM397" s="108"/>
      <c r="AN397" s="108"/>
      <c r="AO397" s="108"/>
      <c r="AP397" s="108"/>
      <c r="AQ397" s="108"/>
      <c r="AR397" s="108"/>
      <c r="AS397" s="108"/>
      <c r="AT397" s="108"/>
      <c r="AU397" s="108"/>
      <c r="AV397" s="108"/>
      <c r="AW397" s="108"/>
      <c r="AX397" s="108"/>
      <c r="AY397" s="108"/>
      <c r="AZ397" s="108"/>
      <c r="BA397" s="108"/>
      <c r="BB397" s="108"/>
      <c r="BC397" s="108"/>
      <c r="BD397" s="108"/>
      <c r="BE397" s="108"/>
      <c r="BF397" s="108"/>
      <c r="BG397" s="108"/>
      <c r="BH397" s="108"/>
      <c r="BI397" s="108"/>
      <c r="BJ397" s="108"/>
      <c r="BK397" s="109"/>
      <c r="BL397" s="108"/>
      <c r="BM397" s="108"/>
      <c r="BN397" s="108"/>
    </row>
    <row r="398" spans="1:66" ht="12" customHeight="1" x14ac:dyDescent="0.2">
      <c r="A398" s="179"/>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c r="AA398" s="108"/>
      <c r="AB398" s="108"/>
      <c r="AC398" s="108"/>
      <c r="AD398" s="108"/>
      <c r="AE398" s="108"/>
      <c r="AF398" s="108"/>
      <c r="AG398" s="108"/>
      <c r="AH398" s="108"/>
      <c r="AI398" s="108"/>
      <c r="AJ398" s="108"/>
      <c r="AK398" s="108"/>
      <c r="AL398" s="108"/>
      <c r="AM398" s="108"/>
      <c r="AN398" s="108"/>
      <c r="AO398" s="108"/>
      <c r="AP398" s="108"/>
      <c r="AQ398" s="108"/>
      <c r="AR398" s="108"/>
      <c r="AS398" s="108"/>
      <c r="AT398" s="108"/>
      <c r="AU398" s="108"/>
      <c r="AV398" s="108"/>
      <c r="AW398" s="108"/>
      <c r="AX398" s="108"/>
      <c r="AY398" s="108"/>
      <c r="AZ398" s="108"/>
      <c r="BA398" s="108"/>
      <c r="BB398" s="108"/>
      <c r="BC398" s="108"/>
      <c r="BD398" s="108"/>
      <c r="BE398" s="108"/>
      <c r="BF398" s="108"/>
      <c r="BG398" s="108"/>
      <c r="BH398" s="108"/>
      <c r="BI398" s="108"/>
      <c r="BJ398" s="108"/>
      <c r="BK398" s="109"/>
      <c r="BL398" s="108"/>
      <c r="BM398" s="108"/>
      <c r="BN398" s="108"/>
    </row>
    <row r="399" spans="1:66" ht="12" customHeight="1" x14ac:dyDescent="0.2">
      <c r="A399" s="179"/>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c r="AA399" s="108"/>
      <c r="AB399" s="108"/>
      <c r="AC399" s="108"/>
      <c r="AD399" s="108"/>
      <c r="AE399" s="108"/>
      <c r="AF399" s="108"/>
      <c r="AG399" s="108"/>
      <c r="AH399" s="108"/>
      <c r="AI399" s="108"/>
      <c r="AJ399" s="108"/>
      <c r="AK399" s="108"/>
      <c r="AL399" s="108"/>
      <c r="AM399" s="108"/>
      <c r="AN399" s="108"/>
      <c r="AO399" s="108"/>
      <c r="AP399" s="108"/>
      <c r="AQ399" s="108"/>
      <c r="AR399" s="108"/>
      <c r="AS399" s="108"/>
      <c r="AT399" s="108"/>
      <c r="AU399" s="108"/>
      <c r="AV399" s="108"/>
      <c r="AW399" s="108"/>
      <c r="AX399" s="108"/>
      <c r="AY399" s="108"/>
      <c r="AZ399" s="108"/>
      <c r="BA399" s="108"/>
      <c r="BB399" s="108"/>
      <c r="BC399" s="108"/>
      <c r="BD399" s="108"/>
      <c r="BE399" s="108"/>
      <c r="BF399" s="108"/>
      <c r="BG399" s="108"/>
      <c r="BH399" s="108"/>
      <c r="BI399" s="108"/>
      <c r="BJ399" s="108"/>
      <c r="BK399" s="109"/>
      <c r="BL399" s="108"/>
      <c r="BM399" s="108"/>
      <c r="BN399" s="108"/>
    </row>
    <row r="400" spans="1:66" ht="12" customHeight="1" x14ac:dyDescent="0.2">
      <c r="A400" s="179"/>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c r="AA400" s="108"/>
      <c r="AB400" s="108"/>
      <c r="AC400" s="108"/>
      <c r="AD400" s="108"/>
      <c r="AE400" s="108"/>
      <c r="AF400" s="108"/>
      <c r="AG400" s="108"/>
      <c r="AH400" s="108"/>
      <c r="AI400" s="108"/>
      <c r="AJ400" s="108"/>
      <c r="AK400" s="108"/>
      <c r="AL400" s="108"/>
      <c r="AM400" s="108"/>
      <c r="AN400" s="108"/>
      <c r="AO400" s="108"/>
      <c r="AP400" s="108"/>
      <c r="AQ400" s="108"/>
      <c r="AR400" s="108"/>
      <c r="AS400" s="108"/>
      <c r="AT400" s="108"/>
      <c r="AU400" s="108"/>
      <c r="AV400" s="108"/>
      <c r="AW400" s="108"/>
      <c r="AX400" s="108"/>
      <c r="AY400" s="108"/>
      <c r="AZ400" s="108"/>
      <c r="BA400" s="108"/>
      <c r="BB400" s="108"/>
      <c r="BC400" s="108"/>
      <c r="BD400" s="108"/>
      <c r="BE400" s="108"/>
      <c r="BF400" s="108"/>
      <c r="BG400" s="108"/>
      <c r="BH400" s="108"/>
      <c r="BI400" s="108"/>
      <c r="BJ400" s="108"/>
      <c r="BK400" s="109"/>
      <c r="BL400" s="108"/>
      <c r="BM400" s="108"/>
      <c r="BN400" s="108"/>
    </row>
    <row r="401" spans="1:66" ht="12" customHeight="1" x14ac:dyDescent="0.2">
      <c r="A401" s="179"/>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c r="AA401" s="108"/>
      <c r="AB401" s="108"/>
      <c r="AC401" s="108"/>
      <c r="AD401" s="108"/>
      <c r="AE401" s="108"/>
      <c r="AF401" s="108"/>
      <c r="AG401" s="108"/>
      <c r="AH401" s="108"/>
      <c r="AI401" s="108"/>
      <c r="AJ401" s="108"/>
      <c r="AK401" s="108"/>
      <c r="AL401" s="108"/>
      <c r="AM401" s="108"/>
      <c r="AN401" s="108"/>
      <c r="AO401" s="108"/>
      <c r="AP401" s="108"/>
      <c r="AQ401" s="108"/>
      <c r="AR401" s="108"/>
      <c r="AS401" s="108"/>
      <c r="AT401" s="108"/>
      <c r="AU401" s="108"/>
      <c r="AV401" s="108"/>
      <c r="AW401" s="108"/>
      <c r="AX401" s="108"/>
      <c r="AY401" s="108"/>
      <c r="AZ401" s="108"/>
      <c r="BA401" s="108"/>
      <c r="BB401" s="108"/>
      <c r="BC401" s="108"/>
      <c r="BD401" s="108"/>
      <c r="BE401" s="108"/>
      <c r="BF401" s="108"/>
      <c r="BG401" s="108"/>
      <c r="BH401" s="108"/>
      <c r="BI401" s="108"/>
      <c r="BJ401" s="108"/>
      <c r="BK401" s="109"/>
      <c r="BL401" s="108"/>
      <c r="BM401" s="108"/>
      <c r="BN401" s="108"/>
    </row>
    <row r="402" spans="1:66" ht="12" customHeight="1" x14ac:dyDescent="0.2">
      <c r="A402" s="179"/>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c r="AA402" s="108"/>
      <c r="AB402" s="108"/>
      <c r="AC402" s="108"/>
      <c r="AD402" s="108"/>
      <c r="AE402" s="108"/>
      <c r="AF402" s="108"/>
      <c r="AG402" s="108"/>
      <c r="AH402" s="108"/>
      <c r="AI402" s="108"/>
      <c r="AJ402" s="108"/>
      <c r="AK402" s="108"/>
      <c r="AL402" s="108"/>
      <c r="AM402" s="108"/>
      <c r="AN402" s="108"/>
      <c r="AO402" s="108"/>
      <c r="AP402" s="108"/>
      <c r="AQ402" s="108"/>
      <c r="AR402" s="108"/>
      <c r="AS402" s="108"/>
      <c r="AT402" s="108"/>
      <c r="AU402" s="108"/>
      <c r="AV402" s="108"/>
      <c r="AW402" s="108"/>
      <c r="AX402" s="108"/>
      <c r="AY402" s="108"/>
      <c r="AZ402" s="108"/>
      <c r="BA402" s="108"/>
      <c r="BB402" s="108"/>
      <c r="BC402" s="108"/>
      <c r="BD402" s="108"/>
      <c r="BE402" s="108"/>
      <c r="BF402" s="108"/>
      <c r="BG402" s="108"/>
      <c r="BH402" s="108"/>
      <c r="BI402" s="108"/>
      <c r="BJ402" s="108"/>
      <c r="BK402" s="109"/>
      <c r="BL402" s="108"/>
      <c r="BM402" s="108"/>
      <c r="BN402" s="108"/>
    </row>
    <row r="403" spans="1:66" ht="12" customHeight="1" x14ac:dyDescent="0.2">
      <c r="A403" s="179"/>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c r="AA403" s="108"/>
      <c r="AB403" s="108"/>
      <c r="AC403" s="108"/>
      <c r="AD403" s="108"/>
      <c r="AE403" s="108"/>
      <c r="AF403" s="108"/>
      <c r="AG403" s="108"/>
      <c r="AH403" s="108"/>
      <c r="AI403" s="108"/>
      <c r="AJ403" s="108"/>
      <c r="AK403" s="108"/>
      <c r="AL403" s="108"/>
      <c r="AM403" s="108"/>
      <c r="AN403" s="108"/>
      <c r="AO403" s="108"/>
      <c r="AP403" s="108"/>
      <c r="AQ403" s="108"/>
      <c r="AR403" s="108"/>
      <c r="AS403" s="108"/>
      <c r="AT403" s="108"/>
      <c r="AU403" s="108"/>
      <c r="AV403" s="108"/>
      <c r="AW403" s="108"/>
      <c r="AX403" s="108"/>
      <c r="AY403" s="108"/>
      <c r="AZ403" s="108"/>
      <c r="BA403" s="108"/>
      <c r="BB403" s="108"/>
      <c r="BC403" s="108"/>
      <c r="BD403" s="108"/>
      <c r="BE403" s="108"/>
      <c r="BF403" s="108"/>
      <c r="BG403" s="108"/>
      <c r="BH403" s="108"/>
      <c r="BI403" s="108"/>
      <c r="BJ403" s="108"/>
      <c r="BK403" s="109"/>
      <c r="BL403" s="108"/>
      <c r="BM403" s="108"/>
      <c r="BN403" s="108"/>
    </row>
    <row r="404" spans="1:66" ht="12" customHeight="1" x14ac:dyDescent="0.2">
      <c r="A404" s="179"/>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c r="AA404" s="108"/>
      <c r="AB404" s="108"/>
      <c r="AC404" s="108"/>
      <c r="AD404" s="108"/>
      <c r="AE404" s="108"/>
      <c r="AF404" s="108"/>
      <c r="AG404" s="108"/>
      <c r="AH404" s="108"/>
      <c r="AI404" s="108"/>
      <c r="AJ404" s="108"/>
      <c r="AK404" s="108"/>
      <c r="AL404" s="108"/>
      <c r="AM404" s="108"/>
      <c r="AN404" s="108"/>
      <c r="AO404" s="108"/>
      <c r="AP404" s="108"/>
      <c r="AQ404" s="108"/>
      <c r="AR404" s="108"/>
      <c r="AS404" s="108"/>
      <c r="AT404" s="108"/>
      <c r="AU404" s="108"/>
      <c r="AV404" s="108"/>
      <c r="AW404" s="108"/>
      <c r="AX404" s="108"/>
      <c r="AY404" s="108"/>
      <c r="AZ404" s="108"/>
      <c r="BA404" s="108"/>
      <c r="BB404" s="108"/>
      <c r="BC404" s="108"/>
      <c r="BD404" s="108"/>
      <c r="BE404" s="108"/>
      <c r="BF404" s="108"/>
      <c r="BG404" s="108"/>
      <c r="BH404" s="108"/>
      <c r="BI404" s="108"/>
      <c r="BJ404" s="108"/>
      <c r="BK404" s="109"/>
      <c r="BL404" s="108"/>
      <c r="BM404" s="108"/>
      <c r="BN404" s="108"/>
    </row>
    <row r="405" spans="1:66" ht="12" customHeight="1" x14ac:dyDescent="0.2">
      <c r="A405" s="179"/>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c r="AA405" s="108"/>
      <c r="AB405" s="108"/>
      <c r="AC405" s="108"/>
      <c r="AD405" s="108"/>
      <c r="AE405" s="108"/>
      <c r="AF405" s="108"/>
      <c r="AG405" s="108"/>
      <c r="AH405" s="108"/>
      <c r="AI405" s="108"/>
      <c r="AJ405" s="108"/>
      <c r="AK405" s="108"/>
      <c r="AL405" s="108"/>
      <c r="AM405" s="108"/>
      <c r="AN405" s="108"/>
      <c r="AO405" s="108"/>
      <c r="AP405" s="108"/>
      <c r="AQ405" s="108"/>
      <c r="AR405" s="108"/>
      <c r="AS405" s="108"/>
      <c r="AT405" s="108"/>
      <c r="AU405" s="108"/>
      <c r="AV405" s="108"/>
      <c r="AW405" s="108"/>
      <c r="AX405" s="108"/>
      <c r="AY405" s="108"/>
      <c r="AZ405" s="108"/>
      <c r="BA405" s="108"/>
      <c r="BB405" s="108"/>
      <c r="BC405" s="108"/>
      <c r="BD405" s="108"/>
      <c r="BE405" s="108"/>
      <c r="BF405" s="108"/>
      <c r="BG405" s="108"/>
      <c r="BH405" s="108"/>
      <c r="BI405" s="108"/>
      <c r="BJ405" s="108"/>
      <c r="BK405" s="109"/>
      <c r="BL405" s="108"/>
      <c r="BM405" s="108"/>
      <c r="BN405" s="108"/>
    </row>
    <row r="406" spans="1:66" ht="12" customHeight="1" x14ac:dyDescent="0.2">
      <c r="A406" s="179"/>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c r="AA406" s="108"/>
      <c r="AB406" s="108"/>
      <c r="AC406" s="108"/>
      <c r="AD406" s="108"/>
      <c r="AE406" s="108"/>
      <c r="AF406" s="108"/>
      <c r="AG406" s="108"/>
      <c r="AH406" s="108"/>
      <c r="AI406" s="108"/>
      <c r="AJ406" s="108"/>
      <c r="AK406" s="108"/>
      <c r="AL406" s="108"/>
      <c r="AM406" s="108"/>
      <c r="AN406" s="108"/>
      <c r="AO406" s="108"/>
      <c r="AP406" s="108"/>
      <c r="AQ406" s="108"/>
      <c r="AR406" s="108"/>
      <c r="AS406" s="108"/>
      <c r="AT406" s="108"/>
      <c r="AU406" s="108"/>
      <c r="AV406" s="108"/>
      <c r="AW406" s="108"/>
      <c r="AX406" s="108"/>
      <c r="AY406" s="108"/>
      <c r="AZ406" s="108"/>
      <c r="BA406" s="108"/>
      <c r="BB406" s="108"/>
      <c r="BC406" s="108"/>
      <c r="BD406" s="108"/>
      <c r="BE406" s="108"/>
      <c r="BF406" s="108"/>
      <c r="BG406" s="108"/>
      <c r="BH406" s="108"/>
      <c r="BI406" s="108"/>
      <c r="BJ406" s="108"/>
      <c r="BK406" s="109"/>
      <c r="BL406" s="108"/>
      <c r="BM406" s="108"/>
      <c r="BN406" s="108"/>
    </row>
    <row r="407" spans="1:66" ht="12" customHeight="1" x14ac:dyDescent="0.2">
      <c r="A407" s="179"/>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c r="AA407" s="108"/>
      <c r="AB407" s="108"/>
      <c r="AC407" s="108"/>
      <c r="AD407" s="108"/>
      <c r="AE407" s="108"/>
      <c r="AF407" s="108"/>
      <c r="AG407" s="108"/>
      <c r="AH407" s="108"/>
      <c r="AI407" s="108"/>
      <c r="AJ407" s="108"/>
      <c r="AK407" s="108"/>
      <c r="AL407" s="108"/>
      <c r="AM407" s="108"/>
      <c r="AN407" s="108"/>
      <c r="AO407" s="108"/>
      <c r="AP407" s="108"/>
      <c r="AQ407" s="108"/>
      <c r="AR407" s="108"/>
      <c r="AS407" s="108"/>
      <c r="AT407" s="108"/>
      <c r="AU407" s="108"/>
      <c r="AV407" s="108"/>
      <c r="AW407" s="108"/>
      <c r="AX407" s="108"/>
      <c r="AY407" s="108"/>
      <c r="AZ407" s="108"/>
      <c r="BA407" s="108"/>
      <c r="BB407" s="108"/>
      <c r="BC407" s="108"/>
      <c r="BD407" s="108"/>
      <c r="BE407" s="108"/>
      <c r="BF407" s="108"/>
      <c r="BG407" s="108"/>
      <c r="BH407" s="108"/>
      <c r="BI407" s="108"/>
      <c r="BJ407" s="108"/>
      <c r="BK407" s="109"/>
      <c r="BL407" s="108"/>
      <c r="BM407" s="108"/>
      <c r="BN407" s="108"/>
    </row>
    <row r="408" spans="1:66" ht="12" customHeight="1" x14ac:dyDescent="0.2">
      <c r="A408" s="179"/>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c r="AA408" s="108"/>
      <c r="AB408" s="108"/>
      <c r="AC408" s="108"/>
      <c r="AD408" s="108"/>
      <c r="AE408" s="108"/>
      <c r="AF408" s="108"/>
      <c r="AG408" s="108"/>
      <c r="AH408" s="108"/>
      <c r="AI408" s="108"/>
      <c r="AJ408" s="108"/>
      <c r="AK408" s="108"/>
      <c r="AL408" s="108"/>
      <c r="AM408" s="108"/>
      <c r="AN408" s="108"/>
      <c r="AO408" s="108"/>
      <c r="AP408" s="108"/>
      <c r="AQ408" s="108"/>
      <c r="AR408" s="108"/>
      <c r="AS408" s="108"/>
      <c r="AT408" s="108"/>
      <c r="AU408" s="108"/>
      <c r="AV408" s="108"/>
      <c r="AW408" s="108"/>
      <c r="AX408" s="108"/>
      <c r="AY408" s="108"/>
      <c r="AZ408" s="108"/>
      <c r="BA408" s="108"/>
      <c r="BB408" s="108"/>
      <c r="BC408" s="108"/>
      <c r="BD408" s="108"/>
      <c r="BE408" s="108"/>
      <c r="BF408" s="108"/>
      <c r="BG408" s="108"/>
      <c r="BH408" s="108"/>
      <c r="BI408" s="108"/>
      <c r="BJ408" s="108"/>
      <c r="BK408" s="109"/>
      <c r="BL408" s="108"/>
      <c r="BM408" s="108"/>
      <c r="BN408" s="108"/>
    </row>
    <row r="409" spans="1:66" ht="12" customHeight="1" x14ac:dyDescent="0.2">
      <c r="A409" s="179"/>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c r="AA409" s="108"/>
      <c r="AB409" s="108"/>
      <c r="AC409" s="108"/>
      <c r="AD409" s="108"/>
      <c r="AE409" s="108"/>
      <c r="AF409" s="108"/>
      <c r="AG409" s="108"/>
      <c r="AH409" s="108"/>
      <c r="AI409" s="108"/>
      <c r="AJ409" s="108"/>
      <c r="AK409" s="108"/>
      <c r="AL409" s="108"/>
      <c r="AM409" s="108"/>
      <c r="AN409" s="108"/>
      <c r="AO409" s="108"/>
      <c r="AP409" s="108"/>
      <c r="AQ409" s="108"/>
      <c r="AR409" s="108"/>
      <c r="AS409" s="108"/>
      <c r="AT409" s="108"/>
      <c r="AU409" s="108"/>
      <c r="AV409" s="108"/>
      <c r="AW409" s="108"/>
      <c r="AX409" s="108"/>
      <c r="AY409" s="108"/>
      <c r="AZ409" s="108"/>
      <c r="BA409" s="108"/>
      <c r="BB409" s="108"/>
      <c r="BC409" s="108"/>
      <c r="BD409" s="108"/>
      <c r="BE409" s="108"/>
      <c r="BF409" s="108"/>
      <c r="BG409" s="108"/>
      <c r="BH409" s="108"/>
      <c r="BI409" s="108"/>
      <c r="BJ409" s="108"/>
      <c r="BK409" s="109"/>
      <c r="BL409" s="108"/>
      <c r="BM409" s="108"/>
      <c r="BN409" s="108"/>
    </row>
    <row r="410" spans="1:66" ht="12" customHeight="1" x14ac:dyDescent="0.2">
      <c r="A410" s="179"/>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c r="AA410" s="108"/>
      <c r="AB410" s="108"/>
      <c r="AC410" s="108"/>
      <c r="AD410" s="108"/>
      <c r="AE410" s="108"/>
      <c r="AF410" s="108"/>
      <c r="AG410" s="108"/>
      <c r="AH410" s="108"/>
      <c r="AI410" s="108"/>
      <c r="AJ410" s="108"/>
      <c r="AK410" s="108"/>
      <c r="AL410" s="108"/>
      <c r="AM410" s="108"/>
      <c r="AN410" s="108"/>
      <c r="AO410" s="108"/>
      <c r="AP410" s="108"/>
      <c r="AQ410" s="108"/>
      <c r="AR410" s="108"/>
      <c r="AS410" s="108"/>
      <c r="AT410" s="108"/>
      <c r="AU410" s="108"/>
      <c r="AV410" s="108"/>
      <c r="AW410" s="108"/>
      <c r="AX410" s="108"/>
      <c r="AY410" s="108"/>
      <c r="AZ410" s="108"/>
      <c r="BA410" s="108"/>
      <c r="BB410" s="108"/>
      <c r="BC410" s="108"/>
      <c r="BD410" s="108"/>
      <c r="BE410" s="108"/>
      <c r="BF410" s="108"/>
      <c r="BG410" s="108"/>
      <c r="BH410" s="108"/>
      <c r="BI410" s="108"/>
      <c r="BJ410" s="108"/>
      <c r="BK410" s="109"/>
      <c r="BL410" s="108"/>
      <c r="BM410" s="108"/>
      <c r="BN410" s="108"/>
    </row>
    <row r="411" spans="1:66" ht="12" customHeight="1" x14ac:dyDescent="0.2">
      <c r="A411" s="179"/>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c r="AA411" s="108"/>
      <c r="AB411" s="108"/>
      <c r="AC411" s="108"/>
      <c r="AD411" s="108"/>
      <c r="AE411" s="108"/>
      <c r="AF411" s="108"/>
      <c r="AG411" s="108"/>
      <c r="AH411" s="108"/>
      <c r="AI411" s="108"/>
      <c r="AJ411" s="108"/>
      <c r="AK411" s="108"/>
      <c r="AL411" s="108"/>
      <c r="AM411" s="108"/>
      <c r="AN411" s="108"/>
      <c r="AO411" s="108"/>
      <c r="AP411" s="108"/>
      <c r="AQ411" s="108"/>
      <c r="AR411" s="108"/>
      <c r="AS411" s="108"/>
      <c r="AT411" s="108"/>
      <c r="AU411" s="108"/>
      <c r="AV411" s="108"/>
      <c r="AW411" s="108"/>
      <c r="AX411" s="108"/>
      <c r="AY411" s="108"/>
      <c r="AZ411" s="108"/>
      <c r="BA411" s="108"/>
      <c r="BB411" s="108"/>
      <c r="BC411" s="108"/>
      <c r="BD411" s="108"/>
      <c r="BE411" s="108"/>
      <c r="BF411" s="108"/>
      <c r="BG411" s="108"/>
      <c r="BH411" s="108"/>
      <c r="BI411" s="108"/>
      <c r="BJ411" s="108"/>
      <c r="BK411" s="109"/>
      <c r="BL411" s="108"/>
      <c r="BM411" s="108"/>
      <c r="BN411" s="108"/>
    </row>
    <row r="412" spans="1:66" ht="12" customHeight="1" x14ac:dyDescent="0.2">
      <c r="A412" s="179"/>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c r="AA412" s="108"/>
      <c r="AB412" s="108"/>
      <c r="AC412" s="108"/>
      <c r="AD412" s="108"/>
      <c r="AE412" s="108"/>
      <c r="AF412" s="108"/>
      <c r="AG412" s="108"/>
      <c r="AH412" s="108"/>
      <c r="AI412" s="108"/>
      <c r="AJ412" s="108"/>
      <c r="AK412" s="108"/>
      <c r="AL412" s="108"/>
      <c r="AM412" s="108"/>
      <c r="AN412" s="108"/>
      <c r="AO412" s="108"/>
      <c r="AP412" s="108"/>
      <c r="AQ412" s="108"/>
      <c r="AR412" s="108"/>
      <c r="AS412" s="108"/>
      <c r="AT412" s="108"/>
      <c r="AU412" s="108"/>
      <c r="AV412" s="108"/>
      <c r="AW412" s="108"/>
      <c r="AX412" s="108"/>
      <c r="AY412" s="108"/>
      <c r="AZ412" s="108"/>
      <c r="BA412" s="108"/>
      <c r="BB412" s="108"/>
      <c r="BC412" s="108"/>
      <c r="BD412" s="108"/>
      <c r="BE412" s="108"/>
      <c r="BF412" s="108"/>
      <c r="BG412" s="108"/>
      <c r="BH412" s="108"/>
      <c r="BI412" s="108"/>
      <c r="BJ412" s="108"/>
      <c r="BK412" s="109"/>
      <c r="BL412" s="108"/>
      <c r="BM412" s="108"/>
      <c r="BN412" s="108"/>
    </row>
    <row r="413" spans="1:66" ht="12" customHeight="1" x14ac:dyDescent="0.2">
      <c r="A413" s="179"/>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c r="AA413" s="108"/>
      <c r="AB413" s="108"/>
      <c r="AC413" s="108"/>
      <c r="AD413" s="108"/>
      <c r="AE413" s="108"/>
      <c r="AF413" s="108"/>
      <c r="AG413" s="108"/>
      <c r="AH413" s="108"/>
      <c r="AI413" s="108"/>
      <c r="AJ413" s="108"/>
      <c r="AK413" s="108"/>
      <c r="AL413" s="108"/>
      <c r="AM413" s="108"/>
      <c r="AN413" s="108"/>
      <c r="AO413" s="108"/>
      <c r="AP413" s="108"/>
      <c r="AQ413" s="108"/>
      <c r="AR413" s="108"/>
      <c r="AS413" s="108"/>
      <c r="AT413" s="108"/>
      <c r="AU413" s="108"/>
      <c r="AV413" s="108"/>
      <c r="AW413" s="108"/>
      <c r="AX413" s="108"/>
      <c r="AY413" s="108"/>
      <c r="AZ413" s="108"/>
      <c r="BA413" s="108"/>
      <c r="BB413" s="108"/>
      <c r="BC413" s="108"/>
      <c r="BD413" s="108"/>
      <c r="BE413" s="108"/>
      <c r="BF413" s="108"/>
      <c r="BG413" s="108"/>
      <c r="BH413" s="108"/>
      <c r="BI413" s="108"/>
      <c r="BJ413" s="108"/>
      <c r="BK413" s="109"/>
      <c r="BL413" s="108"/>
      <c r="BM413" s="108"/>
      <c r="BN413" s="108"/>
    </row>
    <row r="414" spans="1:66" ht="12" customHeight="1" x14ac:dyDescent="0.2">
      <c r="A414" s="179"/>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c r="AA414" s="108"/>
      <c r="AB414" s="108"/>
      <c r="AC414" s="108"/>
      <c r="AD414" s="108"/>
      <c r="AE414" s="108"/>
      <c r="AF414" s="108"/>
      <c r="AG414" s="108"/>
      <c r="AH414" s="108"/>
      <c r="AI414" s="108"/>
      <c r="AJ414" s="108"/>
      <c r="AK414" s="108"/>
      <c r="AL414" s="108"/>
      <c r="AM414" s="108"/>
      <c r="AN414" s="108"/>
      <c r="AO414" s="108"/>
      <c r="AP414" s="108"/>
      <c r="AQ414" s="108"/>
      <c r="AR414" s="108"/>
      <c r="AS414" s="108"/>
      <c r="AT414" s="108"/>
      <c r="AU414" s="108"/>
      <c r="AV414" s="108"/>
      <c r="AW414" s="108"/>
      <c r="AX414" s="108"/>
      <c r="AY414" s="108"/>
      <c r="AZ414" s="108"/>
      <c r="BA414" s="108"/>
      <c r="BB414" s="108"/>
      <c r="BC414" s="108"/>
      <c r="BD414" s="108"/>
      <c r="BE414" s="108"/>
      <c r="BF414" s="108"/>
      <c r="BG414" s="108"/>
      <c r="BH414" s="108"/>
      <c r="BI414" s="108"/>
      <c r="BJ414" s="108"/>
      <c r="BK414" s="109"/>
      <c r="BL414" s="108"/>
      <c r="BM414" s="108"/>
      <c r="BN414" s="108"/>
    </row>
    <row r="415" spans="1:66" ht="12" customHeight="1" x14ac:dyDescent="0.2">
      <c r="A415" s="179"/>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c r="AA415" s="108"/>
      <c r="AB415" s="108"/>
      <c r="AC415" s="108"/>
      <c r="AD415" s="108"/>
      <c r="AE415" s="108"/>
      <c r="AF415" s="108"/>
      <c r="AG415" s="108"/>
      <c r="AH415" s="108"/>
      <c r="AI415" s="108"/>
      <c r="AJ415" s="108"/>
      <c r="AK415" s="108"/>
      <c r="AL415" s="108"/>
      <c r="AM415" s="108"/>
      <c r="AN415" s="108"/>
      <c r="AO415" s="108"/>
      <c r="AP415" s="108"/>
      <c r="AQ415" s="108"/>
      <c r="AR415" s="108"/>
      <c r="AS415" s="108"/>
      <c r="AT415" s="108"/>
      <c r="AU415" s="108"/>
      <c r="AV415" s="108"/>
      <c r="AW415" s="108"/>
      <c r="AX415" s="108"/>
      <c r="AY415" s="108"/>
      <c r="AZ415" s="108"/>
      <c r="BA415" s="108"/>
      <c r="BB415" s="108"/>
      <c r="BC415" s="108"/>
      <c r="BD415" s="108"/>
      <c r="BE415" s="108"/>
      <c r="BF415" s="108"/>
      <c r="BG415" s="108"/>
      <c r="BH415" s="108"/>
      <c r="BI415" s="108"/>
      <c r="BJ415" s="108"/>
      <c r="BK415" s="109"/>
      <c r="BL415" s="108"/>
      <c r="BM415" s="108"/>
      <c r="BN415" s="108"/>
    </row>
    <row r="416" spans="1:66" ht="12" customHeight="1" x14ac:dyDescent="0.2">
      <c r="A416" s="179"/>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c r="AA416" s="108"/>
      <c r="AB416" s="108"/>
      <c r="AC416" s="108"/>
      <c r="AD416" s="108"/>
      <c r="AE416" s="108"/>
      <c r="AF416" s="108"/>
      <c r="AG416" s="108"/>
      <c r="AH416" s="108"/>
      <c r="AI416" s="108"/>
      <c r="AJ416" s="108"/>
      <c r="AK416" s="108"/>
      <c r="AL416" s="108"/>
      <c r="AM416" s="108"/>
      <c r="AN416" s="108"/>
      <c r="AO416" s="108"/>
      <c r="AP416" s="108"/>
      <c r="AQ416" s="108"/>
      <c r="AR416" s="108"/>
      <c r="AS416" s="108"/>
      <c r="AT416" s="108"/>
      <c r="AU416" s="108"/>
      <c r="AV416" s="108"/>
      <c r="AW416" s="108"/>
      <c r="AX416" s="108"/>
      <c r="AY416" s="108"/>
      <c r="AZ416" s="108"/>
      <c r="BA416" s="108"/>
      <c r="BB416" s="108"/>
      <c r="BC416" s="108"/>
      <c r="BD416" s="108"/>
      <c r="BE416" s="108"/>
      <c r="BF416" s="108"/>
      <c r="BG416" s="108"/>
      <c r="BH416" s="108"/>
      <c r="BI416" s="108"/>
      <c r="BJ416" s="108"/>
      <c r="BK416" s="109"/>
      <c r="BL416" s="108"/>
      <c r="BM416" s="108"/>
      <c r="BN416" s="108"/>
    </row>
    <row r="417" spans="1:66" ht="12" customHeight="1" x14ac:dyDescent="0.2">
      <c r="A417" s="179"/>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c r="AA417" s="108"/>
      <c r="AB417" s="108"/>
      <c r="AC417" s="108"/>
      <c r="AD417" s="108"/>
      <c r="AE417" s="108"/>
      <c r="AF417" s="108"/>
      <c r="AG417" s="108"/>
      <c r="AH417" s="108"/>
      <c r="AI417" s="108"/>
      <c r="AJ417" s="108"/>
      <c r="AK417" s="108"/>
      <c r="AL417" s="108"/>
      <c r="AM417" s="108"/>
      <c r="AN417" s="108"/>
      <c r="AO417" s="108"/>
      <c r="AP417" s="108"/>
      <c r="AQ417" s="108"/>
      <c r="AR417" s="108"/>
      <c r="AS417" s="108"/>
      <c r="AT417" s="108"/>
      <c r="AU417" s="108"/>
      <c r="AV417" s="108"/>
      <c r="AW417" s="108"/>
      <c r="AX417" s="108"/>
      <c r="AY417" s="108"/>
      <c r="AZ417" s="108"/>
      <c r="BA417" s="108"/>
      <c r="BB417" s="108"/>
      <c r="BC417" s="108"/>
      <c r="BD417" s="108"/>
      <c r="BE417" s="108"/>
      <c r="BF417" s="108"/>
      <c r="BG417" s="108"/>
      <c r="BH417" s="108"/>
      <c r="BI417" s="108"/>
      <c r="BJ417" s="108"/>
      <c r="BK417" s="109"/>
      <c r="BL417" s="108"/>
      <c r="BM417" s="108"/>
      <c r="BN417" s="108"/>
    </row>
    <row r="418" spans="1:66" ht="12" customHeight="1" x14ac:dyDescent="0.2">
      <c r="A418" s="179"/>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c r="AA418" s="108"/>
      <c r="AB418" s="108"/>
      <c r="AC418" s="108"/>
      <c r="AD418" s="108"/>
      <c r="AE418" s="108"/>
      <c r="AF418" s="108"/>
      <c r="AG418" s="108"/>
      <c r="AH418" s="108"/>
      <c r="AI418" s="108"/>
      <c r="AJ418" s="108"/>
      <c r="AK418" s="108"/>
      <c r="AL418" s="108"/>
      <c r="AM418" s="108"/>
      <c r="AN418" s="108"/>
      <c r="AO418" s="108"/>
      <c r="AP418" s="108"/>
      <c r="AQ418" s="108"/>
      <c r="AR418" s="108"/>
      <c r="AS418" s="108"/>
      <c r="AT418" s="108"/>
      <c r="AU418" s="108"/>
      <c r="AV418" s="108"/>
      <c r="AW418" s="108"/>
      <c r="AX418" s="108"/>
      <c r="AY418" s="108"/>
      <c r="AZ418" s="108"/>
      <c r="BA418" s="108"/>
      <c r="BB418" s="108"/>
      <c r="BC418" s="108"/>
      <c r="BD418" s="108"/>
      <c r="BE418" s="108"/>
      <c r="BF418" s="108"/>
      <c r="BG418" s="108"/>
      <c r="BH418" s="108"/>
      <c r="BI418" s="108"/>
      <c r="BJ418" s="108"/>
      <c r="BK418" s="109"/>
      <c r="BL418" s="108"/>
      <c r="BM418" s="108"/>
      <c r="BN418" s="108"/>
    </row>
    <row r="419" spans="1:66" ht="12" customHeight="1" x14ac:dyDescent="0.2">
      <c r="A419" s="179"/>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c r="AA419" s="108"/>
      <c r="AB419" s="108"/>
      <c r="AC419" s="108"/>
      <c r="AD419" s="108"/>
      <c r="AE419" s="108"/>
      <c r="AF419" s="108"/>
      <c r="AG419" s="108"/>
      <c r="AH419" s="108"/>
      <c r="AI419" s="108"/>
      <c r="AJ419" s="108"/>
      <c r="AK419" s="108"/>
      <c r="AL419" s="108"/>
      <c r="AM419" s="108"/>
      <c r="AN419" s="108"/>
      <c r="AO419" s="108"/>
      <c r="AP419" s="108"/>
      <c r="AQ419" s="108"/>
      <c r="AR419" s="108"/>
      <c r="AS419" s="108"/>
      <c r="AT419" s="108"/>
      <c r="AU419" s="108"/>
      <c r="AV419" s="108"/>
      <c r="AW419" s="108"/>
      <c r="AX419" s="108"/>
      <c r="AY419" s="108"/>
      <c r="AZ419" s="108"/>
      <c r="BA419" s="108"/>
      <c r="BB419" s="108"/>
      <c r="BC419" s="108"/>
      <c r="BD419" s="108"/>
      <c r="BE419" s="108"/>
      <c r="BF419" s="108"/>
      <c r="BG419" s="108"/>
      <c r="BH419" s="108"/>
      <c r="BI419" s="108"/>
      <c r="BJ419" s="108"/>
      <c r="BK419" s="109"/>
      <c r="BL419" s="108"/>
      <c r="BM419" s="108"/>
      <c r="BN419" s="108"/>
    </row>
    <row r="420" spans="1:66" ht="12" customHeight="1" x14ac:dyDescent="0.2">
      <c r="A420" s="179"/>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c r="AA420" s="108"/>
      <c r="AB420" s="108"/>
      <c r="AC420" s="108"/>
      <c r="AD420" s="108"/>
      <c r="AE420" s="108"/>
      <c r="AF420" s="108"/>
      <c r="AG420" s="108"/>
      <c r="AH420" s="108"/>
      <c r="AI420" s="108"/>
      <c r="AJ420" s="108"/>
      <c r="AK420" s="108"/>
      <c r="AL420" s="108"/>
      <c r="AM420" s="108"/>
      <c r="AN420" s="108"/>
      <c r="AO420" s="108"/>
      <c r="AP420" s="108"/>
      <c r="AQ420" s="108"/>
      <c r="AR420" s="108"/>
      <c r="AS420" s="108"/>
      <c r="AT420" s="108"/>
      <c r="AU420" s="108"/>
      <c r="AV420" s="108"/>
      <c r="AW420" s="108"/>
      <c r="AX420" s="108"/>
      <c r="AY420" s="108"/>
      <c r="AZ420" s="108"/>
      <c r="BA420" s="108"/>
      <c r="BB420" s="108"/>
      <c r="BC420" s="108"/>
      <c r="BD420" s="108"/>
      <c r="BE420" s="108"/>
      <c r="BF420" s="108"/>
      <c r="BG420" s="108"/>
      <c r="BH420" s="108"/>
      <c r="BI420" s="108"/>
      <c r="BJ420" s="108"/>
      <c r="BK420" s="109"/>
      <c r="BL420" s="108"/>
      <c r="BM420" s="108"/>
      <c r="BN420" s="108"/>
    </row>
    <row r="421" spans="1:66" ht="12" customHeight="1" x14ac:dyDescent="0.2">
      <c r="A421" s="179"/>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c r="AA421" s="108"/>
      <c r="AB421" s="108"/>
      <c r="AC421" s="108"/>
      <c r="AD421" s="108"/>
      <c r="AE421" s="108"/>
      <c r="AF421" s="108"/>
      <c r="AG421" s="108"/>
      <c r="AH421" s="108"/>
      <c r="AI421" s="108"/>
      <c r="AJ421" s="108"/>
      <c r="AK421" s="108"/>
      <c r="AL421" s="108"/>
      <c r="AM421" s="108"/>
      <c r="AN421" s="108"/>
      <c r="AO421" s="108"/>
      <c r="AP421" s="108"/>
      <c r="AQ421" s="108"/>
      <c r="AR421" s="108"/>
      <c r="AS421" s="108"/>
      <c r="AT421" s="108"/>
      <c r="AU421" s="108"/>
      <c r="AV421" s="108"/>
      <c r="AW421" s="108"/>
      <c r="AX421" s="108"/>
      <c r="AY421" s="108"/>
      <c r="AZ421" s="108"/>
      <c r="BA421" s="108"/>
      <c r="BB421" s="108"/>
      <c r="BC421" s="108"/>
      <c r="BD421" s="108"/>
      <c r="BE421" s="108"/>
      <c r="BF421" s="108"/>
      <c r="BG421" s="108"/>
      <c r="BH421" s="108"/>
      <c r="BI421" s="108"/>
      <c r="BJ421" s="108"/>
      <c r="BK421" s="109"/>
      <c r="BL421" s="108"/>
      <c r="BM421" s="108"/>
      <c r="BN421" s="108"/>
    </row>
    <row r="422" spans="1:66" ht="12" customHeight="1" x14ac:dyDescent="0.2">
      <c r="A422" s="179"/>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c r="AA422" s="108"/>
      <c r="AB422" s="108"/>
      <c r="AC422" s="108"/>
      <c r="AD422" s="108"/>
      <c r="AE422" s="108"/>
      <c r="AF422" s="108"/>
      <c r="AG422" s="108"/>
      <c r="AH422" s="108"/>
      <c r="AI422" s="108"/>
      <c r="AJ422" s="108"/>
      <c r="AK422" s="108"/>
      <c r="AL422" s="108"/>
      <c r="AM422" s="108"/>
      <c r="AN422" s="108"/>
      <c r="AO422" s="108"/>
      <c r="AP422" s="108"/>
      <c r="AQ422" s="108"/>
      <c r="AR422" s="108"/>
      <c r="AS422" s="108"/>
      <c r="AT422" s="108"/>
      <c r="AU422" s="108"/>
      <c r="AV422" s="108"/>
      <c r="AW422" s="108"/>
      <c r="AX422" s="108"/>
      <c r="AY422" s="108"/>
      <c r="AZ422" s="108"/>
      <c r="BA422" s="108"/>
      <c r="BB422" s="108"/>
      <c r="BC422" s="108"/>
      <c r="BD422" s="108"/>
      <c r="BE422" s="108"/>
      <c r="BF422" s="108"/>
      <c r="BG422" s="108"/>
      <c r="BH422" s="108"/>
      <c r="BI422" s="108"/>
      <c r="BJ422" s="108"/>
      <c r="BK422" s="109"/>
      <c r="BL422" s="108"/>
      <c r="BM422" s="108"/>
      <c r="BN422" s="108"/>
    </row>
    <row r="423" spans="1:66" ht="12" customHeight="1" x14ac:dyDescent="0.2">
      <c r="A423" s="179"/>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c r="AA423" s="108"/>
      <c r="AB423" s="108"/>
      <c r="AC423" s="108"/>
      <c r="AD423" s="108"/>
      <c r="AE423" s="108"/>
      <c r="AF423" s="108"/>
      <c r="AG423" s="108"/>
      <c r="AH423" s="108"/>
      <c r="AI423" s="108"/>
      <c r="AJ423" s="108"/>
      <c r="AK423" s="108"/>
      <c r="AL423" s="108"/>
      <c r="AM423" s="108"/>
      <c r="AN423" s="108"/>
      <c r="AO423" s="108"/>
      <c r="AP423" s="108"/>
      <c r="AQ423" s="108"/>
      <c r="AR423" s="108"/>
      <c r="AS423" s="108"/>
      <c r="AT423" s="108"/>
      <c r="AU423" s="108"/>
      <c r="AV423" s="108"/>
      <c r="AW423" s="108"/>
      <c r="AX423" s="108"/>
      <c r="AY423" s="108"/>
      <c r="AZ423" s="108"/>
      <c r="BA423" s="108"/>
      <c r="BB423" s="108"/>
      <c r="BC423" s="108"/>
      <c r="BD423" s="108"/>
      <c r="BE423" s="108"/>
      <c r="BF423" s="108"/>
      <c r="BG423" s="108"/>
      <c r="BH423" s="108"/>
      <c r="BI423" s="108"/>
      <c r="BJ423" s="108"/>
      <c r="BK423" s="109"/>
      <c r="BL423" s="108"/>
      <c r="BM423" s="108"/>
      <c r="BN423" s="108"/>
    </row>
    <row r="424" spans="1:66" ht="12" customHeight="1" x14ac:dyDescent="0.2">
      <c r="A424" s="179"/>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c r="AA424" s="108"/>
      <c r="AB424" s="108"/>
      <c r="AC424" s="108"/>
      <c r="AD424" s="108"/>
      <c r="AE424" s="108"/>
      <c r="AF424" s="108"/>
      <c r="AG424" s="108"/>
      <c r="AH424" s="108"/>
      <c r="AI424" s="108"/>
      <c r="AJ424" s="108"/>
      <c r="AK424" s="108"/>
      <c r="AL424" s="108"/>
      <c r="AM424" s="108"/>
      <c r="AN424" s="108"/>
      <c r="AO424" s="108"/>
      <c r="AP424" s="108"/>
      <c r="AQ424" s="108"/>
      <c r="AR424" s="108"/>
      <c r="AS424" s="108"/>
      <c r="AT424" s="108"/>
      <c r="AU424" s="108"/>
      <c r="AV424" s="108"/>
      <c r="AW424" s="108"/>
      <c r="AX424" s="108"/>
      <c r="AY424" s="108"/>
      <c r="AZ424" s="108"/>
      <c r="BA424" s="108"/>
      <c r="BB424" s="108"/>
      <c r="BC424" s="108"/>
      <c r="BD424" s="108"/>
      <c r="BE424" s="108"/>
      <c r="BF424" s="108"/>
      <c r="BG424" s="108"/>
      <c r="BH424" s="108"/>
      <c r="BI424" s="108"/>
      <c r="BJ424" s="108"/>
      <c r="BK424" s="109"/>
      <c r="BL424" s="108"/>
      <c r="BM424" s="108"/>
      <c r="BN424" s="108"/>
    </row>
    <row r="425" spans="1:66" ht="12" customHeight="1" x14ac:dyDescent="0.2">
      <c r="A425" s="179"/>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c r="AA425" s="108"/>
      <c r="AB425" s="108"/>
      <c r="AC425" s="108"/>
      <c r="AD425" s="108"/>
      <c r="AE425" s="108"/>
      <c r="AF425" s="108"/>
      <c r="AG425" s="108"/>
      <c r="AH425" s="108"/>
      <c r="AI425" s="108"/>
      <c r="AJ425" s="108"/>
      <c r="AK425" s="108"/>
      <c r="AL425" s="108"/>
      <c r="AM425" s="108"/>
      <c r="AN425" s="108"/>
      <c r="AO425" s="108"/>
      <c r="AP425" s="108"/>
      <c r="AQ425" s="108"/>
      <c r="AR425" s="108"/>
      <c r="AS425" s="108"/>
      <c r="AT425" s="108"/>
      <c r="AU425" s="108"/>
      <c r="AV425" s="108"/>
      <c r="AW425" s="108"/>
      <c r="AX425" s="108"/>
      <c r="AY425" s="108"/>
      <c r="AZ425" s="108"/>
      <c r="BA425" s="108"/>
      <c r="BB425" s="108"/>
      <c r="BC425" s="108"/>
      <c r="BD425" s="108"/>
      <c r="BE425" s="108"/>
      <c r="BF425" s="108"/>
      <c r="BG425" s="108"/>
      <c r="BH425" s="108"/>
      <c r="BI425" s="108"/>
      <c r="BJ425" s="108"/>
      <c r="BK425" s="109"/>
      <c r="BL425" s="108"/>
      <c r="BM425" s="108"/>
      <c r="BN425" s="108"/>
    </row>
    <row r="426" spans="1:66" ht="12" customHeight="1" x14ac:dyDescent="0.2">
      <c r="A426" s="179"/>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c r="AA426" s="108"/>
      <c r="AB426" s="108"/>
      <c r="AC426" s="108"/>
      <c r="AD426" s="108"/>
      <c r="AE426" s="108"/>
      <c r="AF426" s="108"/>
      <c r="AG426" s="108"/>
      <c r="AH426" s="108"/>
      <c r="AI426" s="108"/>
      <c r="AJ426" s="108"/>
      <c r="AK426" s="108"/>
      <c r="AL426" s="108"/>
      <c r="AM426" s="108"/>
      <c r="AN426" s="108"/>
      <c r="AO426" s="108"/>
      <c r="AP426" s="108"/>
      <c r="AQ426" s="108"/>
      <c r="AR426" s="108"/>
      <c r="AS426" s="108"/>
      <c r="AT426" s="108"/>
      <c r="AU426" s="108"/>
      <c r="AV426" s="108"/>
      <c r="AW426" s="108"/>
      <c r="AX426" s="108"/>
      <c r="AY426" s="108"/>
      <c r="AZ426" s="108"/>
      <c r="BA426" s="108"/>
      <c r="BB426" s="108"/>
      <c r="BC426" s="108"/>
      <c r="BD426" s="108"/>
      <c r="BE426" s="108"/>
      <c r="BF426" s="108"/>
      <c r="BG426" s="108"/>
      <c r="BH426" s="108"/>
      <c r="BI426" s="108"/>
      <c r="BJ426" s="108"/>
      <c r="BK426" s="109"/>
      <c r="BL426" s="108"/>
      <c r="BM426" s="108"/>
      <c r="BN426" s="108"/>
    </row>
    <row r="427" spans="1:66" ht="12" customHeight="1" x14ac:dyDescent="0.2">
      <c r="A427" s="179"/>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c r="AA427" s="108"/>
      <c r="AB427" s="108"/>
      <c r="AC427" s="108"/>
      <c r="AD427" s="108"/>
      <c r="AE427" s="108"/>
      <c r="AF427" s="108"/>
      <c r="AG427" s="108"/>
      <c r="AH427" s="108"/>
      <c r="AI427" s="108"/>
      <c r="AJ427" s="108"/>
      <c r="AK427" s="108"/>
      <c r="AL427" s="108"/>
      <c r="AM427" s="108"/>
      <c r="AN427" s="108"/>
      <c r="AO427" s="108"/>
      <c r="AP427" s="108"/>
      <c r="AQ427" s="108"/>
      <c r="AR427" s="108"/>
      <c r="AS427" s="108"/>
      <c r="AT427" s="108"/>
      <c r="AU427" s="108"/>
      <c r="AV427" s="108"/>
      <c r="AW427" s="108"/>
      <c r="AX427" s="108"/>
      <c r="AY427" s="108"/>
      <c r="AZ427" s="108"/>
      <c r="BA427" s="108"/>
      <c r="BB427" s="108"/>
      <c r="BC427" s="108"/>
      <c r="BD427" s="108"/>
      <c r="BE427" s="108"/>
      <c r="BF427" s="108"/>
      <c r="BG427" s="108"/>
      <c r="BH427" s="108"/>
      <c r="BI427" s="108"/>
      <c r="BJ427" s="108"/>
      <c r="BK427" s="109"/>
      <c r="BL427" s="108"/>
      <c r="BM427" s="108"/>
      <c r="BN427" s="108"/>
    </row>
    <row r="428" spans="1:66" ht="12" customHeight="1" x14ac:dyDescent="0.2">
      <c r="A428" s="179"/>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c r="AA428" s="108"/>
      <c r="AB428" s="108"/>
      <c r="AC428" s="108"/>
      <c r="AD428" s="108"/>
      <c r="AE428" s="108"/>
      <c r="AF428" s="108"/>
      <c r="AG428" s="108"/>
      <c r="AH428" s="108"/>
      <c r="AI428" s="108"/>
      <c r="AJ428" s="108"/>
      <c r="AK428" s="108"/>
      <c r="AL428" s="108"/>
      <c r="AM428" s="108"/>
      <c r="AN428" s="108"/>
      <c r="AO428" s="108"/>
      <c r="AP428" s="108"/>
      <c r="AQ428" s="108"/>
      <c r="AR428" s="108"/>
      <c r="AS428" s="108"/>
      <c r="AT428" s="108"/>
      <c r="AU428" s="108"/>
      <c r="AV428" s="108"/>
      <c r="AW428" s="108"/>
      <c r="AX428" s="108"/>
      <c r="AY428" s="108"/>
      <c r="AZ428" s="108"/>
      <c r="BA428" s="108"/>
      <c r="BB428" s="108"/>
      <c r="BC428" s="108"/>
      <c r="BD428" s="108"/>
      <c r="BE428" s="108"/>
      <c r="BF428" s="108"/>
      <c r="BG428" s="108"/>
      <c r="BH428" s="108"/>
      <c r="BI428" s="108"/>
      <c r="BJ428" s="108"/>
      <c r="BK428" s="109"/>
      <c r="BL428" s="108"/>
      <c r="BM428" s="108"/>
      <c r="BN428" s="108"/>
    </row>
    <row r="429" spans="1:66" ht="12" customHeight="1" x14ac:dyDescent="0.2">
      <c r="A429" s="179"/>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c r="AA429" s="108"/>
      <c r="AB429" s="108"/>
      <c r="AC429" s="108"/>
      <c r="AD429" s="108"/>
      <c r="AE429" s="108"/>
      <c r="AF429" s="108"/>
      <c r="AG429" s="108"/>
      <c r="AH429" s="108"/>
      <c r="AI429" s="108"/>
      <c r="AJ429" s="108"/>
      <c r="AK429" s="108"/>
      <c r="AL429" s="108"/>
      <c r="AM429" s="108"/>
      <c r="AN429" s="108"/>
      <c r="AO429" s="108"/>
      <c r="AP429" s="108"/>
      <c r="AQ429" s="108"/>
      <c r="AR429" s="108"/>
      <c r="AS429" s="108"/>
      <c r="AT429" s="108"/>
      <c r="AU429" s="108"/>
      <c r="AV429" s="108"/>
      <c r="AW429" s="108"/>
      <c r="AX429" s="108"/>
      <c r="AY429" s="108"/>
      <c r="AZ429" s="108"/>
      <c r="BA429" s="108"/>
      <c r="BB429" s="108"/>
      <c r="BC429" s="108"/>
      <c r="BD429" s="108"/>
      <c r="BE429" s="108"/>
      <c r="BF429" s="108"/>
      <c r="BG429" s="108"/>
      <c r="BH429" s="108"/>
      <c r="BI429" s="108"/>
      <c r="BJ429" s="108"/>
      <c r="BK429" s="109"/>
      <c r="BL429" s="108"/>
      <c r="BM429" s="108"/>
      <c r="BN429" s="108"/>
    </row>
    <row r="430" spans="1:66" ht="12" customHeight="1" x14ac:dyDescent="0.2">
      <c r="A430" s="179"/>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c r="AA430" s="108"/>
      <c r="AB430" s="108"/>
      <c r="AC430" s="108"/>
      <c r="AD430" s="108"/>
      <c r="AE430" s="108"/>
      <c r="AF430" s="108"/>
      <c r="AG430" s="108"/>
      <c r="AH430" s="108"/>
      <c r="AI430" s="108"/>
      <c r="AJ430" s="108"/>
      <c r="AK430" s="108"/>
      <c r="AL430" s="108"/>
      <c r="AM430" s="108"/>
      <c r="AN430" s="108"/>
      <c r="AO430" s="108"/>
      <c r="AP430" s="108"/>
      <c r="AQ430" s="108"/>
      <c r="AR430" s="108"/>
      <c r="AS430" s="108"/>
      <c r="AT430" s="108"/>
      <c r="AU430" s="108"/>
      <c r="AV430" s="108"/>
      <c r="AW430" s="108"/>
      <c r="AX430" s="108"/>
      <c r="AY430" s="108"/>
      <c r="AZ430" s="108"/>
      <c r="BA430" s="108"/>
      <c r="BB430" s="108"/>
      <c r="BC430" s="108"/>
      <c r="BD430" s="108"/>
      <c r="BE430" s="108"/>
      <c r="BF430" s="108"/>
      <c r="BG430" s="108"/>
      <c r="BH430" s="108"/>
      <c r="BI430" s="108"/>
      <c r="BJ430" s="108"/>
      <c r="BK430" s="109"/>
      <c r="BL430" s="108"/>
      <c r="BM430" s="108"/>
      <c r="BN430" s="108"/>
    </row>
    <row r="431" spans="1:66" ht="12" customHeight="1" x14ac:dyDescent="0.2">
      <c r="A431" s="179"/>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c r="AA431" s="108"/>
      <c r="AB431" s="108"/>
      <c r="AC431" s="108"/>
      <c r="AD431" s="108"/>
      <c r="AE431" s="108"/>
      <c r="AF431" s="108"/>
      <c r="AG431" s="108"/>
      <c r="AH431" s="108"/>
      <c r="AI431" s="108"/>
      <c r="AJ431" s="108"/>
      <c r="AK431" s="108"/>
      <c r="AL431" s="108"/>
      <c r="AM431" s="108"/>
      <c r="AN431" s="108"/>
      <c r="AO431" s="108"/>
      <c r="AP431" s="108"/>
      <c r="AQ431" s="108"/>
      <c r="AR431" s="108"/>
      <c r="AS431" s="108"/>
      <c r="AT431" s="108"/>
      <c r="AU431" s="108"/>
      <c r="AV431" s="108"/>
      <c r="AW431" s="108"/>
      <c r="AX431" s="108"/>
      <c r="AY431" s="108"/>
      <c r="AZ431" s="108"/>
      <c r="BA431" s="108"/>
      <c r="BB431" s="108"/>
      <c r="BC431" s="108"/>
      <c r="BD431" s="108"/>
      <c r="BE431" s="108"/>
      <c r="BF431" s="108"/>
      <c r="BG431" s="108"/>
      <c r="BH431" s="108"/>
      <c r="BI431" s="108"/>
      <c r="BJ431" s="108"/>
      <c r="BK431" s="109"/>
      <c r="BL431" s="108"/>
      <c r="BM431" s="108"/>
      <c r="BN431" s="108"/>
    </row>
    <row r="432" spans="1:66" ht="12" customHeight="1" x14ac:dyDescent="0.2">
      <c r="A432" s="179"/>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c r="AA432" s="108"/>
      <c r="AB432" s="108"/>
      <c r="AC432" s="108"/>
      <c r="AD432" s="108"/>
      <c r="AE432" s="108"/>
      <c r="AF432" s="108"/>
      <c r="AG432" s="108"/>
      <c r="AH432" s="108"/>
      <c r="AI432" s="108"/>
      <c r="AJ432" s="108"/>
      <c r="AK432" s="108"/>
      <c r="AL432" s="108"/>
      <c r="AM432" s="108"/>
      <c r="AN432" s="108"/>
      <c r="AO432" s="108"/>
      <c r="AP432" s="108"/>
      <c r="AQ432" s="108"/>
      <c r="AR432" s="108"/>
      <c r="AS432" s="108"/>
      <c r="AT432" s="108"/>
      <c r="AU432" s="108"/>
      <c r="AV432" s="108"/>
      <c r="AW432" s="108"/>
      <c r="AX432" s="108"/>
      <c r="AY432" s="108"/>
      <c r="AZ432" s="108"/>
      <c r="BA432" s="108"/>
      <c r="BB432" s="108"/>
      <c r="BC432" s="108"/>
      <c r="BD432" s="108"/>
      <c r="BE432" s="108"/>
      <c r="BF432" s="108"/>
      <c r="BG432" s="108"/>
      <c r="BH432" s="108"/>
      <c r="BI432" s="108"/>
      <c r="BJ432" s="108"/>
      <c r="BK432" s="109"/>
      <c r="BL432" s="108"/>
      <c r="BM432" s="108"/>
      <c r="BN432" s="108"/>
    </row>
    <row r="433" spans="1:66" ht="12" customHeight="1" x14ac:dyDescent="0.2">
      <c r="A433" s="179"/>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c r="AA433" s="108"/>
      <c r="AB433" s="108"/>
      <c r="AC433" s="108"/>
      <c r="AD433" s="108"/>
      <c r="AE433" s="108"/>
      <c r="AF433" s="108"/>
      <c r="AG433" s="108"/>
      <c r="AH433" s="108"/>
      <c r="AI433" s="108"/>
      <c r="AJ433" s="108"/>
      <c r="AK433" s="108"/>
      <c r="AL433" s="108"/>
      <c r="AM433" s="108"/>
      <c r="AN433" s="108"/>
      <c r="AO433" s="108"/>
      <c r="AP433" s="108"/>
      <c r="AQ433" s="108"/>
      <c r="AR433" s="108"/>
      <c r="AS433" s="108"/>
      <c r="AT433" s="108"/>
      <c r="AU433" s="108"/>
      <c r="AV433" s="108"/>
      <c r="AW433" s="108"/>
      <c r="AX433" s="108"/>
      <c r="AY433" s="108"/>
      <c r="AZ433" s="108"/>
      <c r="BA433" s="108"/>
      <c r="BB433" s="108"/>
      <c r="BC433" s="108"/>
      <c r="BD433" s="108"/>
      <c r="BE433" s="108"/>
      <c r="BF433" s="108"/>
      <c r="BG433" s="108"/>
      <c r="BH433" s="108"/>
      <c r="BI433" s="108"/>
      <c r="BJ433" s="108"/>
      <c r="BK433" s="109"/>
      <c r="BL433" s="108"/>
      <c r="BM433" s="108"/>
      <c r="BN433" s="108"/>
    </row>
    <row r="434" spans="1:66" ht="12" customHeight="1" x14ac:dyDescent="0.2">
      <c r="A434" s="179"/>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c r="AA434" s="108"/>
      <c r="AB434" s="108"/>
      <c r="AC434" s="108"/>
      <c r="AD434" s="108"/>
      <c r="AE434" s="108"/>
      <c r="AF434" s="108"/>
      <c r="AG434" s="108"/>
      <c r="AH434" s="108"/>
      <c r="AI434" s="108"/>
      <c r="AJ434" s="108"/>
      <c r="AK434" s="108"/>
      <c r="AL434" s="108"/>
      <c r="AM434" s="108"/>
      <c r="AN434" s="108"/>
      <c r="AO434" s="108"/>
      <c r="AP434" s="108"/>
      <c r="AQ434" s="108"/>
      <c r="AR434" s="108"/>
      <c r="AS434" s="108"/>
      <c r="AT434" s="108"/>
      <c r="AU434" s="108"/>
      <c r="AV434" s="108"/>
      <c r="AW434" s="108"/>
      <c r="AX434" s="108"/>
      <c r="AY434" s="108"/>
      <c r="AZ434" s="108"/>
      <c r="BA434" s="108"/>
      <c r="BB434" s="108"/>
      <c r="BC434" s="108"/>
      <c r="BD434" s="108"/>
      <c r="BE434" s="108"/>
      <c r="BF434" s="108"/>
      <c r="BG434" s="108"/>
      <c r="BH434" s="108"/>
      <c r="BI434" s="108"/>
      <c r="BJ434" s="108"/>
      <c r="BK434" s="109"/>
      <c r="BL434" s="108"/>
      <c r="BM434" s="108"/>
      <c r="BN434" s="108"/>
    </row>
    <row r="435" spans="1:66" ht="12" customHeight="1" x14ac:dyDescent="0.2">
      <c r="A435" s="179"/>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c r="AA435" s="108"/>
      <c r="AB435" s="108"/>
      <c r="AC435" s="108"/>
      <c r="AD435" s="108"/>
      <c r="AE435" s="108"/>
      <c r="AF435" s="108"/>
      <c r="AG435" s="108"/>
      <c r="AH435" s="108"/>
      <c r="AI435" s="108"/>
      <c r="AJ435" s="108"/>
      <c r="AK435" s="108"/>
      <c r="AL435" s="108"/>
      <c r="AM435" s="108"/>
      <c r="AN435" s="108"/>
      <c r="AO435" s="108"/>
      <c r="AP435" s="108"/>
      <c r="AQ435" s="108"/>
      <c r="AR435" s="108"/>
      <c r="AS435" s="108"/>
      <c r="AT435" s="108"/>
      <c r="AU435" s="108"/>
      <c r="AV435" s="108"/>
      <c r="AW435" s="108"/>
      <c r="AX435" s="108"/>
      <c r="AY435" s="108"/>
      <c r="AZ435" s="108"/>
      <c r="BA435" s="108"/>
      <c r="BB435" s="108"/>
      <c r="BC435" s="108"/>
      <c r="BD435" s="108"/>
      <c r="BE435" s="108"/>
      <c r="BF435" s="108"/>
      <c r="BG435" s="108"/>
      <c r="BH435" s="108"/>
      <c r="BI435" s="108"/>
      <c r="BJ435" s="108"/>
      <c r="BK435" s="109"/>
      <c r="BL435" s="108"/>
      <c r="BM435" s="108"/>
      <c r="BN435" s="108"/>
    </row>
    <row r="436" spans="1:66" ht="12" customHeight="1" x14ac:dyDescent="0.2">
      <c r="A436" s="179"/>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c r="AA436" s="108"/>
      <c r="AB436" s="108"/>
      <c r="AC436" s="108"/>
      <c r="AD436" s="108"/>
      <c r="AE436" s="108"/>
      <c r="AF436" s="108"/>
      <c r="AG436" s="108"/>
      <c r="AH436" s="108"/>
      <c r="AI436" s="108"/>
      <c r="AJ436" s="108"/>
      <c r="AK436" s="108"/>
      <c r="AL436" s="108"/>
      <c r="AM436" s="108"/>
      <c r="AN436" s="108"/>
      <c r="AO436" s="108"/>
      <c r="AP436" s="108"/>
      <c r="AQ436" s="108"/>
      <c r="AR436" s="108"/>
      <c r="AS436" s="108"/>
      <c r="AT436" s="108"/>
      <c r="AU436" s="108"/>
      <c r="AV436" s="108"/>
      <c r="AW436" s="108"/>
      <c r="AX436" s="108"/>
      <c r="AY436" s="108"/>
      <c r="AZ436" s="108"/>
      <c r="BA436" s="108"/>
      <c r="BB436" s="108"/>
      <c r="BC436" s="108"/>
      <c r="BD436" s="108"/>
      <c r="BE436" s="108"/>
      <c r="BF436" s="108"/>
      <c r="BG436" s="108"/>
      <c r="BH436" s="108"/>
      <c r="BI436" s="108"/>
      <c r="BJ436" s="108"/>
      <c r="BK436" s="109"/>
      <c r="BL436" s="108"/>
      <c r="BM436" s="108"/>
      <c r="BN436" s="108"/>
    </row>
    <row r="437" spans="1:66" ht="12" customHeight="1" x14ac:dyDescent="0.2">
      <c r="A437" s="179"/>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c r="AA437" s="108"/>
      <c r="AB437" s="108"/>
      <c r="AC437" s="108"/>
      <c r="AD437" s="108"/>
      <c r="AE437" s="108"/>
      <c r="AF437" s="108"/>
      <c r="AG437" s="108"/>
      <c r="AH437" s="108"/>
      <c r="AI437" s="108"/>
      <c r="AJ437" s="108"/>
      <c r="AK437" s="108"/>
      <c r="AL437" s="108"/>
      <c r="AM437" s="108"/>
      <c r="AN437" s="108"/>
      <c r="AO437" s="108"/>
      <c r="AP437" s="108"/>
      <c r="AQ437" s="108"/>
      <c r="AR437" s="108"/>
      <c r="AS437" s="108"/>
      <c r="AT437" s="108"/>
      <c r="AU437" s="108"/>
      <c r="AV437" s="108"/>
      <c r="AW437" s="108"/>
      <c r="AX437" s="108"/>
      <c r="AY437" s="108"/>
      <c r="AZ437" s="108"/>
      <c r="BA437" s="108"/>
      <c r="BB437" s="108"/>
      <c r="BC437" s="108"/>
      <c r="BD437" s="108"/>
      <c r="BE437" s="108"/>
      <c r="BF437" s="108"/>
      <c r="BG437" s="108"/>
      <c r="BH437" s="108"/>
      <c r="BI437" s="108"/>
      <c r="BJ437" s="108"/>
      <c r="BK437" s="109"/>
      <c r="BL437" s="108"/>
      <c r="BM437" s="108"/>
      <c r="BN437" s="108"/>
    </row>
    <row r="438" spans="1:66" ht="12" customHeight="1" x14ac:dyDescent="0.2">
      <c r="A438" s="179"/>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c r="AA438" s="108"/>
      <c r="AB438" s="108"/>
      <c r="AC438" s="108"/>
      <c r="AD438" s="108"/>
      <c r="AE438" s="108"/>
      <c r="AF438" s="108"/>
      <c r="AG438" s="108"/>
      <c r="AH438" s="108"/>
      <c r="AI438" s="108"/>
      <c r="AJ438" s="108"/>
      <c r="AK438" s="108"/>
      <c r="AL438" s="108"/>
      <c r="AM438" s="108"/>
      <c r="AN438" s="108"/>
      <c r="AO438" s="108"/>
      <c r="AP438" s="108"/>
      <c r="AQ438" s="108"/>
      <c r="AR438" s="108"/>
      <c r="AS438" s="108"/>
      <c r="AT438" s="108"/>
      <c r="AU438" s="108"/>
      <c r="AV438" s="108"/>
      <c r="AW438" s="108"/>
      <c r="AX438" s="108"/>
      <c r="AY438" s="108"/>
      <c r="AZ438" s="108"/>
      <c r="BA438" s="108"/>
      <c r="BB438" s="108"/>
      <c r="BC438" s="108"/>
      <c r="BD438" s="108"/>
      <c r="BE438" s="108"/>
      <c r="BF438" s="108"/>
      <c r="BG438" s="108"/>
      <c r="BH438" s="108"/>
      <c r="BI438" s="108"/>
      <c r="BJ438" s="108"/>
      <c r="BK438" s="109"/>
      <c r="BL438" s="108"/>
      <c r="BM438" s="108"/>
      <c r="BN438" s="108"/>
    </row>
    <row r="439" spans="1:66" ht="12" customHeight="1" x14ac:dyDescent="0.2">
      <c r="A439" s="179"/>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c r="AA439" s="108"/>
      <c r="AB439" s="108"/>
      <c r="AC439" s="108"/>
      <c r="AD439" s="108"/>
      <c r="AE439" s="108"/>
      <c r="AF439" s="108"/>
      <c r="AG439" s="108"/>
      <c r="AH439" s="108"/>
      <c r="AI439" s="108"/>
      <c r="AJ439" s="108"/>
      <c r="AK439" s="108"/>
      <c r="AL439" s="108"/>
      <c r="AM439" s="108"/>
      <c r="AN439" s="108"/>
      <c r="AO439" s="108"/>
      <c r="AP439" s="108"/>
      <c r="AQ439" s="108"/>
      <c r="AR439" s="108"/>
      <c r="AS439" s="108"/>
      <c r="AT439" s="108"/>
      <c r="AU439" s="108"/>
      <c r="AV439" s="108"/>
      <c r="AW439" s="108"/>
      <c r="AX439" s="108"/>
      <c r="AY439" s="108"/>
      <c r="AZ439" s="108"/>
      <c r="BA439" s="108"/>
      <c r="BB439" s="108"/>
      <c r="BC439" s="108"/>
      <c r="BD439" s="108"/>
      <c r="BE439" s="108"/>
      <c r="BF439" s="108"/>
      <c r="BG439" s="108"/>
      <c r="BH439" s="108"/>
      <c r="BI439" s="108"/>
      <c r="BJ439" s="108"/>
      <c r="BK439" s="109"/>
      <c r="BL439" s="108"/>
      <c r="BM439" s="108"/>
      <c r="BN439" s="108"/>
    </row>
    <row r="440" spans="1:66" ht="12" customHeight="1" x14ac:dyDescent="0.2">
      <c r="A440" s="179"/>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c r="AA440" s="108"/>
      <c r="AB440" s="108"/>
      <c r="AC440" s="108"/>
      <c r="AD440" s="108"/>
      <c r="AE440" s="108"/>
      <c r="AF440" s="108"/>
      <c r="AG440" s="108"/>
      <c r="AH440" s="108"/>
      <c r="AI440" s="108"/>
      <c r="AJ440" s="108"/>
      <c r="AK440" s="108"/>
      <c r="AL440" s="108"/>
      <c r="AM440" s="108"/>
      <c r="AN440" s="108"/>
      <c r="AO440" s="108"/>
      <c r="AP440" s="108"/>
      <c r="AQ440" s="108"/>
      <c r="AR440" s="108"/>
      <c r="AS440" s="108"/>
      <c r="AT440" s="108"/>
      <c r="AU440" s="108"/>
      <c r="AV440" s="108"/>
      <c r="AW440" s="108"/>
      <c r="AX440" s="108"/>
      <c r="AY440" s="108"/>
      <c r="AZ440" s="108"/>
      <c r="BA440" s="108"/>
      <c r="BB440" s="108"/>
      <c r="BC440" s="108"/>
      <c r="BD440" s="108"/>
      <c r="BE440" s="108"/>
      <c r="BF440" s="108"/>
      <c r="BG440" s="108"/>
      <c r="BH440" s="108"/>
      <c r="BI440" s="108"/>
      <c r="BJ440" s="108"/>
      <c r="BK440" s="109"/>
      <c r="BL440" s="108"/>
      <c r="BM440" s="108"/>
      <c r="BN440" s="108"/>
    </row>
    <row r="441" spans="1:66" ht="12" customHeight="1" x14ac:dyDescent="0.2">
      <c r="A441" s="179"/>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c r="AA441" s="108"/>
      <c r="AB441" s="108"/>
      <c r="AC441" s="108"/>
      <c r="AD441" s="108"/>
      <c r="AE441" s="108"/>
      <c r="AF441" s="108"/>
      <c r="AG441" s="108"/>
      <c r="AH441" s="108"/>
      <c r="AI441" s="108"/>
      <c r="AJ441" s="108"/>
      <c r="AK441" s="108"/>
      <c r="AL441" s="108"/>
      <c r="AM441" s="108"/>
      <c r="AN441" s="108"/>
      <c r="AO441" s="108"/>
      <c r="AP441" s="108"/>
      <c r="AQ441" s="108"/>
      <c r="AR441" s="108"/>
      <c r="AS441" s="108"/>
      <c r="AT441" s="108"/>
      <c r="AU441" s="108"/>
      <c r="AV441" s="108"/>
      <c r="AW441" s="108"/>
      <c r="AX441" s="108"/>
      <c r="AY441" s="108"/>
      <c r="AZ441" s="108"/>
      <c r="BA441" s="108"/>
      <c r="BB441" s="108"/>
      <c r="BC441" s="108"/>
      <c r="BD441" s="108"/>
      <c r="BE441" s="108"/>
      <c r="BF441" s="108"/>
      <c r="BG441" s="108"/>
      <c r="BH441" s="108"/>
      <c r="BI441" s="108"/>
      <c r="BJ441" s="108"/>
      <c r="BK441" s="109"/>
      <c r="BL441" s="108"/>
      <c r="BM441" s="108"/>
      <c r="BN441" s="108"/>
    </row>
    <row r="442" spans="1:66" ht="12" customHeight="1" x14ac:dyDescent="0.2">
      <c r="A442" s="179"/>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c r="AA442" s="108"/>
      <c r="AB442" s="108"/>
      <c r="AC442" s="108"/>
      <c r="AD442" s="108"/>
      <c r="AE442" s="108"/>
      <c r="AF442" s="108"/>
      <c r="AG442" s="108"/>
      <c r="AH442" s="108"/>
      <c r="AI442" s="108"/>
      <c r="AJ442" s="108"/>
      <c r="AK442" s="108"/>
      <c r="AL442" s="108"/>
      <c r="AM442" s="108"/>
      <c r="AN442" s="108"/>
      <c r="AO442" s="108"/>
      <c r="AP442" s="108"/>
      <c r="AQ442" s="108"/>
      <c r="AR442" s="108"/>
      <c r="AS442" s="108"/>
      <c r="AT442" s="108"/>
      <c r="AU442" s="108"/>
      <c r="AV442" s="108"/>
      <c r="AW442" s="108"/>
      <c r="AX442" s="108"/>
      <c r="AY442" s="108"/>
      <c r="AZ442" s="108"/>
      <c r="BA442" s="108"/>
      <c r="BB442" s="108"/>
      <c r="BC442" s="108"/>
      <c r="BD442" s="108"/>
      <c r="BE442" s="108"/>
      <c r="BF442" s="108"/>
      <c r="BG442" s="108"/>
      <c r="BH442" s="108"/>
      <c r="BI442" s="108"/>
      <c r="BJ442" s="108"/>
      <c r="BK442" s="109"/>
      <c r="BL442" s="108"/>
      <c r="BM442" s="108"/>
      <c r="BN442" s="108"/>
    </row>
    <row r="443" spans="1:66" ht="12" customHeight="1" x14ac:dyDescent="0.2">
      <c r="A443" s="179"/>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c r="AA443" s="108"/>
      <c r="AB443" s="108"/>
      <c r="AC443" s="108"/>
      <c r="AD443" s="108"/>
      <c r="AE443" s="108"/>
      <c r="AF443" s="108"/>
      <c r="AG443" s="108"/>
      <c r="AH443" s="108"/>
      <c r="AI443" s="108"/>
      <c r="AJ443" s="108"/>
      <c r="AK443" s="108"/>
      <c r="AL443" s="108"/>
      <c r="AM443" s="108"/>
      <c r="AN443" s="108"/>
      <c r="AO443" s="108"/>
      <c r="AP443" s="108"/>
      <c r="AQ443" s="108"/>
      <c r="AR443" s="108"/>
      <c r="AS443" s="108"/>
      <c r="AT443" s="108"/>
      <c r="AU443" s="108"/>
      <c r="AV443" s="108"/>
      <c r="AW443" s="108"/>
      <c r="AX443" s="108"/>
      <c r="AY443" s="108"/>
      <c r="AZ443" s="108"/>
      <c r="BA443" s="108"/>
      <c r="BB443" s="108"/>
      <c r="BC443" s="108"/>
      <c r="BD443" s="108"/>
      <c r="BE443" s="108"/>
      <c r="BF443" s="108"/>
      <c r="BG443" s="108"/>
      <c r="BH443" s="108"/>
      <c r="BI443" s="108"/>
      <c r="BJ443" s="108"/>
      <c r="BK443" s="109"/>
      <c r="BL443" s="108"/>
      <c r="BM443" s="108"/>
      <c r="BN443" s="108"/>
    </row>
    <row r="444" spans="1:66" ht="12" customHeight="1" x14ac:dyDescent="0.2">
      <c r="A444" s="179"/>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c r="AA444" s="108"/>
      <c r="AB444" s="108"/>
      <c r="AC444" s="108"/>
      <c r="AD444" s="108"/>
      <c r="AE444" s="108"/>
      <c r="AF444" s="108"/>
      <c r="AG444" s="108"/>
      <c r="AH444" s="108"/>
      <c r="AI444" s="108"/>
      <c r="AJ444" s="108"/>
      <c r="AK444" s="108"/>
      <c r="AL444" s="108"/>
      <c r="AM444" s="108"/>
      <c r="AN444" s="108"/>
      <c r="AO444" s="108"/>
      <c r="AP444" s="108"/>
      <c r="AQ444" s="108"/>
      <c r="AR444" s="108"/>
      <c r="AS444" s="108"/>
      <c r="AT444" s="108"/>
      <c r="AU444" s="108"/>
      <c r="AV444" s="108"/>
      <c r="AW444" s="108"/>
      <c r="AX444" s="108"/>
      <c r="AY444" s="108"/>
      <c r="AZ444" s="108"/>
      <c r="BA444" s="108"/>
      <c r="BB444" s="108"/>
      <c r="BC444" s="108"/>
      <c r="BD444" s="108"/>
      <c r="BE444" s="108"/>
      <c r="BF444" s="108"/>
      <c r="BG444" s="108"/>
      <c r="BH444" s="108"/>
      <c r="BI444" s="108"/>
      <c r="BJ444" s="108"/>
      <c r="BK444" s="109"/>
      <c r="BL444" s="108"/>
      <c r="BM444" s="108"/>
      <c r="BN444" s="108"/>
    </row>
    <row r="445" spans="1:66" ht="12" customHeight="1" x14ac:dyDescent="0.2">
      <c r="A445" s="179"/>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c r="AA445" s="108"/>
      <c r="AB445" s="108"/>
      <c r="AC445" s="108"/>
      <c r="AD445" s="108"/>
      <c r="AE445" s="108"/>
      <c r="AF445" s="108"/>
      <c r="AG445" s="108"/>
      <c r="AH445" s="108"/>
      <c r="AI445" s="108"/>
      <c r="AJ445" s="108"/>
      <c r="AK445" s="108"/>
      <c r="AL445" s="108"/>
      <c r="AM445" s="108"/>
      <c r="AN445" s="108"/>
      <c r="AO445" s="108"/>
      <c r="AP445" s="108"/>
      <c r="AQ445" s="108"/>
      <c r="AR445" s="108"/>
      <c r="AS445" s="108"/>
      <c r="AT445" s="108"/>
      <c r="AU445" s="108"/>
      <c r="AV445" s="108"/>
      <c r="AW445" s="108"/>
      <c r="AX445" s="108"/>
      <c r="AY445" s="108"/>
      <c r="AZ445" s="108"/>
      <c r="BA445" s="108"/>
      <c r="BB445" s="108"/>
      <c r="BC445" s="108"/>
      <c r="BD445" s="108"/>
      <c r="BE445" s="108"/>
      <c r="BF445" s="108"/>
      <c r="BG445" s="108"/>
      <c r="BH445" s="108"/>
      <c r="BI445" s="108"/>
      <c r="BJ445" s="108"/>
      <c r="BK445" s="109"/>
      <c r="BL445" s="108"/>
      <c r="BM445" s="108"/>
      <c r="BN445" s="108"/>
    </row>
    <row r="446" spans="1:66" ht="12" customHeight="1" x14ac:dyDescent="0.2">
      <c r="A446" s="179"/>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c r="AA446" s="108"/>
      <c r="AB446" s="108"/>
      <c r="AC446" s="108"/>
      <c r="AD446" s="108"/>
      <c r="AE446" s="108"/>
      <c r="AF446" s="108"/>
      <c r="AG446" s="108"/>
      <c r="AH446" s="108"/>
      <c r="AI446" s="108"/>
      <c r="AJ446" s="108"/>
      <c r="AK446" s="108"/>
      <c r="AL446" s="108"/>
      <c r="AM446" s="108"/>
      <c r="AN446" s="108"/>
      <c r="AO446" s="108"/>
      <c r="AP446" s="108"/>
      <c r="AQ446" s="108"/>
      <c r="AR446" s="108"/>
      <c r="AS446" s="108"/>
      <c r="AT446" s="108"/>
      <c r="AU446" s="108"/>
      <c r="AV446" s="108"/>
      <c r="AW446" s="108"/>
      <c r="AX446" s="108"/>
      <c r="AY446" s="108"/>
      <c r="AZ446" s="108"/>
      <c r="BA446" s="108"/>
      <c r="BB446" s="108"/>
      <c r="BC446" s="108"/>
      <c r="BD446" s="108"/>
      <c r="BE446" s="108"/>
      <c r="BF446" s="108"/>
      <c r="BG446" s="108"/>
      <c r="BH446" s="108"/>
      <c r="BI446" s="108"/>
      <c r="BJ446" s="108"/>
      <c r="BK446" s="109"/>
      <c r="BL446" s="108"/>
      <c r="BM446" s="108"/>
      <c r="BN446" s="108"/>
    </row>
    <row r="447" spans="1:66" ht="12" customHeight="1" x14ac:dyDescent="0.2">
      <c r="A447" s="179"/>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c r="AA447" s="108"/>
      <c r="AB447" s="108"/>
      <c r="AC447" s="108"/>
      <c r="AD447" s="108"/>
      <c r="AE447" s="108"/>
      <c r="AF447" s="108"/>
      <c r="AG447" s="108"/>
      <c r="AH447" s="108"/>
      <c r="AI447" s="108"/>
      <c r="AJ447" s="108"/>
      <c r="AK447" s="108"/>
      <c r="AL447" s="108"/>
      <c r="AM447" s="108"/>
      <c r="AN447" s="108"/>
      <c r="AO447" s="108"/>
      <c r="AP447" s="108"/>
      <c r="AQ447" s="108"/>
      <c r="AR447" s="108"/>
      <c r="AS447" s="108"/>
      <c r="AT447" s="108"/>
      <c r="AU447" s="108"/>
      <c r="AV447" s="108"/>
      <c r="AW447" s="108"/>
      <c r="AX447" s="108"/>
      <c r="AY447" s="108"/>
      <c r="AZ447" s="108"/>
      <c r="BA447" s="108"/>
      <c r="BB447" s="108"/>
      <c r="BC447" s="108"/>
      <c r="BD447" s="108"/>
      <c r="BE447" s="108"/>
      <c r="BF447" s="108"/>
      <c r="BG447" s="108"/>
      <c r="BH447" s="108"/>
      <c r="BI447" s="108"/>
      <c r="BJ447" s="108"/>
      <c r="BK447" s="109"/>
      <c r="BL447" s="108"/>
      <c r="BM447" s="108"/>
      <c r="BN447" s="108"/>
    </row>
    <row r="448" spans="1:66" ht="12" customHeight="1" x14ac:dyDescent="0.2">
      <c r="A448" s="179"/>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c r="AA448" s="108"/>
      <c r="AB448" s="108"/>
      <c r="AC448" s="108"/>
      <c r="AD448" s="108"/>
      <c r="AE448" s="108"/>
      <c r="AF448" s="108"/>
      <c r="AG448" s="108"/>
      <c r="AH448" s="108"/>
      <c r="AI448" s="108"/>
      <c r="AJ448" s="108"/>
      <c r="AK448" s="108"/>
      <c r="AL448" s="108"/>
      <c r="AM448" s="108"/>
      <c r="AN448" s="108"/>
      <c r="AO448" s="108"/>
      <c r="AP448" s="108"/>
      <c r="AQ448" s="108"/>
      <c r="AR448" s="108"/>
      <c r="AS448" s="108"/>
      <c r="AT448" s="108"/>
      <c r="AU448" s="108"/>
      <c r="AV448" s="108"/>
      <c r="AW448" s="108"/>
      <c r="AX448" s="108"/>
      <c r="AY448" s="108"/>
      <c r="AZ448" s="108"/>
      <c r="BA448" s="108"/>
      <c r="BB448" s="108"/>
      <c r="BC448" s="108"/>
      <c r="BD448" s="108"/>
      <c r="BE448" s="108"/>
      <c r="BF448" s="108"/>
      <c r="BG448" s="108"/>
      <c r="BH448" s="108"/>
      <c r="BI448" s="108"/>
      <c r="BJ448" s="108"/>
      <c r="BK448" s="109"/>
      <c r="BL448" s="108"/>
      <c r="BM448" s="108"/>
      <c r="BN448" s="108"/>
    </row>
    <row r="449" spans="1:66" ht="12" customHeight="1" x14ac:dyDescent="0.2">
      <c r="A449" s="179"/>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c r="AA449" s="108"/>
      <c r="AB449" s="108"/>
      <c r="AC449" s="108"/>
      <c r="AD449" s="108"/>
      <c r="AE449" s="108"/>
      <c r="AF449" s="108"/>
      <c r="AG449" s="108"/>
      <c r="AH449" s="108"/>
      <c r="AI449" s="108"/>
      <c r="AJ449" s="108"/>
      <c r="AK449" s="108"/>
      <c r="AL449" s="108"/>
      <c r="AM449" s="108"/>
      <c r="AN449" s="108"/>
      <c r="AO449" s="108"/>
      <c r="AP449" s="108"/>
      <c r="AQ449" s="108"/>
      <c r="AR449" s="108"/>
      <c r="AS449" s="108"/>
      <c r="AT449" s="108"/>
      <c r="AU449" s="108"/>
      <c r="AV449" s="108"/>
      <c r="AW449" s="108"/>
      <c r="AX449" s="108"/>
      <c r="AY449" s="108"/>
      <c r="AZ449" s="108"/>
      <c r="BA449" s="108"/>
      <c r="BB449" s="108"/>
      <c r="BC449" s="108"/>
      <c r="BD449" s="108"/>
      <c r="BE449" s="108"/>
      <c r="BF449" s="108"/>
      <c r="BG449" s="108"/>
      <c r="BH449" s="108"/>
      <c r="BI449" s="108"/>
      <c r="BJ449" s="108"/>
      <c r="BK449" s="109"/>
      <c r="BL449" s="108"/>
      <c r="BM449" s="108"/>
      <c r="BN449" s="108"/>
    </row>
    <row r="450" spans="1:66" ht="12" customHeight="1" x14ac:dyDescent="0.2">
      <c r="A450" s="179"/>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c r="AA450" s="108"/>
      <c r="AB450" s="108"/>
      <c r="AC450" s="108"/>
      <c r="AD450" s="108"/>
      <c r="AE450" s="108"/>
      <c r="AF450" s="108"/>
      <c r="AG450" s="108"/>
      <c r="AH450" s="108"/>
      <c r="AI450" s="108"/>
      <c r="AJ450" s="108"/>
      <c r="AK450" s="108"/>
      <c r="AL450" s="108"/>
      <c r="AM450" s="108"/>
      <c r="AN450" s="108"/>
      <c r="AO450" s="108"/>
      <c r="AP450" s="108"/>
      <c r="AQ450" s="108"/>
      <c r="AR450" s="108"/>
      <c r="AS450" s="108"/>
      <c r="AT450" s="108"/>
      <c r="AU450" s="108"/>
      <c r="AV450" s="108"/>
      <c r="AW450" s="108"/>
      <c r="AX450" s="108"/>
      <c r="AY450" s="108"/>
      <c r="AZ450" s="108"/>
      <c r="BA450" s="108"/>
      <c r="BB450" s="108"/>
      <c r="BC450" s="108"/>
      <c r="BD450" s="108"/>
      <c r="BE450" s="108"/>
      <c r="BF450" s="108"/>
      <c r="BG450" s="108"/>
      <c r="BH450" s="108"/>
      <c r="BI450" s="108"/>
      <c r="BJ450" s="108"/>
      <c r="BK450" s="109"/>
      <c r="BL450" s="108"/>
      <c r="BM450" s="108"/>
      <c r="BN450" s="108"/>
    </row>
    <row r="451" spans="1:66" ht="12" customHeight="1" x14ac:dyDescent="0.2">
      <c r="A451" s="179"/>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c r="AA451" s="108"/>
      <c r="AB451" s="108"/>
      <c r="AC451" s="108"/>
      <c r="AD451" s="108"/>
      <c r="AE451" s="108"/>
      <c r="AF451" s="108"/>
      <c r="AG451" s="108"/>
      <c r="AH451" s="108"/>
      <c r="AI451" s="108"/>
      <c r="AJ451" s="108"/>
      <c r="AK451" s="108"/>
      <c r="AL451" s="108"/>
      <c r="AM451" s="108"/>
      <c r="AN451" s="108"/>
      <c r="AO451" s="108"/>
      <c r="AP451" s="108"/>
      <c r="AQ451" s="108"/>
      <c r="AR451" s="108"/>
      <c r="AS451" s="108"/>
      <c r="AT451" s="108"/>
      <c r="AU451" s="108"/>
      <c r="AV451" s="108"/>
      <c r="AW451" s="108"/>
      <c r="AX451" s="108"/>
      <c r="AY451" s="108"/>
      <c r="AZ451" s="108"/>
      <c r="BA451" s="108"/>
      <c r="BB451" s="108"/>
      <c r="BC451" s="108"/>
      <c r="BD451" s="108"/>
      <c r="BE451" s="108"/>
      <c r="BF451" s="108"/>
      <c r="BG451" s="108"/>
      <c r="BH451" s="108"/>
      <c r="BI451" s="108"/>
      <c r="BJ451" s="108"/>
      <c r="BK451" s="109"/>
      <c r="BL451" s="108"/>
      <c r="BM451" s="108"/>
      <c r="BN451" s="108"/>
    </row>
    <row r="452" spans="1:66" ht="12" customHeight="1" x14ac:dyDescent="0.2">
      <c r="A452" s="179"/>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c r="AA452" s="108"/>
      <c r="AB452" s="108"/>
      <c r="AC452" s="108"/>
      <c r="AD452" s="108"/>
      <c r="AE452" s="108"/>
      <c r="AF452" s="108"/>
      <c r="AG452" s="108"/>
      <c r="AH452" s="108"/>
      <c r="AI452" s="108"/>
      <c r="AJ452" s="108"/>
      <c r="AK452" s="108"/>
      <c r="AL452" s="108"/>
      <c r="AM452" s="108"/>
      <c r="AN452" s="108"/>
      <c r="AO452" s="108"/>
      <c r="AP452" s="108"/>
      <c r="AQ452" s="108"/>
      <c r="AR452" s="108"/>
      <c r="AS452" s="108"/>
      <c r="AT452" s="108"/>
      <c r="AU452" s="108"/>
      <c r="AV452" s="108"/>
      <c r="AW452" s="108"/>
      <c r="AX452" s="108"/>
      <c r="AY452" s="108"/>
      <c r="AZ452" s="108"/>
      <c r="BA452" s="108"/>
      <c r="BB452" s="108"/>
      <c r="BC452" s="108"/>
      <c r="BD452" s="108"/>
      <c r="BE452" s="108"/>
      <c r="BF452" s="108"/>
      <c r="BG452" s="108"/>
      <c r="BH452" s="108"/>
      <c r="BI452" s="108"/>
      <c r="BJ452" s="108"/>
      <c r="BK452" s="109"/>
      <c r="BL452" s="108"/>
      <c r="BM452" s="108"/>
      <c r="BN452" s="108"/>
    </row>
    <row r="453" spans="1:66" ht="12" customHeight="1" x14ac:dyDescent="0.2">
      <c r="A453" s="179"/>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c r="AA453" s="108"/>
      <c r="AB453" s="108"/>
      <c r="AC453" s="108"/>
      <c r="AD453" s="108"/>
      <c r="AE453" s="108"/>
      <c r="AF453" s="108"/>
      <c r="AG453" s="108"/>
      <c r="AH453" s="108"/>
      <c r="AI453" s="108"/>
      <c r="AJ453" s="108"/>
      <c r="AK453" s="108"/>
      <c r="AL453" s="108"/>
      <c r="AM453" s="108"/>
      <c r="AN453" s="108"/>
      <c r="AO453" s="108"/>
      <c r="AP453" s="108"/>
      <c r="AQ453" s="108"/>
      <c r="AR453" s="108"/>
      <c r="AS453" s="108"/>
      <c r="AT453" s="108"/>
      <c r="AU453" s="108"/>
      <c r="AV453" s="108"/>
      <c r="AW453" s="108"/>
      <c r="AX453" s="108"/>
      <c r="AY453" s="108"/>
      <c r="AZ453" s="108"/>
      <c r="BA453" s="108"/>
      <c r="BB453" s="108"/>
      <c r="BC453" s="108"/>
      <c r="BD453" s="108"/>
      <c r="BE453" s="108"/>
      <c r="BF453" s="108"/>
      <c r="BG453" s="108"/>
      <c r="BH453" s="108"/>
      <c r="BI453" s="108"/>
      <c r="BJ453" s="108"/>
      <c r="BK453" s="109"/>
      <c r="BL453" s="108"/>
      <c r="BM453" s="108"/>
      <c r="BN453" s="108"/>
    </row>
    <row r="454" spans="1:66" ht="12" customHeight="1" x14ac:dyDescent="0.2">
      <c r="A454" s="179"/>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c r="AA454" s="108"/>
      <c r="AB454" s="108"/>
      <c r="AC454" s="108"/>
      <c r="AD454" s="108"/>
      <c r="AE454" s="108"/>
      <c r="AF454" s="108"/>
      <c r="AG454" s="108"/>
      <c r="AH454" s="108"/>
      <c r="AI454" s="108"/>
      <c r="AJ454" s="108"/>
      <c r="AK454" s="108"/>
      <c r="AL454" s="108"/>
      <c r="AM454" s="108"/>
      <c r="AN454" s="108"/>
      <c r="AO454" s="108"/>
      <c r="AP454" s="108"/>
      <c r="AQ454" s="108"/>
      <c r="AR454" s="108"/>
      <c r="AS454" s="108"/>
      <c r="AT454" s="108"/>
      <c r="AU454" s="108"/>
      <c r="AV454" s="108"/>
      <c r="AW454" s="108"/>
      <c r="AX454" s="108"/>
      <c r="AY454" s="108"/>
      <c r="AZ454" s="108"/>
      <c r="BA454" s="108"/>
      <c r="BB454" s="108"/>
      <c r="BC454" s="108"/>
      <c r="BD454" s="108"/>
      <c r="BE454" s="108"/>
      <c r="BF454" s="108"/>
      <c r="BG454" s="108"/>
      <c r="BH454" s="108"/>
      <c r="BI454" s="108"/>
      <c r="BJ454" s="108"/>
      <c r="BK454" s="109"/>
      <c r="BL454" s="108"/>
      <c r="BM454" s="108"/>
      <c r="BN454" s="108"/>
    </row>
    <row r="455" spans="1:66" ht="12" customHeight="1" x14ac:dyDescent="0.2">
      <c r="A455" s="179"/>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c r="AA455" s="108"/>
      <c r="AB455" s="108"/>
      <c r="AC455" s="108"/>
      <c r="AD455" s="108"/>
      <c r="AE455" s="108"/>
      <c r="AF455" s="108"/>
      <c r="AG455" s="108"/>
      <c r="AH455" s="108"/>
      <c r="AI455" s="108"/>
      <c r="AJ455" s="108"/>
      <c r="AK455" s="108"/>
      <c r="AL455" s="108"/>
      <c r="AM455" s="108"/>
      <c r="AN455" s="108"/>
      <c r="AO455" s="108"/>
      <c r="AP455" s="108"/>
      <c r="AQ455" s="108"/>
      <c r="AR455" s="108"/>
      <c r="AS455" s="108"/>
      <c r="AT455" s="108"/>
      <c r="AU455" s="108"/>
      <c r="AV455" s="108"/>
      <c r="AW455" s="108"/>
      <c r="AX455" s="108"/>
      <c r="AY455" s="108"/>
      <c r="AZ455" s="108"/>
      <c r="BA455" s="108"/>
      <c r="BB455" s="108"/>
      <c r="BC455" s="108"/>
      <c r="BD455" s="108"/>
      <c r="BE455" s="108"/>
      <c r="BF455" s="108"/>
      <c r="BG455" s="108"/>
      <c r="BH455" s="108"/>
      <c r="BI455" s="108"/>
      <c r="BJ455" s="108"/>
      <c r="BK455" s="109"/>
      <c r="BL455" s="108"/>
      <c r="BM455" s="108"/>
      <c r="BN455" s="108"/>
    </row>
    <row r="456" spans="1:66" ht="12" customHeight="1" x14ac:dyDescent="0.2">
      <c r="A456" s="179"/>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c r="AA456" s="108"/>
      <c r="AB456" s="108"/>
      <c r="AC456" s="108"/>
      <c r="AD456" s="108"/>
      <c r="AE456" s="108"/>
      <c r="AF456" s="108"/>
      <c r="AG456" s="108"/>
      <c r="AH456" s="108"/>
      <c r="AI456" s="108"/>
      <c r="AJ456" s="108"/>
      <c r="AK456" s="108"/>
      <c r="AL456" s="108"/>
      <c r="AM456" s="108"/>
      <c r="AN456" s="108"/>
      <c r="AO456" s="108"/>
      <c r="AP456" s="108"/>
      <c r="AQ456" s="108"/>
      <c r="AR456" s="108"/>
      <c r="AS456" s="108"/>
      <c r="AT456" s="108"/>
      <c r="AU456" s="108"/>
      <c r="AV456" s="108"/>
      <c r="AW456" s="108"/>
      <c r="AX456" s="108"/>
      <c r="AY456" s="108"/>
      <c r="AZ456" s="108"/>
      <c r="BA456" s="108"/>
      <c r="BB456" s="108"/>
      <c r="BC456" s="108"/>
      <c r="BD456" s="108"/>
      <c r="BE456" s="108"/>
      <c r="BF456" s="108"/>
      <c r="BG456" s="108"/>
      <c r="BH456" s="108"/>
      <c r="BI456" s="108"/>
      <c r="BJ456" s="108"/>
      <c r="BK456" s="109"/>
      <c r="BL456" s="108"/>
      <c r="BM456" s="108"/>
      <c r="BN456" s="108"/>
    </row>
    <row r="457" spans="1:66" ht="12" customHeight="1" x14ac:dyDescent="0.2">
      <c r="A457" s="179"/>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c r="AA457" s="108"/>
      <c r="AB457" s="108"/>
      <c r="AC457" s="108"/>
      <c r="AD457" s="108"/>
      <c r="AE457" s="108"/>
      <c r="AF457" s="108"/>
      <c r="AG457" s="108"/>
      <c r="AH457" s="108"/>
      <c r="AI457" s="108"/>
      <c r="AJ457" s="108"/>
      <c r="AK457" s="108"/>
      <c r="AL457" s="108"/>
      <c r="AM457" s="108"/>
      <c r="AN457" s="108"/>
      <c r="AO457" s="108"/>
      <c r="AP457" s="108"/>
      <c r="AQ457" s="108"/>
      <c r="AR457" s="108"/>
      <c r="AS457" s="108"/>
      <c r="AT457" s="108"/>
      <c r="AU457" s="108"/>
      <c r="AV457" s="108"/>
      <c r="AW457" s="108"/>
      <c r="AX457" s="108"/>
      <c r="AY457" s="108"/>
      <c r="AZ457" s="108"/>
      <c r="BA457" s="108"/>
      <c r="BB457" s="108"/>
      <c r="BC457" s="108"/>
      <c r="BD457" s="108"/>
      <c r="BE457" s="108"/>
      <c r="BF457" s="108"/>
      <c r="BG457" s="108"/>
      <c r="BH457" s="108"/>
      <c r="BI457" s="108"/>
      <c r="BJ457" s="108"/>
      <c r="BK457" s="109"/>
      <c r="BL457" s="108"/>
      <c r="BM457" s="108"/>
      <c r="BN457" s="108"/>
    </row>
    <row r="458" spans="1:66" ht="12" customHeight="1" x14ac:dyDescent="0.2">
      <c r="A458" s="179"/>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c r="AA458" s="108"/>
      <c r="AB458" s="108"/>
      <c r="AC458" s="108"/>
      <c r="AD458" s="108"/>
      <c r="AE458" s="108"/>
      <c r="AF458" s="108"/>
      <c r="AG458" s="108"/>
      <c r="AH458" s="108"/>
      <c r="AI458" s="108"/>
      <c r="AJ458" s="108"/>
      <c r="AK458" s="108"/>
      <c r="AL458" s="108"/>
      <c r="AM458" s="108"/>
      <c r="AN458" s="108"/>
      <c r="AO458" s="108"/>
      <c r="AP458" s="108"/>
      <c r="AQ458" s="108"/>
      <c r="AR458" s="108"/>
      <c r="AS458" s="108"/>
      <c r="AT458" s="108"/>
      <c r="AU458" s="108"/>
      <c r="AV458" s="108"/>
      <c r="AW458" s="108"/>
      <c r="AX458" s="108"/>
      <c r="AY458" s="108"/>
      <c r="AZ458" s="108"/>
      <c r="BA458" s="108"/>
      <c r="BB458" s="108"/>
      <c r="BC458" s="108"/>
      <c r="BD458" s="108"/>
      <c r="BE458" s="108"/>
      <c r="BF458" s="108"/>
      <c r="BG458" s="108"/>
      <c r="BH458" s="108"/>
      <c r="BI458" s="108"/>
      <c r="BJ458" s="108"/>
      <c r="BK458" s="109"/>
      <c r="BL458" s="108"/>
      <c r="BM458" s="108"/>
      <c r="BN458" s="108"/>
    </row>
    <row r="459" spans="1:66" ht="12" customHeight="1" x14ac:dyDescent="0.2">
      <c r="A459" s="179"/>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c r="AA459" s="108"/>
      <c r="AB459" s="108"/>
      <c r="AC459" s="108"/>
      <c r="AD459" s="108"/>
      <c r="AE459" s="108"/>
      <c r="AF459" s="108"/>
      <c r="AG459" s="108"/>
      <c r="AH459" s="108"/>
      <c r="AI459" s="108"/>
      <c r="AJ459" s="108"/>
      <c r="AK459" s="108"/>
      <c r="AL459" s="108"/>
      <c r="AM459" s="108"/>
      <c r="AN459" s="108"/>
      <c r="AO459" s="108"/>
      <c r="AP459" s="108"/>
      <c r="AQ459" s="108"/>
      <c r="AR459" s="108"/>
      <c r="AS459" s="108"/>
      <c r="AT459" s="108"/>
      <c r="AU459" s="108"/>
      <c r="AV459" s="108"/>
      <c r="AW459" s="108"/>
      <c r="AX459" s="108"/>
      <c r="AY459" s="108"/>
      <c r="AZ459" s="108"/>
      <c r="BA459" s="108"/>
      <c r="BB459" s="108"/>
      <c r="BC459" s="108"/>
      <c r="BD459" s="108"/>
      <c r="BE459" s="108"/>
      <c r="BF459" s="108"/>
      <c r="BG459" s="108"/>
      <c r="BH459" s="108"/>
      <c r="BI459" s="108"/>
      <c r="BJ459" s="108"/>
      <c r="BK459" s="109"/>
      <c r="BL459" s="108"/>
      <c r="BM459" s="108"/>
      <c r="BN459" s="108"/>
    </row>
    <row r="460" spans="1:66" ht="12" customHeight="1" x14ac:dyDescent="0.2">
      <c r="A460" s="179"/>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c r="AA460" s="108"/>
      <c r="AB460" s="108"/>
      <c r="AC460" s="108"/>
      <c r="AD460" s="108"/>
      <c r="AE460" s="108"/>
      <c r="AF460" s="108"/>
      <c r="AG460" s="108"/>
      <c r="AH460" s="108"/>
      <c r="AI460" s="108"/>
      <c r="AJ460" s="108"/>
      <c r="AK460" s="108"/>
      <c r="AL460" s="108"/>
      <c r="AM460" s="108"/>
      <c r="AN460" s="108"/>
      <c r="AO460" s="108"/>
      <c r="AP460" s="108"/>
      <c r="AQ460" s="108"/>
      <c r="AR460" s="108"/>
      <c r="AS460" s="108"/>
      <c r="AT460" s="108"/>
      <c r="AU460" s="108"/>
      <c r="AV460" s="108"/>
      <c r="AW460" s="108"/>
      <c r="AX460" s="108"/>
      <c r="AY460" s="108"/>
      <c r="AZ460" s="108"/>
      <c r="BA460" s="108"/>
      <c r="BB460" s="108"/>
      <c r="BC460" s="108"/>
      <c r="BD460" s="108"/>
      <c r="BE460" s="108"/>
      <c r="BF460" s="108"/>
      <c r="BG460" s="108"/>
      <c r="BH460" s="108"/>
      <c r="BI460" s="108"/>
      <c r="BJ460" s="108"/>
      <c r="BK460" s="109"/>
      <c r="BL460" s="108"/>
      <c r="BM460" s="108"/>
      <c r="BN460" s="108"/>
    </row>
    <row r="461" spans="1:66" ht="12" customHeight="1" x14ac:dyDescent="0.2">
      <c r="A461" s="179"/>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c r="AA461" s="108"/>
      <c r="AB461" s="108"/>
      <c r="AC461" s="108"/>
      <c r="AD461" s="108"/>
      <c r="AE461" s="108"/>
      <c r="AF461" s="108"/>
      <c r="AG461" s="108"/>
      <c r="AH461" s="108"/>
      <c r="AI461" s="108"/>
      <c r="AJ461" s="108"/>
      <c r="AK461" s="108"/>
      <c r="AL461" s="108"/>
      <c r="AM461" s="108"/>
      <c r="AN461" s="108"/>
      <c r="AO461" s="108"/>
      <c r="AP461" s="108"/>
      <c r="AQ461" s="108"/>
      <c r="AR461" s="108"/>
      <c r="AS461" s="108"/>
      <c r="AT461" s="108"/>
      <c r="AU461" s="108"/>
      <c r="AV461" s="108"/>
      <c r="AW461" s="108"/>
      <c r="AX461" s="108"/>
      <c r="AY461" s="108"/>
      <c r="AZ461" s="108"/>
      <c r="BA461" s="108"/>
      <c r="BB461" s="108"/>
      <c r="BC461" s="108"/>
      <c r="BD461" s="108"/>
      <c r="BE461" s="108"/>
      <c r="BF461" s="108"/>
      <c r="BG461" s="108"/>
      <c r="BH461" s="108"/>
      <c r="BI461" s="108"/>
      <c r="BJ461" s="108"/>
      <c r="BK461" s="109"/>
      <c r="BL461" s="108"/>
      <c r="BM461" s="108"/>
      <c r="BN461" s="108"/>
    </row>
    <row r="462" spans="1:66" ht="12" customHeight="1" x14ac:dyDescent="0.2">
      <c r="A462" s="179"/>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c r="AA462" s="108"/>
      <c r="AB462" s="108"/>
      <c r="AC462" s="108"/>
      <c r="AD462" s="108"/>
      <c r="AE462" s="108"/>
      <c r="AF462" s="108"/>
      <c r="AG462" s="108"/>
      <c r="AH462" s="108"/>
      <c r="AI462" s="108"/>
      <c r="AJ462" s="108"/>
      <c r="AK462" s="108"/>
      <c r="AL462" s="108"/>
      <c r="AM462" s="108"/>
      <c r="AN462" s="108"/>
      <c r="AO462" s="108"/>
      <c r="AP462" s="108"/>
      <c r="AQ462" s="108"/>
      <c r="AR462" s="108"/>
      <c r="AS462" s="108"/>
      <c r="AT462" s="108"/>
      <c r="AU462" s="108"/>
      <c r="AV462" s="108"/>
      <c r="AW462" s="108"/>
      <c r="AX462" s="108"/>
      <c r="AY462" s="108"/>
      <c r="AZ462" s="108"/>
      <c r="BA462" s="108"/>
      <c r="BB462" s="108"/>
      <c r="BC462" s="108"/>
      <c r="BD462" s="108"/>
      <c r="BE462" s="108"/>
      <c r="BF462" s="108"/>
      <c r="BG462" s="108"/>
      <c r="BH462" s="108"/>
      <c r="BI462" s="108"/>
      <c r="BJ462" s="108"/>
      <c r="BK462" s="109"/>
      <c r="BL462" s="108"/>
      <c r="BM462" s="108"/>
      <c r="BN462" s="108"/>
    </row>
    <row r="463" spans="1:66" ht="12" customHeight="1" x14ac:dyDescent="0.2">
      <c r="A463" s="179"/>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c r="AA463" s="108"/>
      <c r="AB463" s="108"/>
      <c r="AC463" s="108"/>
      <c r="AD463" s="108"/>
      <c r="AE463" s="108"/>
      <c r="AF463" s="108"/>
      <c r="AG463" s="108"/>
      <c r="AH463" s="108"/>
      <c r="AI463" s="108"/>
      <c r="AJ463" s="108"/>
      <c r="AK463" s="108"/>
      <c r="AL463" s="108"/>
      <c r="AM463" s="108"/>
      <c r="AN463" s="108"/>
      <c r="AO463" s="108"/>
      <c r="AP463" s="108"/>
      <c r="AQ463" s="108"/>
      <c r="AR463" s="108"/>
      <c r="AS463" s="108"/>
      <c r="AT463" s="108"/>
      <c r="AU463" s="108"/>
      <c r="AV463" s="108"/>
      <c r="AW463" s="108"/>
      <c r="AX463" s="108"/>
      <c r="AY463" s="108"/>
      <c r="AZ463" s="108"/>
      <c r="BA463" s="108"/>
      <c r="BB463" s="108"/>
      <c r="BC463" s="108"/>
      <c r="BD463" s="108"/>
      <c r="BE463" s="108"/>
      <c r="BF463" s="108"/>
      <c r="BG463" s="108"/>
      <c r="BH463" s="108"/>
      <c r="BI463" s="108"/>
      <c r="BJ463" s="108"/>
      <c r="BK463" s="109"/>
      <c r="BL463" s="108"/>
      <c r="BM463" s="108"/>
      <c r="BN463" s="108"/>
    </row>
    <row r="464" spans="1:66" ht="12" customHeight="1" x14ac:dyDescent="0.2">
      <c r="A464" s="179"/>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c r="AA464" s="108"/>
      <c r="AB464" s="108"/>
      <c r="AC464" s="108"/>
      <c r="AD464" s="108"/>
      <c r="AE464" s="108"/>
      <c r="AF464" s="108"/>
      <c r="AG464" s="108"/>
      <c r="AH464" s="108"/>
      <c r="AI464" s="108"/>
      <c r="AJ464" s="108"/>
      <c r="AK464" s="108"/>
      <c r="AL464" s="108"/>
      <c r="AM464" s="108"/>
      <c r="AN464" s="108"/>
      <c r="AO464" s="108"/>
      <c r="AP464" s="108"/>
      <c r="AQ464" s="108"/>
      <c r="AR464" s="108"/>
      <c r="AS464" s="108"/>
      <c r="AT464" s="108"/>
      <c r="AU464" s="108"/>
      <c r="AV464" s="108"/>
      <c r="AW464" s="108"/>
      <c r="AX464" s="108"/>
      <c r="AY464" s="108"/>
      <c r="AZ464" s="108"/>
      <c r="BA464" s="108"/>
      <c r="BB464" s="108"/>
      <c r="BC464" s="108"/>
      <c r="BD464" s="108"/>
      <c r="BE464" s="108"/>
      <c r="BF464" s="108"/>
      <c r="BG464" s="108"/>
      <c r="BH464" s="108"/>
      <c r="BI464" s="108"/>
      <c r="BJ464" s="108"/>
      <c r="BK464" s="109"/>
      <c r="BL464" s="108"/>
      <c r="BM464" s="108"/>
      <c r="BN464" s="108"/>
    </row>
    <row r="465" spans="1:66" ht="12" customHeight="1" x14ac:dyDescent="0.2">
      <c r="A465" s="179"/>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c r="AA465" s="108"/>
      <c r="AB465" s="108"/>
      <c r="AC465" s="108"/>
      <c r="AD465" s="108"/>
      <c r="AE465" s="108"/>
      <c r="AF465" s="108"/>
      <c r="AG465" s="108"/>
      <c r="AH465" s="108"/>
      <c r="AI465" s="108"/>
      <c r="AJ465" s="108"/>
      <c r="AK465" s="108"/>
      <c r="AL465" s="108"/>
      <c r="AM465" s="108"/>
      <c r="AN465" s="108"/>
      <c r="AO465" s="108"/>
      <c r="AP465" s="108"/>
      <c r="AQ465" s="108"/>
      <c r="AR465" s="108"/>
      <c r="AS465" s="108"/>
      <c r="AT465" s="108"/>
      <c r="AU465" s="108"/>
      <c r="AV465" s="108"/>
      <c r="AW465" s="108"/>
      <c r="AX465" s="108"/>
      <c r="AY465" s="108"/>
      <c r="AZ465" s="108"/>
      <c r="BA465" s="108"/>
      <c r="BB465" s="108"/>
      <c r="BC465" s="108"/>
      <c r="BD465" s="108"/>
      <c r="BE465" s="108"/>
      <c r="BF465" s="108"/>
      <c r="BG465" s="108"/>
      <c r="BH465" s="108"/>
      <c r="BI465" s="108"/>
      <c r="BJ465" s="108"/>
      <c r="BK465" s="109"/>
      <c r="BL465" s="108"/>
      <c r="BM465" s="108"/>
      <c r="BN465" s="108"/>
    </row>
    <row r="466" spans="1:66" ht="12" customHeight="1" x14ac:dyDescent="0.2">
      <c r="A466" s="179"/>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c r="AA466" s="108"/>
      <c r="AB466" s="108"/>
      <c r="AC466" s="108"/>
      <c r="AD466" s="108"/>
      <c r="AE466" s="108"/>
      <c r="AF466" s="108"/>
      <c r="AG466" s="108"/>
      <c r="AH466" s="108"/>
      <c r="AI466" s="108"/>
      <c r="AJ466" s="108"/>
      <c r="AK466" s="108"/>
      <c r="AL466" s="108"/>
      <c r="AM466" s="108"/>
      <c r="AN466" s="108"/>
      <c r="AO466" s="108"/>
      <c r="AP466" s="108"/>
      <c r="AQ466" s="108"/>
      <c r="AR466" s="108"/>
      <c r="AS466" s="108"/>
      <c r="AT466" s="108"/>
      <c r="AU466" s="108"/>
      <c r="AV466" s="108"/>
      <c r="AW466" s="108"/>
      <c r="AX466" s="108"/>
      <c r="AY466" s="108"/>
      <c r="AZ466" s="108"/>
      <c r="BA466" s="108"/>
      <c r="BB466" s="108"/>
      <c r="BC466" s="108"/>
      <c r="BD466" s="108"/>
      <c r="BE466" s="108"/>
      <c r="BF466" s="108"/>
      <c r="BG466" s="108"/>
      <c r="BH466" s="108"/>
      <c r="BI466" s="108"/>
      <c r="BJ466" s="108"/>
      <c r="BK466" s="109"/>
      <c r="BL466" s="108"/>
      <c r="BM466" s="108"/>
      <c r="BN466" s="108"/>
    </row>
    <row r="467" spans="1:66" ht="12" customHeight="1" x14ac:dyDescent="0.2">
      <c r="A467" s="179"/>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c r="AA467" s="108"/>
      <c r="AB467" s="108"/>
      <c r="AC467" s="108"/>
      <c r="AD467" s="108"/>
      <c r="AE467" s="108"/>
      <c r="AF467" s="108"/>
      <c r="AG467" s="108"/>
      <c r="AH467" s="108"/>
      <c r="AI467" s="108"/>
      <c r="AJ467" s="108"/>
      <c r="AK467" s="108"/>
      <c r="AL467" s="108"/>
      <c r="AM467" s="108"/>
      <c r="AN467" s="108"/>
      <c r="AO467" s="108"/>
      <c r="AP467" s="108"/>
      <c r="AQ467" s="108"/>
      <c r="AR467" s="108"/>
      <c r="AS467" s="108"/>
      <c r="AT467" s="108"/>
      <c r="AU467" s="108"/>
      <c r="AV467" s="108"/>
      <c r="AW467" s="108"/>
      <c r="AX467" s="108"/>
      <c r="AY467" s="108"/>
      <c r="AZ467" s="108"/>
      <c r="BA467" s="108"/>
      <c r="BB467" s="108"/>
      <c r="BC467" s="108"/>
      <c r="BD467" s="108"/>
      <c r="BE467" s="108"/>
      <c r="BF467" s="108"/>
      <c r="BG467" s="108"/>
      <c r="BH467" s="108"/>
      <c r="BI467" s="108"/>
      <c r="BJ467" s="108"/>
      <c r="BK467" s="109"/>
      <c r="BL467" s="108"/>
      <c r="BM467" s="108"/>
      <c r="BN467" s="108"/>
    </row>
    <row r="468" spans="1:66" ht="12" customHeight="1" x14ac:dyDescent="0.2">
      <c r="A468" s="179"/>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c r="AA468" s="108"/>
      <c r="AB468" s="108"/>
      <c r="AC468" s="108"/>
      <c r="AD468" s="108"/>
      <c r="AE468" s="108"/>
      <c r="AF468" s="108"/>
      <c r="AG468" s="108"/>
      <c r="AH468" s="108"/>
      <c r="AI468" s="108"/>
      <c r="AJ468" s="108"/>
      <c r="AK468" s="108"/>
      <c r="AL468" s="108"/>
      <c r="AM468" s="108"/>
      <c r="AN468" s="108"/>
      <c r="AO468" s="108"/>
      <c r="AP468" s="108"/>
      <c r="AQ468" s="108"/>
      <c r="AR468" s="108"/>
      <c r="AS468" s="108"/>
      <c r="AT468" s="108"/>
      <c r="AU468" s="108"/>
      <c r="AV468" s="108"/>
      <c r="AW468" s="108"/>
      <c r="AX468" s="108"/>
      <c r="AY468" s="108"/>
      <c r="AZ468" s="108"/>
      <c r="BA468" s="108"/>
      <c r="BB468" s="108"/>
      <c r="BC468" s="108"/>
      <c r="BD468" s="108"/>
      <c r="BE468" s="108"/>
      <c r="BF468" s="108"/>
      <c r="BG468" s="108"/>
      <c r="BH468" s="108"/>
      <c r="BI468" s="108"/>
      <c r="BJ468" s="108"/>
      <c r="BK468" s="109"/>
      <c r="BL468" s="108"/>
      <c r="BM468" s="108"/>
      <c r="BN468" s="108"/>
    </row>
    <row r="469" spans="1:66" ht="12" customHeight="1" x14ac:dyDescent="0.2">
      <c r="A469" s="179"/>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c r="AA469" s="108"/>
      <c r="AB469" s="108"/>
      <c r="AC469" s="108"/>
      <c r="AD469" s="108"/>
      <c r="AE469" s="108"/>
      <c r="AF469" s="108"/>
      <c r="AG469" s="108"/>
      <c r="AH469" s="108"/>
      <c r="AI469" s="108"/>
      <c r="AJ469" s="108"/>
      <c r="AK469" s="108"/>
      <c r="AL469" s="108"/>
      <c r="AM469" s="108"/>
      <c r="AN469" s="108"/>
      <c r="AO469" s="108"/>
      <c r="AP469" s="108"/>
      <c r="AQ469" s="108"/>
      <c r="AR469" s="108"/>
      <c r="AS469" s="108"/>
      <c r="AT469" s="108"/>
      <c r="AU469" s="108"/>
      <c r="AV469" s="108"/>
      <c r="AW469" s="108"/>
      <c r="AX469" s="108"/>
      <c r="AY469" s="108"/>
      <c r="AZ469" s="108"/>
      <c r="BA469" s="108"/>
      <c r="BB469" s="108"/>
      <c r="BC469" s="108"/>
      <c r="BD469" s="108"/>
      <c r="BE469" s="108"/>
      <c r="BF469" s="108"/>
      <c r="BG469" s="108"/>
      <c r="BH469" s="108"/>
      <c r="BI469" s="108"/>
      <c r="BJ469" s="108"/>
      <c r="BK469" s="109"/>
      <c r="BL469" s="108"/>
      <c r="BM469" s="108"/>
      <c r="BN469" s="108"/>
    </row>
    <row r="470" spans="1:66" ht="12" customHeight="1" x14ac:dyDescent="0.2">
      <c r="A470" s="179"/>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c r="AA470" s="108"/>
      <c r="AB470" s="108"/>
      <c r="AC470" s="108"/>
      <c r="AD470" s="108"/>
      <c r="AE470" s="108"/>
      <c r="AF470" s="108"/>
      <c r="AG470" s="108"/>
      <c r="AH470" s="108"/>
      <c r="AI470" s="108"/>
      <c r="AJ470" s="108"/>
      <c r="AK470" s="108"/>
      <c r="AL470" s="108"/>
      <c r="AM470" s="108"/>
      <c r="AN470" s="108"/>
      <c r="AO470" s="108"/>
      <c r="AP470" s="108"/>
      <c r="AQ470" s="108"/>
      <c r="AR470" s="108"/>
      <c r="AS470" s="108"/>
      <c r="AT470" s="108"/>
      <c r="AU470" s="108"/>
      <c r="AV470" s="108"/>
      <c r="AW470" s="108"/>
      <c r="AX470" s="108"/>
      <c r="AY470" s="108"/>
      <c r="AZ470" s="108"/>
      <c r="BA470" s="108"/>
      <c r="BB470" s="108"/>
      <c r="BC470" s="108"/>
      <c r="BD470" s="108"/>
      <c r="BE470" s="108"/>
      <c r="BF470" s="108"/>
      <c r="BG470" s="108"/>
      <c r="BH470" s="108"/>
      <c r="BI470" s="108"/>
      <c r="BJ470" s="108"/>
      <c r="BK470" s="109"/>
      <c r="BL470" s="108"/>
      <c r="BM470" s="108"/>
      <c r="BN470" s="108"/>
    </row>
    <row r="471" spans="1:66" ht="12" customHeight="1" x14ac:dyDescent="0.2">
      <c r="A471" s="179"/>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c r="AA471" s="108"/>
      <c r="AB471" s="108"/>
      <c r="AC471" s="108"/>
      <c r="AD471" s="108"/>
      <c r="AE471" s="108"/>
      <c r="AF471" s="108"/>
      <c r="AG471" s="108"/>
      <c r="AH471" s="108"/>
      <c r="AI471" s="108"/>
      <c r="AJ471" s="108"/>
      <c r="AK471" s="108"/>
      <c r="AL471" s="108"/>
      <c r="AM471" s="108"/>
      <c r="AN471" s="108"/>
      <c r="AO471" s="108"/>
      <c r="AP471" s="108"/>
      <c r="AQ471" s="108"/>
      <c r="AR471" s="108"/>
      <c r="AS471" s="108"/>
      <c r="AT471" s="108"/>
      <c r="AU471" s="108"/>
      <c r="AV471" s="108"/>
      <c r="AW471" s="108"/>
      <c r="AX471" s="108"/>
      <c r="AY471" s="108"/>
      <c r="AZ471" s="108"/>
      <c r="BA471" s="108"/>
      <c r="BB471" s="108"/>
      <c r="BC471" s="108"/>
      <c r="BD471" s="108"/>
      <c r="BE471" s="108"/>
      <c r="BF471" s="108"/>
      <c r="BG471" s="108"/>
      <c r="BH471" s="108"/>
      <c r="BI471" s="108"/>
      <c r="BJ471" s="108"/>
      <c r="BK471" s="109"/>
      <c r="BL471" s="108"/>
      <c r="BM471" s="108"/>
      <c r="BN471" s="108"/>
    </row>
    <row r="472" spans="1:66" ht="12" customHeight="1" x14ac:dyDescent="0.2">
      <c r="A472" s="179"/>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c r="AA472" s="108"/>
      <c r="AB472" s="108"/>
      <c r="AC472" s="108"/>
      <c r="AD472" s="108"/>
      <c r="AE472" s="108"/>
      <c r="AF472" s="108"/>
      <c r="AG472" s="108"/>
      <c r="AH472" s="108"/>
      <c r="AI472" s="108"/>
      <c r="AJ472" s="108"/>
      <c r="AK472" s="108"/>
      <c r="AL472" s="108"/>
      <c r="AM472" s="108"/>
      <c r="AN472" s="108"/>
      <c r="AO472" s="108"/>
      <c r="AP472" s="108"/>
      <c r="AQ472" s="108"/>
      <c r="AR472" s="108"/>
      <c r="AS472" s="108"/>
      <c r="AT472" s="108"/>
      <c r="AU472" s="108"/>
      <c r="AV472" s="108"/>
      <c r="AW472" s="108"/>
      <c r="AX472" s="108"/>
      <c r="AY472" s="108"/>
      <c r="AZ472" s="108"/>
      <c r="BA472" s="108"/>
      <c r="BB472" s="108"/>
      <c r="BC472" s="108"/>
      <c r="BD472" s="108"/>
      <c r="BE472" s="108"/>
      <c r="BF472" s="108"/>
      <c r="BG472" s="108"/>
      <c r="BH472" s="108"/>
      <c r="BI472" s="108"/>
      <c r="BJ472" s="108"/>
      <c r="BK472" s="109"/>
      <c r="BL472" s="108"/>
      <c r="BM472" s="108"/>
      <c r="BN472" s="108"/>
    </row>
    <row r="473" spans="1:66" ht="12" customHeight="1" x14ac:dyDescent="0.2">
      <c r="A473" s="179"/>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c r="AA473" s="108"/>
      <c r="AB473" s="108"/>
      <c r="AC473" s="108"/>
      <c r="AD473" s="108"/>
      <c r="AE473" s="108"/>
      <c r="AF473" s="108"/>
      <c r="AG473" s="108"/>
      <c r="AH473" s="108"/>
      <c r="AI473" s="108"/>
      <c r="AJ473" s="108"/>
      <c r="AK473" s="108"/>
      <c r="AL473" s="108"/>
      <c r="AM473" s="108"/>
      <c r="AN473" s="108"/>
      <c r="AO473" s="108"/>
      <c r="AP473" s="108"/>
      <c r="AQ473" s="108"/>
      <c r="AR473" s="108"/>
      <c r="AS473" s="108"/>
      <c r="AT473" s="108"/>
      <c r="AU473" s="108"/>
      <c r="AV473" s="108"/>
      <c r="AW473" s="108"/>
      <c r="AX473" s="108"/>
      <c r="AY473" s="108"/>
      <c r="AZ473" s="108"/>
      <c r="BA473" s="108"/>
      <c r="BB473" s="108"/>
      <c r="BC473" s="108"/>
      <c r="BD473" s="108"/>
      <c r="BE473" s="108"/>
      <c r="BF473" s="108"/>
      <c r="BG473" s="108"/>
      <c r="BH473" s="108"/>
      <c r="BI473" s="108"/>
      <c r="BJ473" s="108"/>
      <c r="BK473" s="109"/>
      <c r="BL473" s="108"/>
      <c r="BM473" s="108"/>
      <c r="BN473" s="108"/>
    </row>
    <row r="474" spans="1:66" ht="12" customHeight="1" x14ac:dyDescent="0.2">
      <c r="A474" s="179"/>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c r="AA474" s="108"/>
      <c r="AB474" s="108"/>
      <c r="AC474" s="108"/>
      <c r="AD474" s="108"/>
      <c r="AE474" s="108"/>
      <c r="AF474" s="108"/>
      <c r="AG474" s="108"/>
      <c r="AH474" s="108"/>
      <c r="AI474" s="108"/>
      <c r="AJ474" s="108"/>
      <c r="AK474" s="108"/>
      <c r="AL474" s="108"/>
      <c r="AM474" s="108"/>
      <c r="AN474" s="108"/>
      <c r="AO474" s="108"/>
      <c r="AP474" s="108"/>
      <c r="AQ474" s="108"/>
      <c r="AR474" s="108"/>
      <c r="AS474" s="108"/>
      <c r="AT474" s="108"/>
      <c r="AU474" s="108"/>
      <c r="AV474" s="108"/>
      <c r="AW474" s="108"/>
      <c r="AX474" s="108"/>
      <c r="AY474" s="108"/>
      <c r="AZ474" s="108"/>
      <c r="BA474" s="108"/>
      <c r="BB474" s="108"/>
      <c r="BC474" s="108"/>
      <c r="BD474" s="108"/>
      <c r="BE474" s="108"/>
      <c r="BF474" s="108"/>
      <c r="BG474" s="108"/>
      <c r="BH474" s="108"/>
      <c r="BI474" s="108"/>
      <c r="BJ474" s="108"/>
      <c r="BK474" s="109"/>
      <c r="BL474" s="108"/>
      <c r="BM474" s="108"/>
      <c r="BN474" s="108"/>
    </row>
    <row r="475" spans="1:66" ht="12" customHeight="1" x14ac:dyDescent="0.2">
      <c r="A475" s="179"/>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c r="AA475" s="108"/>
      <c r="AB475" s="108"/>
      <c r="AC475" s="108"/>
      <c r="AD475" s="108"/>
      <c r="AE475" s="108"/>
      <c r="AF475" s="108"/>
      <c r="AG475" s="108"/>
      <c r="AH475" s="108"/>
      <c r="AI475" s="108"/>
      <c r="AJ475" s="108"/>
      <c r="AK475" s="108"/>
      <c r="AL475" s="108"/>
      <c r="AM475" s="108"/>
      <c r="AN475" s="108"/>
      <c r="AO475" s="108"/>
      <c r="AP475" s="108"/>
      <c r="AQ475" s="108"/>
      <c r="AR475" s="108"/>
      <c r="AS475" s="108"/>
      <c r="AT475" s="108"/>
      <c r="AU475" s="108"/>
      <c r="AV475" s="108"/>
      <c r="AW475" s="108"/>
      <c r="AX475" s="108"/>
      <c r="AY475" s="108"/>
      <c r="AZ475" s="108"/>
      <c r="BA475" s="108"/>
      <c r="BB475" s="108"/>
      <c r="BC475" s="108"/>
      <c r="BD475" s="108"/>
      <c r="BE475" s="108"/>
      <c r="BF475" s="108"/>
      <c r="BG475" s="108"/>
      <c r="BH475" s="108"/>
      <c r="BI475" s="108"/>
      <c r="BJ475" s="108"/>
      <c r="BK475" s="109"/>
      <c r="BL475" s="108"/>
      <c r="BM475" s="108"/>
      <c r="BN475" s="108"/>
    </row>
    <row r="476" spans="1:66" ht="12" customHeight="1" x14ac:dyDescent="0.2">
      <c r="A476" s="179"/>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c r="AA476" s="108"/>
      <c r="AB476" s="108"/>
      <c r="AC476" s="108"/>
      <c r="AD476" s="108"/>
      <c r="AE476" s="108"/>
      <c r="AF476" s="108"/>
      <c r="AG476" s="108"/>
      <c r="AH476" s="108"/>
      <c r="AI476" s="108"/>
      <c r="AJ476" s="108"/>
      <c r="AK476" s="108"/>
      <c r="AL476" s="108"/>
      <c r="AM476" s="108"/>
      <c r="AN476" s="108"/>
      <c r="AO476" s="108"/>
      <c r="AP476" s="108"/>
      <c r="AQ476" s="108"/>
      <c r="AR476" s="108"/>
      <c r="AS476" s="108"/>
      <c r="AT476" s="108"/>
      <c r="AU476" s="108"/>
      <c r="AV476" s="108"/>
      <c r="AW476" s="108"/>
      <c r="AX476" s="108"/>
      <c r="AY476" s="108"/>
      <c r="AZ476" s="108"/>
      <c r="BA476" s="108"/>
      <c r="BB476" s="108"/>
      <c r="BC476" s="108"/>
      <c r="BD476" s="108"/>
      <c r="BE476" s="108"/>
      <c r="BF476" s="108"/>
      <c r="BG476" s="108"/>
      <c r="BH476" s="108"/>
      <c r="BI476" s="108"/>
      <c r="BJ476" s="108"/>
      <c r="BK476" s="109"/>
      <c r="BL476" s="108"/>
      <c r="BM476" s="108"/>
      <c r="BN476" s="108"/>
    </row>
    <row r="477" spans="1:66" ht="12" customHeight="1" x14ac:dyDescent="0.2">
      <c r="A477" s="179"/>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c r="AA477" s="108"/>
      <c r="AB477" s="108"/>
      <c r="AC477" s="108"/>
      <c r="AD477" s="108"/>
      <c r="AE477" s="108"/>
      <c r="AF477" s="108"/>
      <c r="AG477" s="108"/>
      <c r="AH477" s="108"/>
      <c r="AI477" s="108"/>
      <c r="AJ477" s="108"/>
      <c r="AK477" s="108"/>
      <c r="AL477" s="108"/>
      <c r="AM477" s="108"/>
      <c r="AN477" s="108"/>
      <c r="AO477" s="108"/>
      <c r="AP477" s="108"/>
      <c r="AQ477" s="108"/>
      <c r="AR477" s="108"/>
      <c r="AS477" s="108"/>
      <c r="AT477" s="108"/>
      <c r="AU477" s="108"/>
      <c r="AV477" s="108"/>
      <c r="AW477" s="108"/>
      <c r="AX477" s="108"/>
      <c r="AY477" s="108"/>
      <c r="AZ477" s="108"/>
      <c r="BA477" s="108"/>
      <c r="BB477" s="108"/>
      <c r="BC477" s="108"/>
      <c r="BD477" s="108"/>
      <c r="BE477" s="108"/>
      <c r="BF477" s="108"/>
      <c r="BG477" s="108"/>
      <c r="BH477" s="108"/>
      <c r="BI477" s="108"/>
      <c r="BJ477" s="108"/>
      <c r="BK477" s="109"/>
      <c r="BL477" s="108"/>
      <c r="BM477" s="108"/>
      <c r="BN477" s="108"/>
    </row>
    <row r="478" spans="1:66" ht="12" customHeight="1" x14ac:dyDescent="0.2">
      <c r="A478" s="179"/>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c r="AA478" s="108"/>
      <c r="AB478" s="108"/>
      <c r="AC478" s="108"/>
      <c r="AD478" s="108"/>
      <c r="AE478" s="108"/>
      <c r="AF478" s="108"/>
      <c r="AG478" s="108"/>
      <c r="AH478" s="108"/>
      <c r="AI478" s="108"/>
      <c r="AJ478" s="108"/>
      <c r="AK478" s="108"/>
      <c r="AL478" s="108"/>
      <c r="AM478" s="108"/>
      <c r="AN478" s="108"/>
      <c r="AO478" s="108"/>
      <c r="AP478" s="108"/>
      <c r="AQ478" s="108"/>
      <c r="AR478" s="108"/>
      <c r="AS478" s="108"/>
      <c r="AT478" s="108"/>
      <c r="AU478" s="108"/>
      <c r="AV478" s="108"/>
      <c r="AW478" s="108"/>
      <c r="AX478" s="108"/>
      <c r="AY478" s="108"/>
      <c r="AZ478" s="108"/>
      <c r="BA478" s="108"/>
      <c r="BB478" s="108"/>
      <c r="BC478" s="108"/>
      <c r="BD478" s="108"/>
      <c r="BE478" s="108"/>
      <c r="BF478" s="108"/>
      <c r="BG478" s="108"/>
      <c r="BH478" s="108"/>
      <c r="BI478" s="108"/>
      <c r="BJ478" s="108"/>
      <c r="BK478" s="109"/>
      <c r="BL478" s="108"/>
      <c r="BM478" s="108"/>
      <c r="BN478" s="108"/>
    </row>
    <row r="479" spans="1:66" ht="12" customHeight="1" x14ac:dyDescent="0.2">
      <c r="A479" s="179"/>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c r="AA479" s="108"/>
      <c r="AB479" s="108"/>
      <c r="AC479" s="108"/>
      <c r="AD479" s="108"/>
      <c r="AE479" s="108"/>
      <c r="AF479" s="108"/>
      <c r="AG479" s="108"/>
      <c r="AH479" s="108"/>
      <c r="AI479" s="108"/>
      <c r="AJ479" s="108"/>
      <c r="AK479" s="108"/>
      <c r="AL479" s="108"/>
      <c r="AM479" s="108"/>
      <c r="AN479" s="108"/>
      <c r="AO479" s="108"/>
      <c r="AP479" s="108"/>
      <c r="AQ479" s="108"/>
      <c r="AR479" s="108"/>
      <c r="AS479" s="108"/>
      <c r="AT479" s="108"/>
      <c r="AU479" s="108"/>
      <c r="AV479" s="108"/>
      <c r="AW479" s="108"/>
      <c r="AX479" s="108"/>
      <c r="AY479" s="108"/>
      <c r="AZ479" s="108"/>
      <c r="BA479" s="108"/>
      <c r="BB479" s="108"/>
      <c r="BC479" s="108"/>
      <c r="BD479" s="108"/>
      <c r="BE479" s="108"/>
      <c r="BF479" s="108"/>
      <c r="BG479" s="108"/>
      <c r="BH479" s="108"/>
      <c r="BI479" s="108"/>
      <c r="BJ479" s="108"/>
      <c r="BK479" s="109"/>
      <c r="BL479" s="108"/>
      <c r="BM479" s="108"/>
      <c r="BN479" s="108"/>
    </row>
    <row r="480" spans="1:66" ht="12" customHeight="1" x14ac:dyDescent="0.2">
      <c r="A480" s="179"/>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c r="AA480" s="108"/>
      <c r="AB480" s="108"/>
      <c r="AC480" s="108"/>
      <c r="AD480" s="108"/>
      <c r="AE480" s="108"/>
      <c r="AF480" s="108"/>
      <c r="AG480" s="108"/>
      <c r="AH480" s="108"/>
      <c r="AI480" s="108"/>
      <c r="AJ480" s="108"/>
      <c r="AK480" s="108"/>
      <c r="AL480" s="108"/>
      <c r="AM480" s="108"/>
      <c r="AN480" s="108"/>
      <c r="AO480" s="108"/>
      <c r="AP480" s="108"/>
      <c r="AQ480" s="108"/>
      <c r="AR480" s="108"/>
      <c r="AS480" s="108"/>
      <c r="AT480" s="108"/>
      <c r="AU480" s="108"/>
      <c r="AV480" s="108"/>
      <c r="AW480" s="108"/>
      <c r="AX480" s="108"/>
      <c r="AY480" s="108"/>
      <c r="AZ480" s="108"/>
      <c r="BA480" s="108"/>
      <c r="BB480" s="108"/>
      <c r="BC480" s="108"/>
      <c r="BD480" s="108"/>
      <c r="BE480" s="108"/>
      <c r="BF480" s="108"/>
      <c r="BG480" s="108"/>
      <c r="BH480" s="108"/>
      <c r="BI480" s="108"/>
      <c r="BJ480" s="108"/>
      <c r="BK480" s="109"/>
      <c r="BL480" s="108"/>
      <c r="BM480" s="108"/>
      <c r="BN480" s="108"/>
    </row>
    <row r="481" spans="1:66" ht="12" customHeight="1" x14ac:dyDescent="0.2">
      <c r="A481" s="179"/>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c r="AA481" s="108"/>
      <c r="AB481" s="108"/>
      <c r="AC481" s="108"/>
      <c r="AD481" s="108"/>
      <c r="AE481" s="108"/>
      <c r="AF481" s="108"/>
      <c r="AG481" s="108"/>
      <c r="AH481" s="108"/>
      <c r="AI481" s="108"/>
      <c r="AJ481" s="108"/>
      <c r="AK481" s="108"/>
      <c r="AL481" s="108"/>
      <c r="AM481" s="108"/>
      <c r="AN481" s="108"/>
      <c r="AO481" s="108"/>
      <c r="AP481" s="108"/>
      <c r="AQ481" s="108"/>
      <c r="AR481" s="108"/>
      <c r="AS481" s="108"/>
      <c r="AT481" s="108"/>
      <c r="AU481" s="108"/>
      <c r="AV481" s="108"/>
      <c r="AW481" s="108"/>
      <c r="AX481" s="108"/>
      <c r="AY481" s="108"/>
      <c r="AZ481" s="108"/>
      <c r="BA481" s="108"/>
      <c r="BB481" s="108"/>
      <c r="BC481" s="108"/>
      <c r="BD481" s="108"/>
      <c r="BE481" s="108"/>
      <c r="BF481" s="108"/>
      <c r="BG481" s="108"/>
      <c r="BH481" s="108"/>
      <c r="BI481" s="108"/>
      <c r="BJ481" s="108"/>
      <c r="BK481" s="109"/>
      <c r="BL481" s="108"/>
      <c r="BM481" s="108"/>
      <c r="BN481" s="108"/>
    </row>
    <row r="482" spans="1:66" ht="12" customHeight="1" x14ac:dyDescent="0.2">
      <c r="A482" s="179"/>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c r="AA482" s="108"/>
      <c r="AB482" s="108"/>
      <c r="AC482" s="108"/>
      <c r="AD482" s="108"/>
      <c r="AE482" s="108"/>
      <c r="AF482" s="108"/>
      <c r="AG482" s="108"/>
      <c r="AH482" s="108"/>
      <c r="AI482" s="108"/>
      <c r="AJ482" s="108"/>
      <c r="AK482" s="108"/>
      <c r="AL482" s="108"/>
      <c r="AM482" s="108"/>
      <c r="AN482" s="108"/>
      <c r="AO482" s="108"/>
      <c r="AP482" s="108"/>
      <c r="AQ482" s="108"/>
      <c r="AR482" s="108"/>
      <c r="AS482" s="108"/>
      <c r="AT482" s="108"/>
      <c r="AU482" s="108"/>
      <c r="AV482" s="108"/>
      <c r="AW482" s="108"/>
      <c r="AX482" s="108"/>
      <c r="AY482" s="108"/>
      <c r="AZ482" s="108"/>
      <c r="BA482" s="108"/>
      <c r="BB482" s="108"/>
      <c r="BC482" s="108"/>
      <c r="BD482" s="108"/>
      <c r="BE482" s="108"/>
      <c r="BF482" s="108"/>
      <c r="BG482" s="108"/>
      <c r="BH482" s="108"/>
      <c r="BI482" s="108"/>
      <c r="BJ482" s="108"/>
      <c r="BK482" s="109"/>
      <c r="BL482" s="108"/>
      <c r="BM482" s="108"/>
      <c r="BN482" s="108"/>
    </row>
    <row r="483" spans="1:66" ht="12" customHeight="1" x14ac:dyDescent="0.2">
      <c r="A483" s="179"/>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c r="AA483" s="108"/>
      <c r="AB483" s="108"/>
      <c r="AC483" s="108"/>
      <c r="AD483" s="108"/>
      <c r="AE483" s="108"/>
      <c r="AF483" s="108"/>
      <c r="AG483" s="108"/>
      <c r="AH483" s="108"/>
      <c r="AI483" s="108"/>
      <c r="AJ483" s="108"/>
      <c r="AK483" s="108"/>
      <c r="AL483" s="108"/>
      <c r="AM483" s="108"/>
      <c r="AN483" s="108"/>
      <c r="AO483" s="108"/>
      <c r="AP483" s="108"/>
      <c r="AQ483" s="108"/>
      <c r="AR483" s="108"/>
      <c r="AS483" s="108"/>
      <c r="AT483" s="108"/>
      <c r="AU483" s="108"/>
      <c r="AV483" s="108"/>
      <c r="AW483" s="108"/>
      <c r="AX483" s="108"/>
      <c r="AY483" s="108"/>
      <c r="AZ483" s="108"/>
      <c r="BA483" s="108"/>
      <c r="BB483" s="108"/>
      <c r="BC483" s="108"/>
      <c r="BD483" s="108"/>
      <c r="BE483" s="108"/>
      <c r="BF483" s="108"/>
      <c r="BG483" s="108"/>
      <c r="BH483" s="108"/>
      <c r="BI483" s="108"/>
      <c r="BJ483" s="108"/>
      <c r="BK483" s="109"/>
      <c r="BL483" s="108"/>
      <c r="BM483" s="108"/>
      <c r="BN483" s="108"/>
    </row>
    <row r="484" spans="1:66" ht="12" customHeight="1" x14ac:dyDescent="0.2">
      <c r="A484" s="179"/>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c r="AA484" s="108"/>
      <c r="AB484" s="108"/>
      <c r="AC484" s="108"/>
      <c r="AD484" s="108"/>
      <c r="AE484" s="108"/>
      <c r="AF484" s="108"/>
      <c r="AG484" s="108"/>
      <c r="AH484" s="108"/>
      <c r="AI484" s="108"/>
      <c r="AJ484" s="108"/>
      <c r="AK484" s="108"/>
      <c r="AL484" s="108"/>
      <c r="AM484" s="108"/>
      <c r="AN484" s="108"/>
      <c r="AO484" s="108"/>
      <c r="AP484" s="108"/>
      <c r="AQ484" s="108"/>
      <c r="AR484" s="108"/>
      <c r="AS484" s="108"/>
      <c r="AT484" s="108"/>
      <c r="AU484" s="108"/>
      <c r="AV484" s="108"/>
      <c r="AW484" s="108"/>
      <c r="AX484" s="108"/>
      <c r="AY484" s="108"/>
      <c r="AZ484" s="108"/>
      <c r="BA484" s="108"/>
      <c r="BB484" s="108"/>
      <c r="BC484" s="108"/>
      <c r="BD484" s="108"/>
      <c r="BE484" s="108"/>
      <c r="BF484" s="108"/>
      <c r="BG484" s="108"/>
      <c r="BH484" s="108"/>
      <c r="BI484" s="108"/>
      <c r="BJ484" s="108"/>
      <c r="BK484" s="109"/>
      <c r="BL484" s="108"/>
      <c r="BM484" s="108"/>
      <c r="BN484" s="108"/>
    </row>
    <row r="485" spans="1:66" ht="12" customHeight="1" x14ac:dyDescent="0.2">
      <c r="A485" s="179"/>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c r="AA485" s="108"/>
      <c r="AB485" s="108"/>
      <c r="AC485" s="108"/>
      <c r="AD485" s="108"/>
      <c r="AE485" s="108"/>
      <c r="AF485" s="108"/>
      <c r="AG485" s="108"/>
      <c r="AH485" s="108"/>
      <c r="AI485" s="108"/>
      <c r="AJ485" s="108"/>
      <c r="AK485" s="108"/>
      <c r="AL485" s="108"/>
      <c r="AM485" s="108"/>
      <c r="AN485" s="108"/>
      <c r="AO485" s="108"/>
      <c r="AP485" s="108"/>
      <c r="AQ485" s="108"/>
      <c r="AR485" s="108"/>
      <c r="AS485" s="108"/>
      <c r="AT485" s="108"/>
      <c r="AU485" s="108"/>
      <c r="AV485" s="108"/>
      <c r="AW485" s="108"/>
      <c r="AX485" s="108"/>
      <c r="AY485" s="108"/>
      <c r="AZ485" s="108"/>
      <c r="BA485" s="108"/>
      <c r="BB485" s="108"/>
      <c r="BC485" s="108"/>
      <c r="BD485" s="108"/>
      <c r="BE485" s="108"/>
      <c r="BF485" s="108"/>
      <c r="BG485" s="108"/>
      <c r="BH485" s="108"/>
      <c r="BI485" s="108"/>
      <c r="BJ485" s="108"/>
      <c r="BK485" s="109"/>
      <c r="BL485" s="108"/>
      <c r="BM485" s="108"/>
      <c r="BN485" s="108"/>
    </row>
    <row r="486" spans="1:66" ht="12" customHeight="1" x14ac:dyDescent="0.2">
      <c r="A486" s="179"/>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c r="AA486" s="108"/>
      <c r="AB486" s="108"/>
      <c r="AC486" s="108"/>
      <c r="AD486" s="108"/>
      <c r="AE486" s="108"/>
      <c r="AF486" s="108"/>
      <c r="AG486" s="108"/>
      <c r="AH486" s="108"/>
      <c r="AI486" s="108"/>
      <c r="AJ486" s="108"/>
      <c r="AK486" s="108"/>
      <c r="AL486" s="108"/>
      <c r="AM486" s="108"/>
      <c r="AN486" s="108"/>
      <c r="AO486" s="108"/>
      <c r="AP486" s="108"/>
      <c r="AQ486" s="108"/>
      <c r="AR486" s="108"/>
      <c r="AS486" s="108"/>
      <c r="AT486" s="108"/>
      <c r="AU486" s="108"/>
      <c r="AV486" s="108"/>
      <c r="AW486" s="108"/>
      <c r="AX486" s="108"/>
      <c r="AY486" s="108"/>
      <c r="AZ486" s="108"/>
      <c r="BA486" s="108"/>
      <c r="BB486" s="108"/>
      <c r="BC486" s="108"/>
      <c r="BD486" s="108"/>
      <c r="BE486" s="108"/>
      <c r="BF486" s="108"/>
      <c r="BG486" s="108"/>
      <c r="BH486" s="108"/>
      <c r="BI486" s="108"/>
      <c r="BJ486" s="108"/>
      <c r="BK486" s="109"/>
      <c r="BL486" s="108"/>
      <c r="BM486" s="108"/>
      <c r="BN486" s="108"/>
    </row>
    <row r="487" spans="1:66" ht="12" customHeight="1" x14ac:dyDescent="0.2">
      <c r="A487" s="179"/>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c r="AA487" s="108"/>
      <c r="AB487" s="108"/>
      <c r="AC487" s="108"/>
      <c r="AD487" s="108"/>
      <c r="AE487" s="108"/>
      <c r="AF487" s="108"/>
      <c r="AG487" s="108"/>
      <c r="AH487" s="108"/>
      <c r="AI487" s="108"/>
      <c r="AJ487" s="108"/>
      <c r="AK487" s="108"/>
      <c r="AL487" s="108"/>
      <c r="AM487" s="108"/>
      <c r="AN487" s="108"/>
      <c r="AO487" s="108"/>
      <c r="AP487" s="108"/>
      <c r="AQ487" s="108"/>
      <c r="AR487" s="108"/>
      <c r="AS487" s="108"/>
      <c r="AT487" s="108"/>
      <c r="AU487" s="108"/>
      <c r="AV487" s="108"/>
      <c r="AW487" s="108"/>
      <c r="AX487" s="108"/>
      <c r="AY487" s="108"/>
      <c r="AZ487" s="108"/>
      <c r="BA487" s="108"/>
      <c r="BB487" s="108"/>
      <c r="BC487" s="108"/>
      <c r="BD487" s="108"/>
      <c r="BE487" s="108"/>
      <c r="BF487" s="108"/>
      <c r="BG487" s="108"/>
      <c r="BH487" s="108"/>
      <c r="BI487" s="108"/>
      <c r="BJ487" s="108"/>
      <c r="BK487" s="109"/>
      <c r="BL487" s="108"/>
      <c r="BM487" s="108"/>
      <c r="BN487" s="108"/>
    </row>
    <row r="488" spans="1:66" ht="12" customHeight="1" x14ac:dyDescent="0.2">
      <c r="A488" s="179"/>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c r="AA488" s="108"/>
      <c r="AB488" s="108"/>
      <c r="AC488" s="108"/>
      <c r="AD488" s="108"/>
      <c r="AE488" s="108"/>
      <c r="AF488" s="108"/>
      <c r="AG488" s="108"/>
      <c r="AH488" s="108"/>
      <c r="AI488" s="108"/>
      <c r="AJ488" s="108"/>
      <c r="AK488" s="108"/>
      <c r="AL488" s="108"/>
      <c r="AM488" s="108"/>
      <c r="AN488" s="108"/>
      <c r="AO488" s="108"/>
      <c r="AP488" s="108"/>
      <c r="AQ488" s="108"/>
      <c r="AR488" s="108"/>
      <c r="AS488" s="108"/>
      <c r="AT488" s="108"/>
      <c r="AU488" s="108"/>
      <c r="AV488" s="108"/>
      <c r="AW488" s="108"/>
      <c r="AX488" s="108"/>
      <c r="AY488" s="108"/>
      <c r="AZ488" s="108"/>
      <c r="BA488" s="108"/>
      <c r="BB488" s="108"/>
      <c r="BC488" s="108"/>
      <c r="BD488" s="108"/>
      <c r="BE488" s="108"/>
      <c r="BF488" s="108"/>
      <c r="BG488" s="108"/>
      <c r="BH488" s="108"/>
      <c r="BI488" s="108"/>
      <c r="BJ488" s="108"/>
      <c r="BK488" s="109"/>
      <c r="BL488" s="108"/>
      <c r="BM488" s="108"/>
      <c r="BN488" s="108"/>
    </row>
    <row r="489" spans="1:66" ht="12" customHeight="1" x14ac:dyDescent="0.2">
      <c r="A489" s="179"/>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c r="AA489" s="108"/>
      <c r="AB489" s="108"/>
      <c r="AC489" s="108"/>
      <c r="AD489" s="108"/>
      <c r="AE489" s="108"/>
      <c r="AF489" s="108"/>
      <c r="AG489" s="108"/>
      <c r="AH489" s="108"/>
      <c r="AI489" s="108"/>
      <c r="AJ489" s="108"/>
      <c r="AK489" s="108"/>
      <c r="AL489" s="108"/>
      <c r="AM489" s="108"/>
      <c r="AN489" s="108"/>
      <c r="AO489" s="108"/>
      <c r="AP489" s="108"/>
      <c r="AQ489" s="108"/>
      <c r="AR489" s="108"/>
      <c r="AS489" s="108"/>
      <c r="AT489" s="108"/>
      <c r="AU489" s="108"/>
      <c r="AV489" s="108"/>
      <c r="AW489" s="108"/>
      <c r="AX489" s="108"/>
      <c r="AY489" s="108"/>
      <c r="AZ489" s="108"/>
      <c r="BA489" s="108"/>
      <c r="BB489" s="108"/>
      <c r="BC489" s="108"/>
      <c r="BD489" s="108"/>
      <c r="BE489" s="108"/>
      <c r="BF489" s="108"/>
      <c r="BG489" s="108"/>
      <c r="BH489" s="108"/>
      <c r="BI489" s="108"/>
      <c r="BJ489" s="108"/>
      <c r="BK489" s="109"/>
      <c r="BL489" s="108"/>
      <c r="BM489" s="108"/>
      <c r="BN489" s="108"/>
    </row>
    <row r="490" spans="1:66" ht="12" customHeight="1" x14ac:dyDescent="0.2">
      <c r="A490" s="179"/>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c r="AA490" s="108"/>
      <c r="AB490" s="108"/>
      <c r="AC490" s="108"/>
      <c r="AD490" s="108"/>
      <c r="AE490" s="108"/>
      <c r="AF490" s="108"/>
      <c r="AG490" s="108"/>
      <c r="AH490" s="108"/>
      <c r="AI490" s="108"/>
      <c r="AJ490" s="108"/>
      <c r="AK490" s="108"/>
      <c r="AL490" s="108"/>
      <c r="AM490" s="108"/>
      <c r="AN490" s="108"/>
      <c r="AO490" s="108"/>
      <c r="AP490" s="108"/>
      <c r="AQ490" s="108"/>
      <c r="AR490" s="108"/>
      <c r="AS490" s="108"/>
      <c r="AT490" s="108"/>
      <c r="AU490" s="108"/>
      <c r="AV490" s="108"/>
      <c r="AW490" s="108"/>
      <c r="AX490" s="108"/>
      <c r="AY490" s="108"/>
      <c r="AZ490" s="108"/>
      <c r="BA490" s="108"/>
      <c r="BB490" s="108"/>
      <c r="BC490" s="108"/>
      <c r="BD490" s="108"/>
      <c r="BE490" s="108"/>
      <c r="BF490" s="108"/>
      <c r="BG490" s="108"/>
      <c r="BH490" s="108"/>
      <c r="BI490" s="108"/>
      <c r="BJ490" s="108"/>
      <c r="BK490" s="109"/>
      <c r="BL490" s="108"/>
      <c r="BM490" s="108"/>
      <c r="BN490" s="108"/>
    </row>
    <row r="491" spans="1:66" ht="12" customHeight="1" x14ac:dyDescent="0.2">
      <c r="A491" s="179"/>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c r="AA491" s="108"/>
      <c r="AB491" s="108"/>
      <c r="AC491" s="108"/>
      <c r="AD491" s="108"/>
      <c r="AE491" s="108"/>
      <c r="AF491" s="108"/>
      <c r="AG491" s="108"/>
      <c r="AH491" s="108"/>
      <c r="AI491" s="108"/>
      <c r="AJ491" s="108"/>
      <c r="AK491" s="108"/>
      <c r="AL491" s="108"/>
      <c r="AM491" s="108"/>
      <c r="AN491" s="108"/>
      <c r="AO491" s="108"/>
      <c r="AP491" s="108"/>
      <c r="AQ491" s="108"/>
      <c r="AR491" s="108"/>
      <c r="AS491" s="108"/>
      <c r="AT491" s="108"/>
      <c r="AU491" s="108"/>
      <c r="AV491" s="108"/>
      <c r="AW491" s="108"/>
      <c r="AX491" s="108"/>
      <c r="AY491" s="108"/>
      <c r="AZ491" s="108"/>
      <c r="BA491" s="108"/>
      <c r="BB491" s="108"/>
      <c r="BC491" s="108"/>
      <c r="BD491" s="108"/>
      <c r="BE491" s="108"/>
      <c r="BF491" s="108"/>
      <c r="BG491" s="108"/>
      <c r="BH491" s="108"/>
      <c r="BI491" s="108"/>
      <c r="BJ491" s="108"/>
      <c r="BK491" s="109"/>
      <c r="BL491" s="108"/>
      <c r="BM491" s="108"/>
      <c r="BN491" s="108"/>
    </row>
    <row r="492" spans="1:66" ht="12" customHeight="1" x14ac:dyDescent="0.2">
      <c r="A492" s="179"/>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c r="AA492" s="108"/>
      <c r="AB492" s="108"/>
      <c r="AC492" s="108"/>
      <c r="AD492" s="108"/>
      <c r="AE492" s="108"/>
      <c r="AF492" s="108"/>
      <c r="AG492" s="108"/>
      <c r="AH492" s="108"/>
      <c r="AI492" s="108"/>
      <c r="AJ492" s="108"/>
      <c r="AK492" s="108"/>
      <c r="AL492" s="108"/>
      <c r="AM492" s="108"/>
      <c r="AN492" s="108"/>
      <c r="AO492" s="108"/>
      <c r="AP492" s="108"/>
      <c r="AQ492" s="108"/>
      <c r="AR492" s="108"/>
      <c r="AS492" s="108"/>
      <c r="AT492" s="108"/>
      <c r="AU492" s="108"/>
      <c r="AV492" s="108"/>
      <c r="AW492" s="108"/>
      <c r="AX492" s="108"/>
      <c r="AY492" s="108"/>
      <c r="AZ492" s="108"/>
      <c r="BA492" s="108"/>
      <c r="BB492" s="108"/>
      <c r="BC492" s="108"/>
      <c r="BD492" s="108"/>
      <c r="BE492" s="108"/>
      <c r="BF492" s="108"/>
      <c r="BG492" s="108"/>
      <c r="BH492" s="108"/>
      <c r="BI492" s="108"/>
      <c r="BJ492" s="108"/>
      <c r="BK492" s="109"/>
      <c r="BL492" s="108"/>
      <c r="BM492" s="108"/>
      <c r="BN492" s="108"/>
    </row>
    <row r="493" spans="1:66" ht="12" customHeight="1" x14ac:dyDescent="0.2">
      <c r="A493" s="179"/>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c r="AA493" s="108"/>
      <c r="AB493" s="108"/>
      <c r="AC493" s="108"/>
      <c r="AD493" s="108"/>
      <c r="AE493" s="108"/>
      <c r="AF493" s="108"/>
      <c r="AG493" s="108"/>
      <c r="AH493" s="108"/>
      <c r="AI493" s="108"/>
      <c r="AJ493" s="108"/>
      <c r="AK493" s="108"/>
      <c r="AL493" s="108"/>
      <c r="AM493" s="108"/>
      <c r="AN493" s="108"/>
      <c r="AO493" s="108"/>
      <c r="AP493" s="108"/>
      <c r="AQ493" s="108"/>
      <c r="AR493" s="108"/>
      <c r="AS493" s="108"/>
      <c r="AT493" s="108"/>
      <c r="AU493" s="108"/>
      <c r="AV493" s="108"/>
      <c r="AW493" s="108"/>
      <c r="AX493" s="108"/>
      <c r="AY493" s="108"/>
      <c r="AZ493" s="108"/>
      <c r="BA493" s="108"/>
      <c r="BB493" s="108"/>
      <c r="BC493" s="108"/>
      <c r="BD493" s="108"/>
      <c r="BE493" s="108"/>
      <c r="BF493" s="108"/>
      <c r="BG493" s="108"/>
      <c r="BH493" s="108"/>
      <c r="BI493" s="108"/>
      <c r="BJ493" s="108"/>
      <c r="BK493" s="109"/>
      <c r="BL493" s="108"/>
      <c r="BM493" s="108"/>
      <c r="BN493" s="108"/>
    </row>
    <row r="494" spans="1:66" ht="12" customHeight="1" x14ac:dyDescent="0.2">
      <c r="A494" s="179"/>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c r="AA494" s="108"/>
      <c r="AB494" s="108"/>
      <c r="AC494" s="108"/>
      <c r="AD494" s="108"/>
      <c r="AE494" s="108"/>
      <c r="AF494" s="108"/>
      <c r="AG494" s="108"/>
      <c r="AH494" s="108"/>
      <c r="AI494" s="108"/>
      <c r="AJ494" s="108"/>
      <c r="AK494" s="108"/>
      <c r="AL494" s="108"/>
      <c r="AM494" s="108"/>
      <c r="AN494" s="108"/>
      <c r="AO494" s="108"/>
      <c r="AP494" s="108"/>
      <c r="AQ494" s="108"/>
      <c r="AR494" s="108"/>
      <c r="AS494" s="108"/>
      <c r="AT494" s="108"/>
      <c r="AU494" s="108"/>
      <c r="AV494" s="108"/>
      <c r="AW494" s="108"/>
      <c r="AX494" s="108"/>
      <c r="AY494" s="108"/>
      <c r="AZ494" s="108"/>
      <c r="BA494" s="108"/>
      <c r="BB494" s="108"/>
      <c r="BC494" s="108"/>
      <c r="BD494" s="108"/>
      <c r="BE494" s="108"/>
      <c r="BF494" s="108"/>
      <c r="BG494" s="108"/>
      <c r="BH494" s="108"/>
      <c r="BI494" s="108"/>
      <c r="BJ494" s="108"/>
      <c r="BK494" s="109"/>
      <c r="BL494" s="108"/>
      <c r="BM494" s="108"/>
      <c r="BN494" s="108"/>
    </row>
    <row r="495" spans="1:66" ht="12" customHeight="1" x14ac:dyDescent="0.2">
      <c r="A495" s="179"/>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c r="AA495" s="108"/>
      <c r="AB495" s="108"/>
      <c r="AC495" s="108"/>
      <c r="AD495" s="108"/>
      <c r="AE495" s="108"/>
      <c r="AF495" s="108"/>
      <c r="AG495" s="108"/>
      <c r="AH495" s="108"/>
      <c r="AI495" s="108"/>
      <c r="AJ495" s="108"/>
      <c r="AK495" s="108"/>
      <c r="AL495" s="108"/>
      <c r="AM495" s="108"/>
      <c r="AN495" s="108"/>
      <c r="AO495" s="108"/>
      <c r="AP495" s="108"/>
      <c r="AQ495" s="108"/>
      <c r="AR495" s="108"/>
      <c r="AS495" s="108"/>
      <c r="AT495" s="108"/>
      <c r="AU495" s="108"/>
      <c r="AV495" s="108"/>
      <c r="AW495" s="108"/>
      <c r="AX495" s="108"/>
      <c r="AY495" s="108"/>
      <c r="AZ495" s="108"/>
      <c r="BA495" s="108"/>
      <c r="BB495" s="108"/>
      <c r="BC495" s="108"/>
      <c r="BD495" s="108"/>
      <c r="BE495" s="108"/>
      <c r="BF495" s="108"/>
      <c r="BG495" s="108"/>
      <c r="BH495" s="108"/>
      <c r="BI495" s="108"/>
      <c r="BJ495" s="108"/>
      <c r="BK495" s="109"/>
      <c r="BL495" s="108"/>
      <c r="BM495" s="108"/>
      <c r="BN495" s="108"/>
    </row>
    <row r="496" spans="1:66" ht="12" customHeight="1" x14ac:dyDescent="0.2">
      <c r="A496" s="179"/>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c r="AA496" s="108"/>
      <c r="AB496" s="108"/>
      <c r="AC496" s="108"/>
      <c r="AD496" s="108"/>
      <c r="AE496" s="108"/>
      <c r="AF496" s="108"/>
      <c r="AG496" s="108"/>
      <c r="AH496" s="108"/>
      <c r="AI496" s="108"/>
      <c r="AJ496" s="108"/>
      <c r="AK496" s="108"/>
      <c r="AL496" s="108"/>
      <c r="AM496" s="108"/>
      <c r="AN496" s="108"/>
      <c r="AO496" s="108"/>
      <c r="AP496" s="108"/>
      <c r="AQ496" s="108"/>
      <c r="AR496" s="108"/>
      <c r="AS496" s="108"/>
      <c r="AT496" s="108"/>
      <c r="AU496" s="108"/>
      <c r="AV496" s="108"/>
      <c r="AW496" s="108"/>
      <c r="AX496" s="108"/>
      <c r="AY496" s="108"/>
      <c r="AZ496" s="108"/>
      <c r="BA496" s="108"/>
      <c r="BB496" s="108"/>
      <c r="BC496" s="108"/>
      <c r="BD496" s="108"/>
      <c r="BE496" s="108"/>
      <c r="BF496" s="108"/>
      <c r="BG496" s="108"/>
      <c r="BH496" s="108"/>
      <c r="BI496" s="108"/>
      <c r="BJ496" s="108"/>
      <c r="BK496" s="109"/>
      <c r="BL496" s="108"/>
      <c r="BM496" s="108"/>
      <c r="BN496" s="108"/>
    </row>
    <row r="497" spans="1:66" ht="12" customHeight="1" x14ac:dyDescent="0.2">
      <c r="A497" s="179"/>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c r="AA497" s="108"/>
      <c r="AB497" s="108"/>
      <c r="AC497" s="108"/>
      <c r="AD497" s="108"/>
      <c r="AE497" s="108"/>
      <c r="AF497" s="108"/>
      <c r="AG497" s="108"/>
      <c r="AH497" s="108"/>
      <c r="AI497" s="108"/>
      <c r="AJ497" s="108"/>
      <c r="AK497" s="108"/>
      <c r="AL497" s="108"/>
      <c r="AM497" s="108"/>
      <c r="AN497" s="108"/>
      <c r="AO497" s="108"/>
      <c r="AP497" s="108"/>
      <c r="AQ497" s="108"/>
      <c r="AR497" s="108"/>
      <c r="AS497" s="108"/>
      <c r="AT497" s="108"/>
      <c r="AU497" s="108"/>
      <c r="AV497" s="108"/>
      <c r="AW497" s="108"/>
      <c r="AX497" s="108"/>
      <c r="AY497" s="108"/>
      <c r="AZ497" s="108"/>
      <c r="BA497" s="108"/>
      <c r="BB497" s="108"/>
      <c r="BC497" s="108"/>
      <c r="BD497" s="108"/>
      <c r="BE497" s="108"/>
      <c r="BF497" s="108"/>
      <c r="BG497" s="108"/>
      <c r="BH497" s="108"/>
      <c r="BI497" s="108"/>
      <c r="BJ497" s="108"/>
      <c r="BK497" s="109"/>
      <c r="BL497" s="108"/>
      <c r="BM497" s="108"/>
      <c r="BN497" s="108"/>
    </row>
    <row r="498" spans="1:66" ht="12" customHeight="1" x14ac:dyDescent="0.2">
      <c r="A498" s="179"/>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c r="AA498" s="108"/>
      <c r="AB498" s="108"/>
      <c r="AC498" s="108"/>
      <c r="AD498" s="108"/>
      <c r="AE498" s="108"/>
      <c r="AF498" s="108"/>
      <c r="AG498" s="108"/>
      <c r="AH498" s="108"/>
      <c r="AI498" s="108"/>
      <c r="AJ498" s="108"/>
      <c r="AK498" s="108"/>
      <c r="AL498" s="108"/>
      <c r="AM498" s="108"/>
      <c r="AN498" s="108"/>
      <c r="AO498" s="108"/>
      <c r="AP498" s="108"/>
      <c r="AQ498" s="108"/>
      <c r="AR498" s="108"/>
      <c r="AS498" s="108"/>
      <c r="AT498" s="108"/>
      <c r="AU498" s="108"/>
      <c r="AV498" s="108"/>
      <c r="AW498" s="108"/>
      <c r="AX498" s="108"/>
      <c r="AY498" s="108"/>
      <c r="AZ498" s="108"/>
      <c r="BA498" s="108"/>
      <c r="BB498" s="108"/>
      <c r="BC498" s="108"/>
      <c r="BD498" s="108"/>
      <c r="BE498" s="108"/>
      <c r="BF498" s="108"/>
      <c r="BG498" s="108"/>
      <c r="BH498" s="108"/>
      <c r="BI498" s="108"/>
      <c r="BJ498" s="108"/>
      <c r="BK498" s="109"/>
      <c r="BL498" s="108"/>
      <c r="BM498" s="108"/>
      <c r="BN498" s="108"/>
    </row>
    <row r="499" spans="1:66" ht="12" customHeight="1" x14ac:dyDescent="0.2">
      <c r="A499" s="179"/>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c r="AA499" s="108"/>
      <c r="AB499" s="108"/>
      <c r="AC499" s="108"/>
      <c r="AD499" s="108"/>
      <c r="AE499" s="108"/>
      <c r="AF499" s="108"/>
      <c r="AG499" s="108"/>
      <c r="AH499" s="108"/>
      <c r="AI499" s="108"/>
      <c r="AJ499" s="108"/>
      <c r="AK499" s="108"/>
      <c r="AL499" s="108"/>
      <c r="AM499" s="108"/>
      <c r="AN499" s="108"/>
      <c r="AO499" s="108"/>
      <c r="AP499" s="108"/>
      <c r="AQ499" s="108"/>
      <c r="AR499" s="108"/>
      <c r="AS499" s="108"/>
      <c r="AT499" s="108"/>
      <c r="AU499" s="108"/>
      <c r="AV499" s="108"/>
      <c r="AW499" s="108"/>
      <c r="AX499" s="108"/>
      <c r="AY499" s="108"/>
      <c r="AZ499" s="108"/>
      <c r="BA499" s="108"/>
      <c r="BB499" s="108"/>
      <c r="BC499" s="108"/>
      <c r="BD499" s="108"/>
      <c r="BE499" s="108"/>
      <c r="BF499" s="108"/>
      <c r="BG499" s="108"/>
      <c r="BH499" s="108"/>
      <c r="BI499" s="108"/>
      <c r="BJ499" s="108"/>
      <c r="BK499" s="109"/>
      <c r="BL499" s="108"/>
      <c r="BM499" s="108"/>
      <c r="BN499" s="108"/>
    </row>
    <row r="500" spans="1:66" ht="12" customHeight="1" x14ac:dyDescent="0.2">
      <c r="A500" s="179"/>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c r="AA500" s="108"/>
      <c r="AB500" s="108"/>
      <c r="AC500" s="108"/>
      <c r="AD500" s="108"/>
      <c r="AE500" s="108"/>
      <c r="AF500" s="108"/>
      <c r="AG500" s="108"/>
      <c r="AH500" s="108"/>
      <c r="AI500" s="108"/>
      <c r="AJ500" s="108"/>
      <c r="AK500" s="108"/>
      <c r="AL500" s="108"/>
      <c r="AM500" s="108"/>
      <c r="AN500" s="108"/>
      <c r="AO500" s="108"/>
      <c r="AP500" s="108"/>
      <c r="AQ500" s="108"/>
      <c r="AR500" s="108"/>
      <c r="AS500" s="108"/>
      <c r="AT500" s="108"/>
      <c r="AU500" s="108"/>
      <c r="AV500" s="108"/>
      <c r="AW500" s="108"/>
      <c r="AX500" s="108"/>
      <c r="AY500" s="108"/>
      <c r="AZ500" s="108"/>
      <c r="BA500" s="108"/>
      <c r="BB500" s="108"/>
      <c r="BC500" s="108"/>
      <c r="BD500" s="108"/>
      <c r="BE500" s="108"/>
      <c r="BF500" s="108"/>
      <c r="BG500" s="108"/>
      <c r="BH500" s="108"/>
      <c r="BI500" s="108"/>
      <c r="BJ500" s="108"/>
      <c r="BK500" s="109"/>
      <c r="BL500" s="108"/>
      <c r="BM500" s="108"/>
      <c r="BN500" s="108"/>
    </row>
    <row r="501" spans="1:66" ht="12" customHeight="1" x14ac:dyDescent="0.2">
      <c r="A501" s="179"/>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c r="AA501" s="108"/>
      <c r="AB501" s="108"/>
      <c r="AC501" s="108"/>
      <c r="AD501" s="108"/>
      <c r="AE501" s="108"/>
      <c r="AF501" s="108"/>
      <c r="AG501" s="108"/>
      <c r="AH501" s="108"/>
      <c r="AI501" s="108"/>
      <c r="AJ501" s="108"/>
      <c r="AK501" s="108"/>
      <c r="AL501" s="108"/>
      <c r="AM501" s="108"/>
      <c r="AN501" s="108"/>
      <c r="AO501" s="108"/>
      <c r="AP501" s="108"/>
      <c r="AQ501" s="108"/>
      <c r="AR501" s="108"/>
      <c r="AS501" s="108"/>
      <c r="AT501" s="108"/>
      <c r="AU501" s="108"/>
      <c r="AV501" s="108"/>
      <c r="AW501" s="108"/>
      <c r="AX501" s="108"/>
      <c r="AY501" s="108"/>
      <c r="AZ501" s="108"/>
      <c r="BA501" s="108"/>
      <c r="BB501" s="108"/>
      <c r="BC501" s="108"/>
      <c r="BD501" s="108"/>
      <c r="BE501" s="108"/>
      <c r="BF501" s="108"/>
      <c r="BG501" s="108"/>
      <c r="BH501" s="108"/>
      <c r="BI501" s="108"/>
      <c r="BJ501" s="108"/>
      <c r="BK501" s="109"/>
      <c r="BL501" s="108"/>
      <c r="BM501" s="108"/>
      <c r="BN501" s="108"/>
    </row>
    <row r="502" spans="1:66" ht="12" customHeight="1" x14ac:dyDescent="0.2">
      <c r="A502" s="179"/>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c r="AA502" s="108"/>
      <c r="AB502" s="108"/>
      <c r="AC502" s="108"/>
      <c r="AD502" s="108"/>
      <c r="AE502" s="108"/>
      <c r="AF502" s="108"/>
      <c r="AG502" s="108"/>
      <c r="AH502" s="108"/>
      <c r="AI502" s="108"/>
      <c r="AJ502" s="108"/>
      <c r="AK502" s="108"/>
      <c r="AL502" s="108"/>
      <c r="AM502" s="108"/>
      <c r="AN502" s="108"/>
      <c r="AO502" s="108"/>
      <c r="AP502" s="108"/>
      <c r="AQ502" s="108"/>
      <c r="AR502" s="108"/>
      <c r="AS502" s="108"/>
      <c r="AT502" s="108"/>
      <c r="AU502" s="108"/>
      <c r="AV502" s="108"/>
      <c r="AW502" s="108"/>
      <c r="AX502" s="108"/>
      <c r="AY502" s="108"/>
      <c r="AZ502" s="108"/>
      <c r="BA502" s="108"/>
      <c r="BB502" s="108"/>
      <c r="BC502" s="108"/>
      <c r="BD502" s="108"/>
      <c r="BE502" s="108"/>
      <c r="BF502" s="108"/>
      <c r="BG502" s="108"/>
      <c r="BH502" s="108"/>
      <c r="BI502" s="108"/>
      <c r="BJ502" s="108"/>
      <c r="BK502" s="109"/>
      <c r="BL502" s="108"/>
      <c r="BM502" s="108"/>
      <c r="BN502" s="108"/>
    </row>
    <row r="503" spans="1:66" ht="12" customHeight="1" x14ac:dyDescent="0.2">
      <c r="A503" s="179"/>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c r="AA503" s="108"/>
      <c r="AB503" s="108"/>
      <c r="AC503" s="108"/>
      <c r="AD503" s="108"/>
      <c r="AE503" s="108"/>
      <c r="AF503" s="108"/>
      <c r="AG503" s="108"/>
      <c r="AH503" s="108"/>
      <c r="AI503" s="108"/>
      <c r="AJ503" s="108"/>
      <c r="AK503" s="108"/>
      <c r="AL503" s="108"/>
      <c r="AM503" s="108"/>
      <c r="AN503" s="108"/>
      <c r="AO503" s="108"/>
      <c r="AP503" s="108"/>
      <c r="AQ503" s="108"/>
      <c r="AR503" s="108"/>
      <c r="AS503" s="108"/>
      <c r="AT503" s="108"/>
      <c r="AU503" s="108"/>
      <c r="AV503" s="108"/>
      <c r="AW503" s="108"/>
      <c r="AX503" s="108"/>
      <c r="AY503" s="108"/>
      <c r="AZ503" s="108"/>
      <c r="BA503" s="108"/>
      <c r="BB503" s="108"/>
      <c r="BC503" s="108"/>
      <c r="BD503" s="108"/>
      <c r="BE503" s="108"/>
      <c r="BF503" s="108"/>
      <c r="BG503" s="108"/>
      <c r="BH503" s="108"/>
      <c r="BI503" s="108"/>
      <c r="BJ503" s="108"/>
      <c r="BK503" s="109"/>
      <c r="BL503" s="108"/>
      <c r="BM503" s="108"/>
      <c r="BN503" s="108"/>
    </row>
    <row r="504" spans="1:66" ht="12" customHeight="1" x14ac:dyDescent="0.2">
      <c r="A504" s="179"/>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c r="AA504" s="108"/>
      <c r="AB504" s="108"/>
      <c r="AC504" s="108"/>
      <c r="AD504" s="108"/>
      <c r="AE504" s="108"/>
      <c r="AF504" s="108"/>
      <c r="AG504" s="108"/>
      <c r="AH504" s="108"/>
      <c r="AI504" s="108"/>
      <c r="AJ504" s="108"/>
      <c r="AK504" s="108"/>
      <c r="AL504" s="108"/>
      <c r="AM504" s="108"/>
      <c r="AN504" s="108"/>
      <c r="AO504" s="108"/>
      <c r="AP504" s="108"/>
      <c r="AQ504" s="108"/>
      <c r="AR504" s="108"/>
      <c r="AS504" s="108"/>
      <c r="AT504" s="108"/>
      <c r="AU504" s="108"/>
      <c r="AV504" s="108"/>
      <c r="AW504" s="108"/>
      <c r="AX504" s="108"/>
      <c r="AY504" s="108"/>
      <c r="AZ504" s="108"/>
      <c r="BA504" s="108"/>
      <c r="BB504" s="108"/>
      <c r="BC504" s="108"/>
      <c r="BD504" s="108"/>
      <c r="BE504" s="108"/>
      <c r="BF504" s="108"/>
      <c r="BG504" s="108"/>
      <c r="BH504" s="108"/>
      <c r="BI504" s="108"/>
      <c r="BJ504" s="108"/>
      <c r="BK504" s="109"/>
      <c r="BL504" s="108"/>
      <c r="BM504" s="108"/>
      <c r="BN504" s="108"/>
    </row>
    <row r="505" spans="1:66" ht="12" customHeight="1" x14ac:dyDescent="0.2">
      <c r="A505" s="179"/>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c r="AA505" s="108"/>
      <c r="AB505" s="108"/>
      <c r="AC505" s="108"/>
      <c r="AD505" s="108"/>
      <c r="AE505" s="108"/>
      <c r="AF505" s="108"/>
      <c r="AG505" s="108"/>
      <c r="AH505" s="108"/>
      <c r="AI505" s="108"/>
      <c r="AJ505" s="108"/>
      <c r="AK505" s="108"/>
      <c r="AL505" s="108"/>
      <c r="AM505" s="108"/>
      <c r="AN505" s="108"/>
      <c r="AO505" s="108"/>
      <c r="AP505" s="108"/>
      <c r="AQ505" s="108"/>
      <c r="AR505" s="108"/>
      <c r="AS505" s="108"/>
      <c r="AT505" s="108"/>
      <c r="AU505" s="108"/>
      <c r="AV505" s="108"/>
      <c r="AW505" s="108"/>
      <c r="AX505" s="108"/>
      <c r="AY505" s="108"/>
      <c r="AZ505" s="108"/>
      <c r="BA505" s="108"/>
      <c r="BB505" s="108"/>
      <c r="BC505" s="108"/>
      <c r="BD505" s="108"/>
      <c r="BE505" s="108"/>
      <c r="BF505" s="108"/>
      <c r="BG505" s="108"/>
      <c r="BH505" s="108"/>
      <c r="BI505" s="108"/>
      <c r="BJ505" s="108"/>
      <c r="BK505" s="109"/>
      <c r="BL505" s="108"/>
      <c r="BM505" s="108"/>
      <c r="BN505" s="108"/>
    </row>
    <row r="506" spans="1:66" ht="12" customHeight="1" x14ac:dyDescent="0.2">
      <c r="A506" s="179"/>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c r="AA506" s="108"/>
      <c r="AB506" s="108"/>
      <c r="AC506" s="108"/>
      <c r="AD506" s="108"/>
      <c r="AE506" s="108"/>
      <c r="AF506" s="108"/>
      <c r="AG506" s="108"/>
      <c r="AH506" s="108"/>
      <c r="AI506" s="108"/>
      <c r="AJ506" s="108"/>
      <c r="AK506" s="108"/>
      <c r="AL506" s="108"/>
      <c r="AM506" s="108"/>
      <c r="AN506" s="108"/>
      <c r="AO506" s="108"/>
      <c r="AP506" s="108"/>
      <c r="AQ506" s="108"/>
      <c r="AR506" s="108"/>
      <c r="AS506" s="108"/>
      <c r="AT506" s="108"/>
      <c r="AU506" s="108"/>
      <c r="AV506" s="108"/>
      <c r="AW506" s="108"/>
      <c r="AX506" s="108"/>
      <c r="AY506" s="108"/>
      <c r="AZ506" s="108"/>
      <c r="BA506" s="108"/>
      <c r="BB506" s="108"/>
      <c r="BC506" s="108"/>
      <c r="BD506" s="108"/>
      <c r="BE506" s="108"/>
      <c r="BF506" s="108"/>
      <c r="BG506" s="108"/>
      <c r="BH506" s="108"/>
      <c r="BI506" s="108"/>
      <c r="BJ506" s="108"/>
      <c r="BK506" s="109"/>
      <c r="BL506" s="108"/>
      <c r="BM506" s="108"/>
      <c r="BN506" s="108"/>
    </row>
    <row r="507" spans="1:66" ht="12" customHeight="1" x14ac:dyDescent="0.2">
      <c r="A507" s="179"/>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c r="AA507" s="108"/>
      <c r="AB507" s="108"/>
      <c r="AC507" s="108"/>
      <c r="AD507" s="108"/>
      <c r="AE507" s="108"/>
      <c r="AF507" s="108"/>
      <c r="AG507" s="108"/>
      <c r="AH507" s="108"/>
      <c r="AI507" s="108"/>
      <c r="AJ507" s="108"/>
      <c r="AK507" s="108"/>
      <c r="AL507" s="108"/>
      <c r="AM507" s="108"/>
      <c r="AN507" s="108"/>
      <c r="AO507" s="108"/>
      <c r="AP507" s="108"/>
      <c r="AQ507" s="108"/>
      <c r="AR507" s="108"/>
      <c r="AS507" s="108"/>
      <c r="AT507" s="108"/>
      <c r="AU507" s="108"/>
      <c r="AV507" s="108"/>
      <c r="AW507" s="108"/>
      <c r="AX507" s="108"/>
      <c r="AY507" s="108"/>
      <c r="AZ507" s="108"/>
      <c r="BA507" s="108"/>
      <c r="BB507" s="108"/>
      <c r="BC507" s="108"/>
      <c r="BD507" s="108"/>
      <c r="BE507" s="108"/>
      <c r="BF507" s="108"/>
      <c r="BG507" s="108"/>
      <c r="BH507" s="108"/>
      <c r="BI507" s="108"/>
      <c r="BJ507" s="108"/>
      <c r="BK507" s="109"/>
      <c r="BL507" s="108"/>
      <c r="BM507" s="108"/>
      <c r="BN507" s="108"/>
    </row>
    <row r="508" spans="1:66" ht="12" customHeight="1" x14ac:dyDescent="0.2">
      <c r="A508" s="179"/>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c r="AA508" s="108"/>
      <c r="AB508" s="108"/>
      <c r="AC508" s="108"/>
      <c r="AD508" s="108"/>
      <c r="AE508" s="108"/>
      <c r="AF508" s="108"/>
      <c r="AG508" s="108"/>
      <c r="AH508" s="108"/>
      <c r="AI508" s="108"/>
      <c r="AJ508" s="108"/>
      <c r="AK508" s="108"/>
      <c r="AL508" s="108"/>
      <c r="AM508" s="108"/>
      <c r="AN508" s="108"/>
      <c r="AO508" s="108"/>
      <c r="AP508" s="108"/>
      <c r="AQ508" s="108"/>
      <c r="AR508" s="108"/>
      <c r="AS508" s="108"/>
      <c r="AT508" s="108"/>
      <c r="AU508" s="108"/>
      <c r="AV508" s="108"/>
      <c r="AW508" s="108"/>
      <c r="AX508" s="108"/>
      <c r="AY508" s="108"/>
      <c r="AZ508" s="108"/>
      <c r="BA508" s="108"/>
      <c r="BB508" s="108"/>
      <c r="BC508" s="108"/>
      <c r="BD508" s="108"/>
      <c r="BE508" s="108"/>
      <c r="BF508" s="108"/>
      <c r="BG508" s="108"/>
      <c r="BH508" s="108"/>
      <c r="BI508" s="108"/>
      <c r="BJ508" s="108"/>
      <c r="BK508" s="109"/>
      <c r="BL508" s="108"/>
      <c r="BM508" s="108"/>
      <c r="BN508" s="108"/>
    </row>
    <row r="509" spans="1:66" ht="12" customHeight="1" x14ac:dyDescent="0.2">
      <c r="A509" s="179"/>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c r="AA509" s="108"/>
      <c r="AB509" s="108"/>
      <c r="AC509" s="108"/>
      <c r="AD509" s="108"/>
      <c r="AE509" s="108"/>
      <c r="AF509" s="108"/>
      <c r="AG509" s="108"/>
      <c r="AH509" s="108"/>
      <c r="AI509" s="108"/>
      <c r="AJ509" s="108"/>
      <c r="AK509" s="108"/>
      <c r="AL509" s="108"/>
      <c r="AM509" s="108"/>
      <c r="AN509" s="108"/>
      <c r="AO509" s="108"/>
      <c r="AP509" s="108"/>
      <c r="AQ509" s="108"/>
      <c r="AR509" s="108"/>
      <c r="AS509" s="108"/>
      <c r="AT509" s="108"/>
      <c r="AU509" s="108"/>
      <c r="AV509" s="108"/>
      <c r="AW509" s="108"/>
      <c r="AX509" s="108"/>
      <c r="AY509" s="108"/>
      <c r="AZ509" s="108"/>
      <c r="BA509" s="108"/>
      <c r="BB509" s="108"/>
      <c r="BC509" s="108"/>
      <c r="BD509" s="108"/>
      <c r="BE509" s="108"/>
      <c r="BF509" s="108"/>
      <c r="BG509" s="108"/>
      <c r="BH509" s="108"/>
      <c r="BI509" s="108"/>
      <c r="BJ509" s="108"/>
      <c r="BK509" s="109"/>
      <c r="BL509" s="108"/>
      <c r="BM509" s="108"/>
      <c r="BN509" s="108"/>
    </row>
    <row r="510" spans="1:66" ht="12" customHeight="1" x14ac:dyDescent="0.2">
      <c r="A510" s="179"/>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c r="AA510" s="108"/>
      <c r="AB510" s="108"/>
      <c r="AC510" s="108"/>
      <c r="AD510" s="108"/>
      <c r="AE510" s="108"/>
      <c r="AF510" s="108"/>
      <c r="AG510" s="108"/>
      <c r="AH510" s="108"/>
      <c r="AI510" s="108"/>
      <c r="AJ510" s="108"/>
      <c r="AK510" s="108"/>
      <c r="AL510" s="108"/>
      <c r="AM510" s="108"/>
      <c r="AN510" s="108"/>
      <c r="AO510" s="108"/>
      <c r="AP510" s="108"/>
      <c r="AQ510" s="108"/>
      <c r="AR510" s="108"/>
      <c r="AS510" s="108"/>
      <c r="AT510" s="108"/>
      <c r="AU510" s="108"/>
      <c r="AV510" s="108"/>
      <c r="AW510" s="108"/>
      <c r="AX510" s="108"/>
      <c r="AY510" s="108"/>
      <c r="AZ510" s="108"/>
      <c r="BA510" s="108"/>
      <c r="BB510" s="108"/>
      <c r="BC510" s="108"/>
      <c r="BD510" s="108"/>
      <c r="BE510" s="108"/>
      <c r="BF510" s="108"/>
      <c r="BG510" s="108"/>
      <c r="BH510" s="108"/>
      <c r="BI510" s="108"/>
      <c r="BJ510" s="108"/>
      <c r="BK510" s="109"/>
      <c r="BL510" s="108"/>
      <c r="BM510" s="108"/>
      <c r="BN510" s="108"/>
    </row>
    <row r="511" spans="1:66" ht="12" customHeight="1" x14ac:dyDescent="0.2">
      <c r="A511" s="179"/>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c r="AA511" s="108"/>
      <c r="AB511" s="108"/>
      <c r="AC511" s="108"/>
      <c r="AD511" s="108"/>
      <c r="AE511" s="108"/>
      <c r="AF511" s="108"/>
      <c r="AG511" s="108"/>
      <c r="AH511" s="108"/>
      <c r="AI511" s="108"/>
      <c r="AJ511" s="108"/>
      <c r="AK511" s="108"/>
      <c r="AL511" s="108"/>
      <c r="AM511" s="108"/>
      <c r="AN511" s="108"/>
      <c r="AO511" s="108"/>
      <c r="AP511" s="108"/>
      <c r="AQ511" s="108"/>
      <c r="AR511" s="108"/>
      <c r="AS511" s="108"/>
      <c r="AT511" s="108"/>
      <c r="AU511" s="108"/>
      <c r="AV511" s="108"/>
      <c r="AW511" s="108"/>
      <c r="AX511" s="108"/>
      <c r="AY511" s="108"/>
      <c r="AZ511" s="108"/>
      <c r="BA511" s="108"/>
      <c r="BB511" s="108"/>
      <c r="BC511" s="108"/>
      <c r="BD511" s="108"/>
      <c r="BE511" s="108"/>
      <c r="BF511" s="108"/>
      <c r="BG511" s="108"/>
      <c r="BH511" s="108"/>
      <c r="BI511" s="108"/>
      <c r="BJ511" s="108"/>
      <c r="BK511" s="109"/>
      <c r="BL511" s="108"/>
      <c r="BM511" s="108"/>
      <c r="BN511" s="108"/>
    </row>
    <row r="512" spans="1:66" ht="12" customHeight="1" x14ac:dyDescent="0.2">
      <c r="A512" s="179"/>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c r="AA512" s="108"/>
      <c r="AB512" s="108"/>
      <c r="AC512" s="108"/>
      <c r="AD512" s="108"/>
      <c r="AE512" s="108"/>
      <c r="AF512" s="108"/>
      <c r="AG512" s="108"/>
      <c r="AH512" s="108"/>
      <c r="AI512" s="108"/>
      <c r="AJ512" s="108"/>
      <c r="AK512" s="108"/>
      <c r="AL512" s="108"/>
      <c r="AM512" s="108"/>
      <c r="AN512" s="108"/>
      <c r="AO512" s="108"/>
      <c r="AP512" s="108"/>
      <c r="AQ512" s="108"/>
      <c r="AR512" s="108"/>
      <c r="AS512" s="108"/>
      <c r="AT512" s="108"/>
      <c r="AU512" s="108"/>
      <c r="AV512" s="108"/>
      <c r="AW512" s="108"/>
      <c r="AX512" s="108"/>
      <c r="AY512" s="108"/>
      <c r="AZ512" s="108"/>
      <c r="BA512" s="108"/>
      <c r="BB512" s="108"/>
      <c r="BC512" s="108"/>
      <c r="BD512" s="108"/>
      <c r="BE512" s="108"/>
      <c r="BF512" s="108"/>
      <c r="BG512" s="108"/>
      <c r="BH512" s="108"/>
      <c r="BI512" s="108"/>
      <c r="BJ512" s="108"/>
      <c r="BK512" s="109"/>
      <c r="BL512" s="108"/>
      <c r="BM512" s="108"/>
      <c r="BN512" s="108"/>
    </row>
    <row r="513" spans="1:66" ht="12" customHeight="1" x14ac:dyDescent="0.2">
      <c r="A513" s="179"/>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c r="AA513" s="108"/>
      <c r="AB513" s="108"/>
      <c r="AC513" s="108"/>
      <c r="AD513" s="108"/>
      <c r="AE513" s="108"/>
      <c r="AF513" s="108"/>
      <c r="AG513" s="108"/>
      <c r="AH513" s="108"/>
      <c r="AI513" s="108"/>
      <c r="AJ513" s="108"/>
      <c r="AK513" s="108"/>
      <c r="AL513" s="108"/>
      <c r="AM513" s="108"/>
      <c r="AN513" s="108"/>
      <c r="AO513" s="108"/>
      <c r="AP513" s="108"/>
      <c r="AQ513" s="108"/>
      <c r="AR513" s="108"/>
      <c r="AS513" s="108"/>
      <c r="AT513" s="108"/>
      <c r="AU513" s="108"/>
      <c r="AV513" s="108"/>
      <c r="AW513" s="108"/>
      <c r="AX513" s="108"/>
      <c r="AY513" s="108"/>
      <c r="AZ513" s="108"/>
      <c r="BA513" s="108"/>
      <c r="BB513" s="108"/>
      <c r="BC513" s="108"/>
      <c r="BD513" s="108"/>
      <c r="BE513" s="108"/>
      <c r="BF513" s="108"/>
      <c r="BG513" s="108"/>
      <c r="BH513" s="108"/>
      <c r="BI513" s="108"/>
      <c r="BJ513" s="108"/>
      <c r="BK513" s="109"/>
      <c r="BL513" s="108"/>
      <c r="BM513" s="108"/>
      <c r="BN513" s="108"/>
    </row>
    <row r="514" spans="1:66" ht="12" customHeight="1" x14ac:dyDescent="0.2">
      <c r="A514" s="179"/>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c r="AA514" s="108"/>
      <c r="AB514" s="108"/>
      <c r="AC514" s="108"/>
      <c r="AD514" s="108"/>
      <c r="AE514" s="108"/>
      <c r="AF514" s="108"/>
      <c r="AG514" s="108"/>
      <c r="AH514" s="108"/>
      <c r="AI514" s="108"/>
      <c r="AJ514" s="108"/>
      <c r="AK514" s="108"/>
      <c r="AL514" s="108"/>
      <c r="AM514" s="108"/>
      <c r="AN514" s="108"/>
      <c r="AO514" s="108"/>
      <c r="AP514" s="108"/>
      <c r="AQ514" s="108"/>
      <c r="AR514" s="108"/>
      <c r="AS514" s="108"/>
      <c r="AT514" s="108"/>
      <c r="AU514" s="108"/>
      <c r="AV514" s="108"/>
      <c r="AW514" s="108"/>
      <c r="AX514" s="108"/>
      <c r="AY514" s="108"/>
      <c r="AZ514" s="108"/>
      <c r="BA514" s="108"/>
      <c r="BB514" s="108"/>
      <c r="BC514" s="108"/>
      <c r="BD514" s="108"/>
      <c r="BE514" s="108"/>
      <c r="BF514" s="108"/>
      <c r="BG514" s="108"/>
      <c r="BH514" s="108"/>
      <c r="BI514" s="108"/>
      <c r="BJ514" s="108"/>
      <c r="BK514" s="109"/>
      <c r="BL514" s="108"/>
      <c r="BM514" s="108"/>
      <c r="BN514" s="108"/>
    </row>
    <row r="515" spans="1:66" ht="12" customHeight="1" x14ac:dyDescent="0.2">
      <c r="A515" s="179"/>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c r="AA515" s="108"/>
      <c r="AB515" s="108"/>
      <c r="AC515" s="108"/>
      <c r="AD515" s="108"/>
      <c r="AE515" s="108"/>
      <c r="AF515" s="108"/>
      <c r="AG515" s="108"/>
      <c r="AH515" s="108"/>
      <c r="AI515" s="108"/>
      <c r="AJ515" s="108"/>
      <c r="AK515" s="108"/>
      <c r="AL515" s="108"/>
      <c r="AM515" s="108"/>
      <c r="AN515" s="108"/>
      <c r="AO515" s="108"/>
      <c r="AP515" s="108"/>
      <c r="AQ515" s="108"/>
      <c r="AR515" s="108"/>
      <c r="AS515" s="108"/>
      <c r="AT515" s="108"/>
      <c r="AU515" s="108"/>
      <c r="AV515" s="108"/>
      <c r="AW515" s="108"/>
      <c r="AX515" s="108"/>
      <c r="AY515" s="108"/>
      <c r="AZ515" s="108"/>
      <c r="BA515" s="108"/>
      <c r="BB515" s="108"/>
      <c r="BC515" s="108"/>
      <c r="BD515" s="108"/>
      <c r="BE515" s="108"/>
      <c r="BF515" s="108"/>
      <c r="BG515" s="108"/>
      <c r="BH515" s="108"/>
      <c r="BI515" s="108"/>
      <c r="BJ515" s="108"/>
      <c r="BK515" s="109"/>
      <c r="BL515" s="108"/>
      <c r="BM515" s="108"/>
      <c r="BN515" s="108"/>
    </row>
    <row r="516" spans="1:66" ht="12" customHeight="1" x14ac:dyDescent="0.2">
      <c r="A516" s="179"/>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c r="AA516" s="108"/>
      <c r="AB516" s="108"/>
      <c r="AC516" s="108"/>
      <c r="AD516" s="108"/>
      <c r="AE516" s="108"/>
      <c r="AF516" s="108"/>
      <c r="AG516" s="108"/>
      <c r="AH516" s="108"/>
      <c r="AI516" s="108"/>
      <c r="AJ516" s="108"/>
      <c r="AK516" s="108"/>
      <c r="AL516" s="108"/>
      <c r="AM516" s="108"/>
      <c r="AN516" s="108"/>
      <c r="AO516" s="108"/>
      <c r="AP516" s="108"/>
      <c r="AQ516" s="108"/>
      <c r="AR516" s="108"/>
      <c r="AS516" s="108"/>
      <c r="AT516" s="108"/>
      <c r="AU516" s="108"/>
      <c r="AV516" s="108"/>
      <c r="AW516" s="108"/>
      <c r="AX516" s="108"/>
      <c r="AY516" s="108"/>
      <c r="AZ516" s="108"/>
      <c r="BA516" s="108"/>
      <c r="BB516" s="108"/>
      <c r="BC516" s="108"/>
      <c r="BD516" s="108"/>
      <c r="BE516" s="108"/>
      <c r="BF516" s="108"/>
      <c r="BG516" s="108"/>
      <c r="BH516" s="108"/>
      <c r="BI516" s="108"/>
      <c r="BJ516" s="108"/>
      <c r="BK516" s="109"/>
      <c r="BL516" s="108"/>
      <c r="BM516" s="108"/>
      <c r="BN516" s="108"/>
    </row>
    <row r="517" spans="1:66" ht="12" customHeight="1" x14ac:dyDescent="0.2">
      <c r="A517" s="179"/>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c r="AA517" s="108"/>
      <c r="AB517" s="108"/>
      <c r="AC517" s="108"/>
      <c r="AD517" s="108"/>
      <c r="AE517" s="108"/>
      <c r="AF517" s="108"/>
      <c r="AG517" s="108"/>
      <c r="AH517" s="108"/>
      <c r="AI517" s="108"/>
      <c r="AJ517" s="108"/>
      <c r="AK517" s="108"/>
      <c r="AL517" s="108"/>
      <c r="AM517" s="108"/>
      <c r="AN517" s="108"/>
      <c r="AO517" s="108"/>
      <c r="AP517" s="108"/>
      <c r="AQ517" s="108"/>
      <c r="AR517" s="108"/>
      <c r="AS517" s="108"/>
      <c r="AT517" s="108"/>
      <c r="AU517" s="108"/>
      <c r="AV517" s="108"/>
      <c r="AW517" s="108"/>
      <c r="AX517" s="108"/>
      <c r="AY517" s="108"/>
      <c r="AZ517" s="108"/>
      <c r="BA517" s="108"/>
      <c r="BB517" s="108"/>
      <c r="BC517" s="108"/>
      <c r="BD517" s="108"/>
      <c r="BE517" s="108"/>
      <c r="BF517" s="108"/>
      <c r="BG517" s="108"/>
      <c r="BH517" s="108"/>
      <c r="BI517" s="108"/>
      <c r="BJ517" s="108"/>
      <c r="BK517" s="109"/>
      <c r="BL517" s="108"/>
      <c r="BM517" s="108"/>
      <c r="BN517" s="108"/>
    </row>
    <row r="518" spans="1:66" ht="12" customHeight="1" x14ac:dyDescent="0.2">
      <c r="A518" s="179"/>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c r="AA518" s="108"/>
      <c r="AB518" s="108"/>
      <c r="AC518" s="108"/>
      <c r="AD518" s="108"/>
      <c r="AE518" s="108"/>
      <c r="AF518" s="108"/>
      <c r="AG518" s="108"/>
      <c r="AH518" s="108"/>
      <c r="AI518" s="108"/>
      <c r="AJ518" s="108"/>
      <c r="AK518" s="108"/>
      <c r="AL518" s="108"/>
      <c r="AM518" s="108"/>
      <c r="AN518" s="108"/>
      <c r="AO518" s="108"/>
      <c r="AP518" s="108"/>
      <c r="AQ518" s="108"/>
      <c r="AR518" s="108"/>
      <c r="AS518" s="108"/>
      <c r="AT518" s="108"/>
      <c r="AU518" s="108"/>
      <c r="AV518" s="108"/>
      <c r="AW518" s="108"/>
      <c r="AX518" s="108"/>
      <c r="AY518" s="108"/>
      <c r="AZ518" s="108"/>
      <c r="BA518" s="108"/>
      <c r="BB518" s="108"/>
      <c r="BC518" s="108"/>
      <c r="BD518" s="108"/>
      <c r="BE518" s="108"/>
      <c r="BF518" s="108"/>
      <c r="BG518" s="108"/>
      <c r="BH518" s="108"/>
      <c r="BI518" s="108"/>
      <c r="BJ518" s="108"/>
      <c r="BK518" s="109"/>
      <c r="BL518" s="108"/>
      <c r="BM518" s="108"/>
      <c r="BN518" s="108"/>
    </row>
    <row r="519" spans="1:66" ht="12" customHeight="1" x14ac:dyDescent="0.2">
      <c r="A519" s="179"/>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c r="AA519" s="108"/>
      <c r="AB519" s="108"/>
      <c r="AC519" s="108"/>
      <c r="AD519" s="108"/>
      <c r="AE519" s="108"/>
      <c r="AF519" s="108"/>
      <c r="AG519" s="108"/>
      <c r="AH519" s="108"/>
      <c r="AI519" s="108"/>
      <c r="AJ519" s="108"/>
      <c r="AK519" s="108"/>
      <c r="AL519" s="108"/>
      <c r="AM519" s="108"/>
      <c r="AN519" s="108"/>
      <c r="AO519" s="108"/>
      <c r="AP519" s="108"/>
      <c r="AQ519" s="108"/>
      <c r="AR519" s="108"/>
      <c r="AS519" s="108"/>
      <c r="AT519" s="108"/>
      <c r="AU519" s="108"/>
      <c r="AV519" s="108"/>
      <c r="AW519" s="108"/>
      <c r="AX519" s="108"/>
      <c r="AY519" s="108"/>
      <c r="AZ519" s="108"/>
      <c r="BA519" s="108"/>
      <c r="BB519" s="108"/>
      <c r="BC519" s="108"/>
      <c r="BD519" s="108"/>
      <c r="BE519" s="108"/>
      <c r="BF519" s="108"/>
      <c r="BG519" s="108"/>
      <c r="BH519" s="108"/>
      <c r="BI519" s="108"/>
      <c r="BJ519" s="108"/>
      <c r="BK519" s="109"/>
      <c r="BL519" s="108"/>
      <c r="BM519" s="108"/>
      <c r="BN519" s="108"/>
    </row>
    <row r="520" spans="1:66" ht="12" customHeight="1" x14ac:dyDescent="0.2">
      <c r="A520" s="179"/>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c r="AA520" s="108"/>
      <c r="AB520" s="108"/>
      <c r="AC520" s="108"/>
      <c r="AD520" s="108"/>
      <c r="AE520" s="108"/>
      <c r="AF520" s="108"/>
      <c r="AG520" s="108"/>
      <c r="AH520" s="108"/>
      <c r="AI520" s="108"/>
      <c r="AJ520" s="108"/>
      <c r="AK520" s="108"/>
      <c r="AL520" s="108"/>
      <c r="AM520" s="108"/>
      <c r="AN520" s="108"/>
      <c r="AO520" s="108"/>
      <c r="AP520" s="108"/>
      <c r="AQ520" s="108"/>
      <c r="AR520" s="108"/>
      <c r="AS520" s="108"/>
      <c r="AT520" s="108"/>
      <c r="AU520" s="108"/>
      <c r="AV520" s="108"/>
      <c r="AW520" s="108"/>
      <c r="AX520" s="108"/>
      <c r="AY520" s="108"/>
      <c r="AZ520" s="108"/>
      <c r="BA520" s="108"/>
      <c r="BB520" s="108"/>
      <c r="BC520" s="108"/>
      <c r="BD520" s="108"/>
      <c r="BE520" s="108"/>
      <c r="BF520" s="108"/>
      <c r="BG520" s="108"/>
      <c r="BH520" s="108"/>
      <c r="BI520" s="108"/>
      <c r="BJ520" s="108"/>
      <c r="BK520" s="109"/>
      <c r="BL520" s="108"/>
      <c r="BM520" s="108"/>
      <c r="BN520" s="108"/>
    </row>
    <row r="521" spans="1:66" ht="12" customHeight="1" x14ac:dyDescent="0.2">
      <c r="A521" s="179"/>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c r="AA521" s="108"/>
      <c r="AB521" s="108"/>
      <c r="AC521" s="108"/>
      <c r="AD521" s="108"/>
      <c r="AE521" s="108"/>
      <c r="AF521" s="108"/>
      <c r="AG521" s="108"/>
      <c r="AH521" s="108"/>
      <c r="AI521" s="108"/>
      <c r="AJ521" s="108"/>
      <c r="AK521" s="108"/>
      <c r="AL521" s="108"/>
      <c r="AM521" s="108"/>
      <c r="AN521" s="108"/>
      <c r="AO521" s="108"/>
      <c r="AP521" s="108"/>
      <c r="AQ521" s="108"/>
      <c r="AR521" s="108"/>
      <c r="AS521" s="108"/>
      <c r="AT521" s="108"/>
      <c r="AU521" s="108"/>
      <c r="AV521" s="108"/>
      <c r="AW521" s="108"/>
      <c r="AX521" s="108"/>
      <c r="AY521" s="108"/>
      <c r="AZ521" s="108"/>
      <c r="BA521" s="108"/>
      <c r="BB521" s="108"/>
      <c r="BC521" s="108"/>
      <c r="BD521" s="108"/>
      <c r="BE521" s="108"/>
      <c r="BF521" s="108"/>
      <c r="BG521" s="108"/>
      <c r="BH521" s="108"/>
      <c r="BI521" s="108"/>
      <c r="BJ521" s="108"/>
      <c r="BK521" s="109"/>
      <c r="BL521" s="108"/>
      <c r="BM521" s="108"/>
      <c r="BN521" s="108"/>
    </row>
    <row r="522" spans="1:66" ht="12" customHeight="1" x14ac:dyDescent="0.2">
      <c r="A522" s="179"/>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c r="AA522" s="108"/>
      <c r="AB522" s="108"/>
      <c r="AC522" s="108"/>
      <c r="AD522" s="108"/>
      <c r="AE522" s="108"/>
      <c r="AF522" s="108"/>
      <c r="AG522" s="108"/>
      <c r="AH522" s="108"/>
      <c r="AI522" s="108"/>
      <c r="AJ522" s="108"/>
      <c r="AK522" s="108"/>
      <c r="AL522" s="108"/>
      <c r="AM522" s="108"/>
      <c r="AN522" s="108"/>
      <c r="AO522" s="108"/>
      <c r="AP522" s="108"/>
      <c r="AQ522" s="108"/>
      <c r="AR522" s="108"/>
      <c r="AS522" s="108"/>
      <c r="AT522" s="108"/>
      <c r="AU522" s="108"/>
      <c r="AV522" s="108"/>
      <c r="AW522" s="108"/>
      <c r="AX522" s="108"/>
      <c r="AY522" s="108"/>
      <c r="AZ522" s="108"/>
      <c r="BA522" s="108"/>
      <c r="BB522" s="108"/>
      <c r="BC522" s="108"/>
      <c r="BD522" s="108"/>
      <c r="BE522" s="108"/>
      <c r="BF522" s="108"/>
      <c r="BG522" s="108"/>
      <c r="BH522" s="108"/>
      <c r="BI522" s="108"/>
      <c r="BJ522" s="108"/>
      <c r="BK522" s="109"/>
      <c r="BL522" s="108"/>
      <c r="BM522" s="108"/>
      <c r="BN522" s="108"/>
    </row>
    <row r="523" spans="1:66" ht="12" customHeight="1" x14ac:dyDescent="0.2">
      <c r="A523" s="179"/>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c r="AA523" s="108"/>
      <c r="AB523" s="108"/>
      <c r="AC523" s="108"/>
      <c r="AD523" s="108"/>
      <c r="AE523" s="108"/>
      <c r="AF523" s="108"/>
      <c r="AG523" s="108"/>
      <c r="AH523" s="108"/>
      <c r="AI523" s="108"/>
      <c r="AJ523" s="108"/>
      <c r="AK523" s="108"/>
      <c r="AL523" s="108"/>
      <c r="AM523" s="108"/>
      <c r="AN523" s="108"/>
      <c r="AO523" s="108"/>
      <c r="AP523" s="108"/>
      <c r="AQ523" s="108"/>
      <c r="AR523" s="108"/>
      <c r="AS523" s="108"/>
      <c r="AT523" s="108"/>
      <c r="AU523" s="108"/>
      <c r="AV523" s="108"/>
      <c r="AW523" s="108"/>
      <c r="AX523" s="108"/>
      <c r="AY523" s="108"/>
      <c r="AZ523" s="108"/>
      <c r="BA523" s="108"/>
      <c r="BB523" s="108"/>
      <c r="BC523" s="108"/>
      <c r="BD523" s="108"/>
      <c r="BE523" s="108"/>
      <c r="BF523" s="108"/>
      <c r="BG523" s="108"/>
      <c r="BH523" s="108"/>
      <c r="BI523" s="108"/>
      <c r="BJ523" s="108"/>
      <c r="BK523" s="109"/>
      <c r="BL523" s="108"/>
      <c r="BM523" s="108"/>
      <c r="BN523" s="108"/>
    </row>
    <row r="524" spans="1:66" ht="12" customHeight="1" x14ac:dyDescent="0.2">
      <c r="A524" s="179"/>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c r="AA524" s="108"/>
      <c r="AB524" s="108"/>
      <c r="AC524" s="108"/>
      <c r="AD524" s="108"/>
      <c r="AE524" s="108"/>
      <c r="AF524" s="108"/>
      <c r="AG524" s="108"/>
      <c r="AH524" s="108"/>
      <c r="AI524" s="108"/>
      <c r="AJ524" s="108"/>
      <c r="AK524" s="108"/>
      <c r="AL524" s="108"/>
      <c r="AM524" s="108"/>
      <c r="AN524" s="108"/>
      <c r="AO524" s="108"/>
      <c r="AP524" s="108"/>
      <c r="AQ524" s="108"/>
      <c r="AR524" s="108"/>
      <c r="AS524" s="108"/>
      <c r="AT524" s="108"/>
      <c r="AU524" s="108"/>
      <c r="AV524" s="108"/>
      <c r="AW524" s="108"/>
      <c r="AX524" s="108"/>
      <c r="AY524" s="108"/>
      <c r="AZ524" s="108"/>
      <c r="BA524" s="108"/>
      <c r="BB524" s="108"/>
      <c r="BC524" s="108"/>
      <c r="BD524" s="108"/>
      <c r="BE524" s="108"/>
      <c r="BF524" s="108"/>
      <c r="BG524" s="108"/>
      <c r="BH524" s="108"/>
      <c r="BI524" s="108"/>
      <c r="BJ524" s="108"/>
      <c r="BK524" s="109"/>
      <c r="BL524" s="108"/>
      <c r="BM524" s="108"/>
      <c r="BN524" s="108"/>
    </row>
    <row r="525" spans="1:66" ht="12" customHeight="1" x14ac:dyDescent="0.2">
      <c r="A525" s="179"/>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c r="AA525" s="108"/>
      <c r="AB525" s="108"/>
      <c r="AC525" s="108"/>
      <c r="AD525" s="108"/>
      <c r="AE525" s="108"/>
      <c r="AF525" s="108"/>
      <c r="AG525" s="108"/>
      <c r="AH525" s="108"/>
      <c r="AI525" s="108"/>
      <c r="AJ525" s="108"/>
      <c r="AK525" s="108"/>
      <c r="AL525" s="108"/>
      <c r="AM525" s="108"/>
      <c r="AN525" s="108"/>
      <c r="AO525" s="108"/>
      <c r="AP525" s="108"/>
      <c r="AQ525" s="108"/>
      <c r="AR525" s="108"/>
      <c r="AS525" s="108"/>
      <c r="AT525" s="108"/>
      <c r="AU525" s="108"/>
      <c r="AV525" s="108"/>
      <c r="AW525" s="108"/>
      <c r="AX525" s="108"/>
      <c r="AY525" s="108"/>
      <c r="AZ525" s="108"/>
      <c r="BA525" s="108"/>
      <c r="BB525" s="108"/>
      <c r="BC525" s="108"/>
      <c r="BD525" s="108"/>
      <c r="BE525" s="108"/>
      <c r="BF525" s="108"/>
      <c r="BG525" s="108"/>
      <c r="BH525" s="108"/>
      <c r="BI525" s="108"/>
      <c r="BJ525" s="108"/>
      <c r="BK525" s="109"/>
      <c r="BL525" s="108"/>
      <c r="BM525" s="108"/>
      <c r="BN525" s="108"/>
    </row>
    <row r="526" spans="1:66" ht="12" customHeight="1" x14ac:dyDescent="0.2">
      <c r="A526" s="179"/>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c r="AA526" s="108"/>
      <c r="AB526" s="108"/>
      <c r="AC526" s="108"/>
      <c r="AD526" s="108"/>
      <c r="AE526" s="108"/>
      <c r="AF526" s="108"/>
      <c r="AG526" s="108"/>
      <c r="AH526" s="108"/>
      <c r="AI526" s="108"/>
      <c r="AJ526" s="108"/>
      <c r="AK526" s="108"/>
      <c r="AL526" s="108"/>
      <c r="AM526" s="108"/>
      <c r="AN526" s="108"/>
      <c r="AO526" s="108"/>
      <c r="AP526" s="108"/>
      <c r="AQ526" s="108"/>
      <c r="AR526" s="108"/>
      <c r="AS526" s="108"/>
      <c r="AT526" s="108"/>
      <c r="AU526" s="108"/>
      <c r="AV526" s="108"/>
      <c r="AW526" s="108"/>
      <c r="AX526" s="108"/>
      <c r="AY526" s="108"/>
      <c r="AZ526" s="108"/>
      <c r="BA526" s="108"/>
      <c r="BB526" s="108"/>
      <c r="BC526" s="108"/>
      <c r="BD526" s="108"/>
      <c r="BE526" s="108"/>
      <c r="BF526" s="108"/>
      <c r="BG526" s="108"/>
      <c r="BH526" s="108"/>
      <c r="BI526" s="108"/>
      <c r="BJ526" s="108"/>
      <c r="BK526" s="109"/>
      <c r="BL526" s="108"/>
      <c r="BM526" s="108"/>
      <c r="BN526" s="108"/>
    </row>
    <row r="527" spans="1:66" ht="12" customHeight="1" x14ac:dyDescent="0.2">
      <c r="A527" s="179"/>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c r="AA527" s="108"/>
      <c r="AB527" s="108"/>
      <c r="AC527" s="108"/>
      <c r="AD527" s="108"/>
      <c r="AE527" s="108"/>
      <c r="AF527" s="108"/>
      <c r="AG527" s="108"/>
      <c r="AH527" s="108"/>
      <c r="AI527" s="108"/>
      <c r="AJ527" s="108"/>
      <c r="AK527" s="108"/>
      <c r="AL527" s="108"/>
      <c r="AM527" s="108"/>
      <c r="AN527" s="108"/>
      <c r="AO527" s="108"/>
      <c r="AP527" s="108"/>
      <c r="AQ527" s="108"/>
      <c r="AR527" s="108"/>
      <c r="AS527" s="108"/>
      <c r="AT527" s="108"/>
      <c r="AU527" s="108"/>
      <c r="AV527" s="108"/>
      <c r="AW527" s="108"/>
      <c r="AX527" s="108"/>
      <c r="AY527" s="108"/>
      <c r="AZ527" s="108"/>
      <c r="BA527" s="108"/>
      <c r="BB527" s="108"/>
      <c r="BC527" s="108"/>
      <c r="BD527" s="108"/>
      <c r="BE527" s="108"/>
      <c r="BF527" s="108"/>
      <c r="BG527" s="108"/>
      <c r="BH527" s="108"/>
      <c r="BI527" s="108"/>
      <c r="BJ527" s="108"/>
      <c r="BK527" s="109"/>
      <c r="BL527" s="108"/>
      <c r="BM527" s="108"/>
      <c r="BN527" s="108"/>
    </row>
    <row r="528" spans="1:66" ht="12" customHeight="1" x14ac:dyDescent="0.2">
      <c r="A528" s="179"/>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c r="AA528" s="108"/>
      <c r="AB528" s="108"/>
      <c r="AC528" s="108"/>
      <c r="AD528" s="108"/>
      <c r="AE528" s="108"/>
      <c r="AF528" s="108"/>
      <c r="AG528" s="108"/>
      <c r="AH528" s="108"/>
      <c r="AI528" s="108"/>
      <c r="AJ528" s="108"/>
      <c r="AK528" s="108"/>
      <c r="AL528" s="108"/>
      <c r="AM528" s="108"/>
      <c r="AN528" s="108"/>
      <c r="AO528" s="108"/>
      <c r="AP528" s="108"/>
      <c r="AQ528" s="108"/>
      <c r="AR528" s="108"/>
      <c r="AS528" s="108"/>
      <c r="AT528" s="108"/>
      <c r="AU528" s="108"/>
      <c r="AV528" s="108"/>
      <c r="AW528" s="108"/>
      <c r="AX528" s="108"/>
      <c r="AY528" s="108"/>
      <c r="AZ528" s="108"/>
      <c r="BA528" s="108"/>
      <c r="BB528" s="108"/>
      <c r="BC528" s="108"/>
      <c r="BD528" s="108"/>
      <c r="BE528" s="108"/>
      <c r="BF528" s="108"/>
      <c r="BG528" s="108"/>
      <c r="BH528" s="108"/>
      <c r="BI528" s="108"/>
      <c r="BJ528" s="108"/>
      <c r="BK528" s="109"/>
      <c r="BL528" s="108"/>
      <c r="BM528" s="108"/>
      <c r="BN528" s="108"/>
    </row>
    <row r="529" spans="1:66" ht="12" customHeight="1" x14ac:dyDescent="0.2">
      <c r="A529" s="179"/>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c r="AA529" s="108"/>
      <c r="AB529" s="108"/>
      <c r="AC529" s="108"/>
      <c r="AD529" s="108"/>
      <c r="AE529" s="108"/>
      <c r="AF529" s="108"/>
      <c r="AG529" s="108"/>
      <c r="AH529" s="108"/>
      <c r="AI529" s="108"/>
      <c r="AJ529" s="108"/>
      <c r="AK529" s="108"/>
      <c r="AL529" s="108"/>
      <c r="AM529" s="108"/>
      <c r="AN529" s="108"/>
      <c r="AO529" s="108"/>
      <c r="AP529" s="108"/>
      <c r="AQ529" s="108"/>
      <c r="AR529" s="108"/>
      <c r="AS529" s="108"/>
      <c r="AT529" s="108"/>
      <c r="AU529" s="108"/>
      <c r="AV529" s="108"/>
      <c r="AW529" s="108"/>
      <c r="AX529" s="108"/>
      <c r="AY529" s="108"/>
      <c r="AZ529" s="108"/>
      <c r="BA529" s="108"/>
      <c r="BB529" s="108"/>
      <c r="BC529" s="108"/>
      <c r="BD529" s="108"/>
      <c r="BE529" s="108"/>
      <c r="BF529" s="108"/>
      <c r="BG529" s="108"/>
      <c r="BH529" s="108"/>
      <c r="BI529" s="108"/>
      <c r="BJ529" s="108"/>
      <c r="BK529" s="109"/>
      <c r="BL529" s="108"/>
      <c r="BM529" s="108"/>
      <c r="BN529" s="108"/>
    </row>
    <row r="530" spans="1:66" ht="12" customHeight="1" x14ac:dyDescent="0.2">
      <c r="A530" s="179"/>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c r="AA530" s="108"/>
      <c r="AB530" s="108"/>
      <c r="AC530" s="108"/>
      <c r="AD530" s="108"/>
      <c r="AE530" s="108"/>
      <c r="AF530" s="108"/>
      <c r="AG530" s="108"/>
      <c r="AH530" s="108"/>
      <c r="AI530" s="108"/>
      <c r="AJ530" s="108"/>
      <c r="AK530" s="108"/>
      <c r="AL530" s="108"/>
      <c r="AM530" s="108"/>
      <c r="AN530" s="108"/>
      <c r="AO530" s="108"/>
      <c r="AP530" s="108"/>
      <c r="AQ530" s="108"/>
      <c r="AR530" s="108"/>
      <c r="AS530" s="108"/>
      <c r="AT530" s="108"/>
      <c r="AU530" s="108"/>
      <c r="AV530" s="108"/>
      <c r="AW530" s="108"/>
      <c r="AX530" s="108"/>
      <c r="AY530" s="108"/>
      <c r="AZ530" s="108"/>
      <c r="BA530" s="108"/>
      <c r="BB530" s="108"/>
      <c r="BC530" s="108"/>
      <c r="BD530" s="108"/>
      <c r="BE530" s="108"/>
      <c r="BF530" s="108"/>
      <c r="BG530" s="108"/>
      <c r="BH530" s="108"/>
      <c r="BI530" s="108"/>
      <c r="BJ530" s="108"/>
      <c r="BK530" s="109"/>
      <c r="BL530" s="108"/>
      <c r="BM530" s="108"/>
      <c r="BN530" s="108"/>
    </row>
    <row r="531" spans="1:66" ht="12" customHeight="1" x14ac:dyDescent="0.2">
      <c r="A531" s="179"/>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c r="AA531" s="108"/>
      <c r="AB531" s="108"/>
      <c r="AC531" s="108"/>
      <c r="AD531" s="108"/>
      <c r="AE531" s="108"/>
      <c r="AF531" s="108"/>
      <c r="AG531" s="108"/>
      <c r="AH531" s="108"/>
      <c r="AI531" s="108"/>
      <c r="AJ531" s="108"/>
      <c r="AK531" s="108"/>
      <c r="AL531" s="108"/>
      <c r="AM531" s="108"/>
      <c r="AN531" s="108"/>
      <c r="AO531" s="108"/>
      <c r="AP531" s="108"/>
      <c r="AQ531" s="108"/>
      <c r="AR531" s="108"/>
      <c r="AS531" s="108"/>
      <c r="AT531" s="108"/>
      <c r="AU531" s="108"/>
      <c r="AV531" s="108"/>
      <c r="AW531" s="108"/>
      <c r="AX531" s="108"/>
      <c r="AY531" s="108"/>
      <c r="AZ531" s="108"/>
      <c r="BA531" s="108"/>
      <c r="BB531" s="108"/>
      <c r="BC531" s="108"/>
      <c r="BD531" s="108"/>
      <c r="BE531" s="108"/>
      <c r="BF531" s="108"/>
      <c r="BG531" s="108"/>
      <c r="BH531" s="108"/>
      <c r="BI531" s="108"/>
      <c r="BJ531" s="108"/>
      <c r="BK531" s="109"/>
      <c r="BL531" s="108"/>
      <c r="BM531" s="108"/>
      <c r="BN531" s="108"/>
    </row>
    <row r="532" spans="1:66" ht="12" customHeight="1" x14ac:dyDescent="0.2">
      <c r="A532" s="179"/>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c r="AA532" s="108"/>
      <c r="AB532" s="108"/>
      <c r="AC532" s="108"/>
      <c r="AD532" s="108"/>
      <c r="AE532" s="108"/>
      <c r="AF532" s="108"/>
      <c r="AG532" s="108"/>
      <c r="AH532" s="108"/>
      <c r="AI532" s="108"/>
      <c r="AJ532" s="108"/>
      <c r="AK532" s="108"/>
      <c r="AL532" s="108"/>
      <c r="AM532" s="108"/>
      <c r="AN532" s="108"/>
      <c r="AO532" s="108"/>
      <c r="AP532" s="108"/>
      <c r="AQ532" s="108"/>
      <c r="AR532" s="108"/>
      <c r="AS532" s="108"/>
      <c r="AT532" s="108"/>
      <c r="AU532" s="108"/>
      <c r="AV532" s="108"/>
      <c r="AW532" s="108"/>
      <c r="AX532" s="108"/>
      <c r="AY532" s="108"/>
      <c r="AZ532" s="108"/>
      <c r="BA532" s="108"/>
      <c r="BB532" s="108"/>
      <c r="BC532" s="108"/>
      <c r="BD532" s="108"/>
      <c r="BE532" s="108"/>
      <c r="BF532" s="108"/>
      <c r="BG532" s="108"/>
      <c r="BH532" s="108"/>
      <c r="BI532" s="108"/>
      <c r="BJ532" s="108"/>
      <c r="BK532" s="109"/>
      <c r="BL532" s="108"/>
      <c r="BM532" s="108"/>
      <c r="BN532" s="108"/>
    </row>
    <row r="533" spans="1:66" ht="12" customHeight="1" x14ac:dyDescent="0.2">
      <c r="A533" s="179"/>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c r="AA533" s="108"/>
      <c r="AB533" s="108"/>
      <c r="AC533" s="108"/>
      <c r="AD533" s="108"/>
      <c r="AE533" s="108"/>
      <c r="AF533" s="108"/>
      <c r="AG533" s="108"/>
      <c r="AH533" s="108"/>
      <c r="AI533" s="108"/>
      <c r="AJ533" s="108"/>
      <c r="AK533" s="108"/>
      <c r="AL533" s="108"/>
      <c r="AM533" s="108"/>
      <c r="AN533" s="108"/>
      <c r="AO533" s="108"/>
      <c r="AP533" s="108"/>
      <c r="AQ533" s="108"/>
      <c r="AR533" s="108"/>
      <c r="AS533" s="108"/>
      <c r="AT533" s="108"/>
      <c r="AU533" s="108"/>
      <c r="AV533" s="108"/>
      <c r="AW533" s="108"/>
      <c r="AX533" s="108"/>
      <c r="AY533" s="108"/>
      <c r="AZ533" s="108"/>
      <c r="BA533" s="108"/>
      <c r="BB533" s="108"/>
      <c r="BC533" s="108"/>
      <c r="BD533" s="108"/>
      <c r="BE533" s="108"/>
      <c r="BF533" s="108"/>
      <c r="BG533" s="108"/>
      <c r="BH533" s="108"/>
      <c r="BI533" s="108"/>
      <c r="BJ533" s="108"/>
      <c r="BK533" s="109"/>
      <c r="BL533" s="108"/>
      <c r="BM533" s="108"/>
      <c r="BN533" s="108"/>
    </row>
    <row r="534" spans="1:66" ht="12" customHeight="1" x14ac:dyDescent="0.2">
      <c r="A534" s="179"/>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c r="AA534" s="108"/>
      <c r="AB534" s="108"/>
      <c r="AC534" s="108"/>
      <c r="AD534" s="108"/>
      <c r="AE534" s="108"/>
      <c r="AF534" s="108"/>
      <c r="AG534" s="108"/>
      <c r="AH534" s="108"/>
      <c r="AI534" s="108"/>
      <c r="AJ534" s="108"/>
      <c r="AK534" s="108"/>
      <c r="AL534" s="108"/>
      <c r="AM534" s="108"/>
      <c r="AN534" s="108"/>
      <c r="AO534" s="108"/>
      <c r="AP534" s="108"/>
      <c r="AQ534" s="108"/>
      <c r="AR534" s="108"/>
      <c r="AS534" s="108"/>
      <c r="AT534" s="108"/>
      <c r="AU534" s="108"/>
      <c r="AV534" s="108"/>
      <c r="AW534" s="108"/>
      <c r="AX534" s="108"/>
      <c r="AY534" s="108"/>
      <c r="AZ534" s="108"/>
      <c r="BA534" s="108"/>
      <c r="BB534" s="108"/>
      <c r="BC534" s="108"/>
      <c r="BD534" s="108"/>
      <c r="BE534" s="108"/>
      <c r="BF534" s="108"/>
      <c r="BG534" s="108"/>
      <c r="BH534" s="108"/>
      <c r="BI534" s="108"/>
      <c r="BJ534" s="108"/>
      <c r="BK534" s="109"/>
      <c r="BL534" s="108"/>
      <c r="BM534" s="108"/>
      <c r="BN534" s="108"/>
    </row>
    <row r="535" spans="1:66" ht="12" customHeight="1" x14ac:dyDescent="0.2">
      <c r="A535" s="179"/>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c r="AA535" s="108"/>
      <c r="AB535" s="108"/>
      <c r="AC535" s="108"/>
      <c r="AD535" s="108"/>
      <c r="AE535" s="108"/>
      <c r="AF535" s="108"/>
      <c r="AG535" s="108"/>
      <c r="AH535" s="108"/>
      <c r="AI535" s="108"/>
      <c r="AJ535" s="108"/>
      <c r="AK535" s="108"/>
      <c r="AL535" s="108"/>
      <c r="AM535" s="108"/>
      <c r="AN535" s="108"/>
      <c r="AO535" s="108"/>
      <c r="AP535" s="108"/>
      <c r="AQ535" s="108"/>
      <c r="AR535" s="108"/>
      <c r="AS535" s="108"/>
      <c r="AT535" s="108"/>
      <c r="AU535" s="108"/>
      <c r="AV535" s="108"/>
      <c r="AW535" s="108"/>
      <c r="AX535" s="108"/>
      <c r="AY535" s="108"/>
      <c r="AZ535" s="108"/>
      <c r="BA535" s="108"/>
      <c r="BB535" s="108"/>
      <c r="BC535" s="108"/>
      <c r="BD535" s="108"/>
      <c r="BE535" s="108"/>
      <c r="BF535" s="108"/>
      <c r="BG535" s="108"/>
      <c r="BH535" s="108"/>
      <c r="BI535" s="108"/>
      <c r="BJ535" s="108"/>
      <c r="BK535" s="109"/>
      <c r="BL535" s="108"/>
      <c r="BM535" s="108"/>
      <c r="BN535" s="108"/>
    </row>
    <row r="536" spans="1:66" ht="12" customHeight="1" x14ac:dyDescent="0.2">
      <c r="A536" s="179"/>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c r="AA536" s="108"/>
      <c r="AB536" s="108"/>
      <c r="AC536" s="108"/>
      <c r="AD536" s="108"/>
      <c r="AE536" s="108"/>
      <c r="AF536" s="108"/>
      <c r="AG536" s="108"/>
      <c r="AH536" s="108"/>
      <c r="AI536" s="108"/>
      <c r="AJ536" s="108"/>
      <c r="AK536" s="108"/>
      <c r="AL536" s="108"/>
      <c r="AM536" s="108"/>
      <c r="AN536" s="108"/>
      <c r="AO536" s="108"/>
      <c r="AP536" s="108"/>
      <c r="AQ536" s="108"/>
      <c r="AR536" s="108"/>
      <c r="AS536" s="108"/>
      <c r="AT536" s="108"/>
      <c r="AU536" s="108"/>
      <c r="AV536" s="108"/>
      <c r="AW536" s="108"/>
      <c r="AX536" s="108"/>
      <c r="AY536" s="108"/>
      <c r="AZ536" s="108"/>
      <c r="BA536" s="108"/>
      <c r="BB536" s="108"/>
      <c r="BC536" s="108"/>
      <c r="BD536" s="108"/>
      <c r="BE536" s="108"/>
      <c r="BF536" s="108"/>
      <c r="BG536" s="108"/>
      <c r="BH536" s="108"/>
      <c r="BI536" s="108"/>
      <c r="BJ536" s="108"/>
      <c r="BK536" s="109"/>
      <c r="BL536" s="108"/>
      <c r="BM536" s="108"/>
      <c r="BN536" s="108"/>
    </row>
    <row r="537" spans="1:66" ht="12" customHeight="1" x14ac:dyDescent="0.2">
      <c r="A537" s="179"/>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c r="AA537" s="108"/>
      <c r="AB537" s="108"/>
      <c r="AC537" s="108"/>
      <c r="AD537" s="108"/>
      <c r="AE537" s="108"/>
      <c r="AF537" s="108"/>
      <c r="AG537" s="108"/>
      <c r="AH537" s="108"/>
      <c r="AI537" s="108"/>
      <c r="AJ537" s="108"/>
      <c r="AK537" s="108"/>
      <c r="AL537" s="108"/>
      <c r="AM537" s="108"/>
      <c r="AN537" s="108"/>
      <c r="AO537" s="108"/>
      <c r="AP537" s="108"/>
      <c r="AQ537" s="108"/>
      <c r="AR537" s="108"/>
      <c r="AS537" s="108"/>
      <c r="AT537" s="108"/>
      <c r="AU537" s="108"/>
      <c r="AV537" s="108"/>
      <c r="AW537" s="108"/>
      <c r="AX537" s="108"/>
      <c r="AY537" s="108"/>
      <c r="AZ537" s="108"/>
      <c r="BA537" s="108"/>
      <c r="BB537" s="108"/>
      <c r="BC537" s="108"/>
      <c r="BD537" s="108"/>
      <c r="BE537" s="108"/>
      <c r="BF537" s="108"/>
      <c r="BG537" s="108"/>
      <c r="BH537" s="108"/>
      <c r="BI537" s="108"/>
      <c r="BJ537" s="108"/>
      <c r="BK537" s="109"/>
      <c r="BL537" s="108"/>
      <c r="BM537" s="108"/>
      <c r="BN537" s="108"/>
    </row>
    <row r="538" spans="1:66" ht="12" customHeight="1" x14ac:dyDescent="0.2">
      <c r="A538" s="179"/>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c r="AA538" s="108"/>
      <c r="AB538" s="108"/>
      <c r="AC538" s="108"/>
      <c r="AD538" s="108"/>
      <c r="AE538" s="108"/>
      <c r="AF538" s="108"/>
      <c r="AG538" s="108"/>
      <c r="AH538" s="108"/>
      <c r="AI538" s="108"/>
      <c r="AJ538" s="108"/>
      <c r="AK538" s="108"/>
      <c r="AL538" s="108"/>
      <c r="AM538" s="108"/>
      <c r="AN538" s="108"/>
      <c r="AO538" s="108"/>
      <c r="AP538" s="108"/>
      <c r="AQ538" s="108"/>
      <c r="AR538" s="108"/>
      <c r="AS538" s="108"/>
      <c r="AT538" s="108"/>
      <c r="AU538" s="108"/>
      <c r="AV538" s="108"/>
      <c r="AW538" s="108"/>
      <c r="AX538" s="108"/>
      <c r="AY538" s="108"/>
      <c r="AZ538" s="108"/>
      <c r="BA538" s="108"/>
      <c r="BB538" s="108"/>
      <c r="BC538" s="108"/>
      <c r="BD538" s="108"/>
      <c r="BE538" s="108"/>
      <c r="BF538" s="108"/>
      <c r="BG538" s="108"/>
      <c r="BH538" s="108"/>
      <c r="BI538" s="108"/>
      <c r="BJ538" s="108"/>
      <c r="BK538" s="109"/>
      <c r="BL538" s="108"/>
      <c r="BM538" s="108"/>
      <c r="BN538" s="108"/>
    </row>
    <row r="539" spans="1:66" ht="12" customHeight="1" x14ac:dyDescent="0.2">
      <c r="A539" s="179"/>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c r="AA539" s="108"/>
      <c r="AB539" s="108"/>
      <c r="AC539" s="108"/>
      <c r="AD539" s="108"/>
      <c r="AE539" s="108"/>
      <c r="AF539" s="108"/>
      <c r="AG539" s="108"/>
      <c r="AH539" s="108"/>
      <c r="AI539" s="108"/>
      <c r="AJ539" s="108"/>
      <c r="AK539" s="108"/>
      <c r="AL539" s="108"/>
      <c r="AM539" s="108"/>
      <c r="AN539" s="108"/>
      <c r="AO539" s="108"/>
      <c r="AP539" s="108"/>
      <c r="AQ539" s="108"/>
      <c r="AR539" s="108"/>
      <c r="AS539" s="108"/>
      <c r="AT539" s="108"/>
      <c r="AU539" s="108"/>
      <c r="AV539" s="108"/>
      <c r="AW539" s="108"/>
      <c r="AX539" s="108"/>
      <c r="AY539" s="108"/>
      <c r="AZ539" s="108"/>
      <c r="BA539" s="108"/>
      <c r="BB539" s="108"/>
      <c r="BC539" s="108"/>
      <c r="BD539" s="108"/>
      <c r="BE539" s="108"/>
      <c r="BF539" s="108"/>
      <c r="BG539" s="108"/>
      <c r="BH539" s="108"/>
      <c r="BI539" s="108"/>
      <c r="BJ539" s="108"/>
      <c r="BK539" s="109"/>
      <c r="BL539" s="108"/>
      <c r="BM539" s="108"/>
      <c r="BN539" s="108"/>
    </row>
    <row r="540" spans="1:66" ht="12" customHeight="1" x14ac:dyDescent="0.2">
      <c r="A540" s="179"/>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c r="AA540" s="108"/>
      <c r="AB540" s="108"/>
      <c r="AC540" s="108"/>
      <c r="AD540" s="108"/>
      <c r="AE540" s="108"/>
      <c r="AF540" s="108"/>
      <c r="AG540" s="108"/>
      <c r="AH540" s="108"/>
      <c r="AI540" s="108"/>
      <c r="AJ540" s="108"/>
      <c r="AK540" s="108"/>
      <c r="AL540" s="108"/>
      <c r="AM540" s="108"/>
      <c r="AN540" s="108"/>
      <c r="AO540" s="108"/>
      <c r="AP540" s="108"/>
      <c r="AQ540" s="108"/>
      <c r="AR540" s="108"/>
      <c r="AS540" s="108"/>
      <c r="AT540" s="108"/>
      <c r="AU540" s="108"/>
      <c r="AV540" s="108"/>
      <c r="AW540" s="108"/>
      <c r="AX540" s="108"/>
      <c r="AY540" s="108"/>
      <c r="AZ540" s="108"/>
      <c r="BA540" s="108"/>
      <c r="BB540" s="108"/>
      <c r="BC540" s="108"/>
      <c r="BD540" s="108"/>
      <c r="BE540" s="108"/>
      <c r="BF540" s="108"/>
      <c r="BG540" s="108"/>
      <c r="BH540" s="108"/>
      <c r="BI540" s="108"/>
      <c r="BJ540" s="108"/>
      <c r="BK540" s="109"/>
      <c r="BL540" s="108"/>
      <c r="BM540" s="108"/>
      <c r="BN540" s="108"/>
    </row>
    <row r="541" spans="1:66" ht="12" customHeight="1" x14ac:dyDescent="0.2">
      <c r="A541" s="179"/>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c r="AA541" s="108"/>
      <c r="AB541" s="108"/>
      <c r="AC541" s="108"/>
      <c r="AD541" s="108"/>
      <c r="AE541" s="108"/>
      <c r="AF541" s="108"/>
      <c r="AG541" s="108"/>
      <c r="AH541" s="108"/>
      <c r="AI541" s="108"/>
      <c r="AJ541" s="108"/>
      <c r="AK541" s="108"/>
      <c r="AL541" s="108"/>
      <c r="AM541" s="108"/>
      <c r="AN541" s="108"/>
      <c r="AO541" s="108"/>
      <c r="AP541" s="108"/>
      <c r="AQ541" s="108"/>
      <c r="AR541" s="108"/>
      <c r="AS541" s="108"/>
      <c r="AT541" s="108"/>
      <c r="AU541" s="108"/>
      <c r="AV541" s="108"/>
      <c r="AW541" s="108"/>
      <c r="AX541" s="108"/>
      <c r="AY541" s="108"/>
      <c r="AZ541" s="108"/>
      <c r="BA541" s="108"/>
      <c r="BB541" s="108"/>
      <c r="BC541" s="108"/>
      <c r="BD541" s="108"/>
      <c r="BE541" s="108"/>
      <c r="BF541" s="108"/>
      <c r="BG541" s="108"/>
      <c r="BH541" s="108"/>
      <c r="BI541" s="108"/>
      <c r="BJ541" s="108"/>
      <c r="BK541" s="109"/>
      <c r="BL541" s="108"/>
      <c r="BM541" s="108"/>
      <c r="BN541" s="108"/>
    </row>
    <row r="542" spans="1:66" ht="12" customHeight="1" x14ac:dyDescent="0.2">
      <c r="A542" s="179"/>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c r="AA542" s="108"/>
      <c r="AB542" s="108"/>
      <c r="AC542" s="108"/>
      <c r="AD542" s="108"/>
      <c r="AE542" s="108"/>
      <c r="AF542" s="108"/>
      <c r="AG542" s="108"/>
      <c r="AH542" s="108"/>
      <c r="AI542" s="108"/>
      <c r="AJ542" s="108"/>
      <c r="AK542" s="108"/>
      <c r="AL542" s="108"/>
      <c r="AM542" s="108"/>
      <c r="AN542" s="108"/>
      <c r="AO542" s="108"/>
      <c r="AP542" s="108"/>
      <c r="AQ542" s="108"/>
      <c r="AR542" s="108"/>
      <c r="AS542" s="108"/>
      <c r="AT542" s="108"/>
      <c r="AU542" s="108"/>
      <c r="AV542" s="108"/>
      <c r="AW542" s="108"/>
      <c r="AX542" s="108"/>
      <c r="AY542" s="108"/>
      <c r="AZ542" s="108"/>
      <c r="BA542" s="108"/>
      <c r="BB542" s="108"/>
      <c r="BC542" s="108"/>
      <c r="BD542" s="108"/>
      <c r="BE542" s="108"/>
      <c r="BF542" s="108"/>
      <c r="BG542" s="108"/>
      <c r="BH542" s="108"/>
      <c r="BI542" s="108"/>
      <c r="BJ542" s="108"/>
      <c r="BK542" s="109"/>
      <c r="BL542" s="108"/>
      <c r="BM542" s="108"/>
      <c r="BN542" s="108"/>
    </row>
    <row r="543" spans="1:66" ht="12" customHeight="1" x14ac:dyDescent="0.2">
      <c r="A543" s="179"/>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c r="AA543" s="108"/>
      <c r="AB543" s="108"/>
      <c r="AC543" s="108"/>
      <c r="AD543" s="108"/>
      <c r="AE543" s="108"/>
      <c r="AF543" s="108"/>
      <c r="AG543" s="108"/>
      <c r="AH543" s="108"/>
      <c r="AI543" s="108"/>
      <c r="AJ543" s="108"/>
      <c r="AK543" s="108"/>
      <c r="AL543" s="108"/>
      <c r="AM543" s="108"/>
      <c r="AN543" s="108"/>
      <c r="AO543" s="108"/>
      <c r="AP543" s="108"/>
      <c r="AQ543" s="108"/>
      <c r="AR543" s="108"/>
      <c r="AS543" s="108"/>
      <c r="AT543" s="108"/>
      <c r="AU543" s="108"/>
      <c r="AV543" s="108"/>
      <c r="AW543" s="108"/>
      <c r="AX543" s="108"/>
      <c r="AY543" s="108"/>
      <c r="AZ543" s="108"/>
      <c r="BA543" s="108"/>
      <c r="BB543" s="108"/>
      <c r="BC543" s="108"/>
      <c r="BD543" s="108"/>
      <c r="BE543" s="108"/>
      <c r="BF543" s="108"/>
      <c r="BG543" s="108"/>
      <c r="BH543" s="108"/>
      <c r="BI543" s="108"/>
      <c r="BJ543" s="108"/>
      <c r="BK543" s="109"/>
      <c r="BL543" s="108"/>
      <c r="BM543" s="108"/>
      <c r="BN543" s="108"/>
    </row>
    <row r="544" spans="1:66" ht="12" customHeight="1" x14ac:dyDescent="0.2">
      <c r="A544" s="179"/>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c r="AA544" s="108"/>
      <c r="AB544" s="108"/>
      <c r="AC544" s="108"/>
      <c r="AD544" s="108"/>
      <c r="AE544" s="108"/>
      <c r="AF544" s="108"/>
      <c r="AG544" s="108"/>
      <c r="AH544" s="108"/>
      <c r="AI544" s="108"/>
      <c r="AJ544" s="108"/>
      <c r="AK544" s="108"/>
      <c r="AL544" s="108"/>
      <c r="AM544" s="108"/>
      <c r="AN544" s="108"/>
      <c r="AO544" s="108"/>
      <c r="AP544" s="108"/>
      <c r="AQ544" s="108"/>
      <c r="AR544" s="108"/>
      <c r="AS544" s="108"/>
      <c r="AT544" s="108"/>
      <c r="AU544" s="108"/>
      <c r="AV544" s="108"/>
      <c r="AW544" s="108"/>
      <c r="AX544" s="108"/>
      <c r="AY544" s="108"/>
      <c r="AZ544" s="108"/>
      <c r="BA544" s="108"/>
      <c r="BB544" s="108"/>
      <c r="BC544" s="108"/>
      <c r="BD544" s="108"/>
      <c r="BE544" s="108"/>
      <c r="BF544" s="108"/>
      <c r="BG544" s="108"/>
      <c r="BH544" s="108"/>
      <c r="BI544" s="108"/>
      <c r="BJ544" s="108"/>
      <c r="BK544" s="109"/>
      <c r="BL544" s="108"/>
      <c r="BM544" s="108"/>
      <c r="BN544" s="108"/>
    </row>
    <row r="545" spans="1:66" ht="12" customHeight="1" x14ac:dyDescent="0.2">
      <c r="A545" s="179"/>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c r="AA545" s="108"/>
      <c r="AB545" s="108"/>
      <c r="AC545" s="108"/>
      <c r="AD545" s="108"/>
      <c r="AE545" s="108"/>
      <c r="AF545" s="108"/>
      <c r="AG545" s="108"/>
      <c r="AH545" s="108"/>
      <c r="AI545" s="108"/>
      <c r="AJ545" s="108"/>
      <c r="AK545" s="108"/>
      <c r="AL545" s="108"/>
      <c r="AM545" s="108"/>
      <c r="AN545" s="108"/>
      <c r="AO545" s="108"/>
      <c r="AP545" s="108"/>
      <c r="AQ545" s="108"/>
      <c r="AR545" s="108"/>
      <c r="AS545" s="108"/>
      <c r="AT545" s="108"/>
      <c r="AU545" s="108"/>
      <c r="AV545" s="108"/>
      <c r="AW545" s="108"/>
      <c r="AX545" s="108"/>
      <c r="AY545" s="108"/>
      <c r="AZ545" s="108"/>
      <c r="BA545" s="108"/>
      <c r="BB545" s="108"/>
      <c r="BC545" s="108"/>
      <c r="BD545" s="108"/>
      <c r="BE545" s="108"/>
      <c r="BF545" s="108"/>
      <c r="BG545" s="108"/>
      <c r="BH545" s="108"/>
      <c r="BI545" s="108"/>
      <c r="BJ545" s="108"/>
      <c r="BK545" s="109"/>
      <c r="BL545" s="108"/>
      <c r="BM545" s="108"/>
      <c r="BN545" s="108"/>
    </row>
    <row r="546" spans="1:66" ht="12" customHeight="1" x14ac:dyDescent="0.2">
      <c r="A546" s="179"/>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c r="AA546" s="108"/>
      <c r="AB546" s="108"/>
      <c r="AC546" s="108"/>
      <c r="AD546" s="108"/>
      <c r="AE546" s="108"/>
      <c r="AF546" s="108"/>
      <c r="AG546" s="108"/>
      <c r="AH546" s="108"/>
      <c r="AI546" s="108"/>
      <c r="AJ546" s="108"/>
      <c r="AK546" s="108"/>
      <c r="AL546" s="108"/>
      <c r="AM546" s="108"/>
      <c r="AN546" s="108"/>
      <c r="AO546" s="108"/>
      <c r="AP546" s="108"/>
      <c r="AQ546" s="108"/>
      <c r="AR546" s="108"/>
      <c r="AS546" s="108"/>
      <c r="AT546" s="108"/>
      <c r="AU546" s="108"/>
      <c r="AV546" s="108"/>
      <c r="AW546" s="108"/>
      <c r="AX546" s="108"/>
      <c r="AY546" s="108"/>
      <c r="AZ546" s="108"/>
      <c r="BA546" s="108"/>
      <c r="BB546" s="108"/>
      <c r="BC546" s="108"/>
      <c r="BD546" s="108"/>
      <c r="BE546" s="108"/>
      <c r="BF546" s="108"/>
      <c r="BG546" s="108"/>
      <c r="BH546" s="108"/>
      <c r="BI546" s="108"/>
      <c r="BJ546" s="108"/>
      <c r="BK546" s="109"/>
      <c r="BL546" s="108"/>
      <c r="BM546" s="108"/>
      <c r="BN546" s="108"/>
    </row>
    <row r="547" spans="1:66" ht="12" customHeight="1" x14ac:dyDescent="0.2">
      <c r="A547" s="179"/>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c r="AA547" s="108"/>
      <c r="AB547" s="108"/>
      <c r="AC547" s="108"/>
      <c r="AD547" s="108"/>
      <c r="AE547" s="108"/>
      <c r="AF547" s="108"/>
      <c r="AG547" s="108"/>
      <c r="AH547" s="108"/>
      <c r="AI547" s="108"/>
      <c r="AJ547" s="108"/>
      <c r="AK547" s="108"/>
      <c r="AL547" s="108"/>
      <c r="AM547" s="108"/>
      <c r="AN547" s="108"/>
      <c r="AO547" s="108"/>
      <c r="AP547" s="108"/>
      <c r="AQ547" s="108"/>
      <c r="AR547" s="108"/>
      <c r="AS547" s="108"/>
      <c r="AT547" s="108"/>
      <c r="AU547" s="108"/>
      <c r="AV547" s="108"/>
      <c r="AW547" s="108"/>
      <c r="AX547" s="108"/>
      <c r="AY547" s="108"/>
      <c r="AZ547" s="108"/>
      <c r="BA547" s="108"/>
      <c r="BB547" s="108"/>
      <c r="BC547" s="108"/>
      <c r="BD547" s="108"/>
      <c r="BE547" s="108"/>
      <c r="BF547" s="108"/>
      <c r="BG547" s="108"/>
      <c r="BH547" s="108"/>
      <c r="BI547" s="108"/>
      <c r="BJ547" s="108"/>
      <c r="BK547" s="109"/>
      <c r="BL547" s="108"/>
      <c r="BM547" s="108"/>
      <c r="BN547" s="108"/>
    </row>
    <row r="548" spans="1:66" ht="12" customHeight="1" x14ac:dyDescent="0.2">
      <c r="A548" s="179"/>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c r="AA548" s="108"/>
      <c r="AB548" s="108"/>
      <c r="AC548" s="108"/>
      <c r="AD548" s="108"/>
      <c r="AE548" s="108"/>
      <c r="AF548" s="108"/>
      <c r="AG548" s="108"/>
      <c r="AH548" s="108"/>
      <c r="AI548" s="108"/>
      <c r="AJ548" s="108"/>
      <c r="AK548" s="108"/>
      <c r="AL548" s="108"/>
      <c r="AM548" s="108"/>
      <c r="AN548" s="108"/>
      <c r="AO548" s="108"/>
      <c r="AP548" s="108"/>
      <c r="AQ548" s="108"/>
      <c r="AR548" s="108"/>
      <c r="AS548" s="108"/>
      <c r="AT548" s="108"/>
      <c r="AU548" s="108"/>
      <c r="AV548" s="108"/>
      <c r="AW548" s="108"/>
      <c r="AX548" s="108"/>
      <c r="AY548" s="108"/>
      <c r="AZ548" s="108"/>
      <c r="BA548" s="108"/>
      <c r="BB548" s="108"/>
      <c r="BC548" s="108"/>
      <c r="BD548" s="108"/>
      <c r="BE548" s="108"/>
      <c r="BF548" s="108"/>
      <c r="BG548" s="108"/>
      <c r="BH548" s="108"/>
      <c r="BI548" s="108"/>
      <c r="BJ548" s="108"/>
      <c r="BK548" s="109"/>
      <c r="BL548" s="108"/>
      <c r="BM548" s="108"/>
      <c r="BN548" s="108"/>
    </row>
    <row r="549" spans="1:66" ht="12" customHeight="1" x14ac:dyDescent="0.2">
      <c r="A549" s="179"/>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c r="AA549" s="108"/>
      <c r="AB549" s="108"/>
      <c r="AC549" s="108"/>
      <c r="AD549" s="108"/>
      <c r="AE549" s="108"/>
      <c r="AF549" s="108"/>
      <c r="AG549" s="108"/>
      <c r="AH549" s="108"/>
      <c r="AI549" s="108"/>
      <c r="AJ549" s="108"/>
      <c r="AK549" s="108"/>
      <c r="AL549" s="108"/>
      <c r="AM549" s="108"/>
      <c r="AN549" s="108"/>
      <c r="AO549" s="108"/>
      <c r="AP549" s="108"/>
      <c r="AQ549" s="108"/>
      <c r="AR549" s="108"/>
      <c r="AS549" s="108"/>
      <c r="AT549" s="108"/>
      <c r="AU549" s="108"/>
      <c r="AV549" s="108"/>
      <c r="AW549" s="108"/>
      <c r="AX549" s="108"/>
      <c r="AY549" s="108"/>
      <c r="AZ549" s="108"/>
      <c r="BA549" s="108"/>
      <c r="BB549" s="108"/>
      <c r="BC549" s="108"/>
      <c r="BD549" s="108"/>
      <c r="BE549" s="108"/>
      <c r="BF549" s="108"/>
      <c r="BG549" s="108"/>
      <c r="BH549" s="108"/>
      <c r="BI549" s="108"/>
      <c r="BJ549" s="108"/>
      <c r="BK549" s="109"/>
      <c r="BL549" s="108"/>
      <c r="BM549" s="108"/>
      <c r="BN549" s="108"/>
    </row>
    <row r="550" spans="1:66" ht="12" customHeight="1" x14ac:dyDescent="0.2">
      <c r="A550" s="179"/>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c r="AA550" s="108"/>
      <c r="AB550" s="108"/>
      <c r="AC550" s="108"/>
      <c r="AD550" s="108"/>
      <c r="AE550" s="108"/>
      <c r="AF550" s="108"/>
      <c r="AG550" s="108"/>
      <c r="AH550" s="108"/>
      <c r="AI550" s="108"/>
      <c r="AJ550" s="108"/>
      <c r="AK550" s="108"/>
      <c r="AL550" s="108"/>
      <c r="AM550" s="108"/>
      <c r="AN550" s="108"/>
      <c r="AO550" s="108"/>
      <c r="AP550" s="108"/>
      <c r="AQ550" s="108"/>
      <c r="AR550" s="108"/>
      <c r="AS550" s="108"/>
      <c r="AT550" s="108"/>
      <c r="AU550" s="108"/>
      <c r="AV550" s="108"/>
      <c r="AW550" s="108"/>
      <c r="AX550" s="108"/>
      <c r="AY550" s="108"/>
      <c r="AZ550" s="108"/>
      <c r="BA550" s="108"/>
      <c r="BB550" s="108"/>
      <c r="BC550" s="108"/>
      <c r="BD550" s="108"/>
      <c r="BE550" s="108"/>
      <c r="BF550" s="108"/>
      <c r="BG550" s="108"/>
      <c r="BH550" s="108"/>
      <c r="BI550" s="108"/>
      <c r="BJ550" s="108"/>
      <c r="BK550" s="109"/>
      <c r="BL550" s="108"/>
      <c r="BM550" s="108"/>
      <c r="BN550" s="108"/>
    </row>
    <row r="551" spans="1:66" ht="12" customHeight="1" x14ac:dyDescent="0.2">
      <c r="A551" s="179"/>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c r="AA551" s="108"/>
      <c r="AB551" s="108"/>
      <c r="AC551" s="108"/>
      <c r="AD551" s="108"/>
      <c r="AE551" s="108"/>
      <c r="AF551" s="108"/>
      <c r="AG551" s="108"/>
      <c r="AH551" s="108"/>
      <c r="AI551" s="108"/>
      <c r="AJ551" s="108"/>
      <c r="AK551" s="108"/>
      <c r="AL551" s="108"/>
      <c r="AM551" s="108"/>
      <c r="AN551" s="108"/>
      <c r="AO551" s="108"/>
      <c r="AP551" s="108"/>
      <c r="AQ551" s="108"/>
      <c r="AR551" s="108"/>
      <c r="AS551" s="108"/>
      <c r="AT551" s="108"/>
      <c r="AU551" s="108"/>
      <c r="AV551" s="108"/>
      <c r="AW551" s="108"/>
      <c r="AX551" s="108"/>
      <c r="AY551" s="108"/>
      <c r="AZ551" s="108"/>
      <c r="BA551" s="108"/>
      <c r="BB551" s="108"/>
      <c r="BC551" s="108"/>
      <c r="BD551" s="108"/>
      <c r="BE551" s="108"/>
      <c r="BF551" s="108"/>
      <c r="BG551" s="108"/>
      <c r="BH551" s="108"/>
      <c r="BI551" s="108"/>
      <c r="BJ551" s="108"/>
      <c r="BK551" s="109"/>
      <c r="BL551" s="108"/>
      <c r="BM551" s="108"/>
      <c r="BN551" s="108"/>
    </row>
    <row r="552" spans="1:66" ht="12" customHeight="1" x14ac:dyDescent="0.2">
      <c r="A552" s="179"/>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c r="AA552" s="108"/>
      <c r="AB552" s="108"/>
      <c r="AC552" s="108"/>
      <c r="AD552" s="108"/>
      <c r="AE552" s="108"/>
      <c r="AF552" s="108"/>
      <c r="AG552" s="108"/>
      <c r="AH552" s="108"/>
      <c r="AI552" s="108"/>
      <c r="AJ552" s="108"/>
      <c r="AK552" s="108"/>
      <c r="AL552" s="108"/>
      <c r="AM552" s="108"/>
      <c r="AN552" s="108"/>
      <c r="AO552" s="108"/>
      <c r="AP552" s="108"/>
      <c r="AQ552" s="108"/>
      <c r="AR552" s="108"/>
      <c r="AS552" s="108"/>
      <c r="AT552" s="108"/>
      <c r="AU552" s="108"/>
      <c r="AV552" s="108"/>
      <c r="AW552" s="108"/>
      <c r="AX552" s="108"/>
      <c r="AY552" s="108"/>
      <c r="AZ552" s="108"/>
      <c r="BA552" s="108"/>
      <c r="BB552" s="108"/>
      <c r="BC552" s="108"/>
      <c r="BD552" s="108"/>
      <c r="BE552" s="108"/>
      <c r="BF552" s="108"/>
      <c r="BG552" s="108"/>
      <c r="BH552" s="108"/>
      <c r="BI552" s="108"/>
      <c r="BJ552" s="108"/>
      <c r="BK552" s="109"/>
      <c r="BL552" s="108"/>
      <c r="BM552" s="108"/>
      <c r="BN552" s="108"/>
    </row>
    <row r="553" spans="1:66" ht="12" customHeight="1" x14ac:dyDescent="0.2">
      <c r="A553" s="179"/>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c r="AA553" s="108"/>
      <c r="AB553" s="108"/>
      <c r="AC553" s="108"/>
      <c r="AD553" s="108"/>
      <c r="AE553" s="108"/>
      <c r="AF553" s="108"/>
      <c r="AG553" s="108"/>
      <c r="AH553" s="108"/>
      <c r="AI553" s="108"/>
      <c r="AJ553" s="108"/>
      <c r="AK553" s="108"/>
      <c r="AL553" s="108"/>
      <c r="AM553" s="108"/>
      <c r="AN553" s="108"/>
      <c r="AO553" s="108"/>
      <c r="AP553" s="108"/>
      <c r="AQ553" s="108"/>
      <c r="AR553" s="108"/>
      <c r="AS553" s="108"/>
      <c r="AT553" s="108"/>
      <c r="AU553" s="108"/>
      <c r="AV553" s="108"/>
      <c r="AW553" s="108"/>
      <c r="AX553" s="108"/>
      <c r="AY553" s="108"/>
      <c r="AZ553" s="108"/>
      <c r="BA553" s="108"/>
      <c r="BB553" s="108"/>
      <c r="BC553" s="108"/>
      <c r="BD553" s="108"/>
      <c r="BE553" s="108"/>
      <c r="BF553" s="108"/>
      <c r="BG553" s="108"/>
      <c r="BH553" s="108"/>
      <c r="BI553" s="108"/>
      <c r="BJ553" s="108"/>
      <c r="BK553" s="109"/>
      <c r="BL553" s="108"/>
      <c r="BM553" s="108"/>
      <c r="BN553" s="108"/>
    </row>
    <row r="554" spans="1:66" ht="12" customHeight="1" x14ac:dyDescent="0.2">
      <c r="A554" s="179"/>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c r="AA554" s="108"/>
      <c r="AB554" s="108"/>
      <c r="AC554" s="108"/>
      <c r="AD554" s="108"/>
      <c r="AE554" s="108"/>
      <c r="AF554" s="108"/>
      <c r="AG554" s="108"/>
      <c r="AH554" s="108"/>
      <c r="AI554" s="108"/>
      <c r="AJ554" s="108"/>
      <c r="AK554" s="108"/>
      <c r="AL554" s="108"/>
      <c r="AM554" s="108"/>
      <c r="AN554" s="108"/>
      <c r="AO554" s="108"/>
      <c r="AP554" s="108"/>
      <c r="AQ554" s="108"/>
      <c r="AR554" s="108"/>
      <c r="AS554" s="108"/>
      <c r="AT554" s="108"/>
      <c r="AU554" s="108"/>
      <c r="AV554" s="108"/>
      <c r="AW554" s="108"/>
      <c r="AX554" s="108"/>
      <c r="AY554" s="108"/>
      <c r="AZ554" s="108"/>
      <c r="BA554" s="108"/>
      <c r="BB554" s="108"/>
      <c r="BC554" s="108"/>
      <c r="BD554" s="108"/>
      <c r="BE554" s="108"/>
      <c r="BF554" s="108"/>
      <c r="BG554" s="108"/>
      <c r="BH554" s="108"/>
      <c r="BI554" s="108"/>
      <c r="BJ554" s="108"/>
      <c r="BK554" s="109"/>
      <c r="BL554" s="108"/>
      <c r="BM554" s="108"/>
      <c r="BN554" s="108"/>
    </row>
    <row r="555" spans="1:66" ht="12" customHeight="1" x14ac:dyDescent="0.2">
      <c r="A555" s="179"/>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c r="AA555" s="108"/>
      <c r="AB555" s="108"/>
      <c r="AC555" s="108"/>
      <c r="AD555" s="108"/>
      <c r="AE555" s="108"/>
      <c r="AF555" s="108"/>
      <c r="AG555" s="108"/>
      <c r="AH555" s="108"/>
      <c r="AI555" s="108"/>
      <c r="AJ555" s="108"/>
      <c r="AK555" s="108"/>
      <c r="AL555" s="108"/>
      <c r="AM555" s="108"/>
      <c r="AN555" s="108"/>
      <c r="AO555" s="108"/>
      <c r="AP555" s="108"/>
      <c r="AQ555" s="108"/>
      <c r="AR555" s="108"/>
      <c r="AS555" s="108"/>
      <c r="AT555" s="108"/>
      <c r="AU555" s="108"/>
      <c r="AV555" s="108"/>
      <c r="AW555" s="108"/>
      <c r="AX555" s="108"/>
      <c r="AY555" s="108"/>
      <c r="AZ555" s="108"/>
      <c r="BA555" s="108"/>
      <c r="BB555" s="108"/>
      <c r="BC555" s="108"/>
      <c r="BD555" s="108"/>
      <c r="BE555" s="108"/>
      <c r="BF555" s="108"/>
      <c r="BG555" s="108"/>
      <c r="BH555" s="108"/>
      <c r="BI555" s="108"/>
      <c r="BJ555" s="108"/>
      <c r="BK555" s="109"/>
      <c r="BL555" s="108"/>
      <c r="BM555" s="108"/>
      <c r="BN555" s="108"/>
    </row>
    <row r="556" spans="1:66" ht="12" customHeight="1" x14ac:dyDescent="0.2">
      <c r="A556" s="179"/>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c r="AA556" s="108"/>
      <c r="AB556" s="108"/>
      <c r="AC556" s="108"/>
      <c r="AD556" s="108"/>
      <c r="AE556" s="108"/>
      <c r="AF556" s="108"/>
      <c r="AG556" s="108"/>
      <c r="AH556" s="108"/>
      <c r="AI556" s="108"/>
      <c r="AJ556" s="108"/>
      <c r="AK556" s="108"/>
      <c r="AL556" s="108"/>
      <c r="AM556" s="108"/>
      <c r="AN556" s="108"/>
      <c r="AO556" s="108"/>
      <c r="AP556" s="108"/>
      <c r="AQ556" s="108"/>
      <c r="AR556" s="108"/>
      <c r="AS556" s="108"/>
      <c r="AT556" s="108"/>
      <c r="AU556" s="108"/>
      <c r="AV556" s="108"/>
      <c r="AW556" s="108"/>
      <c r="AX556" s="108"/>
      <c r="AY556" s="108"/>
      <c r="AZ556" s="108"/>
      <c r="BA556" s="108"/>
      <c r="BB556" s="108"/>
      <c r="BC556" s="108"/>
      <c r="BD556" s="108"/>
      <c r="BE556" s="108"/>
      <c r="BF556" s="108"/>
      <c r="BG556" s="108"/>
      <c r="BH556" s="108"/>
      <c r="BI556" s="108"/>
      <c r="BJ556" s="108"/>
      <c r="BK556" s="109"/>
      <c r="BL556" s="108"/>
      <c r="BM556" s="108"/>
      <c r="BN556" s="108"/>
    </row>
    <row r="557" spans="1:66" ht="12" customHeight="1" x14ac:dyDescent="0.2">
      <c r="A557" s="179"/>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c r="AA557" s="108"/>
      <c r="AB557" s="108"/>
      <c r="AC557" s="108"/>
      <c r="AD557" s="108"/>
      <c r="AE557" s="108"/>
      <c r="AF557" s="108"/>
      <c r="AG557" s="108"/>
      <c r="AH557" s="108"/>
      <c r="AI557" s="108"/>
      <c r="AJ557" s="108"/>
      <c r="AK557" s="108"/>
      <c r="AL557" s="108"/>
      <c r="AM557" s="108"/>
      <c r="AN557" s="108"/>
      <c r="AO557" s="108"/>
      <c r="AP557" s="108"/>
      <c r="AQ557" s="108"/>
      <c r="AR557" s="108"/>
      <c r="AS557" s="108"/>
      <c r="AT557" s="108"/>
      <c r="AU557" s="108"/>
      <c r="AV557" s="108"/>
      <c r="AW557" s="108"/>
      <c r="AX557" s="108"/>
      <c r="AY557" s="108"/>
      <c r="AZ557" s="108"/>
      <c r="BA557" s="108"/>
      <c r="BB557" s="108"/>
      <c r="BC557" s="108"/>
      <c r="BD557" s="108"/>
      <c r="BE557" s="108"/>
      <c r="BF557" s="108"/>
      <c r="BG557" s="108"/>
      <c r="BH557" s="108"/>
      <c r="BI557" s="108"/>
      <c r="BJ557" s="108"/>
      <c r="BK557" s="109"/>
      <c r="BL557" s="108"/>
      <c r="BM557" s="108"/>
      <c r="BN557" s="108"/>
    </row>
    <row r="558" spans="1:66" ht="12" customHeight="1" x14ac:dyDescent="0.2">
      <c r="A558" s="179"/>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c r="AA558" s="108"/>
      <c r="AB558" s="108"/>
      <c r="AC558" s="108"/>
      <c r="AD558" s="108"/>
      <c r="AE558" s="108"/>
      <c r="AF558" s="108"/>
      <c r="AG558" s="108"/>
      <c r="AH558" s="108"/>
      <c r="AI558" s="108"/>
      <c r="AJ558" s="108"/>
      <c r="AK558" s="108"/>
      <c r="AL558" s="108"/>
      <c r="AM558" s="108"/>
      <c r="AN558" s="108"/>
      <c r="AO558" s="108"/>
      <c r="AP558" s="108"/>
      <c r="AQ558" s="108"/>
      <c r="AR558" s="108"/>
      <c r="AS558" s="108"/>
      <c r="AT558" s="108"/>
      <c r="AU558" s="108"/>
      <c r="AV558" s="108"/>
      <c r="AW558" s="108"/>
      <c r="AX558" s="108"/>
      <c r="AY558" s="108"/>
      <c r="AZ558" s="108"/>
      <c r="BA558" s="108"/>
      <c r="BB558" s="108"/>
      <c r="BC558" s="108"/>
      <c r="BD558" s="108"/>
      <c r="BE558" s="108"/>
      <c r="BF558" s="108"/>
      <c r="BG558" s="108"/>
      <c r="BH558" s="108"/>
      <c r="BI558" s="108"/>
      <c r="BJ558" s="108"/>
      <c r="BK558" s="109"/>
      <c r="BL558" s="108"/>
      <c r="BM558" s="108"/>
      <c r="BN558" s="108"/>
    </row>
    <row r="559" spans="1:66" ht="12" customHeight="1" x14ac:dyDescent="0.2">
      <c r="A559" s="179"/>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c r="AA559" s="108"/>
      <c r="AB559" s="108"/>
      <c r="AC559" s="108"/>
      <c r="AD559" s="108"/>
      <c r="AE559" s="108"/>
      <c r="AF559" s="108"/>
      <c r="AG559" s="108"/>
      <c r="AH559" s="108"/>
      <c r="AI559" s="108"/>
      <c r="AJ559" s="108"/>
      <c r="AK559" s="108"/>
      <c r="AL559" s="108"/>
      <c r="AM559" s="108"/>
      <c r="AN559" s="108"/>
      <c r="AO559" s="108"/>
      <c r="AP559" s="108"/>
      <c r="AQ559" s="108"/>
      <c r="AR559" s="108"/>
      <c r="AS559" s="108"/>
      <c r="AT559" s="108"/>
      <c r="AU559" s="108"/>
      <c r="AV559" s="108"/>
      <c r="AW559" s="108"/>
      <c r="AX559" s="108"/>
      <c r="AY559" s="108"/>
      <c r="AZ559" s="108"/>
      <c r="BA559" s="108"/>
      <c r="BB559" s="108"/>
      <c r="BC559" s="108"/>
      <c r="BD559" s="108"/>
      <c r="BE559" s="108"/>
      <c r="BF559" s="108"/>
      <c r="BG559" s="108"/>
      <c r="BH559" s="108"/>
      <c r="BI559" s="108"/>
      <c r="BJ559" s="108"/>
      <c r="BK559" s="109"/>
      <c r="BL559" s="108"/>
      <c r="BM559" s="108"/>
      <c r="BN559" s="108"/>
    </row>
    <row r="560" spans="1:66" ht="12" customHeight="1" x14ac:dyDescent="0.2">
      <c r="A560" s="179"/>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c r="AA560" s="108"/>
      <c r="AB560" s="108"/>
      <c r="AC560" s="108"/>
      <c r="AD560" s="108"/>
      <c r="AE560" s="108"/>
      <c r="AF560" s="108"/>
      <c r="AG560" s="108"/>
      <c r="AH560" s="108"/>
      <c r="AI560" s="108"/>
      <c r="AJ560" s="108"/>
      <c r="AK560" s="108"/>
      <c r="AL560" s="108"/>
      <c r="AM560" s="108"/>
      <c r="AN560" s="108"/>
      <c r="AO560" s="108"/>
      <c r="AP560" s="108"/>
      <c r="AQ560" s="108"/>
      <c r="AR560" s="108"/>
      <c r="AS560" s="108"/>
      <c r="AT560" s="108"/>
      <c r="AU560" s="108"/>
      <c r="AV560" s="108"/>
      <c r="AW560" s="108"/>
      <c r="AX560" s="108"/>
      <c r="AY560" s="108"/>
      <c r="AZ560" s="108"/>
      <c r="BA560" s="108"/>
      <c r="BB560" s="108"/>
      <c r="BC560" s="108"/>
      <c r="BD560" s="108"/>
      <c r="BE560" s="108"/>
      <c r="BF560" s="108"/>
      <c r="BG560" s="108"/>
      <c r="BH560" s="108"/>
      <c r="BI560" s="108"/>
      <c r="BJ560" s="108"/>
      <c r="BK560" s="109"/>
      <c r="BL560" s="108"/>
      <c r="BM560" s="108"/>
      <c r="BN560" s="108"/>
    </row>
    <row r="561" spans="1:66" ht="12" customHeight="1" x14ac:dyDescent="0.2">
      <c r="A561" s="179"/>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c r="AA561" s="108"/>
      <c r="AB561" s="108"/>
      <c r="AC561" s="108"/>
      <c r="AD561" s="108"/>
      <c r="AE561" s="108"/>
      <c r="AF561" s="108"/>
      <c r="AG561" s="108"/>
      <c r="AH561" s="108"/>
      <c r="AI561" s="108"/>
      <c r="AJ561" s="108"/>
      <c r="AK561" s="108"/>
      <c r="AL561" s="108"/>
      <c r="AM561" s="108"/>
      <c r="AN561" s="108"/>
      <c r="AO561" s="108"/>
      <c r="AP561" s="108"/>
      <c r="AQ561" s="108"/>
      <c r="AR561" s="108"/>
      <c r="AS561" s="108"/>
      <c r="AT561" s="108"/>
      <c r="AU561" s="108"/>
      <c r="AV561" s="108"/>
      <c r="AW561" s="108"/>
      <c r="AX561" s="108"/>
      <c r="AY561" s="108"/>
      <c r="AZ561" s="108"/>
      <c r="BA561" s="108"/>
      <c r="BB561" s="108"/>
      <c r="BC561" s="108"/>
      <c r="BD561" s="108"/>
      <c r="BE561" s="108"/>
      <c r="BF561" s="108"/>
      <c r="BG561" s="108"/>
      <c r="BH561" s="108"/>
      <c r="BI561" s="108"/>
      <c r="BJ561" s="108"/>
      <c r="BK561" s="109"/>
      <c r="BL561" s="108"/>
      <c r="BM561" s="108"/>
      <c r="BN561" s="108"/>
    </row>
    <row r="562" spans="1:66" ht="12" customHeight="1" x14ac:dyDescent="0.2">
      <c r="A562" s="179"/>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c r="AA562" s="108"/>
      <c r="AB562" s="108"/>
      <c r="AC562" s="108"/>
      <c r="AD562" s="108"/>
      <c r="AE562" s="108"/>
      <c r="AF562" s="108"/>
      <c r="AG562" s="108"/>
      <c r="AH562" s="108"/>
      <c r="AI562" s="108"/>
      <c r="AJ562" s="108"/>
      <c r="AK562" s="108"/>
      <c r="AL562" s="108"/>
      <c r="AM562" s="108"/>
      <c r="AN562" s="108"/>
      <c r="AO562" s="108"/>
      <c r="AP562" s="108"/>
      <c r="AQ562" s="108"/>
      <c r="AR562" s="108"/>
      <c r="AS562" s="108"/>
      <c r="AT562" s="108"/>
      <c r="AU562" s="108"/>
      <c r="AV562" s="108"/>
      <c r="AW562" s="108"/>
      <c r="AX562" s="108"/>
      <c r="AY562" s="108"/>
      <c r="AZ562" s="108"/>
      <c r="BA562" s="108"/>
      <c r="BB562" s="108"/>
      <c r="BC562" s="108"/>
      <c r="BD562" s="108"/>
      <c r="BE562" s="108"/>
      <c r="BF562" s="108"/>
      <c r="BG562" s="108"/>
      <c r="BH562" s="108"/>
      <c r="BI562" s="108"/>
      <c r="BJ562" s="108"/>
      <c r="BK562" s="109"/>
      <c r="BL562" s="108"/>
      <c r="BM562" s="108"/>
      <c r="BN562" s="108"/>
    </row>
    <row r="563" spans="1:66" ht="12" customHeight="1" x14ac:dyDescent="0.2">
      <c r="A563" s="179"/>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c r="AA563" s="108"/>
      <c r="AB563" s="108"/>
      <c r="AC563" s="108"/>
      <c r="AD563" s="108"/>
      <c r="AE563" s="108"/>
      <c r="AF563" s="108"/>
      <c r="AG563" s="108"/>
      <c r="AH563" s="108"/>
      <c r="AI563" s="108"/>
      <c r="AJ563" s="108"/>
      <c r="AK563" s="108"/>
      <c r="AL563" s="108"/>
      <c r="AM563" s="108"/>
      <c r="AN563" s="108"/>
      <c r="AO563" s="108"/>
      <c r="AP563" s="108"/>
      <c r="AQ563" s="108"/>
      <c r="AR563" s="108"/>
      <c r="AS563" s="108"/>
      <c r="AT563" s="108"/>
      <c r="AU563" s="108"/>
      <c r="AV563" s="108"/>
      <c r="AW563" s="108"/>
      <c r="AX563" s="108"/>
      <c r="AY563" s="108"/>
      <c r="AZ563" s="108"/>
      <c r="BA563" s="108"/>
      <c r="BB563" s="108"/>
      <c r="BC563" s="108"/>
      <c r="BD563" s="108"/>
      <c r="BE563" s="108"/>
      <c r="BF563" s="108"/>
      <c r="BG563" s="108"/>
      <c r="BH563" s="108"/>
      <c r="BI563" s="108"/>
      <c r="BJ563" s="108"/>
      <c r="BK563" s="109"/>
      <c r="BL563" s="108"/>
      <c r="BM563" s="108"/>
      <c r="BN563" s="108"/>
    </row>
    <row r="564" spans="1:66" ht="12" customHeight="1" x14ac:dyDescent="0.2">
      <c r="A564" s="179"/>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c r="AA564" s="108"/>
      <c r="AB564" s="108"/>
      <c r="AC564" s="108"/>
      <c r="AD564" s="108"/>
      <c r="AE564" s="108"/>
      <c r="AF564" s="108"/>
      <c r="AG564" s="108"/>
      <c r="AH564" s="108"/>
      <c r="AI564" s="108"/>
      <c r="AJ564" s="108"/>
      <c r="AK564" s="108"/>
      <c r="AL564" s="108"/>
      <c r="AM564" s="108"/>
      <c r="AN564" s="108"/>
      <c r="AO564" s="108"/>
      <c r="AP564" s="108"/>
      <c r="AQ564" s="108"/>
      <c r="AR564" s="108"/>
      <c r="AS564" s="108"/>
      <c r="AT564" s="108"/>
      <c r="AU564" s="108"/>
      <c r="AV564" s="108"/>
      <c r="AW564" s="108"/>
      <c r="AX564" s="108"/>
      <c r="AY564" s="108"/>
      <c r="AZ564" s="108"/>
      <c r="BA564" s="108"/>
      <c r="BB564" s="108"/>
      <c r="BC564" s="108"/>
      <c r="BD564" s="108"/>
      <c r="BE564" s="108"/>
      <c r="BF564" s="108"/>
      <c r="BG564" s="108"/>
      <c r="BH564" s="108"/>
      <c r="BI564" s="108"/>
      <c r="BJ564" s="108"/>
      <c r="BK564" s="109"/>
      <c r="BL564" s="108"/>
      <c r="BM564" s="108"/>
      <c r="BN564" s="108"/>
    </row>
    <row r="565" spans="1:66" ht="12" customHeight="1" x14ac:dyDescent="0.2">
      <c r="A565" s="179"/>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c r="AA565" s="108"/>
      <c r="AB565" s="108"/>
      <c r="AC565" s="108"/>
      <c r="AD565" s="108"/>
      <c r="AE565" s="108"/>
      <c r="AF565" s="108"/>
      <c r="AG565" s="108"/>
      <c r="AH565" s="108"/>
      <c r="AI565" s="108"/>
      <c r="AJ565" s="108"/>
      <c r="AK565" s="108"/>
      <c r="AL565" s="108"/>
      <c r="AM565" s="108"/>
      <c r="AN565" s="108"/>
      <c r="AO565" s="108"/>
      <c r="AP565" s="108"/>
      <c r="AQ565" s="108"/>
      <c r="AR565" s="108"/>
      <c r="AS565" s="108"/>
      <c r="AT565" s="108"/>
      <c r="AU565" s="108"/>
      <c r="AV565" s="108"/>
      <c r="AW565" s="108"/>
      <c r="AX565" s="108"/>
      <c r="AY565" s="108"/>
      <c r="AZ565" s="108"/>
      <c r="BA565" s="108"/>
      <c r="BB565" s="108"/>
      <c r="BC565" s="108"/>
      <c r="BD565" s="108"/>
      <c r="BE565" s="108"/>
      <c r="BF565" s="108"/>
      <c r="BG565" s="108"/>
      <c r="BH565" s="108"/>
      <c r="BI565" s="108"/>
      <c r="BJ565" s="108"/>
      <c r="BK565" s="109"/>
      <c r="BL565" s="108"/>
      <c r="BM565" s="108"/>
      <c r="BN565" s="108"/>
    </row>
    <row r="566" spans="1:66" ht="12" customHeight="1" x14ac:dyDescent="0.2">
      <c r="A566" s="179"/>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c r="AA566" s="108"/>
      <c r="AB566" s="108"/>
      <c r="AC566" s="108"/>
      <c r="AD566" s="108"/>
      <c r="AE566" s="108"/>
      <c r="AF566" s="108"/>
      <c r="AG566" s="108"/>
      <c r="AH566" s="108"/>
      <c r="AI566" s="108"/>
      <c r="AJ566" s="108"/>
      <c r="AK566" s="108"/>
      <c r="AL566" s="108"/>
      <c r="AM566" s="108"/>
      <c r="AN566" s="108"/>
      <c r="AO566" s="108"/>
      <c r="AP566" s="108"/>
      <c r="AQ566" s="108"/>
      <c r="AR566" s="108"/>
      <c r="AS566" s="108"/>
      <c r="AT566" s="108"/>
      <c r="AU566" s="108"/>
      <c r="AV566" s="108"/>
      <c r="AW566" s="108"/>
      <c r="AX566" s="108"/>
      <c r="AY566" s="108"/>
      <c r="AZ566" s="108"/>
      <c r="BA566" s="108"/>
      <c r="BB566" s="108"/>
      <c r="BC566" s="108"/>
      <c r="BD566" s="108"/>
      <c r="BE566" s="108"/>
      <c r="BF566" s="108"/>
      <c r="BG566" s="108"/>
      <c r="BH566" s="108"/>
      <c r="BI566" s="108"/>
      <c r="BJ566" s="108"/>
      <c r="BK566" s="109"/>
      <c r="BL566" s="108"/>
      <c r="BM566" s="108"/>
      <c r="BN566" s="108"/>
    </row>
    <row r="567" spans="1:66" ht="12" customHeight="1" x14ac:dyDescent="0.2">
      <c r="A567" s="179"/>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c r="AA567" s="108"/>
      <c r="AB567" s="108"/>
      <c r="AC567" s="108"/>
      <c r="AD567" s="108"/>
      <c r="AE567" s="108"/>
      <c r="AF567" s="108"/>
      <c r="AG567" s="108"/>
      <c r="AH567" s="108"/>
      <c r="AI567" s="108"/>
      <c r="AJ567" s="108"/>
      <c r="AK567" s="108"/>
      <c r="AL567" s="108"/>
      <c r="AM567" s="108"/>
      <c r="AN567" s="108"/>
      <c r="AO567" s="108"/>
      <c r="AP567" s="108"/>
      <c r="AQ567" s="108"/>
      <c r="AR567" s="108"/>
      <c r="AS567" s="108"/>
      <c r="AT567" s="108"/>
      <c r="AU567" s="108"/>
      <c r="AV567" s="108"/>
      <c r="AW567" s="108"/>
      <c r="AX567" s="108"/>
      <c r="AY567" s="108"/>
      <c r="AZ567" s="108"/>
      <c r="BA567" s="108"/>
      <c r="BB567" s="108"/>
      <c r="BC567" s="108"/>
      <c r="BD567" s="108"/>
      <c r="BE567" s="108"/>
      <c r="BF567" s="108"/>
      <c r="BG567" s="108"/>
      <c r="BH567" s="108"/>
      <c r="BI567" s="108"/>
      <c r="BJ567" s="108"/>
      <c r="BK567" s="109"/>
      <c r="BL567" s="108"/>
      <c r="BM567" s="108"/>
      <c r="BN567" s="108"/>
    </row>
    <row r="568" spans="1:66" ht="12" customHeight="1" x14ac:dyDescent="0.2">
      <c r="A568" s="179"/>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c r="AA568" s="108"/>
      <c r="AB568" s="108"/>
      <c r="AC568" s="108"/>
      <c r="AD568" s="108"/>
      <c r="AE568" s="108"/>
      <c r="AF568" s="108"/>
      <c r="AG568" s="108"/>
      <c r="AH568" s="108"/>
      <c r="AI568" s="108"/>
      <c r="AJ568" s="108"/>
      <c r="AK568" s="108"/>
      <c r="AL568" s="108"/>
      <c r="AM568" s="108"/>
      <c r="AN568" s="108"/>
      <c r="AO568" s="108"/>
      <c r="AP568" s="108"/>
      <c r="AQ568" s="108"/>
      <c r="AR568" s="108"/>
      <c r="AS568" s="108"/>
      <c r="AT568" s="108"/>
      <c r="AU568" s="108"/>
      <c r="AV568" s="108"/>
      <c r="AW568" s="108"/>
      <c r="AX568" s="108"/>
      <c r="AY568" s="108"/>
      <c r="AZ568" s="108"/>
      <c r="BA568" s="108"/>
      <c r="BB568" s="108"/>
      <c r="BC568" s="108"/>
      <c r="BD568" s="108"/>
      <c r="BE568" s="108"/>
      <c r="BF568" s="108"/>
      <c r="BG568" s="108"/>
      <c r="BH568" s="108"/>
      <c r="BI568" s="108"/>
      <c r="BJ568" s="108"/>
      <c r="BK568" s="109"/>
      <c r="BL568" s="108"/>
      <c r="BM568" s="108"/>
      <c r="BN568" s="108"/>
    </row>
    <row r="569" spans="1:66" ht="12" customHeight="1" x14ac:dyDescent="0.2">
      <c r="A569" s="179"/>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c r="AA569" s="108"/>
      <c r="AB569" s="108"/>
      <c r="AC569" s="108"/>
      <c r="AD569" s="108"/>
      <c r="AE569" s="108"/>
      <c r="AF569" s="108"/>
      <c r="AG569" s="108"/>
      <c r="AH569" s="108"/>
      <c r="AI569" s="108"/>
      <c r="AJ569" s="108"/>
      <c r="AK569" s="108"/>
      <c r="AL569" s="108"/>
      <c r="AM569" s="108"/>
      <c r="AN569" s="108"/>
      <c r="AO569" s="108"/>
      <c r="AP569" s="108"/>
      <c r="AQ569" s="108"/>
      <c r="AR569" s="108"/>
      <c r="AS569" s="108"/>
      <c r="AT569" s="108"/>
      <c r="AU569" s="108"/>
      <c r="AV569" s="108"/>
      <c r="AW569" s="108"/>
      <c r="AX569" s="108"/>
      <c r="AY569" s="108"/>
      <c r="AZ569" s="108"/>
      <c r="BA569" s="108"/>
      <c r="BB569" s="108"/>
      <c r="BC569" s="108"/>
      <c r="BD569" s="108"/>
      <c r="BE569" s="108"/>
      <c r="BF569" s="108"/>
      <c r="BG569" s="108"/>
      <c r="BH569" s="108"/>
      <c r="BI569" s="108"/>
      <c r="BJ569" s="108"/>
      <c r="BK569" s="109"/>
      <c r="BL569" s="108"/>
      <c r="BM569" s="108"/>
      <c r="BN569" s="108"/>
    </row>
    <row r="570" spans="1:66" ht="12" customHeight="1" x14ac:dyDescent="0.2">
      <c r="A570" s="179"/>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c r="AA570" s="108"/>
      <c r="AB570" s="108"/>
      <c r="AC570" s="108"/>
      <c r="AD570" s="108"/>
      <c r="AE570" s="108"/>
      <c r="AF570" s="108"/>
      <c r="AG570" s="108"/>
      <c r="AH570" s="108"/>
      <c r="AI570" s="108"/>
      <c r="AJ570" s="108"/>
      <c r="AK570" s="108"/>
      <c r="AL570" s="108"/>
      <c r="AM570" s="108"/>
      <c r="AN570" s="108"/>
      <c r="AO570" s="108"/>
      <c r="AP570" s="108"/>
      <c r="AQ570" s="108"/>
      <c r="AR570" s="108"/>
      <c r="AS570" s="108"/>
      <c r="AT570" s="108"/>
      <c r="AU570" s="108"/>
      <c r="AV570" s="108"/>
      <c r="AW570" s="108"/>
      <c r="AX570" s="108"/>
      <c r="AY570" s="108"/>
      <c r="AZ570" s="108"/>
      <c r="BA570" s="108"/>
      <c r="BB570" s="108"/>
      <c r="BC570" s="108"/>
      <c r="BD570" s="108"/>
      <c r="BE570" s="108"/>
      <c r="BF570" s="108"/>
      <c r="BG570" s="108"/>
      <c r="BH570" s="108"/>
      <c r="BI570" s="108"/>
      <c r="BJ570" s="108"/>
      <c r="BK570" s="109"/>
      <c r="BL570" s="108"/>
      <c r="BM570" s="108"/>
      <c r="BN570" s="108"/>
    </row>
    <row r="571" spans="1:66" ht="12" customHeight="1" x14ac:dyDescent="0.2">
      <c r="A571" s="179"/>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c r="AA571" s="108"/>
      <c r="AB571" s="108"/>
      <c r="AC571" s="108"/>
      <c r="AD571" s="108"/>
      <c r="AE571" s="108"/>
      <c r="AF571" s="108"/>
      <c r="AG571" s="108"/>
      <c r="AH571" s="108"/>
      <c r="AI571" s="108"/>
      <c r="AJ571" s="108"/>
      <c r="AK571" s="108"/>
      <c r="AL571" s="108"/>
      <c r="AM571" s="108"/>
      <c r="AN571" s="108"/>
      <c r="AO571" s="108"/>
      <c r="AP571" s="108"/>
      <c r="AQ571" s="108"/>
      <c r="AR571" s="108"/>
      <c r="AS571" s="108"/>
      <c r="AT571" s="108"/>
      <c r="AU571" s="108"/>
      <c r="AV571" s="108"/>
      <c r="AW571" s="108"/>
      <c r="AX571" s="108"/>
      <c r="AY571" s="108"/>
      <c r="AZ571" s="108"/>
      <c r="BA571" s="108"/>
      <c r="BB571" s="108"/>
      <c r="BC571" s="108"/>
      <c r="BD571" s="108"/>
      <c r="BE571" s="108"/>
      <c r="BF571" s="108"/>
      <c r="BG571" s="108"/>
      <c r="BH571" s="108"/>
      <c r="BI571" s="108"/>
      <c r="BJ571" s="108"/>
      <c r="BK571" s="109"/>
      <c r="BL571" s="108"/>
      <c r="BM571" s="108"/>
      <c r="BN571" s="108"/>
    </row>
    <row r="572" spans="1:66" ht="12" customHeight="1" x14ac:dyDescent="0.2">
      <c r="A572" s="179"/>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c r="AA572" s="108"/>
      <c r="AB572" s="108"/>
      <c r="AC572" s="108"/>
      <c r="AD572" s="108"/>
      <c r="AE572" s="108"/>
      <c r="AF572" s="108"/>
      <c r="AG572" s="108"/>
      <c r="AH572" s="108"/>
      <c r="AI572" s="108"/>
      <c r="AJ572" s="108"/>
      <c r="AK572" s="108"/>
      <c r="AL572" s="108"/>
      <c r="AM572" s="108"/>
      <c r="AN572" s="108"/>
      <c r="AO572" s="108"/>
      <c r="AP572" s="108"/>
      <c r="AQ572" s="108"/>
      <c r="AR572" s="108"/>
      <c r="AS572" s="108"/>
      <c r="AT572" s="108"/>
      <c r="AU572" s="108"/>
      <c r="AV572" s="108"/>
      <c r="AW572" s="108"/>
      <c r="AX572" s="108"/>
      <c r="AY572" s="108"/>
      <c r="AZ572" s="108"/>
      <c r="BA572" s="108"/>
      <c r="BB572" s="108"/>
      <c r="BC572" s="108"/>
      <c r="BD572" s="108"/>
      <c r="BE572" s="108"/>
      <c r="BF572" s="108"/>
      <c r="BG572" s="108"/>
      <c r="BH572" s="108"/>
      <c r="BI572" s="108"/>
      <c r="BJ572" s="108"/>
      <c r="BK572" s="109"/>
      <c r="BL572" s="108"/>
      <c r="BM572" s="108"/>
      <c r="BN572" s="108"/>
    </row>
    <row r="573" spans="1:66" ht="12" customHeight="1" x14ac:dyDescent="0.2">
      <c r="A573" s="179"/>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c r="AA573" s="108"/>
      <c r="AB573" s="108"/>
      <c r="AC573" s="108"/>
      <c r="AD573" s="108"/>
      <c r="AE573" s="108"/>
      <c r="AF573" s="108"/>
      <c r="AG573" s="108"/>
      <c r="AH573" s="108"/>
      <c r="AI573" s="108"/>
      <c r="AJ573" s="108"/>
      <c r="AK573" s="108"/>
      <c r="AL573" s="108"/>
      <c r="AM573" s="108"/>
      <c r="AN573" s="108"/>
      <c r="AO573" s="108"/>
      <c r="AP573" s="108"/>
      <c r="AQ573" s="108"/>
      <c r="AR573" s="108"/>
      <c r="AS573" s="108"/>
      <c r="AT573" s="108"/>
      <c r="AU573" s="108"/>
      <c r="AV573" s="108"/>
      <c r="AW573" s="108"/>
      <c r="AX573" s="108"/>
      <c r="AY573" s="108"/>
      <c r="AZ573" s="108"/>
      <c r="BA573" s="108"/>
      <c r="BB573" s="108"/>
      <c r="BC573" s="108"/>
      <c r="BD573" s="108"/>
      <c r="BE573" s="108"/>
      <c r="BF573" s="108"/>
      <c r="BG573" s="108"/>
      <c r="BH573" s="108"/>
      <c r="BI573" s="108"/>
      <c r="BJ573" s="108"/>
      <c r="BK573" s="109"/>
      <c r="BL573" s="108"/>
      <c r="BM573" s="108"/>
      <c r="BN573" s="108"/>
    </row>
    <row r="574" spans="1:66" ht="12" customHeight="1" x14ac:dyDescent="0.2">
      <c r="A574" s="179"/>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c r="AA574" s="108"/>
      <c r="AB574" s="108"/>
      <c r="AC574" s="108"/>
      <c r="AD574" s="108"/>
      <c r="AE574" s="108"/>
      <c r="AF574" s="108"/>
      <c r="AG574" s="108"/>
      <c r="AH574" s="108"/>
      <c r="AI574" s="108"/>
      <c r="AJ574" s="108"/>
      <c r="AK574" s="108"/>
      <c r="AL574" s="108"/>
      <c r="AM574" s="108"/>
      <c r="AN574" s="108"/>
      <c r="AO574" s="108"/>
      <c r="AP574" s="108"/>
      <c r="AQ574" s="108"/>
      <c r="AR574" s="108"/>
      <c r="AS574" s="108"/>
      <c r="AT574" s="108"/>
      <c r="AU574" s="108"/>
      <c r="AV574" s="108"/>
      <c r="AW574" s="108"/>
      <c r="AX574" s="108"/>
      <c r="AY574" s="108"/>
      <c r="AZ574" s="108"/>
      <c r="BA574" s="108"/>
      <c r="BB574" s="108"/>
      <c r="BC574" s="108"/>
      <c r="BD574" s="108"/>
      <c r="BE574" s="108"/>
      <c r="BF574" s="108"/>
      <c r="BG574" s="108"/>
      <c r="BH574" s="108"/>
      <c r="BI574" s="108"/>
      <c r="BJ574" s="108"/>
      <c r="BK574" s="109"/>
      <c r="BL574" s="108"/>
      <c r="BM574" s="108"/>
      <c r="BN574" s="108"/>
    </row>
    <row r="575" spans="1:66" ht="12" customHeight="1" x14ac:dyDescent="0.2">
      <c r="A575" s="179"/>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c r="AA575" s="108"/>
      <c r="AB575" s="108"/>
      <c r="AC575" s="108"/>
      <c r="AD575" s="108"/>
      <c r="AE575" s="108"/>
      <c r="AF575" s="108"/>
      <c r="AG575" s="108"/>
      <c r="AH575" s="108"/>
      <c r="AI575" s="108"/>
      <c r="AJ575" s="108"/>
      <c r="AK575" s="108"/>
      <c r="AL575" s="108"/>
      <c r="AM575" s="108"/>
      <c r="AN575" s="108"/>
      <c r="AO575" s="108"/>
      <c r="AP575" s="108"/>
      <c r="AQ575" s="108"/>
      <c r="AR575" s="108"/>
      <c r="AS575" s="108"/>
      <c r="AT575" s="108"/>
      <c r="AU575" s="108"/>
      <c r="AV575" s="108"/>
      <c r="AW575" s="108"/>
      <c r="AX575" s="108"/>
      <c r="AY575" s="108"/>
      <c r="AZ575" s="108"/>
      <c r="BA575" s="108"/>
      <c r="BB575" s="108"/>
      <c r="BC575" s="108"/>
      <c r="BD575" s="108"/>
      <c r="BE575" s="108"/>
      <c r="BF575" s="108"/>
      <c r="BG575" s="108"/>
      <c r="BH575" s="108"/>
      <c r="BI575" s="108"/>
      <c r="BJ575" s="108"/>
      <c r="BK575" s="109"/>
      <c r="BL575" s="108"/>
      <c r="BM575" s="108"/>
      <c r="BN575" s="108"/>
    </row>
    <row r="576" spans="1:66" ht="12" customHeight="1" x14ac:dyDescent="0.2">
      <c r="A576" s="179"/>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c r="AA576" s="108"/>
      <c r="AB576" s="108"/>
      <c r="AC576" s="108"/>
      <c r="AD576" s="108"/>
      <c r="AE576" s="108"/>
      <c r="AF576" s="108"/>
      <c r="AG576" s="108"/>
      <c r="AH576" s="108"/>
      <c r="AI576" s="108"/>
      <c r="AJ576" s="108"/>
      <c r="AK576" s="108"/>
      <c r="AL576" s="108"/>
      <c r="AM576" s="108"/>
      <c r="AN576" s="108"/>
      <c r="AO576" s="108"/>
      <c r="AP576" s="108"/>
      <c r="AQ576" s="108"/>
      <c r="AR576" s="108"/>
      <c r="AS576" s="108"/>
      <c r="AT576" s="108"/>
      <c r="AU576" s="108"/>
      <c r="AV576" s="108"/>
      <c r="AW576" s="108"/>
      <c r="AX576" s="108"/>
      <c r="AY576" s="108"/>
      <c r="AZ576" s="108"/>
      <c r="BA576" s="108"/>
      <c r="BB576" s="108"/>
      <c r="BC576" s="108"/>
      <c r="BD576" s="108"/>
      <c r="BE576" s="108"/>
      <c r="BF576" s="108"/>
      <c r="BG576" s="108"/>
      <c r="BH576" s="108"/>
      <c r="BI576" s="108"/>
      <c r="BJ576" s="108"/>
      <c r="BK576" s="109"/>
      <c r="BL576" s="108"/>
      <c r="BM576" s="108"/>
      <c r="BN576" s="108"/>
    </row>
    <row r="577" spans="1:66" ht="12" customHeight="1" x14ac:dyDescent="0.2">
      <c r="A577" s="179"/>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c r="AA577" s="108"/>
      <c r="AB577" s="108"/>
      <c r="AC577" s="108"/>
      <c r="AD577" s="108"/>
      <c r="AE577" s="108"/>
      <c r="AF577" s="108"/>
      <c r="AG577" s="108"/>
      <c r="AH577" s="108"/>
      <c r="AI577" s="108"/>
      <c r="AJ577" s="108"/>
      <c r="AK577" s="108"/>
      <c r="AL577" s="108"/>
      <c r="AM577" s="108"/>
      <c r="AN577" s="108"/>
      <c r="AO577" s="108"/>
      <c r="AP577" s="108"/>
      <c r="AQ577" s="108"/>
      <c r="AR577" s="108"/>
      <c r="AS577" s="108"/>
      <c r="AT577" s="108"/>
      <c r="AU577" s="108"/>
      <c r="AV577" s="108"/>
      <c r="AW577" s="108"/>
      <c r="AX577" s="108"/>
      <c r="AY577" s="108"/>
      <c r="AZ577" s="108"/>
      <c r="BA577" s="108"/>
      <c r="BB577" s="108"/>
      <c r="BC577" s="108"/>
      <c r="BD577" s="108"/>
      <c r="BE577" s="108"/>
      <c r="BF577" s="108"/>
      <c r="BG577" s="108"/>
      <c r="BH577" s="108"/>
      <c r="BI577" s="108"/>
      <c r="BJ577" s="108"/>
      <c r="BK577" s="109"/>
      <c r="BL577" s="108"/>
      <c r="BM577" s="108"/>
      <c r="BN577" s="108"/>
    </row>
    <row r="578" spans="1:66" ht="12" customHeight="1" x14ac:dyDescent="0.2">
      <c r="A578" s="179"/>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c r="AA578" s="108"/>
      <c r="AB578" s="108"/>
      <c r="AC578" s="108"/>
      <c r="AD578" s="108"/>
      <c r="AE578" s="108"/>
      <c r="AF578" s="108"/>
      <c r="AG578" s="108"/>
      <c r="AH578" s="108"/>
      <c r="AI578" s="108"/>
      <c r="AJ578" s="108"/>
      <c r="AK578" s="108"/>
      <c r="AL578" s="108"/>
      <c r="AM578" s="108"/>
      <c r="AN578" s="108"/>
      <c r="AO578" s="108"/>
      <c r="AP578" s="108"/>
      <c r="AQ578" s="108"/>
      <c r="AR578" s="108"/>
      <c r="AS578" s="108"/>
      <c r="AT578" s="108"/>
      <c r="AU578" s="108"/>
      <c r="AV578" s="108"/>
      <c r="AW578" s="108"/>
      <c r="AX578" s="108"/>
      <c r="AY578" s="108"/>
      <c r="AZ578" s="108"/>
      <c r="BA578" s="108"/>
      <c r="BB578" s="108"/>
      <c r="BC578" s="108"/>
      <c r="BD578" s="108"/>
      <c r="BE578" s="108"/>
      <c r="BF578" s="108"/>
      <c r="BG578" s="108"/>
      <c r="BH578" s="108"/>
      <c r="BI578" s="108"/>
      <c r="BJ578" s="108"/>
      <c r="BK578" s="109"/>
      <c r="BL578" s="108"/>
      <c r="BM578" s="108"/>
      <c r="BN578" s="108"/>
    </row>
    <row r="579" spans="1:66" ht="12" customHeight="1" x14ac:dyDescent="0.2">
      <c r="A579" s="179"/>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c r="AA579" s="108"/>
      <c r="AB579" s="108"/>
      <c r="AC579" s="108"/>
      <c r="AD579" s="108"/>
      <c r="AE579" s="108"/>
      <c r="AF579" s="108"/>
      <c r="AG579" s="108"/>
      <c r="AH579" s="108"/>
      <c r="AI579" s="108"/>
      <c r="AJ579" s="108"/>
      <c r="AK579" s="108"/>
      <c r="AL579" s="108"/>
      <c r="AM579" s="108"/>
      <c r="AN579" s="108"/>
      <c r="AO579" s="108"/>
      <c r="AP579" s="108"/>
      <c r="AQ579" s="108"/>
      <c r="AR579" s="108"/>
      <c r="AS579" s="108"/>
      <c r="AT579" s="108"/>
      <c r="AU579" s="108"/>
      <c r="AV579" s="108"/>
      <c r="AW579" s="108"/>
      <c r="AX579" s="108"/>
      <c r="AY579" s="108"/>
      <c r="AZ579" s="108"/>
      <c r="BA579" s="108"/>
      <c r="BB579" s="108"/>
      <c r="BC579" s="108"/>
      <c r="BD579" s="108"/>
      <c r="BE579" s="108"/>
      <c r="BF579" s="108"/>
      <c r="BG579" s="108"/>
      <c r="BH579" s="108"/>
      <c r="BI579" s="108"/>
      <c r="BJ579" s="108"/>
      <c r="BK579" s="109"/>
      <c r="BL579" s="108"/>
      <c r="BM579" s="108"/>
      <c r="BN579" s="108"/>
    </row>
    <row r="580" spans="1:66" ht="12" customHeight="1" x14ac:dyDescent="0.2">
      <c r="A580" s="179"/>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c r="AA580" s="108"/>
      <c r="AB580" s="108"/>
      <c r="AC580" s="108"/>
      <c r="AD580" s="108"/>
      <c r="AE580" s="108"/>
      <c r="AF580" s="108"/>
      <c r="AG580" s="108"/>
      <c r="AH580" s="108"/>
      <c r="AI580" s="108"/>
      <c r="AJ580" s="108"/>
      <c r="AK580" s="108"/>
      <c r="AL580" s="108"/>
      <c r="AM580" s="108"/>
      <c r="AN580" s="108"/>
      <c r="AO580" s="108"/>
      <c r="AP580" s="108"/>
      <c r="AQ580" s="108"/>
      <c r="AR580" s="108"/>
      <c r="AS580" s="108"/>
      <c r="AT580" s="108"/>
      <c r="AU580" s="108"/>
      <c r="AV580" s="108"/>
      <c r="AW580" s="108"/>
      <c r="AX580" s="108"/>
      <c r="AY580" s="108"/>
      <c r="AZ580" s="108"/>
      <c r="BA580" s="108"/>
      <c r="BB580" s="108"/>
      <c r="BC580" s="108"/>
      <c r="BD580" s="108"/>
      <c r="BE580" s="108"/>
      <c r="BF580" s="108"/>
      <c r="BG580" s="108"/>
      <c r="BH580" s="108"/>
      <c r="BI580" s="108"/>
      <c r="BJ580" s="108"/>
      <c r="BK580" s="109"/>
      <c r="BL580" s="108"/>
      <c r="BM580" s="108"/>
      <c r="BN580" s="108"/>
    </row>
    <row r="581" spans="1:66" ht="12" customHeight="1" x14ac:dyDescent="0.2">
      <c r="A581" s="179"/>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c r="AA581" s="108"/>
      <c r="AB581" s="108"/>
      <c r="AC581" s="108"/>
      <c r="AD581" s="108"/>
      <c r="AE581" s="108"/>
      <c r="AF581" s="108"/>
      <c r="AG581" s="108"/>
      <c r="AH581" s="108"/>
      <c r="AI581" s="108"/>
      <c r="AJ581" s="108"/>
      <c r="AK581" s="108"/>
      <c r="AL581" s="108"/>
      <c r="AM581" s="108"/>
      <c r="AN581" s="108"/>
      <c r="AO581" s="108"/>
      <c r="AP581" s="108"/>
      <c r="AQ581" s="108"/>
      <c r="AR581" s="108"/>
      <c r="AS581" s="108"/>
      <c r="AT581" s="108"/>
      <c r="AU581" s="108"/>
      <c r="AV581" s="108"/>
      <c r="AW581" s="108"/>
      <c r="AX581" s="108"/>
      <c r="AY581" s="108"/>
      <c r="AZ581" s="108"/>
      <c r="BA581" s="108"/>
      <c r="BB581" s="108"/>
      <c r="BC581" s="108"/>
      <c r="BD581" s="108"/>
      <c r="BE581" s="108"/>
      <c r="BF581" s="108"/>
      <c r="BG581" s="108"/>
      <c r="BH581" s="108"/>
      <c r="BI581" s="108"/>
      <c r="BJ581" s="108"/>
      <c r="BK581" s="109"/>
      <c r="BL581" s="108"/>
      <c r="BM581" s="108"/>
      <c r="BN581" s="108"/>
    </row>
    <row r="582" spans="1:66" ht="12" customHeight="1" x14ac:dyDescent="0.2">
      <c r="A582" s="179"/>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c r="AA582" s="108"/>
      <c r="AB582" s="108"/>
      <c r="AC582" s="108"/>
      <c r="AD582" s="108"/>
      <c r="AE582" s="108"/>
      <c r="AF582" s="108"/>
      <c r="AG582" s="108"/>
      <c r="AH582" s="108"/>
      <c r="AI582" s="108"/>
      <c r="AJ582" s="108"/>
      <c r="AK582" s="108"/>
      <c r="AL582" s="108"/>
      <c r="AM582" s="108"/>
      <c r="AN582" s="108"/>
      <c r="AO582" s="108"/>
      <c r="AP582" s="108"/>
      <c r="AQ582" s="108"/>
      <c r="AR582" s="108"/>
      <c r="AS582" s="108"/>
      <c r="AT582" s="108"/>
      <c r="AU582" s="108"/>
      <c r="AV582" s="108"/>
      <c r="AW582" s="108"/>
      <c r="AX582" s="108"/>
      <c r="AY582" s="108"/>
      <c r="AZ582" s="108"/>
      <c r="BA582" s="108"/>
      <c r="BB582" s="108"/>
      <c r="BC582" s="108"/>
      <c r="BD582" s="108"/>
      <c r="BE582" s="108"/>
      <c r="BF582" s="108"/>
      <c r="BG582" s="108"/>
      <c r="BH582" s="108"/>
      <c r="BI582" s="108"/>
      <c r="BJ582" s="108"/>
      <c r="BK582" s="109"/>
      <c r="BL582" s="108"/>
      <c r="BM582" s="108"/>
      <c r="BN582" s="108"/>
    </row>
    <row r="583" spans="1:66" ht="12" customHeight="1" x14ac:dyDescent="0.2">
      <c r="A583" s="179"/>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c r="AA583" s="108"/>
      <c r="AB583" s="108"/>
      <c r="AC583" s="108"/>
      <c r="AD583" s="108"/>
      <c r="AE583" s="108"/>
      <c r="AF583" s="108"/>
      <c r="AG583" s="108"/>
      <c r="AH583" s="108"/>
      <c r="AI583" s="108"/>
      <c r="AJ583" s="108"/>
      <c r="AK583" s="108"/>
      <c r="AL583" s="108"/>
      <c r="AM583" s="108"/>
      <c r="AN583" s="108"/>
      <c r="AO583" s="108"/>
      <c r="AP583" s="108"/>
      <c r="AQ583" s="108"/>
      <c r="AR583" s="108"/>
      <c r="AS583" s="108"/>
      <c r="AT583" s="108"/>
      <c r="AU583" s="108"/>
      <c r="AV583" s="108"/>
      <c r="AW583" s="108"/>
      <c r="AX583" s="108"/>
      <c r="AY583" s="108"/>
      <c r="AZ583" s="108"/>
      <c r="BA583" s="108"/>
      <c r="BB583" s="108"/>
      <c r="BC583" s="108"/>
      <c r="BD583" s="108"/>
      <c r="BE583" s="108"/>
      <c r="BF583" s="108"/>
      <c r="BG583" s="108"/>
      <c r="BH583" s="108"/>
      <c r="BI583" s="108"/>
      <c r="BJ583" s="108"/>
      <c r="BK583" s="109"/>
      <c r="BL583" s="108"/>
      <c r="BM583" s="108"/>
      <c r="BN583" s="108"/>
    </row>
    <row r="584" spans="1:66" ht="12" customHeight="1" x14ac:dyDescent="0.2">
      <c r="A584" s="179"/>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c r="AA584" s="108"/>
      <c r="AB584" s="108"/>
      <c r="AC584" s="108"/>
      <c r="AD584" s="108"/>
      <c r="AE584" s="108"/>
      <c r="AF584" s="108"/>
      <c r="AG584" s="108"/>
      <c r="AH584" s="108"/>
      <c r="AI584" s="108"/>
      <c r="AJ584" s="108"/>
      <c r="AK584" s="108"/>
      <c r="AL584" s="108"/>
      <c r="AM584" s="108"/>
      <c r="AN584" s="108"/>
      <c r="AO584" s="108"/>
      <c r="AP584" s="108"/>
      <c r="AQ584" s="108"/>
      <c r="AR584" s="108"/>
      <c r="AS584" s="108"/>
      <c r="AT584" s="108"/>
      <c r="AU584" s="108"/>
      <c r="AV584" s="108"/>
      <c r="AW584" s="108"/>
      <c r="AX584" s="108"/>
      <c r="AY584" s="108"/>
      <c r="AZ584" s="108"/>
      <c r="BA584" s="108"/>
      <c r="BB584" s="108"/>
      <c r="BC584" s="108"/>
      <c r="BD584" s="108"/>
      <c r="BE584" s="108"/>
      <c r="BF584" s="108"/>
      <c r="BG584" s="108"/>
      <c r="BH584" s="108"/>
      <c r="BI584" s="108"/>
      <c r="BJ584" s="108"/>
      <c r="BK584" s="109"/>
      <c r="BL584" s="108"/>
      <c r="BM584" s="108"/>
      <c r="BN584" s="108"/>
    </row>
    <row r="585" spans="1:66" ht="12" customHeight="1" x14ac:dyDescent="0.2">
      <c r="A585" s="179"/>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c r="AA585" s="108"/>
      <c r="AB585" s="108"/>
      <c r="AC585" s="108"/>
      <c r="AD585" s="108"/>
      <c r="AE585" s="108"/>
      <c r="AF585" s="108"/>
      <c r="AG585" s="108"/>
      <c r="AH585" s="108"/>
      <c r="AI585" s="108"/>
      <c r="AJ585" s="108"/>
      <c r="AK585" s="108"/>
      <c r="AL585" s="108"/>
      <c r="AM585" s="108"/>
      <c r="AN585" s="108"/>
      <c r="AO585" s="108"/>
      <c r="AP585" s="108"/>
      <c r="AQ585" s="108"/>
      <c r="AR585" s="108"/>
      <c r="AS585" s="108"/>
      <c r="AT585" s="108"/>
      <c r="AU585" s="108"/>
      <c r="AV585" s="108"/>
      <c r="AW585" s="108"/>
      <c r="AX585" s="108"/>
      <c r="AY585" s="108"/>
      <c r="AZ585" s="108"/>
      <c r="BA585" s="108"/>
      <c r="BB585" s="108"/>
      <c r="BC585" s="108"/>
      <c r="BD585" s="108"/>
      <c r="BE585" s="108"/>
      <c r="BF585" s="108"/>
      <c r="BG585" s="108"/>
      <c r="BH585" s="108"/>
      <c r="BI585" s="108"/>
      <c r="BJ585" s="108"/>
      <c r="BK585" s="109"/>
      <c r="BL585" s="108"/>
      <c r="BM585" s="108"/>
      <c r="BN585" s="108"/>
    </row>
    <row r="586" spans="1:66" ht="12" customHeight="1" x14ac:dyDescent="0.2">
      <c r="A586" s="179"/>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c r="AA586" s="108"/>
      <c r="AB586" s="108"/>
      <c r="AC586" s="108"/>
      <c r="AD586" s="108"/>
      <c r="AE586" s="108"/>
      <c r="AF586" s="108"/>
      <c r="AG586" s="108"/>
      <c r="AH586" s="108"/>
      <c r="AI586" s="108"/>
      <c r="AJ586" s="108"/>
      <c r="AK586" s="108"/>
      <c r="AL586" s="108"/>
      <c r="AM586" s="108"/>
      <c r="AN586" s="108"/>
      <c r="AO586" s="108"/>
      <c r="AP586" s="108"/>
      <c r="AQ586" s="108"/>
      <c r="AR586" s="108"/>
      <c r="AS586" s="108"/>
      <c r="AT586" s="108"/>
      <c r="AU586" s="108"/>
      <c r="AV586" s="108"/>
      <c r="AW586" s="108"/>
      <c r="AX586" s="108"/>
      <c r="AY586" s="108"/>
      <c r="AZ586" s="108"/>
      <c r="BA586" s="108"/>
      <c r="BB586" s="108"/>
      <c r="BC586" s="108"/>
      <c r="BD586" s="108"/>
      <c r="BE586" s="108"/>
      <c r="BF586" s="108"/>
      <c r="BG586" s="108"/>
      <c r="BH586" s="108"/>
      <c r="BI586" s="108"/>
      <c r="BJ586" s="108"/>
      <c r="BK586" s="109"/>
      <c r="BL586" s="108"/>
      <c r="BM586" s="108"/>
      <c r="BN586" s="108"/>
    </row>
    <row r="587" spans="1:66" ht="12" customHeight="1" x14ac:dyDescent="0.2">
      <c r="A587" s="179"/>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c r="AA587" s="108"/>
      <c r="AB587" s="108"/>
      <c r="AC587" s="108"/>
      <c r="AD587" s="108"/>
      <c r="AE587" s="108"/>
      <c r="AF587" s="108"/>
      <c r="AG587" s="108"/>
      <c r="AH587" s="108"/>
      <c r="AI587" s="108"/>
      <c r="AJ587" s="108"/>
      <c r="AK587" s="108"/>
      <c r="AL587" s="108"/>
      <c r="AM587" s="108"/>
      <c r="AN587" s="108"/>
      <c r="AO587" s="108"/>
      <c r="AP587" s="108"/>
      <c r="AQ587" s="108"/>
      <c r="AR587" s="108"/>
      <c r="AS587" s="108"/>
      <c r="AT587" s="108"/>
      <c r="AU587" s="108"/>
      <c r="AV587" s="108"/>
      <c r="AW587" s="108"/>
      <c r="AX587" s="108"/>
      <c r="AY587" s="108"/>
      <c r="AZ587" s="108"/>
      <c r="BA587" s="108"/>
      <c r="BB587" s="108"/>
      <c r="BC587" s="108"/>
      <c r="BD587" s="108"/>
      <c r="BE587" s="108"/>
      <c r="BF587" s="108"/>
      <c r="BG587" s="108"/>
      <c r="BH587" s="108"/>
      <c r="BI587" s="108"/>
      <c r="BJ587" s="108"/>
      <c r="BK587" s="109"/>
      <c r="BL587" s="108"/>
      <c r="BM587" s="108"/>
      <c r="BN587" s="108"/>
    </row>
    <row r="588" spans="1:66" ht="12" customHeight="1" x14ac:dyDescent="0.2">
      <c r="A588" s="179"/>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c r="AA588" s="108"/>
      <c r="AB588" s="108"/>
      <c r="AC588" s="108"/>
      <c r="AD588" s="108"/>
      <c r="AE588" s="108"/>
      <c r="AF588" s="108"/>
      <c r="AG588" s="108"/>
      <c r="AH588" s="108"/>
      <c r="AI588" s="108"/>
      <c r="AJ588" s="108"/>
      <c r="AK588" s="108"/>
      <c r="AL588" s="108"/>
      <c r="AM588" s="108"/>
      <c r="AN588" s="108"/>
      <c r="AO588" s="108"/>
      <c r="AP588" s="108"/>
      <c r="AQ588" s="108"/>
      <c r="AR588" s="108"/>
      <c r="AS588" s="108"/>
      <c r="AT588" s="108"/>
      <c r="AU588" s="108"/>
      <c r="AV588" s="108"/>
      <c r="AW588" s="108"/>
      <c r="AX588" s="108"/>
      <c r="AY588" s="108"/>
      <c r="AZ588" s="108"/>
      <c r="BA588" s="108"/>
      <c r="BB588" s="108"/>
      <c r="BC588" s="108"/>
      <c r="BD588" s="108"/>
      <c r="BE588" s="108"/>
      <c r="BF588" s="108"/>
      <c r="BG588" s="108"/>
      <c r="BH588" s="108"/>
      <c r="BI588" s="108"/>
      <c r="BJ588" s="108"/>
      <c r="BK588" s="109"/>
      <c r="BL588" s="108"/>
      <c r="BM588" s="108"/>
      <c r="BN588" s="108"/>
    </row>
    <row r="589" spans="1:66" ht="12" customHeight="1" x14ac:dyDescent="0.2">
      <c r="A589" s="179"/>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c r="AA589" s="108"/>
      <c r="AB589" s="108"/>
      <c r="AC589" s="108"/>
      <c r="AD589" s="108"/>
      <c r="AE589" s="108"/>
      <c r="AF589" s="108"/>
      <c r="AG589" s="108"/>
      <c r="AH589" s="108"/>
      <c r="AI589" s="108"/>
      <c r="AJ589" s="108"/>
      <c r="AK589" s="108"/>
      <c r="AL589" s="108"/>
      <c r="AM589" s="108"/>
      <c r="AN589" s="108"/>
      <c r="AO589" s="108"/>
      <c r="AP589" s="108"/>
      <c r="AQ589" s="108"/>
      <c r="AR589" s="108"/>
      <c r="AS589" s="108"/>
      <c r="AT589" s="108"/>
      <c r="AU589" s="108"/>
      <c r="AV589" s="108"/>
      <c r="AW589" s="108"/>
      <c r="AX589" s="108"/>
      <c r="AY589" s="108"/>
      <c r="AZ589" s="108"/>
      <c r="BA589" s="108"/>
      <c r="BB589" s="108"/>
      <c r="BC589" s="108"/>
      <c r="BD589" s="108"/>
      <c r="BE589" s="108"/>
      <c r="BF589" s="108"/>
      <c r="BG589" s="108"/>
      <c r="BH589" s="108"/>
      <c r="BI589" s="108"/>
      <c r="BJ589" s="108"/>
      <c r="BK589" s="109"/>
      <c r="BL589" s="108"/>
      <c r="BM589" s="108"/>
      <c r="BN589" s="108"/>
    </row>
    <row r="590" spans="1:66" ht="12" customHeight="1" x14ac:dyDescent="0.2">
      <c r="A590" s="179"/>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c r="AA590" s="108"/>
      <c r="AB590" s="108"/>
      <c r="AC590" s="108"/>
      <c r="AD590" s="108"/>
      <c r="AE590" s="108"/>
      <c r="AF590" s="108"/>
      <c r="AG590" s="108"/>
      <c r="AH590" s="108"/>
      <c r="AI590" s="108"/>
      <c r="AJ590" s="108"/>
      <c r="AK590" s="108"/>
      <c r="AL590" s="108"/>
      <c r="AM590" s="108"/>
      <c r="AN590" s="108"/>
      <c r="AO590" s="108"/>
      <c r="AP590" s="108"/>
      <c r="AQ590" s="108"/>
      <c r="AR590" s="108"/>
      <c r="AS590" s="108"/>
      <c r="AT590" s="108"/>
      <c r="AU590" s="108"/>
      <c r="AV590" s="108"/>
      <c r="AW590" s="108"/>
      <c r="AX590" s="108"/>
      <c r="AY590" s="108"/>
      <c r="AZ590" s="108"/>
      <c r="BA590" s="108"/>
      <c r="BB590" s="108"/>
      <c r="BC590" s="108"/>
      <c r="BD590" s="108"/>
      <c r="BE590" s="108"/>
      <c r="BF590" s="108"/>
      <c r="BG590" s="108"/>
      <c r="BH590" s="108"/>
      <c r="BI590" s="108"/>
      <c r="BJ590" s="108"/>
      <c r="BK590" s="109"/>
      <c r="BL590" s="108"/>
      <c r="BM590" s="108"/>
      <c r="BN590" s="108"/>
    </row>
    <row r="591" spans="1:66" ht="12" customHeight="1" x14ac:dyDescent="0.2">
      <c r="A591" s="179"/>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c r="AA591" s="108"/>
      <c r="AB591" s="108"/>
      <c r="AC591" s="108"/>
      <c r="AD591" s="108"/>
      <c r="AE591" s="108"/>
      <c r="AF591" s="108"/>
      <c r="AG591" s="108"/>
      <c r="AH591" s="108"/>
      <c r="AI591" s="108"/>
      <c r="AJ591" s="108"/>
      <c r="AK591" s="108"/>
      <c r="AL591" s="108"/>
      <c r="AM591" s="108"/>
      <c r="AN591" s="108"/>
      <c r="AO591" s="108"/>
      <c r="AP591" s="108"/>
      <c r="AQ591" s="108"/>
      <c r="AR591" s="108"/>
      <c r="AS591" s="108"/>
      <c r="AT591" s="108"/>
      <c r="AU591" s="108"/>
      <c r="AV591" s="108"/>
      <c r="AW591" s="108"/>
      <c r="AX591" s="108"/>
      <c r="AY591" s="108"/>
      <c r="AZ591" s="108"/>
      <c r="BA591" s="108"/>
      <c r="BB591" s="108"/>
      <c r="BC591" s="108"/>
      <c r="BD591" s="108"/>
      <c r="BE591" s="108"/>
      <c r="BF591" s="108"/>
      <c r="BG591" s="108"/>
      <c r="BH591" s="108"/>
      <c r="BI591" s="108"/>
      <c r="BJ591" s="108"/>
      <c r="BK591" s="109"/>
      <c r="BL591" s="108"/>
      <c r="BM591" s="108"/>
      <c r="BN591" s="108"/>
    </row>
    <row r="592" spans="1:66" ht="12" customHeight="1" x14ac:dyDescent="0.2">
      <c r="A592" s="179"/>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c r="AA592" s="108"/>
      <c r="AB592" s="108"/>
      <c r="AC592" s="108"/>
      <c r="AD592" s="108"/>
      <c r="AE592" s="108"/>
      <c r="AF592" s="108"/>
      <c r="AG592" s="108"/>
      <c r="AH592" s="108"/>
      <c r="AI592" s="108"/>
      <c r="AJ592" s="108"/>
      <c r="AK592" s="108"/>
      <c r="AL592" s="108"/>
      <c r="AM592" s="108"/>
      <c r="AN592" s="108"/>
      <c r="AO592" s="108"/>
      <c r="AP592" s="108"/>
      <c r="AQ592" s="108"/>
      <c r="AR592" s="108"/>
      <c r="AS592" s="108"/>
      <c r="AT592" s="108"/>
      <c r="AU592" s="108"/>
      <c r="AV592" s="108"/>
      <c r="AW592" s="108"/>
      <c r="AX592" s="108"/>
      <c r="AY592" s="108"/>
      <c r="AZ592" s="108"/>
      <c r="BA592" s="108"/>
      <c r="BB592" s="108"/>
      <c r="BC592" s="108"/>
      <c r="BD592" s="108"/>
      <c r="BE592" s="108"/>
      <c r="BF592" s="108"/>
      <c r="BG592" s="108"/>
      <c r="BH592" s="108"/>
      <c r="BI592" s="108"/>
      <c r="BJ592" s="108"/>
      <c r="BK592" s="109"/>
      <c r="BL592" s="108"/>
      <c r="BM592" s="108"/>
      <c r="BN592" s="108"/>
    </row>
    <row r="593" spans="1:66" ht="12" customHeight="1" x14ac:dyDescent="0.2">
      <c r="A593" s="179"/>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c r="AA593" s="108"/>
      <c r="AB593" s="108"/>
      <c r="AC593" s="108"/>
      <c r="AD593" s="108"/>
      <c r="AE593" s="108"/>
      <c r="AF593" s="108"/>
      <c r="AG593" s="108"/>
      <c r="AH593" s="108"/>
      <c r="AI593" s="108"/>
      <c r="AJ593" s="108"/>
      <c r="AK593" s="108"/>
      <c r="AL593" s="108"/>
      <c r="AM593" s="108"/>
      <c r="AN593" s="108"/>
      <c r="AO593" s="108"/>
      <c r="AP593" s="108"/>
      <c r="AQ593" s="108"/>
      <c r="AR593" s="108"/>
      <c r="AS593" s="108"/>
      <c r="AT593" s="108"/>
      <c r="AU593" s="108"/>
      <c r="AV593" s="108"/>
      <c r="AW593" s="108"/>
      <c r="AX593" s="108"/>
      <c r="AY593" s="108"/>
      <c r="AZ593" s="108"/>
      <c r="BA593" s="108"/>
      <c r="BB593" s="108"/>
      <c r="BC593" s="108"/>
      <c r="BD593" s="108"/>
      <c r="BE593" s="108"/>
      <c r="BF593" s="108"/>
      <c r="BG593" s="108"/>
      <c r="BH593" s="108"/>
      <c r="BI593" s="108"/>
      <c r="BJ593" s="108"/>
      <c r="BK593" s="109"/>
      <c r="BL593" s="108"/>
      <c r="BM593" s="108"/>
      <c r="BN593" s="108"/>
    </row>
    <row r="594" spans="1:66" ht="12" customHeight="1" x14ac:dyDescent="0.2">
      <c r="A594" s="179"/>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c r="AA594" s="108"/>
      <c r="AB594" s="108"/>
      <c r="AC594" s="108"/>
      <c r="AD594" s="108"/>
      <c r="AE594" s="108"/>
      <c r="AF594" s="108"/>
      <c r="AG594" s="108"/>
      <c r="AH594" s="108"/>
      <c r="AI594" s="108"/>
      <c r="AJ594" s="108"/>
      <c r="AK594" s="108"/>
      <c r="AL594" s="108"/>
      <c r="AM594" s="108"/>
      <c r="AN594" s="108"/>
      <c r="AO594" s="108"/>
      <c r="AP594" s="108"/>
      <c r="AQ594" s="108"/>
      <c r="AR594" s="108"/>
      <c r="AS594" s="108"/>
      <c r="AT594" s="108"/>
      <c r="AU594" s="108"/>
      <c r="AV594" s="108"/>
      <c r="AW594" s="108"/>
      <c r="AX594" s="108"/>
      <c r="AY594" s="108"/>
      <c r="AZ594" s="108"/>
      <c r="BA594" s="108"/>
      <c r="BB594" s="108"/>
      <c r="BC594" s="108"/>
      <c r="BD594" s="108"/>
      <c r="BE594" s="108"/>
      <c r="BF594" s="108"/>
      <c r="BG594" s="108"/>
      <c r="BH594" s="108"/>
      <c r="BI594" s="108"/>
      <c r="BJ594" s="108"/>
      <c r="BK594" s="109"/>
      <c r="BL594" s="108"/>
      <c r="BM594" s="108"/>
      <c r="BN594" s="108"/>
    </row>
    <row r="595" spans="1:66" ht="12" customHeight="1" x14ac:dyDescent="0.2">
      <c r="A595" s="179"/>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c r="AA595" s="108"/>
      <c r="AB595" s="108"/>
      <c r="AC595" s="108"/>
      <c r="AD595" s="108"/>
      <c r="AE595" s="108"/>
      <c r="AF595" s="108"/>
      <c r="AG595" s="108"/>
      <c r="AH595" s="108"/>
      <c r="AI595" s="108"/>
      <c r="AJ595" s="108"/>
      <c r="AK595" s="108"/>
      <c r="AL595" s="108"/>
      <c r="AM595" s="108"/>
      <c r="AN595" s="108"/>
      <c r="AO595" s="108"/>
      <c r="AP595" s="108"/>
      <c r="AQ595" s="108"/>
      <c r="AR595" s="108"/>
      <c r="AS595" s="108"/>
      <c r="AT595" s="108"/>
      <c r="AU595" s="108"/>
      <c r="AV595" s="108"/>
      <c r="AW595" s="108"/>
      <c r="AX595" s="108"/>
      <c r="AY595" s="108"/>
      <c r="AZ595" s="108"/>
      <c r="BA595" s="108"/>
      <c r="BB595" s="108"/>
      <c r="BC595" s="108"/>
      <c r="BD595" s="108"/>
      <c r="BE595" s="108"/>
      <c r="BF595" s="108"/>
      <c r="BG595" s="108"/>
      <c r="BH595" s="108"/>
      <c r="BI595" s="108"/>
      <c r="BJ595" s="108"/>
      <c r="BK595" s="109"/>
      <c r="BL595" s="108"/>
      <c r="BM595" s="108"/>
      <c r="BN595" s="108"/>
    </row>
    <row r="596" spans="1:66" ht="12" customHeight="1" x14ac:dyDescent="0.2">
      <c r="A596" s="179"/>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c r="AA596" s="108"/>
      <c r="AB596" s="108"/>
      <c r="AC596" s="108"/>
      <c r="AD596" s="108"/>
      <c r="AE596" s="108"/>
      <c r="AF596" s="108"/>
      <c r="AG596" s="108"/>
      <c r="AH596" s="108"/>
      <c r="AI596" s="108"/>
      <c r="AJ596" s="108"/>
      <c r="AK596" s="108"/>
      <c r="AL596" s="108"/>
      <c r="AM596" s="108"/>
      <c r="AN596" s="108"/>
      <c r="AO596" s="108"/>
      <c r="AP596" s="108"/>
      <c r="AQ596" s="108"/>
      <c r="AR596" s="108"/>
      <c r="AS596" s="108"/>
      <c r="AT596" s="108"/>
      <c r="AU596" s="108"/>
      <c r="AV596" s="108"/>
      <c r="AW596" s="108"/>
      <c r="AX596" s="108"/>
      <c r="AY596" s="108"/>
      <c r="AZ596" s="108"/>
      <c r="BA596" s="108"/>
      <c r="BB596" s="108"/>
      <c r="BC596" s="108"/>
      <c r="BD596" s="108"/>
      <c r="BE596" s="108"/>
      <c r="BF596" s="108"/>
      <c r="BG596" s="108"/>
      <c r="BH596" s="108"/>
      <c r="BI596" s="108"/>
      <c r="BJ596" s="108"/>
      <c r="BK596" s="109"/>
      <c r="BL596" s="108"/>
      <c r="BM596" s="108"/>
      <c r="BN596" s="108"/>
    </row>
    <row r="597" spans="1:66" ht="12" customHeight="1" x14ac:dyDescent="0.2">
      <c r="A597" s="179"/>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c r="AA597" s="108"/>
      <c r="AB597" s="108"/>
      <c r="AC597" s="108"/>
      <c r="AD597" s="108"/>
      <c r="AE597" s="108"/>
      <c r="AF597" s="108"/>
      <c r="AG597" s="108"/>
      <c r="AH597" s="108"/>
      <c r="AI597" s="108"/>
      <c r="AJ597" s="108"/>
      <c r="AK597" s="108"/>
      <c r="AL597" s="108"/>
      <c r="AM597" s="108"/>
      <c r="AN597" s="108"/>
      <c r="AO597" s="108"/>
      <c r="AP597" s="108"/>
      <c r="AQ597" s="108"/>
      <c r="AR597" s="108"/>
      <c r="AS597" s="108"/>
      <c r="AT597" s="108"/>
      <c r="AU597" s="108"/>
      <c r="AV597" s="108"/>
      <c r="AW597" s="108"/>
      <c r="AX597" s="108"/>
      <c r="AY597" s="108"/>
      <c r="AZ597" s="108"/>
      <c r="BA597" s="108"/>
      <c r="BB597" s="108"/>
      <c r="BC597" s="108"/>
      <c r="BD597" s="108"/>
      <c r="BE597" s="108"/>
      <c r="BF597" s="108"/>
      <c r="BG597" s="108"/>
      <c r="BH597" s="108"/>
      <c r="BI597" s="108"/>
      <c r="BJ597" s="108"/>
      <c r="BK597" s="109"/>
      <c r="BL597" s="108"/>
      <c r="BM597" s="108"/>
      <c r="BN597" s="108"/>
    </row>
    <row r="598" spans="1:66" ht="12" customHeight="1" x14ac:dyDescent="0.2">
      <c r="A598" s="179"/>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c r="AA598" s="108"/>
      <c r="AB598" s="108"/>
      <c r="AC598" s="108"/>
      <c r="AD598" s="108"/>
      <c r="AE598" s="108"/>
      <c r="AF598" s="108"/>
      <c r="AG598" s="108"/>
      <c r="AH598" s="108"/>
      <c r="AI598" s="108"/>
      <c r="AJ598" s="108"/>
      <c r="AK598" s="108"/>
      <c r="AL598" s="108"/>
      <c r="AM598" s="108"/>
      <c r="AN598" s="108"/>
      <c r="AO598" s="108"/>
      <c r="AP598" s="108"/>
      <c r="AQ598" s="108"/>
      <c r="AR598" s="108"/>
      <c r="AS598" s="108"/>
      <c r="AT598" s="108"/>
      <c r="AU598" s="108"/>
      <c r="AV598" s="108"/>
      <c r="AW598" s="108"/>
      <c r="AX598" s="108"/>
      <c r="AY598" s="108"/>
      <c r="AZ598" s="108"/>
      <c r="BA598" s="108"/>
      <c r="BB598" s="108"/>
      <c r="BC598" s="108"/>
      <c r="BD598" s="108"/>
      <c r="BE598" s="108"/>
      <c r="BF598" s="108"/>
      <c r="BG598" s="108"/>
      <c r="BH598" s="108"/>
      <c r="BI598" s="108"/>
      <c r="BJ598" s="108"/>
      <c r="BK598" s="109"/>
      <c r="BL598" s="108"/>
      <c r="BM598" s="108"/>
      <c r="BN598" s="108"/>
    </row>
    <row r="599" spans="1:66" ht="12" customHeight="1" x14ac:dyDescent="0.2">
      <c r="A599" s="179"/>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c r="AA599" s="108"/>
      <c r="AB599" s="108"/>
      <c r="AC599" s="108"/>
      <c r="AD599" s="108"/>
      <c r="AE599" s="108"/>
      <c r="AF599" s="108"/>
      <c r="AG599" s="108"/>
      <c r="AH599" s="108"/>
      <c r="AI599" s="108"/>
      <c r="AJ599" s="108"/>
      <c r="AK599" s="108"/>
      <c r="AL599" s="108"/>
      <c r="AM599" s="108"/>
      <c r="AN599" s="108"/>
      <c r="AO599" s="108"/>
      <c r="AP599" s="108"/>
      <c r="AQ599" s="108"/>
      <c r="AR599" s="108"/>
      <c r="AS599" s="108"/>
      <c r="AT599" s="108"/>
      <c r="AU599" s="108"/>
      <c r="AV599" s="108"/>
      <c r="AW599" s="108"/>
      <c r="AX599" s="108"/>
      <c r="AY599" s="108"/>
      <c r="AZ599" s="108"/>
      <c r="BA599" s="108"/>
      <c r="BB599" s="108"/>
      <c r="BC599" s="108"/>
      <c r="BD599" s="108"/>
      <c r="BE599" s="108"/>
      <c r="BF599" s="108"/>
      <c r="BG599" s="108"/>
      <c r="BH599" s="108"/>
      <c r="BI599" s="108"/>
      <c r="BJ599" s="108"/>
      <c r="BK599" s="109"/>
      <c r="BL599" s="108"/>
      <c r="BM599" s="108"/>
      <c r="BN599" s="108"/>
    </row>
    <row r="600" spans="1:66" ht="12" customHeight="1" x14ac:dyDescent="0.2">
      <c r="A600" s="179"/>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c r="AA600" s="108"/>
      <c r="AB600" s="108"/>
      <c r="AC600" s="108"/>
      <c r="AD600" s="108"/>
      <c r="AE600" s="108"/>
      <c r="AF600" s="108"/>
      <c r="AG600" s="108"/>
      <c r="AH600" s="108"/>
      <c r="AI600" s="108"/>
      <c r="AJ600" s="108"/>
      <c r="AK600" s="108"/>
      <c r="AL600" s="108"/>
      <c r="AM600" s="108"/>
      <c r="AN600" s="108"/>
      <c r="AO600" s="108"/>
      <c r="AP600" s="108"/>
      <c r="AQ600" s="108"/>
      <c r="AR600" s="108"/>
      <c r="AS600" s="108"/>
      <c r="AT600" s="108"/>
      <c r="AU600" s="108"/>
      <c r="AV600" s="108"/>
      <c r="AW600" s="108"/>
      <c r="AX600" s="108"/>
      <c r="AY600" s="108"/>
      <c r="AZ600" s="108"/>
      <c r="BA600" s="108"/>
      <c r="BB600" s="108"/>
      <c r="BC600" s="108"/>
      <c r="BD600" s="108"/>
      <c r="BE600" s="108"/>
      <c r="BF600" s="108"/>
      <c r="BG600" s="108"/>
      <c r="BH600" s="108"/>
      <c r="BI600" s="108"/>
      <c r="BJ600" s="108"/>
      <c r="BK600" s="109"/>
      <c r="BL600" s="108"/>
      <c r="BM600" s="108"/>
      <c r="BN600" s="108"/>
    </row>
    <row r="601" spans="1:66" ht="12" customHeight="1" x14ac:dyDescent="0.2">
      <c r="A601" s="179"/>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c r="AA601" s="108"/>
      <c r="AB601" s="108"/>
      <c r="AC601" s="108"/>
      <c r="AD601" s="108"/>
      <c r="AE601" s="108"/>
      <c r="AF601" s="108"/>
      <c r="AG601" s="108"/>
      <c r="AH601" s="108"/>
      <c r="AI601" s="108"/>
      <c r="AJ601" s="108"/>
      <c r="AK601" s="108"/>
      <c r="AL601" s="108"/>
      <c r="AM601" s="108"/>
      <c r="AN601" s="108"/>
      <c r="AO601" s="108"/>
      <c r="AP601" s="108"/>
      <c r="AQ601" s="108"/>
      <c r="AR601" s="108"/>
      <c r="AS601" s="108"/>
      <c r="AT601" s="108"/>
      <c r="AU601" s="108"/>
      <c r="AV601" s="108"/>
      <c r="AW601" s="108"/>
      <c r="AX601" s="108"/>
      <c r="AY601" s="108"/>
      <c r="AZ601" s="108"/>
      <c r="BA601" s="108"/>
      <c r="BB601" s="108"/>
      <c r="BC601" s="108"/>
      <c r="BD601" s="108"/>
      <c r="BE601" s="108"/>
      <c r="BF601" s="108"/>
      <c r="BG601" s="108"/>
      <c r="BH601" s="108"/>
      <c r="BI601" s="108"/>
      <c r="BJ601" s="108"/>
      <c r="BK601" s="109"/>
      <c r="BL601" s="108"/>
      <c r="BM601" s="108"/>
      <c r="BN601" s="108"/>
    </row>
    <row r="602" spans="1:66" ht="12" customHeight="1" x14ac:dyDescent="0.2">
      <c r="A602" s="179"/>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c r="AA602" s="108"/>
      <c r="AB602" s="108"/>
      <c r="AC602" s="108"/>
      <c r="AD602" s="108"/>
      <c r="AE602" s="108"/>
      <c r="AF602" s="108"/>
      <c r="AG602" s="108"/>
      <c r="AH602" s="108"/>
      <c r="AI602" s="108"/>
      <c r="AJ602" s="108"/>
      <c r="AK602" s="108"/>
      <c r="AL602" s="108"/>
      <c r="AM602" s="108"/>
      <c r="AN602" s="108"/>
      <c r="AO602" s="108"/>
      <c r="AP602" s="108"/>
      <c r="AQ602" s="108"/>
      <c r="AR602" s="108"/>
      <c r="AS602" s="108"/>
      <c r="AT602" s="108"/>
      <c r="AU602" s="108"/>
      <c r="AV602" s="108"/>
      <c r="AW602" s="108"/>
      <c r="AX602" s="108"/>
      <c r="AY602" s="108"/>
      <c r="AZ602" s="108"/>
      <c r="BA602" s="108"/>
      <c r="BB602" s="108"/>
      <c r="BC602" s="108"/>
      <c r="BD602" s="108"/>
      <c r="BE602" s="108"/>
      <c r="BF602" s="108"/>
      <c r="BG602" s="108"/>
      <c r="BH602" s="108"/>
      <c r="BI602" s="108"/>
      <c r="BJ602" s="108"/>
      <c r="BK602" s="109"/>
      <c r="BL602" s="108"/>
      <c r="BM602" s="108"/>
      <c r="BN602" s="108"/>
    </row>
    <row r="603" spans="1:66" ht="12" customHeight="1" x14ac:dyDescent="0.2">
      <c r="A603" s="179"/>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c r="AA603" s="108"/>
      <c r="AB603" s="108"/>
      <c r="AC603" s="108"/>
      <c r="AD603" s="108"/>
      <c r="AE603" s="108"/>
      <c r="AF603" s="108"/>
      <c r="AG603" s="108"/>
      <c r="AH603" s="108"/>
      <c r="AI603" s="108"/>
      <c r="AJ603" s="108"/>
      <c r="AK603" s="108"/>
      <c r="AL603" s="108"/>
      <c r="AM603" s="108"/>
      <c r="AN603" s="108"/>
      <c r="AO603" s="108"/>
      <c r="AP603" s="108"/>
      <c r="AQ603" s="108"/>
      <c r="AR603" s="108"/>
      <c r="AS603" s="108"/>
      <c r="AT603" s="108"/>
      <c r="AU603" s="108"/>
      <c r="AV603" s="108"/>
      <c r="AW603" s="108"/>
      <c r="AX603" s="108"/>
      <c r="AY603" s="108"/>
      <c r="AZ603" s="108"/>
      <c r="BA603" s="108"/>
      <c r="BB603" s="108"/>
      <c r="BC603" s="108"/>
      <c r="BD603" s="108"/>
      <c r="BE603" s="108"/>
      <c r="BF603" s="108"/>
      <c r="BG603" s="108"/>
      <c r="BH603" s="108"/>
      <c r="BI603" s="108"/>
      <c r="BJ603" s="108"/>
      <c r="BK603" s="109"/>
      <c r="BL603" s="108"/>
      <c r="BM603" s="108"/>
      <c r="BN603" s="108"/>
    </row>
    <row r="604" spans="1:66" ht="12" customHeight="1" x14ac:dyDescent="0.2">
      <c r="A604" s="179"/>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c r="AA604" s="108"/>
      <c r="AB604" s="108"/>
      <c r="AC604" s="108"/>
      <c r="AD604" s="108"/>
      <c r="AE604" s="108"/>
      <c r="AF604" s="108"/>
      <c r="AG604" s="108"/>
      <c r="AH604" s="108"/>
      <c r="AI604" s="108"/>
      <c r="AJ604" s="108"/>
      <c r="AK604" s="108"/>
      <c r="AL604" s="108"/>
      <c r="AM604" s="108"/>
      <c r="AN604" s="108"/>
      <c r="AO604" s="108"/>
      <c r="AP604" s="108"/>
      <c r="AQ604" s="108"/>
      <c r="AR604" s="108"/>
      <c r="AS604" s="108"/>
      <c r="AT604" s="108"/>
      <c r="AU604" s="108"/>
      <c r="AV604" s="108"/>
      <c r="AW604" s="108"/>
      <c r="AX604" s="108"/>
      <c r="AY604" s="108"/>
      <c r="AZ604" s="108"/>
      <c r="BA604" s="108"/>
      <c r="BB604" s="108"/>
      <c r="BC604" s="108"/>
      <c r="BD604" s="108"/>
      <c r="BE604" s="108"/>
      <c r="BF604" s="108"/>
      <c r="BG604" s="108"/>
      <c r="BH604" s="108"/>
      <c r="BI604" s="108"/>
      <c r="BJ604" s="108"/>
      <c r="BK604" s="109"/>
      <c r="BL604" s="108"/>
      <c r="BM604" s="108"/>
      <c r="BN604" s="108"/>
    </row>
    <row r="605" spans="1:66" ht="12" customHeight="1" x14ac:dyDescent="0.2">
      <c r="A605" s="179"/>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c r="AA605" s="108"/>
      <c r="AB605" s="108"/>
      <c r="AC605" s="108"/>
      <c r="AD605" s="108"/>
      <c r="AE605" s="108"/>
      <c r="AF605" s="108"/>
      <c r="AG605" s="108"/>
      <c r="AH605" s="108"/>
      <c r="AI605" s="108"/>
      <c r="AJ605" s="108"/>
      <c r="AK605" s="108"/>
      <c r="AL605" s="108"/>
      <c r="AM605" s="108"/>
      <c r="AN605" s="108"/>
      <c r="AO605" s="108"/>
      <c r="AP605" s="108"/>
      <c r="AQ605" s="108"/>
      <c r="AR605" s="108"/>
      <c r="AS605" s="108"/>
      <c r="AT605" s="108"/>
      <c r="AU605" s="108"/>
      <c r="AV605" s="108"/>
      <c r="AW605" s="108"/>
      <c r="AX605" s="108"/>
      <c r="AY605" s="108"/>
      <c r="AZ605" s="108"/>
      <c r="BA605" s="108"/>
      <c r="BB605" s="108"/>
      <c r="BC605" s="108"/>
      <c r="BD605" s="108"/>
      <c r="BE605" s="108"/>
      <c r="BF605" s="108"/>
      <c r="BG605" s="108"/>
      <c r="BH605" s="108"/>
      <c r="BI605" s="108"/>
      <c r="BJ605" s="108"/>
      <c r="BK605" s="109"/>
      <c r="BL605" s="108"/>
      <c r="BM605" s="108"/>
      <c r="BN605" s="108"/>
    </row>
    <row r="606" spans="1:66" ht="12" customHeight="1" x14ac:dyDescent="0.2">
      <c r="A606" s="179"/>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c r="AA606" s="108"/>
      <c r="AB606" s="108"/>
      <c r="AC606" s="108"/>
      <c r="AD606" s="108"/>
      <c r="AE606" s="108"/>
      <c r="AF606" s="108"/>
      <c r="AG606" s="108"/>
      <c r="AH606" s="108"/>
      <c r="AI606" s="108"/>
      <c r="AJ606" s="108"/>
      <c r="AK606" s="108"/>
      <c r="AL606" s="108"/>
      <c r="AM606" s="108"/>
      <c r="AN606" s="108"/>
      <c r="AO606" s="108"/>
      <c r="AP606" s="108"/>
      <c r="AQ606" s="108"/>
      <c r="AR606" s="108"/>
      <c r="AS606" s="108"/>
      <c r="AT606" s="108"/>
      <c r="AU606" s="108"/>
      <c r="AV606" s="108"/>
      <c r="AW606" s="108"/>
      <c r="AX606" s="108"/>
      <c r="AY606" s="108"/>
      <c r="AZ606" s="108"/>
      <c r="BA606" s="108"/>
      <c r="BB606" s="108"/>
      <c r="BC606" s="108"/>
      <c r="BD606" s="108"/>
      <c r="BE606" s="108"/>
      <c r="BF606" s="108"/>
      <c r="BG606" s="108"/>
      <c r="BH606" s="108"/>
      <c r="BI606" s="108"/>
      <c r="BJ606" s="108"/>
      <c r="BK606" s="109"/>
      <c r="BL606" s="108"/>
      <c r="BM606" s="108"/>
      <c r="BN606" s="108"/>
    </row>
    <row r="607" spans="1:66" ht="12" customHeight="1" x14ac:dyDescent="0.2">
      <c r="A607" s="179"/>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c r="AA607" s="108"/>
      <c r="AB607" s="108"/>
      <c r="AC607" s="108"/>
      <c r="AD607" s="108"/>
      <c r="AE607" s="108"/>
      <c r="AF607" s="108"/>
      <c r="AG607" s="108"/>
      <c r="AH607" s="108"/>
      <c r="AI607" s="108"/>
      <c r="AJ607" s="108"/>
      <c r="AK607" s="108"/>
      <c r="AL607" s="108"/>
      <c r="AM607" s="108"/>
      <c r="AN607" s="108"/>
      <c r="AO607" s="108"/>
      <c r="AP607" s="108"/>
      <c r="AQ607" s="108"/>
      <c r="AR607" s="108"/>
      <c r="AS607" s="108"/>
      <c r="AT607" s="108"/>
      <c r="AU607" s="108"/>
      <c r="AV607" s="108"/>
      <c r="AW607" s="108"/>
      <c r="AX607" s="108"/>
      <c r="AY607" s="108"/>
      <c r="AZ607" s="108"/>
      <c r="BA607" s="108"/>
      <c r="BB607" s="108"/>
      <c r="BC607" s="108"/>
      <c r="BD607" s="108"/>
      <c r="BE607" s="108"/>
      <c r="BF607" s="108"/>
      <c r="BG607" s="108"/>
      <c r="BH607" s="108"/>
      <c r="BI607" s="108"/>
      <c r="BJ607" s="108"/>
      <c r="BK607" s="109"/>
      <c r="BL607" s="108"/>
      <c r="BM607" s="108"/>
      <c r="BN607" s="108"/>
    </row>
    <row r="608" spans="1:66" ht="12" customHeight="1" x14ac:dyDescent="0.2">
      <c r="A608" s="179"/>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c r="AA608" s="108"/>
      <c r="AB608" s="108"/>
      <c r="AC608" s="108"/>
      <c r="AD608" s="108"/>
      <c r="AE608" s="108"/>
      <c r="AF608" s="108"/>
      <c r="AG608" s="108"/>
      <c r="AH608" s="108"/>
      <c r="AI608" s="108"/>
      <c r="AJ608" s="108"/>
      <c r="AK608" s="108"/>
      <c r="AL608" s="108"/>
      <c r="AM608" s="108"/>
      <c r="AN608" s="108"/>
      <c r="AO608" s="108"/>
      <c r="AP608" s="108"/>
      <c r="AQ608" s="108"/>
      <c r="AR608" s="108"/>
      <c r="AS608" s="108"/>
      <c r="AT608" s="108"/>
      <c r="AU608" s="108"/>
      <c r="AV608" s="108"/>
      <c r="AW608" s="108"/>
      <c r="AX608" s="108"/>
      <c r="AY608" s="108"/>
      <c r="AZ608" s="108"/>
      <c r="BA608" s="108"/>
      <c r="BB608" s="108"/>
      <c r="BC608" s="108"/>
      <c r="BD608" s="108"/>
      <c r="BE608" s="108"/>
      <c r="BF608" s="108"/>
      <c r="BG608" s="108"/>
      <c r="BH608" s="108"/>
      <c r="BI608" s="108"/>
      <c r="BJ608" s="108"/>
      <c r="BK608" s="109"/>
      <c r="BL608" s="108"/>
      <c r="BM608" s="108"/>
      <c r="BN608" s="108"/>
    </row>
    <row r="609" spans="1:66" ht="12" customHeight="1" x14ac:dyDescent="0.2">
      <c r="A609" s="179"/>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c r="AA609" s="108"/>
      <c r="AB609" s="108"/>
      <c r="AC609" s="108"/>
      <c r="AD609" s="108"/>
      <c r="AE609" s="108"/>
      <c r="AF609" s="108"/>
      <c r="AG609" s="108"/>
      <c r="AH609" s="108"/>
      <c r="AI609" s="108"/>
      <c r="AJ609" s="108"/>
      <c r="AK609" s="108"/>
      <c r="AL609" s="108"/>
      <c r="AM609" s="108"/>
      <c r="AN609" s="108"/>
      <c r="AO609" s="108"/>
      <c r="AP609" s="108"/>
      <c r="AQ609" s="108"/>
      <c r="AR609" s="108"/>
      <c r="AS609" s="108"/>
      <c r="AT609" s="108"/>
      <c r="AU609" s="108"/>
      <c r="AV609" s="108"/>
      <c r="AW609" s="108"/>
      <c r="AX609" s="108"/>
      <c r="AY609" s="108"/>
      <c r="AZ609" s="108"/>
      <c r="BA609" s="108"/>
      <c r="BB609" s="108"/>
      <c r="BC609" s="108"/>
      <c r="BD609" s="108"/>
      <c r="BE609" s="108"/>
      <c r="BF609" s="108"/>
      <c r="BG609" s="108"/>
      <c r="BH609" s="108"/>
      <c r="BI609" s="108"/>
      <c r="BJ609" s="108"/>
      <c r="BK609" s="109"/>
      <c r="BL609" s="108"/>
      <c r="BM609" s="108"/>
      <c r="BN609" s="108"/>
    </row>
    <row r="610" spans="1:66" ht="12" customHeight="1" x14ac:dyDescent="0.2">
      <c r="A610" s="179"/>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c r="AA610" s="108"/>
      <c r="AB610" s="108"/>
      <c r="AC610" s="108"/>
      <c r="AD610" s="108"/>
      <c r="AE610" s="108"/>
      <c r="AF610" s="108"/>
      <c r="AG610" s="108"/>
      <c r="AH610" s="108"/>
      <c r="AI610" s="108"/>
      <c r="AJ610" s="108"/>
      <c r="AK610" s="108"/>
      <c r="AL610" s="108"/>
      <c r="AM610" s="108"/>
      <c r="AN610" s="108"/>
      <c r="AO610" s="108"/>
      <c r="AP610" s="108"/>
      <c r="AQ610" s="108"/>
      <c r="AR610" s="108"/>
      <c r="AS610" s="108"/>
      <c r="AT610" s="108"/>
      <c r="AU610" s="108"/>
      <c r="AV610" s="108"/>
      <c r="AW610" s="108"/>
      <c r="AX610" s="108"/>
      <c r="AY610" s="108"/>
      <c r="AZ610" s="108"/>
      <c r="BA610" s="108"/>
      <c r="BB610" s="108"/>
      <c r="BC610" s="108"/>
      <c r="BD610" s="108"/>
      <c r="BE610" s="108"/>
      <c r="BF610" s="108"/>
      <c r="BG610" s="108"/>
      <c r="BH610" s="108"/>
      <c r="BI610" s="108"/>
      <c r="BJ610" s="108"/>
      <c r="BK610" s="109"/>
      <c r="BL610" s="108"/>
      <c r="BM610" s="108"/>
      <c r="BN610" s="108"/>
    </row>
    <row r="611" spans="1:66" ht="12" customHeight="1" x14ac:dyDescent="0.2">
      <c r="A611" s="179"/>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c r="AA611" s="108"/>
      <c r="AB611" s="108"/>
      <c r="AC611" s="108"/>
      <c r="AD611" s="108"/>
      <c r="AE611" s="108"/>
      <c r="AF611" s="108"/>
      <c r="AG611" s="108"/>
      <c r="AH611" s="108"/>
      <c r="AI611" s="108"/>
      <c r="AJ611" s="108"/>
      <c r="AK611" s="108"/>
      <c r="AL611" s="108"/>
      <c r="AM611" s="108"/>
      <c r="AN611" s="108"/>
      <c r="AO611" s="108"/>
      <c r="AP611" s="108"/>
      <c r="AQ611" s="108"/>
      <c r="AR611" s="108"/>
      <c r="AS611" s="108"/>
      <c r="AT611" s="108"/>
      <c r="AU611" s="108"/>
      <c r="AV611" s="108"/>
      <c r="AW611" s="108"/>
      <c r="AX611" s="108"/>
      <c r="AY611" s="108"/>
      <c r="AZ611" s="108"/>
      <c r="BA611" s="108"/>
      <c r="BB611" s="108"/>
      <c r="BC611" s="108"/>
      <c r="BD611" s="108"/>
      <c r="BE611" s="108"/>
      <c r="BF611" s="108"/>
      <c r="BG611" s="108"/>
      <c r="BH611" s="108"/>
      <c r="BI611" s="108"/>
      <c r="BJ611" s="108"/>
      <c r="BK611" s="109"/>
      <c r="BL611" s="108"/>
      <c r="BM611" s="108"/>
      <c r="BN611" s="108"/>
    </row>
    <row r="612" spans="1:66" ht="12" customHeight="1" x14ac:dyDescent="0.2">
      <c r="A612" s="179"/>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c r="AA612" s="108"/>
      <c r="AB612" s="108"/>
      <c r="AC612" s="108"/>
      <c r="AD612" s="108"/>
      <c r="AE612" s="108"/>
      <c r="AF612" s="108"/>
      <c r="AG612" s="108"/>
      <c r="AH612" s="108"/>
      <c r="AI612" s="108"/>
      <c r="AJ612" s="108"/>
      <c r="AK612" s="108"/>
      <c r="AL612" s="108"/>
      <c r="AM612" s="108"/>
      <c r="AN612" s="108"/>
      <c r="AO612" s="108"/>
      <c r="AP612" s="108"/>
      <c r="AQ612" s="108"/>
      <c r="AR612" s="108"/>
      <c r="AS612" s="108"/>
      <c r="AT612" s="108"/>
      <c r="AU612" s="108"/>
      <c r="AV612" s="108"/>
      <c r="AW612" s="108"/>
      <c r="AX612" s="108"/>
      <c r="AY612" s="108"/>
      <c r="AZ612" s="108"/>
      <c r="BA612" s="108"/>
      <c r="BB612" s="108"/>
      <c r="BC612" s="108"/>
      <c r="BD612" s="108"/>
      <c r="BE612" s="108"/>
      <c r="BF612" s="108"/>
      <c r="BG612" s="108"/>
      <c r="BH612" s="108"/>
      <c r="BI612" s="108"/>
      <c r="BJ612" s="108"/>
      <c r="BK612" s="109"/>
      <c r="BL612" s="108"/>
      <c r="BM612" s="108"/>
      <c r="BN612" s="108"/>
    </row>
    <row r="613" spans="1:66" ht="12" customHeight="1" x14ac:dyDescent="0.2">
      <c r="A613" s="179"/>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c r="AA613" s="108"/>
      <c r="AB613" s="108"/>
      <c r="AC613" s="108"/>
      <c r="AD613" s="108"/>
      <c r="AE613" s="108"/>
      <c r="AF613" s="108"/>
      <c r="AG613" s="108"/>
      <c r="AH613" s="108"/>
      <c r="AI613" s="108"/>
      <c r="AJ613" s="108"/>
      <c r="AK613" s="108"/>
      <c r="AL613" s="108"/>
      <c r="AM613" s="108"/>
      <c r="AN613" s="108"/>
      <c r="AO613" s="108"/>
      <c r="AP613" s="108"/>
      <c r="AQ613" s="108"/>
      <c r="AR613" s="108"/>
      <c r="AS613" s="108"/>
      <c r="AT613" s="108"/>
      <c r="AU613" s="108"/>
      <c r="AV613" s="108"/>
      <c r="AW613" s="108"/>
      <c r="AX613" s="108"/>
      <c r="AY613" s="108"/>
      <c r="AZ613" s="108"/>
      <c r="BA613" s="108"/>
      <c r="BB613" s="108"/>
      <c r="BC613" s="108"/>
      <c r="BD613" s="108"/>
      <c r="BE613" s="108"/>
      <c r="BF613" s="108"/>
      <c r="BG613" s="108"/>
      <c r="BH613" s="108"/>
      <c r="BI613" s="108"/>
      <c r="BJ613" s="108"/>
      <c r="BK613" s="109"/>
      <c r="BL613" s="108"/>
      <c r="BM613" s="108"/>
      <c r="BN613" s="108"/>
    </row>
    <row r="614" spans="1:66" ht="12" customHeight="1" x14ac:dyDescent="0.2">
      <c r="A614" s="179"/>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c r="AA614" s="108"/>
      <c r="AB614" s="108"/>
      <c r="AC614" s="108"/>
      <c r="AD614" s="108"/>
      <c r="AE614" s="108"/>
      <c r="AF614" s="108"/>
      <c r="AG614" s="108"/>
      <c r="AH614" s="108"/>
      <c r="AI614" s="108"/>
      <c r="AJ614" s="108"/>
      <c r="AK614" s="108"/>
      <c r="AL614" s="108"/>
      <c r="AM614" s="108"/>
      <c r="AN614" s="108"/>
      <c r="AO614" s="108"/>
      <c r="AP614" s="108"/>
      <c r="AQ614" s="108"/>
      <c r="AR614" s="108"/>
      <c r="AS614" s="108"/>
      <c r="AT614" s="108"/>
      <c r="AU614" s="108"/>
      <c r="AV614" s="108"/>
      <c r="AW614" s="108"/>
      <c r="AX614" s="108"/>
      <c r="AY614" s="108"/>
      <c r="AZ614" s="108"/>
      <c r="BA614" s="108"/>
      <c r="BB614" s="108"/>
      <c r="BC614" s="108"/>
      <c r="BD614" s="108"/>
      <c r="BE614" s="108"/>
      <c r="BF614" s="108"/>
      <c r="BG614" s="108"/>
      <c r="BH614" s="108"/>
      <c r="BI614" s="108"/>
      <c r="BJ614" s="108"/>
      <c r="BK614" s="109"/>
      <c r="BL614" s="108"/>
      <c r="BM614" s="108"/>
      <c r="BN614" s="108"/>
    </row>
    <row r="615" spans="1:66" ht="12" customHeight="1" x14ac:dyDescent="0.2">
      <c r="A615" s="179"/>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c r="AA615" s="108"/>
      <c r="AB615" s="108"/>
      <c r="AC615" s="108"/>
      <c r="AD615" s="108"/>
      <c r="AE615" s="108"/>
      <c r="AF615" s="108"/>
      <c r="AG615" s="108"/>
      <c r="AH615" s="108"/>
      <c r="AI615" s="108"/>
      <c r="AJ615" s="108"/>
      <c r="AK615" s="108"/>
      <c r="AL615" s="108"/>
      <c r="AM615" s="108"/>
      <c r="AN615" s="108"/>
      <c r="AO615" s="108"/>
      <c r="AP615" s="108"/>
      <c r="AQ615" s="108"/>
      <c r="AR615" s="108"/>
      <c r="AS615" s="108"/>
      <c r="AT615" s="108"/>
      <c r="AU615" s="108"/>
      <c r="AV615" s="108"/>
      <c r="AW615" s="108"/>
      <c r="AX615" s="108"/>
      <c r="AY615" s="108"/>
      <c r="AZ615" s="108"/>
      <c r="BA615" s="108"/>
      <c r="BB615" s="108"/>
      <c r="BC615" s="108"/>
      <c r="BD615" s="108"/>
      <c r="BE615" s="108"/>
      <c r="BF615" s="108"/>
      <c r="BG615" s="108"/>
      <c r="BH615" s="108"/>
      <c r="BI615" s="108"/>
      <c r="BJ615" s="108"/>
      <c r="BK615" s="109"/>
      <c r="BL615" s="108"/>
      <c r="BM615" s="108"/>
      <c r="BN615" s="108"/>
    </row>
    <row r="616" spans="1:66" ht="12" customHeight="1" x14ac:dyDescent="0.2">
      <c r="A616" s="179"/>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c r="AA616" s="108"/>
      <c r="AB616" s="108"/>
      <c r="AC616" s="108"/>
      <c r="AD616" s="108"/>
      <c r="AE616" s="108"/>
      <c r="AF616" s="108"/>
      <c r="AG616" s="108"/>
      <c r="AH616" s="108"/>
      <c r="AI616" s="108"/>
      <c r="AJ616" s="108"/>
      <c r="AK616" s="108"/>
      <c r="AL616" s="108"/>
      <c r="AM616" s="108"/>
      <c r="AN616" s="108"/>
      <c r="AO616" s="108"/>
      <c r="AP616" s="108"/>
      <c r="AQ616" s="108"/>
      <c r="AR616" s="108"/>
      <c r="AS616" s="108"/>
      <c r="AT616" s="108"/>
      <c r="AU616" s="108"/>
      <c r="AV616" s="108"/>
      <c r="AW616" s="108"/>
      <c r="AX616" s="108"/>
      <c r="AY616" s="108"/>
      <c r="AZ616" s="108"/>
      <c r="BA616" s="108"/>
      <c r="BB616" s="108"/>
      <c r="BC616" s="108"/>
      <c r="BD616" s="108"/>
      <c r="BE616" s="108"/>
      <c r="BF616" s="108"/>
      <c r="BG616" s="108"/>
      <c r="BH616" s="108"/>
      <c r="BI616" s="108"/>
      <c r="BJ616" s="108"/>
      <c r="BK616" s="109"/>
      <c r="BL616" s="108"/>
      <c r="BM616" s="108"/>
      <c r="BN616" s="108"/>
    </row>
    <row r="617" spans="1:66" ht="12" customHeight="1" x14ac:dyDescent="0.2">
      <c r="A617" s="179"/>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c r="AA617" s="108"/>
      <c r="AB617" s="108"/>
      <c r="AC617" s="108"/>
      <c r="AD617" s="108"/>
      <c r="AE617" s="108"/>
      <c r="AF617" s="108"/>
      <c r="AG617" s="108"/>
      <c r="AH617" s="108"/>
      <c r="AI617" s="108"/>
      <c r="AJ617" s="108"/>
      <c r="AK617" s="108"/>
      <c r="AL617" s="108"/>
      <c r="AM617" s="108"/>
      <c r="AN617" s="108"/>
      <c r="AO617" s="108"/>
      <c r="AP617" s="108"/>
      <c r="AQ617" s="108"/>
      <c r="AR617" s="108"/>
      <c r="AS617" s="108"/>
      <c r="AT617" s="108"/>
      <c r="AU617" s="108"/>
      <c r="AV617" s="108"/>
      <c r="AW617" s="108"/>
      <c r="AX617" s="108"/>
      <c r="AY617" s="108"/>
      <c r="AZ617" s="108"/>
      <c r="BA617" s="108"/>
      <c r="BB617" s="108"/>
      <c r="BC617" s="108"/>
      <c r="BD617" s="108"/>
      <c r="BE617" s="108"/>
      <c r="BF617" s="108"/>
      <c r="BG617" s="108"/>
      <c r="BH617" s="108"/>
      <c r="BI617" s="108"/>
      <c r="BJ617" s="108"/>
      <c r="BK617" s="109"/>
      <c r="BL617" s="108"/>
      <c r="BM617" s="108"/>
      <c r="BN617" s="108"/>
    </row>
    <row r="618" spans="1:66" ht="12" customHeight="1" x14ac:dyDescent="0.2">
      <c r="A618" s="179"/>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c r="AA618" s="108"/>
      <c r="AB618" s="108"/>
      <c r="AC618" s="108"/>
      <c r="AD618" s="108"/>
      <c r="AE618" s="108"/>
      <c r="AF618" s="108"/>
      <c r="AG618" s="108"/>
      <c r="AH618" s="108"/>
      <c r="AI618" s="108"/>
      <c r="AJ618" s="108"/>
      <c r="AK618" s="108"/>
      <c r="AL618" s="108"/>
      <c r="AM618" s="108"/>
      <c r="AN618" s="108"/>
      <c r="AO618" s="108"/>
      <c r="AP618" s="108"/>
      <c r="AQ618" s="108"/>
      <c r="AR618" s="108"/>
      <c r="AS618" s="108"/>
      <c r="AT618" s="108"/>
      <c r="AU618" s="108"/>
      <c r="AV618" s="108"/>
      <c r="AW618" s="108"/>
      <c r="AX618" s="108"/>
      <c r="AY618" s="108"/>
      <c r="AZ618" s="108"/>
      <c r="BA618" s="108"/>
      <c r="BB618" s="108"/>
      <c r="BC618" s="108"/>
      <c r="BD618" s="108"/>
      <c r="BE618" s="108"/>
      <c r="BF618" s="108"/>
      <c r="BG618" s="108"/>
      <c r="BH618" s="108"/>
      <c r="BI618" s="108"/>
      <c r="BJ618" s="108"/>
      <c r="BK618" s="109"/>
      <c r="BL618" s="108"/>
      <c r="BM618" s="108"/>
      <c r="BN618" s="108"/>
    </row>
    <row r="619" spans="1:66" ht="12" customHeight="1" x14ac:dyDescent="0.2">
      <c r="A619" s="179"/>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c r="AA619" s="108"/>
      <c r="AB619" s="108"/>
      <c r="AC619" s="108"/>
      <c r="AD619" s="108"/>
      <c r="AE619" s="108"/>
      <c r="AF619" s="108"/>
      <c r="AG619" s="108"/>
      <c r="AH619" s="108"/>
      <c r="AI619" s="108"/>
      <c r="AJ619" s="108"/>
      <c r="AK619" s="108"/>
      <c r="AL619" s="108"/>
      <c r="AM619" s="108"/>
      <c r="AN619" s="108"/>
      <c r="AO619" s="108"/>
      <c r="AP619" s="108"/>
      <c r="AQ619" s="108"/>
      <c r="AR619" s="108"/>
      <c r="AS619" s="108"/>
      <c r="AT619" s="108"/>
      <c r="AU619" s="108"/>
      <c r="AV619" s="108"/>
      <c r="AW619" s="108"/>
      <c r="AX619" s="108"/>
      <c r="AY619" s="108"/>
      <c r="AZ619" s="108"/>
      <c r="BA619" s="108"/>
      <c r="BB619" s="108"/>
      <c r="BC619" s="108"/>
      <c r="BD619" s="108"/>
      <c r="BE619" s="108"/>
      <c r="BF619" s="108"/>
      <c r="BG619" s="108"/>
      <c r="BH619" s="108"/>
      <c r="BI619" s="108"/>
      <c r="BJ619" s="108"/>
      <c r="BK619" s="109"/>
      <c r="BL619" s="108"/>
      <c r="BM619" s="108"/>
      <c r="BN619" s="108"/>
    </row>
    <row r="620" spans="1:66" ht="12" customHeight="1" x14ac:dyDescent="0.2">
      <c r="A620" s="179"/>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c r="AA620" s="108"/>
      <c r="AB620" s="108"/>
      <c r="AC620" s="108"/>
      <c r="AD620" s="108"/>
      <c r="AE620" s="108"/>
      <c r="AF620" s="108"/>
      <c r="AG620" s="108"/>
      <c r="AH620" s="108"/>
      <c r="AI620" s="108"/>
      <c r="AJ620" s="108"/>
      <c r="AK620" s="108"/>
      <c r="AL620" s="108"/>
      <c r="AM620" s="108"/>
      <c r="AN620" s="108"/>
      <c r="AO620" s="108"/>
      <c r="AP620" s="108"/>
      <c r="AQ620" s="108"/>
      <c r="AR620" s="108"/>
      <c r="AS620" s="108"/>
      <c r="AT620" s="108"/>
      <c r="AU620" s="108"/>
      <c r="AV620" s="108"/>
      <c r="AW620" s="108"/>
      <c r="AX620" s="108"/>
      <c r="AY620" s="108"/>
      <c r="AZ620" s="108"/>
      <c r="BA620" s="108"/>
      <c r="BB620" s="108"/>
      <c r="BC620" s="108"/>
      <c r="BD620" s="108"/>
      <c r="BE620" s="108"/>
      <c r="BF620" s="108"/>
      <c r="BG620" s="108"/>
      <c r="BH620" s="108"/>
      <c r="BI620" s="108"/>
      <c r="BJ620" s="108"/>
      <c r="BK620" s="109"/>
      <c r="BL620" s="108"/>
      <c r="BM620" s="108"/>
      <c r="BN620" s="108"/>
    </row>
    <row r="621" spans="1:66" ht="12" customHeight="1" x14ac:dyDescent="0.2">
      <c r="A621" s="179"/>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c r="AA621" s="108"/>
      <c r="AB621" s="108"/>
      <c r="AC621" s="108"/>
      <c r="AD621" s="108"/>
      <c r="AE621" s="108"/>
      <c r="AF621" s="108"/>
      <c r="AG621" s="108"/>
      <c r="AH621" s="108"/>
      <c r="AI621" s="108"/>
      <c r="AJ621" s="108"/>
      <c r="AK621" s="108"/>
      <c r="AL621" s="108"/>
      <c r="AM621" s="108"/>
      <c r="AN621" s="108"/>
      <c r="AO621" s="108"/>
      <c r="AP621" s="108"/>
      <c r="AQ621" s="108"/>
      <c r="AR621" s="108"/>
      <c r="AS621" s="108"/>
      <c r="AT621" s="108"/>
      <c r="AU621" s="108"/>
      <c r="AV621" s="108"/>
      <c r="AW621" s="108"/>
      <c r="AX621" s="108"/>
      <c r="AY621" s="108"/>
      <c r="AZ621" s="108"/>
      <c r="BA621" s="108"/>
      <c r="BB621" s="108"/>
      <c r="BC621" s="108"/>
      <c r="BD621" s="108"/>
      <c r="BE621" s="108"/>
      <c r="BF621" s="108"/>
      <c r="BG621" s="108"/>
      <c r="BH621" s="108"/>
      <c r="BI621" s="108"/>
      <c r="BJ621" s="108"/>
      <c r="BK621" s="109"/>
      <c r="BL621" s="108"/>
      <c r="BM621" s="108"/>
      <c r="BN621" s="108"/>
    </row>
    <row r="622" spans="1:66" ht="12" customHeight="1" x14ac:dyDescent="0.2">
      <c r="A622" s="179"/>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c r="AA622" s="108"/>
      <c r="AB622" s="108"/>
      <c r="AC622" s="108"/>
      <c r="AD622" s="108"/>
      <c r="AE622" s="108"/>
      <c r="AF622" s="108"/>
      <c r="AG622" s="108"/>
      <c r="AH622" s="108"/>
      <c r="AI622" s="108"/>
      <c r="AJ622" s="108"/>
      <c r="AK622" s="108"/>
      <c r="AL622" s="108"/>
      <c r="AM622" s="108"/>
      <c r="AN622" s="108"/>
      <c r="AO622" s="108"/>
      <c r="AP622" s="108"/>
      <c r="AQ622" s="108"/>
      <c r="AR622" s="108"/>
      <c r="AS622" s="108"/>
      <c r="AT622" s="108"/>
      <c r="AU622" s="108"/>
      <c r="AV622" s="108"/>
      <c r="AW622" s="108"/>
      <c r="AX622" s="108"/>
      <c r="AY622" s="108"/>
      <c r="AZ622" s="108"/>
      <c r="BA622" s="108"/>
      <c r="BB622" s="108"/>
      <c r="BC622" s="108"/>
      <c r="BD622" s="108"/>
      <c r="BE622" s="108"/>
      <c r="BF622" s="108"/>
      <c r="BG622" s="108"/>
      <c r="BH622" s="108"/>
      <c r="BI622" s="108"/>
      <c r="BJ622" s="108"/>
      <c r="BK622" s="109"/>
      <c r="BL622" s="108"/>
      <c r="BM622" s="108"/>
      <c r="BN622" s="108"/>
    </row>
    <row r="623" spans="1:66" ht="12" customHeight="1" x14ac:dyDescent="0.2">
      <c r="A623" s="179"/>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c r="AA623" s="108"/>
      <c r="AB623" s="108"/>
      <c r="AC623" s="108"/>
      <c r="AD623" s="108"/>
      <c r="AE623" s="108"/>
      <c r="AF623" s="108"/>
      <c r="AG623" s="108"/>
      <c r="AH623" s="108"/>
      <c r="AI623" s="108"/>
      <c r="AJ623" s="108"/>
      <c r="AK623" s="108"/>
      <c r="AL623" s="108"/>
      <c r="AM623" s="108"/>
      <c r="AN623" s="108"/>
      <c r="AO623" s="108"/>
      <c r="AP623" s="108"/>
      <c r="AQ623" s="108"/>
      <c r="AR623" s="108"/>
      <c r="AS623" s="108"/>
      <c r="AT623" s="108"/>
      <c r="AU623" s="108"/>
      <c r="AV623" s="108"/>
      <c r="AW623" s="108"/>
      <c r="AX623" s="108"/>
      <c r="AY623" s="108"/>
      <c r="AZ623" s="108"/>
      <c r="BA623" s="108"/>
      <c r="BB623" s="108"/>
      <c r="BC623" s="108"/>
      <c r="BD623" s="108"/>
      <c r="BE623" s="108"/>
      <c r="BF623" s="108"/>
      <c r="BG623" s="108"/>
      <c r="BH623" s="108"/>
      <c r="BI623" s="108"/>
      <c r="BJ623" s="108"/>
      <c r="BK623" s="109"/>
      <c r="BL623" s="108"/>
      <c r="BM623" s="108"/>
      <c r="BN623" s="108"/>
    </row>
    <row r="624" spans="1:66" ht="12" customHeight="1" x14ac:dyDescent="0.2">
      <c r="A624" s="179"/>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c r="AA624" s="108"/>
      <c r="AB624" s="108"/>
      <c r="AC624" s="108"/>
      <c r="AD624" s="108"/>
      <c r="AE624" s="108"/>
      <c r="AF624" s="108"/>
      <c r="AG624" s="108"/>
      <c r="AH624" s="108"/>
      <c r="AI624" s="108"/>
      <c r="AJ624" s="108"/>
      <c r="AK624" s="108"/>
      <c r="AL624" s="108"/>
      <c r="AM624" s="108"/>
      <c r="AN624" s="108"/>
      <c r="AO624" s="108"/>
      <c r="AP624" s="108"/>
      <c r="AQ624" s="108"/>
      <c r="AR624" s="108"/>
      <c r="AS624" s="108"/>
      <c r="AT624" s="108"/>
      <c r="AU624" s="108"/>
      <c r="AV624" s="108"/>
      <c r="AW624" s="108"/>
      <c r="AX624" s="108"/>
      <c r="AY624" s="108"/>
      <c r="AZ624" s="108"/>
      <c r="BA624" s="108"/>
      <c r="BB624" s="108"/>
      <c r="BC624" s="108"/>
      <c r="BD624" s="108"/>
      <c r="BE624" s="108"/>
      <c r="BF624" s="108"/>
      <c r="BG624" s="108"/>
      <c r="BH624" s="108"/>
      <c r="BI624" s="108"/>
      <c r="BJ624" s="108"/>
      <c r="BK624" s="109"/>
      <c r="BL624" s="108"/>
      <c r="BM624" s="108"/>
      <c r="BN624" s="108"/>
    </row>
    <row r="625" spans="1:66" ht="12" customHeight="1" x14ac:dyDescent="0.2">
      <c r="A625" s="179"/>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c r="AA625" s="108"/>
      <c r="AB625" s="108"/>
      <c r="AC625" s="108"/>
      <c r="AD625" s="108"/>
      <c r="AE625" s="108"/>
      <c r="AF625" s="108"/>
      <c r="AG625" s="108"/>
      <c r="AH625" s="108"/>
      <c r="AI625" s="108"/>
      <c r="AJ625" s="108"/>
      <c r="AK625" s="108"/>
      <c r="AL625" s="108"/>
      <c r="AM625" s="108"/>
      <c r="AN625" s="108"/>
      <c r="AO625" s="108"/>
      <c r="AP625" s="108"/>
      <c r="AQ625" s="108"/>
      <c r="AR625" s="108"/>
      <c r="AS625" s="108"/>
      <c r="AT625" s="108"/>
      <c r="AU625" s="108"/>
      <c r="AV625" s="108"/>
      <c r="AW625" s="108"/>
      <c r="AX625" s="108"/>
      <c r="AY625" s="108"/>
      <c r="AZ625" s="108"/>
      <c r="BA625" s="108"/>
      <c r="BB625" s="108"/>
      <c r="BC625" s="108"/>
      <c r="BD625" s="108"/>
      <c r="BE625" s="108"/>
      <c r="BF625" s="108"/>
      <c r="BG625" s="108"/>
      <c r="BH625" s="108"/>
      <c r="BI625" s="108"/>
      <c r="BJ625" s="108"/>
      <c r="BK625" s="109"/>
      <c r="BL625" s="108"/>
      <c r="BM625" s="108"/>
      <c r="BN625" s="108"/>
    </row>
    <row r="626" spans="1:66" ht="12" customHeight="1" x14ac:dyDescent="0.2">
      <c r="A626" s="179"/>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c r="AA626" s="108"/>
      <c r="AB626" s="108"/>
      <c r="AC626" s="108"/>
      <c r="AD626" s="108"/>
      <c r="AE626" s="108"/>
      <c r="AF626" s="108"/>
      <c r="AG626" s="108"/>
      <c r="AH626" s="108"/>
      <c r="AI626" s="108"/>
      <c r="AJ626" s="108"/>
      <c r="AK626" s="108"/>
      <c r="AL626" s="108"/>
      <c r="AM626" s="108"/>
      <c r="AN626" s="108"/>
      <c r="AO626" s="108"/>
      <c r="AP626" s="108"/>
      <c r="AQ626" s="108"/>
      <c r="AR626" s="108"/>
      <c r="AS626" s="108"/>
      <c r="AT626" s="108"/>
      <c r="AU626" s="108"/>
      <c r="AV626" s="108"/>
      <c r="AW626" s="108"/>
      <c r="AX626" s="108"/>
      <c r="AY626" s="108"/>
      <c r="AZ626" s="108"/>
      <c r="BA626" s="108"/>
      <c r="BB626" s="108"/>
      <c r="BC626" s="108"/>
      <c r="BD626" s="108"/>
      <c r="BE626" s="108"/>
      <c r="BF626" s="108"/>
      <c r="BG626" s="108"/>
      <c r="BH626" s="108"/>
      <c r="BI626" s="108"/>
      <c r="BJ626" s="108"/>
      <c r="BK626" s="109"/>
      <c r="BL626" s="108"/>
      <c r="BM626" s="108"/>
      <c r="BN626" s="108"/>
    </row>
    <row r="627" spans="1:66" ht="12" customHeight="1" x14ac:dyDescent="0.2">
      <c r="A627" s="179"/>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c r="AA627" s="108"/>
      <c r="AB627" s="108"/>
      <c r="AC627" s="108"/>
      <c r="AD627" s="108"/>
      <c r="AE627" s="108"/>
      <c r="AF627" s="108"/>
      <c r="AG627" s="108"/>
      <c r="AH627" s="108"/>
      <c r="AI627" s="108"/>
      <c r="AJ627" s="108"/>
      <c r="AK627" s="108"/>
      <c r="AL627" s="108"/>
      <c r="AM627" s="108"/>
      <c r="AN627" s="108"/>
      <c r="AO627" s="108"/>
      <c r="AP627" s="108"/>
      <c r="AQ627" s="108"/>
      <c r="AR627" s="108"/>
      <c r="AS627" s="108"/>
      <c r="AT627" s="108"/>
      <c r="AU627" s="108"/>
      <c r="AV627" s="108"/>
      <c r="AW627" s="108"/>
      <c r="AX627" s="108"/>
      <c r="AY627" s="108"/>
      <c r="AZ627" s="108"/>
      <c r="BA627" s="108"/>
      <c r="BB627" s="108"/>
      <c r="BC627" s="108"/>
      <c r="BD627" s="108"/>
      <c r="BE627" s="108"/>
      <c r="BF627" s="108"/>
      <c r="BG627" s="108"/>
      <c r="BH627" s="108"/>
      <c r="BI627" s="108"/>
      <c r="BJ627" s="108"/>
      <c r="BK627" s="109"/>
      <c r="BL627" s="108"/>
      <c r="BM627" s="108"/>
      <c r="BN627" s="108"/>
    </row>
    <row r="628" spans="1:66" ht="12" customHeight="1" x14ac:dyDescent="0.2">
      <c r="A628" s="179"/>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c r="AA628" s="108"/>
      <c r="AB628" s="108"/>
      <c r="AC628" s="108"/>
      <c r="AD628" s="108"/>
      <c r="AE628" s="108"/>
      <c r="AF628" s="108"/>
      <c r="AG628" s="108"/>
      <c r="AH628" s="108"/>
      <c r="AI628" s="108"/>
      <c r="AJ628" s="108"/>
      <c r="AK628" s="108"/>
      <c r="AL628" s="108"/>
      <c r="AM628" s="108"/>
      <c r="AN628" s="108"/>
      <c r="AO628" s="108"/>
      <c r="AP628" s="108"/>
      <c r="AQ628" s="108"/>
      <c r="AR628" s="108"/>
      <c r="AS628" s="108"/>
      <c r="AT628" s="108"/>
      <c r="AU628" s="108"/>
      <c r="AV628" s="108"/>
      <c r="AW628" s="108"/>
      <c r="AX628" s="108"/>
      <c r="AY628" s="108"/>
      <c r="AZ628" s="108"/>
      <c r="BA628" s="108"/>
      <c r="BB628" s="108"/>
      <c r="BC628" s="108"/>
      <c r="BD628" s="108"/>
      <c r="BE628" s="108"/>
      <c r="BF628" s="108"/>
      <c r="BG628" s="108"/>
      <c r="BH628" s="108"/>
      <c r="BI628" s="108"/>
      <c r="BJ628" s="108"/>
      <c r="BK628" s="109"/>
      <c r="BL628" s="108"/>
      <c r="BM628" s="108"/>
      <c r="BN628" s="108"/>
    </row>
    <row r="629" spans="1:66" ht="12" customHeight="1" x14ac:dyDescent="0.2">
      <c r="A629" s="179"/>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c r="AA629" s="108"/>
      <c r="AB629" s="108"/>
      <c r="AC629" s="108"/>
      <c r="AD629" s="108"/>
      <c r="AE629" s="108"/>
      <c r="AF629" s="108"/>
      <c r="AG629" s="108"/>
      <c r="AH629" s="108"/>
      <c r="AI629" s="108"/>
      <c r="AJ629" s="108"/>
      <c r="AK629" s="108"/>
      <c r="AL629" s="108"/>
      <c r="AM629" s="108"/>
      <c r="AN629" s="108"/>
      <c r="AO629" s="108"/>
      <c r="AP629" s="108"/>
      <c r="AQ629" s="108"/>
      <c r="AR629" s="108"/>
      <c r="AS629" s="108"/>
      <c r="AT629" s="108"/>
      <c r="AU629" s="108"/>
      <c r="AV629" s="108"/>
      <c r="AW629" s="108"/>
      <c r="AX629" s="108"/>
      <c r="AY629" s="108"/>
      <c r="AZ629" s="108"/>
      <c r="BA629" s="108"/>
      <c r="BB629" s="108"/>
      <c r="BC629" s="108"/>
      <c r="BD629" s="108"/>
      <c r="BE629" s="108"/>
      <c r="BF629" s="108"/>
      <c r="BG629" s="108"/>
      <c r="BH629" s="108"/>
      <c r="BI629" s="108"/>
      <c r="BJ629" s="108"/>
      <c r="BK629" s="109"/>
      <c r="BL629" s="108"/>
      <c r="BM629" s="108"/>
      <c r="BN629" s="108"/>
    </row>
    <row r="630" spans="1:66" ht="12" customHeight="1" x14ac:dyDescent="0.2">
      <c r="A630" s="179"/>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c r="AA630" s="108"/>
      <c r="AB630" s="108"/>
      <c r="AC630" s="108"/>
      <c r="AD630" s="108"/>
      <c r="AE630" s="108"/>
      <c r="AF630" s="108"/>
      <c r="AG630" s="108"/>
      <c r="AH630" s="108"/>
      <c r="AI630" s="108"/>
      <c r="AJ630" s="108"/>
      <c r="AK630" s="108"/>
      <c r="AL630" s="108"/>
      <c r="AM630" s="108"/>
      <c r="AN630" s="108"/>
      <c r="AO630" s="108"/>
      <c r="AP630" s="108"/>
      <c r="AQ630" s="108"/>
      <c r="AR630" s="108"/>
      <c r="AS630" s="108"/>
      <c r="AT630" s="108"/>
      <c r="AU630" s="108"/>
      <c r="AV630" s="108"/>
      <c r="AW630" s="108"/>
      <c r="AX630" s="108"/>
      <c r="AY630" s="108"/>
      <c r="AZ630" s="108"/>
      <c r="BA630" s="108"/>
      <c r="BB630" s="108"/>
      <c r="BC630" s="108"/>
      <c r="BD630" s="108"/>
      <c r="BE630" s="108"/>
      <c r="BF630" s="108"/>
      <c r="BG630" s="108"/>
      <c r="BH630" s="108"/>
      <c r="BI630" s="108"/>
      <c r="BJ630" s="108"/>
      <c r="BK630" s="109"/>
      <c r="BL630" s="108"/>
      <c r="BM630" s="108"/>
      <c r="BN630" s="108"/>
    </row>
    <row r="631" spans="1:66" ht="12" customHeight="1" x14ac:dyDescent="0.2">
      <c r="A631" s="179"/>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c r="AA631" s="108"/>
      <c r="AB631" s="108"/>
      <c r="AC631" s="108"/>
      <c r="AD631" s="108"/>
      <c r="AE631" s="108"/>
      <c r="AF631" s="108"/>
      <c r="AG631" s="108"/>
      <c r="AH631" s="108"/>
      <c r="AI631" s="108"/>
      <c r="AJ631" s="108"/>
      <c r="AK631" s="108"/>
      <c r="AL631" s="108"/>
      <c r="AM631" s="108"/>
      <c r="AN631" s="108"/>
      <c r="AO631" s="108"/>
      <c r="AP631" s="108"/>
      <c r="AQ631" s="108"/>
      <c r="AR631" s="108"/>
      <c r="AS631" s="108"/>
      <c r="AT631" s="108"/>
      <c r="AU631" s="108"/>
      <c r="AV631" s="108"/>
      <c r="AW631" s="108"/>
      <c r="AX631" s="108"/>
      <c r="AY631" s="108"/>
      <c r="AZ631" s="108"/>
      <c r="BA631" s="108"/>
      <c r="BB631" s="108"/>
      <c r="BC631" s="108"/>
      <c r="BD631" s="108"/>
      <c r="BE631" s="108"/>
      <c r="BF631" s="108"/>
      <c r="BG631" s="108"/>
      <c r="BH631" s="108"/>
      <c r="BI631" s="108"/>
      <c r="BJ631" s="108"/>
      <c r="BK631" s="109"/>
      <c r="BL631" s="108"/>
      <c r="BM631" s="108"/>
      <c r="BN631" s="108"/>
    </row>
    <row r="632" spans="1:66" ht="12" customHeight="1" x14ac:dyDescent="0.2">
      <c r="A632" s="179"/>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c r="AA632" s="108"/>
      <c r="AB632" s="108"/>
      <c r="AC632" s="108"/>
      <c r="AD632" s="108"/>
      <c r="AE632" s="108"/>
      <c r="AF632" s="108"/>
      <c r="AG632" s="108"/>
      <c r="AH632" s="108"/>
      <c r="AI632" s="108"/>
      <c r="AJ632" s="108"/>
      <c r="AK632" s="108"/>
      <c r="AL632" s="108"/>
      <c r="AM632" s="108"/>
      <c r="AN632" s="108"/>
      <c r="AO632" s="108"/>
      <c r="AP632" s="108"/>
      <c r="AQ632" s="108"/>
      <c r="AR632" s="108"/>
      <c r="AS632" s="108"/>
      <c r="AT632" s="108"/>
      <c r="AU632" s="108"/>
      <c r="AV632" s="108"/>
      <c r="AW632" s="108"/>
      <c r="AX632" s="108"/>
      <c r="AY632" s="108"/>
      <c r="AZ632" s="108"/>
      <c r="BA632" s="108"/>
      <c r="BB632" s="108"/>
      <c r="BC632" s="108"/>
      <c r="BD632" s="108"/>
      <c r="BE632" s="108"/>
      <c r="BF632" s="108"/>
      <c r="BG632" s="108"/>
      <c r="BH632" s="108"/>
      <c r="BI632" s="108"/>
      <c r="BJ632" s="108"/>
      <c r="BK632" s="109"/>
      <c r="BL632" s="108"/>
      <c r="BM632" s="108"/>
      <c r="BN632" s="108"/>
    </row>
    <row r="633" spans="1:66" ht="12" customHeight="1" x14ac:dyDescent="0.2">
      <c r="A633" s="179"/>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c r="AA633" s="108"/>
      <c r="AB633" s="108"/>
      <c r="AC633" s="108"/>
      <c r="AD633" s="108"/>
      <c r="AE633" s="108"/>
      <c r="AF633" s="108"/>
      <c r="AG633" s="108"/>
      <c r="AH633" s="108"/>
      <c r="AI633" s="108"/>
      <c r="AJ633" s="108"/>
      <c r="AK633" s="108"/>
      <c r="AL633" s="108"/>
      <c r="AM633" s="108"/>
      <c r="AN633" s="108"/>
      <c r="AO633" s="108"/>
      <c r="AP633" s="108"/>
      <c r="AQ633" s="108"/>
      <c r="AR633" s="108"/>
      <c r="AS633" s="108"/>
      <c r="AT633" s="108"/>
      <c r="AU633" s="108"/>
      <c r="AV633" s="108"/>
      <c r="AW633" s="108"/>
      <c r="AX633" s="108"/>
      <c r="AY633" s="108"/>
      <c r="AZ633" s="108"/>
      <c r="BA633" s="108"/>
      <c r="BB633" s="108"/>
      <c r="BC633" s="108"/>
      <c r="BD633" s="108"/>
      <c r="BE633" s="108"/>
      <c r="BF633" s="108"/>
      <c r="BG633" s="108"/>
      <c r="BH633" s="108"/>
      <c r="BI633" s="108"/>
      <c r="BJ633" s="108"/>
      <c r="BK633" s="109"/>
      <c r="BL633" s="108"/>
      <c r="BM633" s="108"/>
      <c r="BN633" s="108"/>
    </row>
    <row r="634" spans="1:66" ht="12" customHeight="1" x14ac:dyDescent="0.2">
      <c r="A634" s="179"/>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c r="AA634" s="108"/>
      <c r="AB634" s="108"/>
      <c r="AC634" s="108"/>
      <c r="AD634" s="108"/>
      <c r="AE634" s="108"/>
      <c r="AF634" s="108"/>
      <c r="AG634" s="108"/>
      <c r="AH634" s="108"/>
      <c r="AI634" s="108"/>
      <c r="AJ634" s="108"/>
      <c r="AK634" s="108"/>
      <c r="AL634" s="108"/>
      <c r="AM634" s="108"/>
      <c r="AN634" s="108"/>
      <c r="AO634" s="108"/>
      <c r="AP634" s="108"/>
      <c r="AQ634" s="108"/>
      <c r="AR634" s="108"/>
      <c r="AS634" s="108"/>
      <c r="AT634" s="108"/>
      <c r="AU634" s="108"/>
      <c r="AV634" s="108"/>
      <c r="AW634" s="108"/>
      <c r="AX634" s="108"/>
      <c r="AY634" s="108"/>
      <c r="AZ634" s="108"/>
      <c r="BA634" s="108"/>
      <c r="BB634" s="108"/>
      <c r="BC634" s="108"/>
      <c r="BD634" s="108"/>
      <c r="BE634" s="108"/>
      <c r="BF634" s="108"/>
      <c r="BG634" s="108"/>
      <c r="BH634" s="108"/>
      <c r="BI634" s="108"/>
      <c r="BJ634" s="108"/>
      <c r="BK634" s="109"/>
      <c r="BL634" s="108"/>
      <c r="BM634" s="108"/>
      <c r="BN634" s="108"/>
    </row>
    <row r="635" spans="1:66" ht="12" customHeight="1" x14ac:dyDescent="0.2">
      <c r="A635" s="179"/>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c r="AA635" s="108"/>
      <c r="AB635" s="108"/>
      <c r="AC635" s="108"/>
      <c r="AD635" s="108"/>
      <c r="AE635" s="108"/>
      <c r="AF635" s="108"/>
      <c r="AG635" s="108"/>
      <c r="AH635" s="108"/>
      <c r="AI635" s="108"/>
      <c r="AJ635" s="108"/>
      <c r="AK635" s="108"/>
      <c r="AL635" s="108"/>
      <c r="AM635" s="108"/>
      <c r="AN635" s="108"/>
      <c r="AO635" s="108"/>
      <c r="AP635" s="108"/>
      <c r="AQ635" s="108"/>
      <c r="AR635" s="108"/>
      <c r="AS635" s="108"/>
      <c r="AT635" s="108"/>
      <c r="AU635" s="108"/>
      <c r="AV635" s="108"/>
      <c r="AW635" s="108"/>
      <c r="AX635" s="108"/>
      <c r="AY635" s="108"/>
      <c r="AZ635" s="108"/>
      <c r="BA635" s="108"/>
      <c r="BB635" s="108"/>
      <c r="BC635" s="108"/>
      <c r="BD635" s="108"/>
      <c r="BE635" s="108"/>
      <c r="BF635" s="108"/>
      <c r="BG635" s="108"/>
      <c r="BH635" s="108"/>
      <c r="BI635" s="108"/>
      <c r="BJ635" s="108"/>
      <c r="BK635" s="109"/>
      <c r="BL635" s="108"/>
      <c r="BM635" s="108"/>
      <c r="BN635" s="108"/>
    </row>
    <row r="636" spans="1:66" ht="12" customHeight="1" x14ac:dyDescent="0.2">
      <c r="A636" s="179"/>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c r="AA636" s="108"/>
      <c r="AB636" s="108"/>
      <c r="AC636" s="108"/>
      <c r="AD636" s="108"/>
      <c r="AE636" s="108"/>
      <c r="AF636" s="108"/>
      <c r="AG636" s="108"/>
      <c r="AH636" s="108"/>
      <c r="AI636" s="108"/>
      <c r="AJ636" s="108"/>
      <c r="AK636" s="108"/>
      <c r="AL636" s="108"/>
      <c r="AM636" s="108"/>
      <c r="AN636" s="108"/>
      <c r="AO636" s="108"/>
      <c r="AP636" s="108"/>
      <c r="AQ636" s="108"/>
      <c r="AR636" s="108"/>
      <c r="AS636" s="108"/>
      <c r="AT636" s="108"/>
      <c r="AU636" s="108"/>
      <c r="AV636" s="108"/>
      <c r="AW636" s="108"/>
      <c r="AX636" s="108"/>
      <c r="AY636" s="108"/>
      <c r="AZ636" s="108"/>
      <c r="BA636" s="108"/>
      <c r="BB636" s="108"/>
      <c r="BC636" s="108"/>
      <c r="BD636" s="108"/>
      <c r="BE636" s="108"/>
      <c r="BF636" s="108"/>
      <c r="BG636" s="108"/>
      <c r="BH636" s="108"/>
      <c r="BI636" s="108"/>
      <c r="BJ636" s="108"/>
      <c r="BK636" s="109"/>
      <c r="BL636" s="108"/>
      <c r="BM636" s="108"/>
      <c r="BN636" s="108"/>
    </row>
    <row r="637" spans="1:66" ht="12" customHeight="1" x14ac:dyDescent="0.2">
      <c r="A637" s="179"/>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c r="AA637" s="108"/>
      <c r="AB637" s="108"/>
      <c r="AC637" s="108"/>
      <c r="AD637" s="108"/>
      <c r="AE637" s="108"/>
      <c r="AF637" s="108"/>
      <c r="AG637" s="108"/>
      <c r="AH637" s="108"/>
      <c r="AI637" s="108"/>
      <c r="AJ637" s="108"/>
      <c r="AK637" s="108"/>
      <c r="AL637" s="108"/>
      <c r="AM637" s="108"/>
      <c r="AN637" s="108"/>
      <c r="AO637" s="108"/>
      <c r="AP637" s="108"/>
      <c r="AQ637" s="108"/>
      <c r="AR637" s="108"/>
      <c r="AS637" s="108"/>
      <c r="AT637" s="108"/>
      <c r="AU637" s="108"/>
      <c r="AV637" s="108"/>
      <c r="AW637" s="108"/>
      <c r="AX637" s="108"/>
      <c r="AY637" s="108"/>
      <c r="AZ637" s="108"/>
      <c r="BA637" s="108"/>
      <c r="BB637" s="108"/>
      <c r="BC637" s="108"/>
      <c r="BD637" s="108"/>
      <c r="BE637" s="108"/>
      <c r="BF637" s="108"/>
      <c r="BG637" s="108"/>
      <c r="BH637" s="108"/>
      <c r="BI637" s="108"/>
      <c r="BJ637" s="108"/>
      <c r="BK637" s="109"/>
      <c r="BL637" s="108"/>
      <c r="BM637" s="108"/>
      <c r="BN637" s="108"/>
    </row>
    <row r="638" spans="1:66" ht="12" customHeight="1" x14ac:dyDescent="0.2">
      <c r="A638" s="179"/>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c r="AA638" s="108"/>
      <c r="AB638" s="108"/>
      <c r="AC638" s="108"/>
      <c r="AD638" s="108"/>
      <c r="AE638" s="108"/>
      <c r="AF638" s="108"/>
      <c r="AG638" s="108"/>
      <c r="AH638" s="108"/>
      <c r="AI638" s="108"/>
      <c r="AJ638" s="108"/>
      <c r="AK638" s="108"/>
      <c r="AL638" s="108"/>
      <c r="AM638" s="108"/>
      <c r="AN638" s="108"/>
      <c r="AO638" s="108"/>
      <c r="AP638" s="108"/>
      <c r="AQ638" s="108"/>
      <c r="AR638" s="108"/>
      <c r="AS638" s="108"/>
      <c r="AT638" s="108"/>
      <c r="AU638" s="108"/>
      <c r="AV638" s="108"/>
      <c r="AW638" s="108"/>
      <c r="AX638" s="108"/>
      <c r="AY638" s="108"/>
      <c r="AZ638" s="108"/>
      <c r="BA638" s="108"/>
      <c r="BB638" s="108"/>
      <c r="BC638" s="108"/>
      <c r="BD638" s="108"/>
      <c r="BE638" s="108"/>
      <c r="BF638" s="108"/>
      <c r="BG638" s="108"/>
      <c r="BH638" s="108"/>
      <c r="BI638" s="108"/>
      <c r="BJ638" s="108"/>
      <c r="BK638" s="109"/>
      <c r="BL638" s="108"/>
      <c r="BM638" s="108"/>
      <c r="BN638" s="108"/>
    </row>
    <row r="639" spans="1:66" ht="12" customHeight="1" x14ac:dyDescent="0.2">
      <c r="A639" s="179"/>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c r="AA639" s="108"/>
      <c r="AB639" s="108"/>
      <c r="AC639" s="108"/>
      <c r="AD639" s="108"/>
      <c r="AE639" s="108"/>
      <c r="AF639" s="108"/>
      <c r="AG639" s="108"/>
      <c r="AH639" s="108"/>
      <c r="AI639" s="108"/>
      <c r="AJ639" s="108"/>
      <c r="AK639" s="108"/>
      <c r="AL639" s="108"/>
      <c r="AM639" s="108"/>
      <c r="AN639" s="108"/>
      <c r="AO639" s="108"/>
      <c r="AP639" s="108"/>
      <c r="AQ639" s="108"/>
      <c r="AR639" s="108"/>
      <c r="AS639" s="108"/>
      <c r="AT639" s="108"/>
      <c r="AU639" s="108"/>
      <c r="AV639" s="108"/>
      <c r="AW639" s="108"/>
      <c r="AX639" s="108"/>
      <c r="AY639" s="108"/>
      <c r="AZ639" s="108"/>
      <c r="BA639" s="108"/>
      <c r="BB639" s="108"/>
      <c r="BC639" s="108"/>
      <c r="BD639" s="108"/>
      <c r="BE639" s="108"/>
      <c r="BF639" s="108"/>
      <c r="BG639" s="108"/>
      <c r="BH639" s="108"/>
      <c r="BI639" s="108"/>
      <c r="BJ639" s="108"/>
      <c r="BK639" s="109"/>
      <c r="BL639" s="108"/>
      <c r="BM639" s="108"/>
      <c r="BN639" s="108"/>
    </row>
    <row r="640" spans="1:66" ht="12" customHeight="1" x14ac:dyDescent="0.2">
      <c r="A640" s="179"/>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c r="AA640" s="108"/>
      <c r="AB640" s="108"/>
      <c r="AC640" s="108"/>
      <c r="AD640" s="108"/>
      <c r="AE640" s="108"/>
      <c r="AF640" s="108"/>
      <c r="AG640" s="108"/>
      <c r="AH640" s="108"/>
      <c r="AI640" s="108"/>
      <c r="AJ640" s="108"/>
      <c r="AK640" s="108"/>
      <c r="AL640" s="108"/>
      <c r="AM640" s="108"/>
      <c r="AN640" s="108"/>
      <c r="AO640" s="108"/>
      <c r="AP640" s="108"/>
      <c r="AQ640" s="108"/>
      <c r="AR640" s="108"/>
      <c r="AS640" s="108"/>
      <c r="AT640" s="108"/>
      <c r="AU640" s="108"/>
      <c r="AV640" s="108"/>
      <c r="AW640" s="108"/>
      <c r="AX640" s="108"/>
      <c r="AY640" s="108"/>
      <c r="AZ640" s="108"/>
      <c r="BA640" s="108"/>
      <c r="BB640" s="108"/>
      <c r="BC640" s="108"/>
      <c r="BD640" s="108"/>
      <c r="BE640" s="108"/>
      <c r="BF640" s="108"/>
      <c r="BG640" s="108"/>
      <c r="BH640" s="108"/>
      <c r="BI640" s="108"/>
      <c r="BJ640" s="108"/>
      <c r="BK640" s="109"/>
      <c r="BL640" s="108"/>
      <c r="BM640" s="108"/>
      <c r="BN640" s="108"/>
    </row>
    <row r="641" spans="1:66" ht="12" customHeight="1" x14ac:dyDescent="0.2">
      <c r="A641" s="179"/>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c r="AA641" s="108"/>
      <c r="AB641" s="108"/>
      <c r="AC641" s="108"/>
      <c r="AD641" s="108"/>
      <c r="AE641" s="108"/>
      <c r="AF641" s="108"/>
      <c r="AG641" s="108"/>
      <c r="AH641" s="108"/>
      <c r="AI641" s="108"/>
      <c r="AJ641" s="108"/>
      <c r="AK641" s="108"/>
      <c r="AL641" s="108"/>
      <c r="AM641" s="108"/>
      <c r="AN641" s="108"/>
      <c r="AO641" s="108"/>
      <c r="AP641" s="108"/>
      <c r="AQ641" s="108"/>
      <c r="AR641" s="108"/>
      <c r="AS641" s="108"/>
      <c r="AT641" s="108"/>
      <c r="AU641" s="108"/>
      <c r="AV641" s="108"/>
      <c r="AW641" s="108"/>
      <c r="AX641" s="108"/>
      <c r="AY641" s="108"/>
      <c r="AZ641" s="108"/>
      <c r="BA641" s="108"/>
      <c r="BB641" s="108"/>
      <c r="BC641" s="108"/>
      <c r="BD641" s="108"/>
      <c r="BE641" s="108"/>
      <c r="BF641" s="108"/>
      <c r="BG641" s="108"/>
      <c r="BH641" s="108"/>
      <c r="BI641" s="108"/>
      <c r="BJ641" s="108"/>
      <c r="BK641" s="109"/>
      <c r="BL641" s="108"/>
      <c r="BM641" s="108"/>
      <c r="BN641" s="108"/>
    </row>
    <row r="642" spans="1:66" ht="12" customHeight="1" x14ac:dyDescent="0.2">
      <c r="A642" s="179"/>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c r="AA642" s="108"/>
      <c r="AB642" s="108"/>
      <c r="AC642" s="108"/>
      <c r="AD642" s="108"/>
      <c r="AE642" s="108"/>
      <c r="AF642" s="108"/>
      <c r="AG642" s="108"/>
      <c r="AH642" s="108"/>
      <c r="AI642" s="108"/>
      <c r="AJ642" s="108"/>
      <c r="AK642" s="108"/>
      <c r="AL642" s="108"/>
      <c r="AM642" s="108"/>
      <c r="AN642" s="108"/>
      <c r="AO642" s="108"/>
      <c r="AP642" s="108"/>
      <c r="AQ642" s="108"/>
      <c r="AR642" s="108"/>
      <c r="AS642" s="108"/>
      <c r="AT642" s="108"/>
      <c r="AU642" s="108"/>
      <c r="AV642" s="108"/>
      <c r="AW642" s="108"/>
      <c r="AX642" s="108"/>
      <c r="AY642" s="108"/>
      <c r="AZ642" s="108"/>
      <c r="BA642" s="108"/>
      <c r="BB642" s="108"/>
      <c r="BC642" s="108"/>
      <c r="BD642" s="108"/>
      <c r="BE642" s="108"/>
      <c r="BF642" s="108"/>
      <c r="BG642" s="108"/>
      <c r="BH642" s="108"/>
      <c r="BI642" s="108"/>
      <c r="BJ642" s="108"/>
      <c r="BK642" s="109"/>
      <c r="BL642" s="108"/>
      <c r="BM642" s="108"/>
      <c r="BN642" s="108"/>
    </row>
    <row r="643" spans="1:66" ht="12" customHeight="1" x14ac:dyDescent="0.2">
      <c r="A643" s="179"/>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c r="AA643" s="108"/>
      <c r="AB643" s="108"/>
      <c r="AC643" s="108"/>
      <c r="AD643" s="108"/>
      <c r="AE643" s="108"/>
      <c r="AF643" s="108"/>
      <c r="AG643" s="108"/>
      <c r="AH643" s="108"/>
      <c r="AI643" s="108"/>
      <c r="AJ643" s="108"/>
      <c r="AK643" s="108"/>
      <c r="AL643" s="108"/>
      <c r="AM643" s="108"/>
      <c r="AN643" s="108"/>
      <c r="AO643" s="108"/>
      <c r="AP643" s="108"/>
      <c r="AQ643" s="108"/>
      <c r="AR643" s="108"/>
      <c r="AS643" s="108"/>
      <c r="AT643" s="108"/>
      <c r="AU643" s="108"/>
      <c r="AV643" s="108"/>
      <c r="AW643" s="108"/>
      <c r="AX643" s="108"/>
      <c r="AY643" s="108"/>
      <c r="AZ643" s="108"/>
      <c r="BA643" s="108"/>
      <c r="BB643" s="108"/>
      <c r="BC643" s="108"/>
      <c r="BD643" s="108"/>
      <c r="BE643" s="108"/>
      <c r="BF643" s="108"/>
      <c r="BG643" s="108"/>
      <c r="BH643" s="108"/>
      <c r="BI643" s="108"/>
      <c r="BJ643" s="108"/>
      <c r="BK643" s="109"/>
      <c r="BL643" s="108"/>
      <c r="BM643" s="108"/>
      <c r="BN643" s="108"/>
    </row>
    <row r="644" spans="1:66" ht="12" customHeight="1" x14ac:dyDescent="0.2">
      <c r="A644" s="179"/>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c r="AA644" s="108"/>
      <c r="AB644" s="108"/>
      <c r="AC644" s="108"/>
      <c r="AD644" s="108"/>
      <c r="AE644" s="108"/>
      <c r="AF644" s="108"/>
      <c r="AG644" s="108"/>
      <c r="AH644" s="108"/>
      <c r="AI644" s="108"/>
      <c r="AJ644" s="108"/>
      <c r="AK644" s="108"/>
      <c r="AL644" s="108"/>
      <c r="AM644" s="108"/>
      <c r="AN644" s="108"/>
      <c r="AO644" s="108"/>
      <c r="AP644" s="108"/>
      <c r="AQ644" s="108"/>
      <c r="AR644" s="108"/>
      <c r="AS644" s="108"/>
      <c r="AT644" s="108"/>
      <c r="AU644" s="108"/>
      <c r="AV644" s="108"/>
      <c r="AW644" s="108"/>
      <c r="AX644" s="108"/>
      <c r="AY644" s="108"/>
      <c r="AZ644" s="108"/>
      <c r="BA644" s="108"/>
      <c r="BB644" s="108"/>
      <c r="BC644" s="108"/>
      <c r="BD644" s="108"/>
      <c r="BE644" s="108"/>
      <c r="BF644" s="108"/>
      <c r="BG644" s="108"/>
      <c r="BH644" s="108"/>
      <c r="BI644" s="108"/>
      <c r="BJ644" s="108"/>
      <c r="BK644" s="109"/>
      <c r="BL644" s="108"/>
      <c r="BM644" s="108"/>
      <c r="BN644" s="108"/>
    </row>
    <row r="645" spans="1:66" ht="12" customHeight="1" x14ac:dyDescent="0.2">
      <c r="A645" s="179"/>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c r="AA645" s="108"/>
      <c r="AB645" s="108"/>
      <c r="AC645" s="108"/>
      <c r="AD645" s="108"/>
      <c r="AE645" s="108"/>
      <c r="AF645" s="108"/>
      <c r="AG645" s="108"/>
      <c r="AH645" s="108"/>
      <c r="AI645" s="108"/>
      <c r="AJ645" s="108"/>
      <c r="AK645" s="108"/>
      <c r="AL645" s="108"/>
      <c r="AM645" s="108"/>
      <c r="AN645" s="108"/>
      <c r="AO645" s="108"/>
      <c r="AP645" s="108"/>
      <c r="AQ645" s="108"/>
      <c r="AR645" s="108"/>
      <c r="AS645" s="108"/>
      <c r="AT645" s="108"/>
      <c r="AU645" s="108"/>
      <c r="AV645" s="108"/>
      <c r="AW645" s="108"/>
      <c r="AX645" s="108"/>
      <c r="AY645" s="108"/>
      <c r="AZ645" s="108"/>
      <c r="BA645" s="108"/>
      <c r="BB645" s="108"/>
      <c r="BC645" s="108"/>
      <c r="BD645" s="108"/>
      <c r="BE645" s="108"/>
      <c r="BF645" s="108"/>
      <c r="BG645" s="108"/>
      <c r="BH645" s="108"/>
      <c r="BI645" s="108"/>
      <c r="BJ645" s="108"/>
      <c r="BK645" s="109"/>
      <c r="BL645" s="108"/>
      <c r="BM645" s="108"/>
      <c r="BN645" s="108"/>
    </row>
    <row r="646" spans="1:66" ht="12" customHeight="1" x14ac:dyDescent="0.2">
      <c r="A646" s="179"/>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c r="AA646" s="108"/>
      <c r="AB646" s="108"/>
      <c r="AC646" s="108"/>
      <c r="AD646" s="108"/>
      <c r="AE646" s="108"/>
      <c r="AF646" s="108"/>
      <c r="AG646" s="108"/>
      <c r="AH646" s="108"/>
      <c r="AI646" s="108"/>
      <c r="AJ646" s="108"/>
      <c r="AK646" s="108"/>
      <c r="AL646" s="108"/>
      <c r="AM646" s="108"/>
      <c r="AN646" s="108"/>
      <c r="AO646" s="108"/>
      <c r="AP646" s="108"/>
      <c r="AQ646" s="108"/>
      <c r="AR646" s="108"/>
      <c r="AS646" s="108"/>
      <c r="AT646" s="108"/>
      <c r="AU646" s="108"/>
      <c r="AV646" s="108"/>
      <c r="AW646" s="108"/>
      <c r="AX646" s="108"/>
      <c r="AY646" s="108"/>
      <c r="AZ646" s="108"/>
      <c r="BA646" s="108"/>
      <c r="BB646" s="108"/>
      <c r="BC646" s="108"/>
      <c r="BD646" s="108"/>
      <c r="BE646" s="108"/>
      <c r="BF646" s="108"/>
      <c r="BG646" s="108"/>
      <c r="BH646" s="108"/>
      <c r="BI646" s="108"/>
      <c r="BJ646" s="108"/>
      <c r="BK646" s="109"/>
      <c r="BL646" s="108"/>
      <c r="BM646" s="108"/>
      <c r="BN646" s="108"/>
    </row>
    <row r="647" spans="1:66" ht="12" customHeight="1" x14ac:dyDescent="0.2">
      <c r="A647" s="179"/>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c r="AA647" s="108"/>
      <c r="AB647" s="108"/>
      <c r="AC647" s="108"/>
      <c r="AD647" s="108"/>
      <c r="AE647" s="108"/>
      <c r="AF647" s="108"/>
      <c r="AG647" s="108"/>
      <c r="AH647" s="108"/>
      <c r="AI647" s="108"/>
      <c r="AJ647" s="108"/>
      <c r="AK647" s="108"/>
      <c r="AL647" s="108"/>
      <c r="AM647" s="108"/>
      <c r="AN647" s="108"/>
      <c r="AO647" s="108"/>
      <c r="AP647" s="108"/>
      <c r="AQ647" s="108"/>
      <c r="AR647" s="108"/>
      <c r="AS647" s="108"/>
      <c r="AT647" s="108"/>
      <c r="AU647" s="108"/>
      <c r="AV647" s="108"/>
      <c r="AW647" s="108"/>
      <c r="AX647" s="108"/>
      <c r="AY647" s="108"/>
      <c r="AZ647" s="108"/>
      <c r="BA647" s="108"/>
      <c r="BB647" s="108"/>
      <c r="BC647" s="108"/>
      <c r="BD647" s="108"/>
      <c r="BE647" s="108"/>
      <c r="BF647" s="108"/>
      <c r="BG647" s="108"/>
      <c r="BH647" s="108"/>
      <c r="BI647" s="108"/>
      <c r="BJ647" s="108"/>
      <c r="BK647" s="109"/>
      <c r="BL647" s="108"/>
      <c r="BM647" s="108"/>
      <c r="BN647" s="108"/>
    </row>
    <row r="648" spans="1:66" ht="12" customHeight="1" x14ac:dyDescent="0.2">
      <c r="A648" s="179"/>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c r="AA648" s="108"/>
      <c r="AB648" s="108"/>
      <c r="AC648" s="108"/>
      <c r="AD648" s="108"/>
      <c r="AE648" s="108"/>
      <c r="AF648" s="108"/>
      <c r="AG648" s="108"/>
      <c r="AH648" s="108"/>
      <c r="AI648" s="108"/>
      <c r="AJ648" s="108"/>
      <c r="AK648" s="108"/>
      <c r="AL648" s="108"/>
      <c r="AM648" s="108"/>
      <c r="AN648" s="108"/>
      <c r="AO648" s="108"/>
      <c r="AP648" s="108"/>
      <c r="AQ648" s="108"/>
      <c r="AR648" s="108"/>
      <c r="AS648" s="108"/>
      <c r="AT648" s="108"/>
      <c r="AU648" s="108"/>
      <c r="AV648" s="108"/>
      <c r="AW648" s="108"/>
      <c r="AX648" s="108"/>
      <c r="AY648" s="108"/>
      <c r="AZ648" s="108"/>
      <c r="BA648" s="108"/>
      <c r="BB648" s="108"/>
      <c r="BC648" s="108"/>
      <c r="BD648" s="108"/>
      <c r="BE648" s="108"/>
      <c r="BF648" s="108"/>
      <c r="BG648" s="108"/>
      <c r="BH648" s="108"/>
      <c r="BI648" s="108"/>
      <c r="BJ648" s="108"/>
      <c r="BK648" s="109"/>
      <c r="BL648" s="108"/>
      <c r="BM648" s="108"/>
      <c r="BN648" s="108"/>
    </row>
    <row r="649" spans="1:66" ht="12" customHeight="1" x14ac:dyDescent="0.2">
      <c r="A649" s="179"/>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c r="AA649" s="108"/>
      <c r="AB649" s="108"/>
      <c r="AC649" s="108"/>
      <c r="AD649" s="108"/>
      <c r="AE649" s="108"/>
      <c r="AF649" s="108"/>
      <c r="AG649" s="108"/>
      <c r="AH649" s="108"/>
      <c r="AI649" s="108"/>
      <c r="AJ649" s="108"/>
      <c r="AK649" s="108"/>
      <c r="AL649" s="108"/>
      <c r="AM649" s="108"/>
      <c r="AN649" s="108"/>
      <c r="AO649" s="108"/>
      <c r="AP649" s="108"/>
      <c r="AQ649" s="108"/>
      <c r="AR649" s="108"/>
      <c r="AS649" s="108"/>
      <c r="AT649" s="108"/>
      <c r="AU649" s="108"/>
      <c r="AV649" s="108"/>
      <c r="AW649" s="108"/>
      <c r="AX649" s="108"/>
      <c r="AY649" s="108"/>
      <c r="AZ649" s="108"/>
      <c r="BA649" s="108"/>
      <c r="BB649" s="108"/>
      <c r="BC649" s="108"/>
      <c r="BD649" s="108"/>
      <c r="BE649" s="108"/>
      <c r="BF649" s="108"/>
      <c r="BG649" s="108"/>
      <c r="BH649" s="108"/>
      <c r="BI649" s="108"/>
      <c r="BJ649" s="108"/>
      <c r="BK649" s="109"/>
      <c r="BL649" s="108"/>
      <c r="BM649" s="108"/>
      <c r="BN649" s="108"/>
    </row>
    <row r="650" spans="1:66" ht="12" customHeight="1" x14ac:dyDescent="0.2">
      <c r="A650" s="179"/>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c r="AA650" s="108"/>
      <c r="AB650" s="108"/>
      <c r="AC650" s="108"/>
      <c r="AD650" s="108"/>
      <c r="AE650" s="108"/>
      <c r="AF650" s="108"/>
      <c r="AG650" s="108"/>
      <c r="AH650" s="108"/>
      <c r="AI650" s="108"/>
      <c r="AJ650" s="108"/>
      <c r="AK650" s="108"/>
      <c r="AL650" s="108"/>
      <c r="AM650" s="108"/>
      <c r="AN650" s="108"/>
      <c r="AO650" s="108"/>
      <c r="AP650" s="108"/>
      <c r="AQ650" s="108"/>
      <c r="AR650" s="108"/>
      <c r="AS650" s="108"/>
      <c r="AT650" s="108"/>
      <c r="AU650" s="108"/>
      <c r="AV650" s="108"/>
      <c r="AW650" s="108"/>
      <c r="AX650" s="108"/>
      <c r="AY650" s="108"/>
      <c r="AZ650" s="108"/>
      <c r="BA650" s="108"/>
      <c r="BB650" s="108"/>
      <c r="BC650" s="108"/>
      <c r="BD650" s="108"/>
      <c r="BE650" s="108"/>
      <c r="BF650" s="108"/>
      <c r="BG650" s="108"/>
      <c r="BH650" s="108"/>
      <c r="BI650" s="108"/>
      <c r="BJ650" s="108"/>
      <c r="BK650" s="109"/>
      <c r="BL650" s="108"/>
      <c r="BM650" s="108"/>
      <c r="BN650" s="108"/>
    </row>
    <row r="651" spans="1:66" ht="12" customHeight="1" x14ac:dyDescent="0.2">
      <c r="A651" s="179"/>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c r="AA651" s="108"/>
      <c r="AB651" s="108"/>
      <c r="AC651" s="108"/>
      <c r="AD651" s="108"/>
      <c r="AE651" s="108"/>
      <c r="AF651" s="108"/>
      <c r="AG651" s="108"/>
      <c r="AH651" s="108"/>
      <c r="AI651" s="108"/>
      <c r="AJ651" s="108"/>
      <c r="AK651" s="108"/>
      <c r="AL651" s="108"/>
      <c r="AM651" s="108"/>
      <c r="AN651" s="108"/>
      <c r="AO651" s="108"/>
      <c r="AP651" s="108"/>
      <c r="AQ651" s="108"/>
      <c r="AR651" s="108"/>
      <c r="AS651" s="108"/>
      <c r="AT651" s="108"/>
      <c r="AU651" s="108"/>
      <c r="AV651" s="108"/>
      <c r="AW651" s="108"/>
      <c r="AX651" s="108"/>
      <c r="AY651" s="108"/>
      <c r="AZ651" s="108"/>
      <c r="BA651" s="108"/>
      <c r="BB651" s="108"/>
      <c r="BC651" s="108"/>
      <c r="BD651" s="108"/>
      <c r="BE651" s="108"/>
      <c r="BF651" s="108"/>
      <c r="BG651" s="108"/>
      <c r="BH651" s="108"/>
      <c r="BI651" s="108"/>
      <c r="BJ651" s="108"/>
      <c r="BK651" s="109"/>
      <c r="BL651" s="108"/>
      <c r="BM651" s="108"/>
      <c r="BN651" s="108"/>
    </row>
    <row r="652" spans="1:66" ht="12" customHeight="1" x14ac:dyDescent="0.2">
      <c r="A652" s="179"/>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c r="AA652" s="108"/>
      <c r="AB652" s="108"/>
      <c r="AC652" s="108"/>
      <c r="AD652" s="108"/>
      <c r="AE652" s="108"/>
      <c r="AF652" s="108"/>
      <c r="AG652" s="108"/>
      <c r="AH652" s="108"/>
      <c r="AI652" s="108"/>
      <c r="AJ652" s="108"/>
      <c r="AK652" s="108"/>
      <c r="AL652" s="108"/>
      <c r="AM652" s="108"/>
      <c r="AN652" s="108"/>
      <c r="AO652" s="108"/>
      <c r="AP652" s="108"/>
      <c r="AQ652" s="108"/>
      <c r="AR652" s="108"/>
      <c r="AS652" s="108"/>
      <c r="AT652" s="108"/>
      <c r="AU652" s="108"/>
      <c r="AV652" s="108"/>
      <c r="AW652" s="108"/>
      <c r="AX652" s="108"/>
      <c r="AY652" s="108"/>
      <c r="AZ652" s="108"/>
      <c r="BA652" s="108"/>
      <c r="BB652" s="108"/>
      <c r="BC652" s="108"/>
      <c r="BD652" s="108"/>
      <c r="BE652" s="108"/>
      <c r="BF652" s="108"/>
      <c r="BG652" s="108"/>
      <c r="BH652" s="108"/>
      <c r="BI652" s="108"/>
      <c r="BJ652" s="108"/>
      <c r="BK652" s="109"/>
      <c r="BL652" s="108"/>
      <c r="BM652" s="108"/>
      <c r="BN652" s="108"/>
    </row>
    <row r="653" spans="1:66" ht="12" customHeight="1" x14ac:dyDescent="0.2">
      <c r="A653" s="179"/>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c r="AA653" s="108"/>
      <c r="AB653" s="108"/>
      <c r="AC653" s="108"/>
      <c r="AD653" s="108"/>
      <c r="AE653" s="108"/>
      <c r="AF653" s="108"/>
      <c r="AG653" s="108"/>
      <c r="AH653" s="108"/>
      <c r="AI653" s="108"/>
      <c r="AJ653" s="108"/>
      <c r="AK653" s="108"/>
      <c r="AL653" s="108"/>
      <c r="AM653" s="108"/>
      <c r="AN653" s="108"/>
      <c r="AO653" s="108"/>
      <c r="AP653" s="108"/>
      <c r="AQ653" s="108"/>
      <c r="AR653" s="108"/>
      <c r="AS653" s="108"/>
      <c r="AT653" s="108"/>
      <c r="AU653" s="108"/>
      <c r="AV653" s="108"/>
      <c r="AW653" s="108"/>
      <c r="AX653" s="108"/>
      <c r="AY653" s="108"/>
      <c r="AZ653" s="108"/>
      <c r="BA653" s="108"/>
      <c r="BB653" s="108"/>
      <c r="BC653" s="108"/>
      <c r="BD653" s="108"/>
      <c r="BE653" s="108"/>
      <c r="BF653" s="108"/>
      <c r="BG653" s="108"/>
      <c r="BH653" s="108"/>
      <c r="BI653" s="108"/>
      <c r="BJ653" s="108"/>
      <c r="BK653" s="109"/>
      <c r="BL653" s="108"/>
      <c r="BM653" s="108"/>
      <c r="BN653" s="108"/>
    </row>
    <row r="654" spans="1:66" ht="12" customHeight="1" x14ac:dyDescent="0.2">
      <c r="A654" s="179"/>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c r="AA654" s="108"/>
      <c r="AB654" s="108"/>
      <c r="AC654" s="108"/>
      <c r="AD654" s="108"/>
      <c r="AE654" s="108"/>
      <c r="AF654" s="108"/>
      <c r="AG654" s="108"/>
      <c r="AH654" s="108"/>
      <c r="AI654" s="108"/>
      <c r="AJ654" s="108"/>
      <c r="AK654" s="108"/>
      <c r="AL654" s="108"/>
      <c r="AM654" s="108"/>
      <c r="AN654" s="108"/>
      <c r="AO654" s="108"/>
      <c r="AP654" s="108"/>
      <c r="AQ654" s="108"/>
      <c r="AR654" s="108"/>
      <c r="AS654" s="108"/>
      <c r="AT654" s="108"/>
      <c r="AU654" s="108"/>
      <c r="AV654" s="108"/>
      <c r="AW654" s="108"/>
      <c r="AX654" s="108"/>
      <c r="AY654" s="108"/>
      <c r="AZ654" s="108"/>
      <c r="BA654" s="108"/>
      <c r="BB654" s="108"/>
      <c r="BC654" s="108"/>
      <c r="BD654" s="108"/>
      <c r="BE654" s="108"/>
      <c r="BF654" s="108"/>
      <c r="BG654" s="108"/>
      <c r="BH654" s="108"/>
      <c r="BI654" s="108"/>
      <c r="BJ654" s="108"/>
      <c r="BK654" s="109"/>
      <c r="BL654" s="108"/>
      <c r="BM654" s="108"/>
      <c r="BN654" s="108"/>
    </row>
    <row r="655" spans="1:66" ht="12" customHeight="1" x14ac:dyDescent="0.2">
      <c r="A655" s="179"/>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c r="AA655" s="108"/>
      <c r="AB655" s="108"/>
      <c r="AC655" s="108"/>
      <c r="AD655" s="108"/>
      <c r="AE655" s="108"/>
      <c r="AF655" s="108"/>
      <c r="AG655" s="108"/>
      <c r="AH655" s="108"/>
      <c r="AI655" s="108"/>
      <c r="AJ655" s="108"/>
      <c r="AK655" s="108"/>
      <c r="AL655" s="108"/>
      <c r="AM655" s="108"/>
      <c r="AN655" s="108"/>
      <c r="AO655" s="108"/>
      <c r="AP655" s="108"/>
      <c r="AQ655" s="108"/>
      <c r="AR655" s="108"/>
      <c r="AS655" s="108"/>
      <c r="AT655" s="108"/>
      <c r="AU655" s="108"/>
      <c r="AV655" s="108"/>
      <c r="AW655" s="108"/>
      <c r="AX655" s="108"/>
      <c r="AY655" s="108"/>
      <c r="AZ655" s="108"/>
      <c r="BA655" s="108"/>
      <c r="BB655" s="108"/>
      <c r="BC655" s="108"/>
      <c r="BD655" s="108"/>
      <c r="BE655" s="108"/>
      <c r="BF655" s="108"/>
      <c r="BG655" s="108"/>
      <c r="BH655" s="108"/>
      <c r="BI655" s="108"/>
      <c r="BJ655" s="108"/>
      <c r="BK655" s="109"/>
      <c r="BL655" s="108"/>
      <c r="BM655" s="108"/>
      <c r="BN655" s="108"/>
    </row>
    <row r="656" spans="1:66" ht="12" customHeight="1" x14ac:dyDescent="0.2">
      <c r="A656" s="179"/>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c r="AA656" s="108"/>
      <c r="AB656" s="108"/>
      <c r="AC656" s="108"/>
      <c r="AD656" s="108"/>
      <c r="AE656" s="108"/>
      <c r="AF656" s="108"/>
      <c r="AG656" s="108"/>
      <c r="AH656" s="108"/>
      <c r="AI656" s="108"/>
      <c r="AJ656" s="108"/>
      <c r="AK656" s="108"/>
      <c r="AL656" s="108"/>
      <c r="AM656" s="108"/>
      <c r="AN656" s="108"/>
      <c r="AO656" s="108"/>
      <c r="AP656" s="108"/>
      <c r="AQ656" s="108"/>
      <c r="AR656" s="108"/>
      <c r="AS656" s="108"/>
      <c r="AT656" s="108"/>
      <c r="AU656" s="108"/>
      <c r="AV656" s="108"/>
      <c r="AW656" s="108"/>
      <c r="AX656" s="108"/>
      <c r="AY656" s="108"/>
      <c r="AZ656" s="108"/>
      <c r="BA656" s="108"/>
      <c r="BB656" s="108"/>
      <c r="BC656" s="108"/>
      <c r="BD656" s="108"/>
      <c r="BE656" s="108"/>
      <c r="BF656" s="108"/>
      <c r="BG656" s="108"/>
      <c r="BH656" s="108"/>
      <c r="BI656" s="108"/>
      <c r="BJ656" s="108"/>
      <c r="BK656" s="109"/>
      <c r="BL656" s="108"/>
      <c r="BM656" s="108"/>
      <c r="BN656" s="108"/>
    </row>
    <row r="657" spans="1:66" ht="12" customHeight="1" x14ac:dyDescent="0.2">
      <c r="A657" s="179"/>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c r="AA657" s="108"/>
      <c r="AB657" s="108"/>
      <c r="AC657" s="108"/>
      <c r="AD657" s="108"/>
      <c r="AE657" s="108"/>
      <c r="AF657" s="108"/>
      <c r="AG657" s="108"/>
      <c r="AH657" s="108"/>
      <c r="AI657" s="108"/>
      <c r="AJ657" s="108"/>
      <c r="AK657" s="108"/>
      <c r="AL657" s="108"/>
      <c r="AM657" s="108"/>
      <c r="AN657" s="108"/>
      <c r="AO657" s="108"/>
      <c r="AP657" s="108"/>
      <c r="AQ657" s="108"/>
      <c r="AR657" s="108"/>
      <c r="AS657" s="108"/>
      <c r="AT657" s="108"/>
      <c r="AU657" s="108"/>
      <c r="AV657" s="108"/>
      <c r="AW657" s="108"/>
      <c r="AX657" s="108"/>
      <c r="AY657" s="108"/>
      <c r="AZ657" s="108"/>
      <c r="BA657" s="108"/>
      <c r="BB657" s="108"/>
      <c r="BC657" s="108"/>
      <c r="BD657" s="108"/>
      <c r="BE657" s="108"/>
      <c r="BF657" s="108"/>
      <c r="BG657" s="108"/>
      <c r="BH657" s="108"/>
      <c r="BI657" s="108"/>
      <c r="BJ657" s="108"/>
      <c r="BK657" s="109"/>
      <c r="BL657" s="108"/>
      <c r="BM657" s="108"/>
      <c r="BN657" s="108"/>
    </row>
    <row r="658" spans="1:66" ht="12" customHeight="1" x14ac:dyDescent="0.2">
      <c r="A658" s="179"/>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c r="AA658" s="108"/>
      <c r="AB658" s="108"/>
      <c r="AC658" s="108"/>
      <c r="AD658" s="108"/>
      <c r="AE658" s="108"/>
      <c r="AF658" s="108"/>
      <c r="AG658" s="108"/>
      <c r="AH658" s="108"/>
      <c r="AI658" s="108"/>
      <c r="AJ658" s="108"/>
      <c r="AK658" s="108"/>
      <c r="AL658" s="108"/>
      <c r="AM658" s="108"/>
      <c r="AN658" s="108"/>
      <c r="AO658" s="108"/>
      <c r="AP658" s="108"/>
      <c r="AQ658" s="108"/>
      <c r="AR658" s="108"/>
      <c r="AS658" s="108"/>
      <c r="AT658" s="108"/>
      <c r="AU658" s="108"/>
      <c r="AV658" s="108"/>
      <c r="AW658" s="108"/>
      <c r="AX658" s="108"/>
      <c r="AY658" s="108"/>
      <c r="AZ658" s="108"/>
      <c r="BA658" s="108"/>
      <c r="BB658" s="108"/>
      <c r="BC658" s="108"/>
      <c r="BD658" s="108"/>
      <c r="BE658" s="108"/>
      <c r="BF658" s="108"/>
      <c r="BG658" s="108"/>
      <c r="BH658" s="108"/>
      <c r="BI658" s="108"/>
      <c r="BJ658" s="108"/>
      <c r="BK658" s="109"/>
      <c r="BL658" s="108"/>
      <c r="BM658" s="108"/>
      <c r="BN658" s="108"/>
    </row>
    <row r="659" spans="1:66" ht="12" customHeight="1" x14ac:dyDescent="0.2">
      <c r="A659" s="179"/>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c r="AA659" s="108"/>
      <c r="AB659" s="108"/>
      <c r="AC659" s="108"/>
      <c r="AD659" s="108"/>
      <c r="AE659" s="108"/>
      <c r="AF659" s="108"/>
      <c r="AG659" s="108"/>
      <c r="AH659" s="108"/>
      <c r="AI659" s="108"/>
      <c r="AJ659" s="108"/>
      <c r="AK659" s="108"/>
      <c r="AL659" s="108"/>
      <c r="AM659" s="108"/>
      <c r="AN659" s="108"/>
      <c r="AO659" s="108"/>
      <c r="AP659" s="108"/>
      <c r="AQ659" s="108"/>
      <c r="AR659" s="108"/>
      <c r="AS659" s="108"/>
      <c r="AT659" s="108"/>
      <c r="AU659" s="108"/>
      <c r="AV659" s="108"/>
      <c r="AW659" s="108"/>
      <c r="AX659" s="108"/>
      <c r="AY659" s="108"/>
      <c r="AZ659" s="108"/>
      <c r="BA659" s="108"/>
      <c r="BB659" s="108"/>
      <c r="BC659" s="108"/>
      <c r="BD659" s="108"/>
      <c r="BE659" s="108"/>
      <c r="BF659" s="108"/>
      <c r="BG659" s="108"/>
      <c r="BH659" s="108"/>
      <c r="BI659" s="108"/>
      <c r="BJ659" s="108"/>
      <c r="BK659" s="109"/>
      <c r="BL659" s="108"/>
      <c r="BM659" s="108"/>
      <c r="BN659" s="108"/>
    </row>
    <row r="660" spans="1:66" ht="12" customHeight="1" x14ac:dyDescent="0.2">
      <c r="A660" s="179"/>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c r="AA660" s="108"/>
      <c r="AB660" s="108"/>
      <c r="AC660" s="108"/>
      <c r="AD660" s="108"/>
      <c r="AE660" s="108"/>
      <c r="AF660" s="108"/>
      <c r="AG660" s="108"/>
      <c r="AH660" s="108"/>
      <c r="AI660" s="108"/>
      <c r="AJ660" s="108"/>
      <c r="AK660" s="108"/>
      <c r="AL660" s="108"/>
      <c r="AM660" s="108"/>
      <c r="AN660" s="108"/>
      <c r="AO660" s="108"/>
      <c r="AP660" s="108"/>
      <c r="AQ660" s="108"/>
      <c r="AR660" s="108"/>
      <c r="AS660" s="108"/>
      <c r="AT660" s="108"/>
      <c r="AU660" s="108"/>
      <c r="AV660" s="108"/>
      <c r="AW660" s="108"/>
      <c r="AX660" s="108"/>
      <c r="AY660" s="108"/>
      <c r="AZ660" s="108"/>
      <c r="BA660" s="108"/>
      <c r="BB660" s="108"/>
      <c r="BC660" s="108"/>
      <c r="BD660" s="108"/>
      <c r="BE660" s="108"/>
      <c r="BF660" s="108"/>
      <c r="BG660" s="108"/>
      <c r="BH660" s="108"/>
      <c r="BI660" s="108"/>
      <c r="BJ660" s="108"/>
      <c r="BK660" s="109"/>
      <c r="BL660" s="108"/>
      <c r="BM660" s="108"/>
      <c r="BN660" s="108"/>
    </row>
    <row r="661" spans="1:66" ht="12" customHeight="1" x14ac:dyDescent="0.2">
      <c r="A661" s="179"/>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c r="AA661" s="108"/>
      <c r="AB661" s="108"/>
      <c r="AC661" s="108"/>
      <c r="AD661" s="108"/>
      <c r="AE661" s="108"/>
      <c r="AF661" s="108"/>
      <c r="AG661" s="108"/>
      <c r="AH661" s="108"/>
      <c r="AI661" s="108"/>
      <c r="AJ661" s="108"/>
      <c r="AK661" s="108"/>
      <c r="AL661" s="108"/>
      <c r="AM661" s="108"/>
      <c r="AN661" s="108"/>
      <c r="AO661" s="108"/>
      <c r="AP661" s="108"/>
      <c r="AQ661" s="108"/>
      <c r="AR661" s="108"/>
      <c r="AS661" s="108"/>
      <c r="AT661" s="108"/>
      <c r="AU661" s="108"/>
      <c r="AV661" s="108"/>
      <c r="AW661" s="108"/>
      <c r="AX661" s="108"/>
      <c r="AY661" s="108"/>
      <c r="AZ661" s="108"/>
      <c r="BA661" s="108"/>
      <c r="BB661" s="108"/>
      <c r="BC661" s="108"/>
      <c r="BD661" s="108"/>
      <c r="BE661" s="108"/>
      <c r="BF661" s="108"/>
      <c r="BG661" s="108"/>
      <c r="BH661" s="108"/>
      <c r="BI661" s="108"/>
      <c r="BJ661" s="108"/>
      <c r="BK661" s="109"/>
      <c r="BL661" s="108"/>
      <c r="BM661" s="108"/>
      <c r="BN661" s="108"/>
    </row>
    <row r="662" spans="1:66" ht="12" customHeight="1" x14ac:dyDescent="0.2">
      <c r="A662" s="179"/>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c r="AA662" s="108"/>
      <c r="AB662" s="108"/>
      <c r="AC662" s="108"/>
      <c r="AD662" s="108"/>
      <c r="AE662" s="108"/>
      <c r="AF662" s="108"/>
      <c r="AG662" s="108"/>
      <c r="AH662" s="108"/>
      <c r="AI662" s="108"/>
      <c r="AJ662" s="108"/>
      <c r="AK662" s="108"/>
      <c r="AL662" s="108"/>
      <c r="AM662" s="108"/>
      <c r="AN662" s="108"/>
      <c r="AO662" s="108"/>
      <c r="AP662" s="108"/>
      <c r="AQ662" s="108"/>
      <c r="AR662" s="108"/>
      <c r="AS662" s="108"/>
      <c r="AT662" s="108"/>
      <c r="AU662" s="108"/>
      <c r="AV662" s="108"/>
      <c r="AW662" s="108"/>
      <c r="AX662" s="108"/>
      <c r="AY662" s="108"/>
      <c r="AZ662" s="108"/>
      <c r="BA662" s="108"/>
      <c r="BB662" s="108"/>
      <c r="BC662" s="108"/>
      <c r="BD662" s="108"/>
      <c r="BE662" s="108"/>
      <c r="BF662" s="108"/>
      <c r="BG662" s="108"/>
      <c r="BH662" s="108"/>
      <c r="BI662" s="108"/>
      <c r="BJ662" s="108"/>
      <c r="BK662" s="109"/>
      <c r="BL662" s="108"/>
      <c r="BM662" s="108"/>
      <c r="BN662" s="108"/>
    </row>
    <row r="663" spans="1:66" ht="12" customHeight="1" x14ac:dyDescent="0.2">
      <c r="A663" s="179"/>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c r="AA663" s="108"/>
      <c r="AB663" s="108"/>
      <c r="AC663" s="108"/>
      <c r="AD663" s="108"/>
      <c r="AE663" s="108"/>
      <c r="AF663" s="108"/>
      <c r="AG663" s="108"/>
      <c r="AH663" s="108"/>
      <c r="AI663" s="108"/>
      <c r="AJ663" s="108"/>
      <c r="AK663" s="108"/>
      <c r="AL663" s="108"/>
      <c r="AM663" s="108"/>
      <c r="AN663" s="108"/>
      <c r="AO663" s="108"/>
      <c r="AP663" s="108"/>
      <c r="AQ663" s="108"/>
      <c r="AR663" s="108"/>
      <c r="AS663" s="108"/>
      <c r="AT663" s="108"/>
      <c r="AU663" s="108"/>
      <c r="AV663" s="108"/>
      <c r="AW663" s="108"/>
      <c r="AX663" s="108"/>
      <c r="AY663" s="108"/>
      <c r="AZ663" s="108"/>
      <c r="BA663" s="108"/>
      <c r="BB663" s="108"/>
      <c r="BC663" s="108"/>
      <c r="BD663" s="108"/>
      <c r="BE663" s="108"/>
      <c r="BF663" s="108"/>
      <c r="BG663" s="108"/>
      <c r="BH663" s="108"/>
      <c r="BI663" s="108"/>
      <c r="BJ663" s="108"/>
      <c r="BK663" s="109"/>
      <c r="BL663" s="108"/>
      <c r="BM663" s="108"/>
      <c r="BN663" s="108"/>
    </row>
    <row r="664" spans="1:66" ht="12" customHeight="1" x14ac:dyDescent="0.2">
      <c r="A664" s="179"/>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c r="AA664" s="108"/>
      <c r="AB664" s="108"/>
      <c r="AC664" s="108"/>
      <c r="AD664" s="108"/>
      <c r="AE664" s="108"/>
      <c r="AF664" s="108"/>
      <c r="AG664" s="108"/>
      <c r="AH664" s="108"/>
      <c r="AI664" s="108"/>
      <c r="AJ664" s="108"/>
      <c r="AK664" s="108"/>
      <c r="AL664" s="108"/>
      <c r="AM664" s="108"/>
      <c r="AN664" s="108"/>
      <c r="AO664" s="108"/>
      <c r="AP664" s="108"/>
      <c r="AQ664" s="108"/>
      <c r="AR664" s="108"/>
      <c r="AS664" s="108"/>
      <c r="AT664" s="108"/>
      <c r="AU664" s="108"/>
      <c r="AV664" s="108"/>
      <c r="AW664" s="108"/>
      <c r="AX664" s="108"/>
      <c r="AY664" s="108"/>
      <c r="AZ664" s="108"/>
      <c r="BA664" s="108"/>
      <c r="BB664" s="108"/>
      <c r="BC664" s="108"/>
      <c r="BD664" s="108"/>
      <c r="BE664" s="108"/>
      <c r="BF664" s="108"/>
      <c r="BG664" s="108"/>
      <c r="BH664" s="108"/>
      <c r="BI664" s="108"/>
      <c r="BJ664" s="108"/>
      <c r="BK664" s="109"/>
      <c r="BL664" s="108"/>
      <c r="BM664" s="108"/>
      <c r="BN664" s="108"/>
    </row>
    <row r="665" spans="1:66" ht="12" customHeight="1" x14ac:dyDescent="0.2">
      <c r="A665" s="179"/>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c r="AA665" s="108"/>
      <c r="AB665" s="108"/>
      <c r="AC665" s="108"/>
      <c r="AD665" s="108"/>
      <c r="AE665" s="108"/>
      <c r="AF665" s="108"/>
      <c r="AG665" s="108"/>
      <c r="AH665" s="108"/>
      <c r="AI665" s="108"/>
      <c r="AJ665" s="108"/>
      <c r="AK665" s="108"/>
      <c r="AL665" s="108"/>
      <c r="AM665" s="108"/>
      <c r="AN665" s="108"/>
      <c r="AO665" s="108"/>
      <c r="AP665" s="108"/>
      <c r="AQ665" s="108"/>
      <c r="AR665" s="108"/>
      <c r="AS665" s="108"/>
      <c r="AT665" s="108"/>
      <c r="AU665" s="108"/>
      <c r="AV665" s="108"/>
      <c r="AW665" s="108"/>
      <c r="AX665" s="108"/>
      <c r="AY665" s="108"/>
      <c r="AZ665" s="108"/>
      <c r="BA665" s="108"/>
      <c r="BB665" s="108"/>
      <c r="BC665" s="108"/>
      <c r="BD665" s="108"/>
      <c r="BE665" s="108"/>
      <c r="BF665" s="108"/>
      <c r="BG665" s="108"/>
      <c r="BH665" s="108"/>
      <c r="BI665" s="108"/>
      <c r="BJ665" s="108"/>
      <c r="BK665" s="109"/>
      <c r="BL665" s="108"/>
      <c r="BM665" s="108"/>
      <c r="BN665" s="108"/>
    </row>
    <row r="666" spans="1:66" ht="12" customHeight="1" x14ac:dyDescent="0.2">
      <c r="A666" s="179"/>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c r="AA666" s="108"/>
      <c r="AB666" s="108"/>
      <c r="AC666" s="108"/>
      <c r="AD666" s="108"/>
      <c r="AE666" s="108"/>
      <c r="AF666" s="108"/>
      <c r="AG666" s="108"/>
      <c r="AH666" s="108"/>
      <c r="AI666" s="108"/>
      <c r="AJ666" s="108"/>
      <c r="AK666" s="108"/>
      <c r="AL666" s="108"/>
      <c r="AM666" s="108"/>
      <c r="AN666" s="108"/>
      <c r="AO666" s="108"/>
      <c r="AP666" s="108"/>
      <c r="AQ666" s="108"/>
      <c r="AR666" s="108"/>
      <c r="AS666" s="108"/>
      <c r="AT666" s="108"/>
      <c r="AU666" s="108"/>
      <c r="AV666" s="108"/>
      <c r="AW666" s="108"/>
      <c r="AX666" s="108"/>
      <c r="AY666" s="108"/>
      <c r="AZ666" s="108"/>
      <c r="BA666" s="108"/>
      <c r="BB666" s="108"/>
      <c r="BC666" s="108"/>
      <c r="BD666" s="108"/>
      <c r="BE666" s="108"/>
      <c r="BF666" s="108"/>
      <c r="BG666" s="108"/>
      <c r="BH666" s="108"/>
      <c r="BI666" s="108"/>
      <c r="BJ666" s="108"/>
      <c r="BK666" s="109"/>
      <c r="BL666" s="108"/>
      <c r="BM666" s="108"/>
      <c r="BN666" s="108"/>
    </row>
    <row r="667" spans="1:66" ht="12" customHeight="1" x14ac:dyDescent="0.2">
      <c r="A667" s="179"/>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c r="AA667" s="108"/>
      <c r="AB667" s="108"/>
      <c r="AC667" s="108"/>
      <c r="AD667" s="108"/>
      <c r="AE667" s="108"/>
      <c r="AF667" s="108"/>
      <c r="AG667" s="108"/>
      <c r="AH667" s="108"/>
      <c r="AI667" s="108"/>
      <c r="AJ667" s="108"/>
      <c r="AK667" s="108"/>
      <c r="AL667" s="108"/>
      <c r="AM667" s="108"/>
      <c r="AN667" s="108"/>
      <c r="AO667" s="108"/>
      <c r="AP667" s="108"/>
      <c r="AQ667" s="108"/>
      <c r="AR667" s="108"/>
      <c r="AS667" s="108"/>
      <c r="AT667" s="108"/>
      <c r="AU667" s="108"/>
      <c r="AV667" s="108"/>
      <c r="AW667" s="108"/>
      <c r="AX667" s="108"/>
      <c r="AY667" s="108"/>
      <c r="AZ667" s="108"/>
      <c r="BA667" s="108"/>
      <c r="BB667" s="108"/>
      <c r="BC667" s="108"/>
      <c r="BD667" s="108"/>
      <c r="BE667" s="108"/>
      <c r="BF667" s="108"/>
      <c r="BG667" s="108"/>
      <c r="BH667" s="108"/>
      <c r="BI667" s="108"/>
      <c r="BJ667" s="108"/>
      <c r="BK667" s="109"/>
      <c r="BL667" s="108"/>
      <c r="BM667" s="108"/>
      <c r="BN667" s="108"/>
    </row>
    <row r="668" spans="1:66" ht="12" customHeight="1" x14ac:dyDescent="0.2">
      <c r="A668" s="179"/>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c r="AA668" s="108"/>
      <c r="AB668" s="108"/>
      <c r="AC668" s="108"/>
      <c r="AD668" s="108"/>
      <c r="AE668" s="108"/>
      <c r="AF668" s="108"/>
      <c r="AG668" s="108"/>
      <c r="AH668" s="108"/>
      <c r="AI668" s="108"/>
      <c r="AJ668" s="108"/>
      <c r="AK668" s="108"/>
      <c r="AL668" s="108"/>
      <c r="AM668" s="108"/>
      <c r="AN668" s="108"/>
      <c r="AO668" s="108"/>
      <c r="AP668" s="108"/>
      <c r="AQ668" s="108"/>
      <c r="AR668" s="108"/>
      <c r="AS668" s="108"/>
      <c r="AT668" s="108"/>
      <c r="AU668" s="108"/>
      <c r="AV668" s="108"/>
      <c r="AW668" s="108"/>
      <c r="AX668" s="108"/>
      <c r="AY668" s="108"/>
      <c r="AZ668" s="108"/>
      <c r="BA668" s="108"/>
      <c r="BB668" s="108"/>
      <c r="BC668" s="108"/>
      <c r="BD668" s="108"/>
      <c r="BE668" s="108"/>
      <c r="BF668" s="108"/>
      <c r="BG668" s="108"/>
      <c r="BH668" s="108"/>
      <c r="BI668" s="108"/>
      <c r="BJ668" s="108"/>
      <c r="BK668" s="109"/>
      <c r="BL668" s="108"/>
      <c r="BM668" s="108"/>
      <c r="BN668" s="108"/>
    </row>
    <row r="669" spans="1:66" ht="12" customHeight="1" x14ac:dyDescent="0.2">
      <c r="A669" s="179"/>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c r="AA669" s="108"/>
      <c r="AB669" s="108"/>
      <c r="AC669" s="108"/>
      <c r="AD669" s="108"/>
      <c r="AE669" s="108"/>
      <c r="AF669" s="108"/>
      <c r="AG669" s="108"/>
      <c r="AH669" s="108"/>
      <c r="AI669" s="108"/>
      <c r="AJ669" s="108"/>
      <c r="AK669" s="108"/>
      <c r="AL669" s="108"/>
      <c r="AM669" s="108"/>
      <c r="AN669" s="108"/>
      <c r="AO669" s="108"/>
      <c r="AP669" s="108"/>
      <c r="AQ669" s="108"/>
      <c r="AR669" s="108"/>
      <c r="AS669" s="108"/>
      <c r="AT669" s="108"/>
      <c r="AU669" s="108"/>
      <c r="AV669" s="108"/>
      <c r="AW669" s="108"/>
      <c r="AX669" s="108"/>
      <c r="AY669" s="108"/>
      <c r="AZ669" s="108"/>
      <c r="BA669" s="108"/>
      <c r="BB669" s="108"/>
      <c r="BC669" s="108"/>
      <c r="BD669" s="108"/>
      <c r="BE669" s="108"/>
      <c r="BF669" s="108"/>
      <c r="BG669" s="108"/>
      <c r="BH669" s="108"/>
      <c r="BI669" s="108"/>
      <c r="BJ669" s="108"/>
      <c r="BK669" s="109"/>
      <c r="BL669" s="108"/>
      <c r="BM669" s="108"/>
      <c r="BN669" s="108"/>
    </row>
    <row r="670" spans="1:66" ht="12" customHeight="1" x14ac:dyDescent="0.2">
      <c r="A670" s="179"/>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c r="AA670" s="108"/>
      <c r="AB670" s="108"/>
      <c r="AC670" s="108"/>
      <c r="AD670" s="108"/>
      <c r="AE670" s="108"/>
      <c r="AF670" s="108"/>
      <c r="AG670" s="108"/>
      <c r="AH670" s="108"/>
      <c r="AI670" s="108"/>
      <c r="AJ670" s="108"/>
      <c r="AK670" s="108"/>
      <c r="AL670" s="108"/>
      <c r="AM670" s="108"/>
      <c r="AN670" s="108"/>
      <c r="AO670" s="108"/>
      <c r="AP670" s="108"/>
      <c r="AQ670" s="108"/>
      <c r="AR670" s="108"/>
      <c r="AS670" s="108"/>
      <c r="AT670" s="108"/>
      <c r="AU670" s="108"/>
      <c r="AV670" s="108"/>
      <c r="AW670" s="108"/>
      <c r="AX670" s="108"/>
      <c r="AY670" s="108"/>
      <c r="AZ670" s="108"/>
      <c r="BA670" s="108"/>
      <c r="BB670" s="108"/>
      <c r="BC670" s="108"/>
      <c r="BD670" s="108"/>
      <c r="BE670" s="108"/>
      <c r="BF670" s="108"/>
      <c r="BG670" s="108"/>
      <c r="BH670" s="108"/>
      <c r="BI670" s="108"/>
      <c r="BJ670" s="108"/>
      <c r="BK670" s="109"/>
      <c r="BL670" s="108"/>
      <c r="BM670" s="108"/>
      <c r="BN670" s="108"/>
    </row>
    <row r="671" spans="1:66" ht="12" customHeight="1" x14ac:dyDescent="0.2">
      <c r="A671" s="179"/>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c r="AA671" s="108"/>
      <c r="AB671" s="108"/>
      <c r="AC671" s="108"/>
      <c r="AD671" s="108"/>
      <c r="AE671" s="108"/>
      <c r="AF671" s="108"/>
      <c r="AG671" s="108"/>
      <c r="AH671" s="108"/>
      <c r="AI671" s="108"/>
      <c r="AJ671" s="108"/>
      <c r="AK671" s="108"/>
      <c r="AL671" s="108"/>
      <c r="AM671" s="108"/>
      <c r="AN671" s="108"/>
      <c r="AO671" s="108"/>
      <c r="AP671" s="108"/>
      <c r="AQ671" s="108"/>
      <c r="AR671" s="108"/>
      <c r="AS671" s="108"/>
      <c r="AT671" s="108"/>
      <c r="AU671" s="108"/>
      <c r="AV671" s="108"/>
      <c r="AW671" s="108"/>
      <c r="AX671" s="108"/>
      <c r="AY671" s="108"/>
      <c r="AZ671" s="108"/>
      <c r="BA671" s="108"/>
      <c r="BB671" s="108"/>
      <c r="BC671" s="108"/>
      <c r="BD671" s="108"/>
      <c r="BE671" s="108"/>
      <c r="BF671" s="108"/>
      <c r="BG671" s="108"/>
      <c r="BH671" s="108"/>
      <c r="BI671" s="108"/>
      <c r="BJ671" s="108"/>
      <c r="BK671" s="109"/>
      <c r="BL671" s="108"/>
      <c r="BM671" s="108"/>
      <c r="BN671" s="108"/>
    </row>
    <row r="672" spans="1:66" ht="12" customHeight="1" x14ac:dyDescent="0.2">
      <c r="A672" s="179"/>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c r="AA672" s="108"/>
      <c r="AB672" s="108"/>
      <c r="AC672" s="108"/>
      <c r="AD672" s="108"/>
      <c r="AE672" s="108"/>
      <c r="AF672" s="108"/>
      <c r="AG672" s="108"/>
      <c r="AH672" s="108"/>
      <c r="AI672" s="108"/>
      <c r="AJ672" s="108"/>
      <c r="AK672" s="108"/>
      <c r="AL672" s="108"/>
      <c r="AM672" s="108"/>
      <c r="AN672" s="108"/>
      <c r="AO672" s="108"/>
      <c r="AP672" s="108"/>
      <c r="AQ672" s="108"/>
      <c r="AR672" s="108"/>
      <c r="AS672" s="108"/>
      <c r="AT672" s="108"/>
      <c r="AU672" s="108"/>
      <c r="AV672" s="108"/>
      <c r="AW672" s="108"/>
      <c r="AX672" s="108"/>
      <c r="AY672" s="108"/>
      <c r="AZ672" s="108"/>
      <c r="BA672" s="108"/>
      <c r="BB672" s="108"/>
      <c r="BC672" s="108"/>
      <c r="BD672" s="108"/>
      <c r="BE672" s="108"/>
      <c r="BF672" s="108"/>
      <c r="BG672" s="108"/>
      <c r="BH672" s="108"/>
      <c r="BI672" s="108"/>
      <c r="BJ672" s="108"/>
      <c r="BK672" s="109"/>
      <c r="BL672" s="108"/>
      <c r="BM672" s="108"/>
      <c r="BN672" s="108"/>
    </row>
    <row r="673" spans="1:66" ht="12" customHeight="1" x14ac:dyDescent="0.2">
      <c r="A673" s="179"/>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c r="AA673" s="108"/>
      <c r="AB673" s="108"/>
      <c r="AC673" s="108"/>
      <c r="AD673" s="108"/>
      <c r="AE673" s="108"/>
      <c r="AF673" s="108"/>
      <c r="AG673" s="108"/>
      <c r="AH673" s="108"/>
      <c r="AI673" s="108"/>
      <c r="AJ673" s="108"/>
      <c r="AK673" s="108"/>
      <c r="AL673" s="108"/>
      <c r="AM673" s="108"/>
      <c r="AN673" s="108"/>
      <c r="AO673" s="108"/>
      <c r="AP673" s="108"/>
      <c r="AQ673" s="108"/>
      <c r="AR673" s="108"/>
      <c r="AS673" s="108"/>
      <c r="AT673" s="108"/>
      <c r="AU673" s="108"/>
      <c r="AV673" s="108"/>
      <c r="AW673" s="108"/>
      <c r="AX673" s="108"/>
      <c r="AY673" s="108"/>
      <c r="AZ673" s="108"/>
      <c r="BA673" s="108"/>
      <c r="BB673" s="108"/>
      <c r="BC673" s="108"/>
      <c r="BD673" s="108"/>
      <c r="BE673" s="108"/>
      <c r="BF673" s="108"/>
      <c r="BG673" s="108"/>
      <c r="BH673" s="108"/>
      <c r="BI673" s="108"/>
      <c r="BJ673" s="108"/>
      <c r="BK673" s="109"/>
      <c r="BL673" s="108"/>
      <c r="BM673" s="108"/>
      <c r="BN673" s="108"/>
    </row>
    <row r="674" spans="1:66" ht="12" customHeight="1" x14ac:dyDescent="0.2">
      <c r="A674" s="179"/>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c r="AA674" s="108"/>
      <c r="AB674" s="108"/>
      <c r="AC674" s="108"/>
      <c r="AD674" s="108"/>
      <c r="AE674" s="108"/>
      <c r="AF674" s="108"/>
      <c r="AG674" s="108"/>
      <c r="AH674" s="108"/>
      <c r="AI674" s="108"/>
      <c r="AJ674" s="108"/>
      <c r="AK674" s="108"/>
      <c r="AL674" s="108"/>
      <c r="AM674" s="108"/>
      <c r="AN674" s="108"/>
      <c r="AO674" s="108"/>
      <c r="AP674" s="108"/>
      <c r="AQ674" s="108"/>
      <c r="AR674" s="108"/>
      <c r="AS674" s="108"/>
      <c r="AT674" s="108"/>
      <c r="AU674" s="108"/>
      <c r="AV674" s="108"/>
      <c r="AW674" s="108"/>
      <c r="AX674" s="108"/>
      <c r="AY674" s="108"/>
      <c r="AZ674" s="108"/>
      <c r="BA674" s="108"/>
      <c r="BB674" s="108"/>
      <c r="BC674" s="108"/>
      <c r="BD674" s="108"/>
      <c r="BE674" s="108"/>
      <c r="BF674" s="108"/>
      <c r="BG674" s="108"/>
      <c r="BH674" s="108"/>
      <c r="BI674" s="108"/>
      <c r="BJ674" s="108"/>
      <c r="BK674" s="109"/>
      <c r="BL674" s="108"/>
      <c r="BM674" s="108"/>
      <c r="BN674" s="108"/>
    </row>
    <row r="675" spans="1:66" ht="12" customHeight="1" x14ac:dyDescent="0.2">
      <c r="A675" s="179"/>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c r="AA675" s="108"/>
      <c r="AB675" s="108"/>
      <c r="AC675" s="108"/>
      <c r="AD675" s="108"/>
      <c r="AE675" s="108"/>
      <c r="AF675" s="108"/>
      <c r="AG675" s="108"/>
      <c r="AH675" s="108"/>
      <c r="AI675" s="108"/>
      <c r="AJ675" s="108"/>
      <c r="AK675" s="108"/>
      <c r="AL675" s="108"/>
      <c r="AM675" s="108"/>
      <c r="AN675" s="108"/>
      <c r="AO675" s="108"/>
      <c r="AP675" s="108"/>
      <c r="AQ675" s="108"/>
      <c r="AR675" s="108"/>
      <c r="AS675" s="108"/>
      <c r="AT675" s="108"/>
      <c r="AU675" s="108"/>
      <c r="AV675" s="108"/>
      <c r="AW675" s="108"/>
      <c r="AX675" s="108"/>
      <c r="AY675" s="108"/>
      <c r="AZ675" s="108"/>
      <c r="BA675" s="108"/>
      <c r="BB675" s="108"/>
      <c r="BC675" s="108"/>
      <c r="BD675" s="108"/>
      <c r="BE675" s="108"/>
      <c r="BF675" s="108"/>
      <c r="BG675" s="108"/>
      <c r="BH675" s="108"/>
      <c r="BI675" s="108"/>
      <c r="BJ675" s="108"/>
      <c r="BK675" s="109"/>
      <c r="BL675" s="108"/>
      <c r="BM675" s="108"/>
      <c r="BN675" s="108"/>
    </row>
    <row r="676" spans="1:66" ht="12" customHeight="1" x14ac:dyDescent="0.2">
      <c r="A676" s="179"/>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c r="AA676" s="108"/>
      <c r="AB676" s="108"/>
      <c r="AC676" s="108"/>
      <c r="AD676" s="108"/>
      <c r="AE676" s="108"/>
      <c r="AF676" s="108"/>
      <c r="AG676" s="108"/>
      <c r="AH676" s="108"/>
      <c r="AI676" s="108"/>
      <c r="AJ676" s="108"/>
      <c r="AK676" s="108"/>
      <c r="AL676" s="108"/>
      <c r="AM676" s="108"/>
      <c r="AN676" s="108"/>
      <c r="AO676" s="108"/>
      <c r="AP676" s="108"/>
      <c r="AQ676" s="108"/>
      <c r="AR676" s="108"/>
      <c r="AS676" s="108"/>
      <c r="AT676" s="108"/>
      <c r="AU676" s="108"/>
      <c r="AV676" s="108"/>
      <c r="AW676" s="108"/>
      <c r="AX676" s="108"/>
      <c r="AY676" s="108"/>
      <c r="AZ676" s="108"/>
      <c r="BA676" s="108"/>
      <c r="BB676" s="108"/>
      <c r="BC676" s="108"/>
      <c r="BD676" s="108"/>
      <c r="BE676" s="108"/>
      <c r="BF676" s="108"/>
      <c r="BG676" s="108"/>
      <c r="BH676" s="108"/>
      <c r="BI676" s="108"/>
      <c r="BJ676" s="108"/>
      <c r="BK676" s="109"/>
      <c r="BL676" s="108"/>
      <c r="BM676" s="108"/>
      <c r="BN676" s="108"/>
    </row>
    <row r="677" spans="1:66" ht="12" customHeight="1" x14ac:dyDescent="0.2">
      <c r="A677" s="179"/>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c r="AA677" s="108"/>
      <c r="AB677" s="108"/>
      <c r="AC677" s="108"/>
      <c r="AD677" s="108"/>
      <c r="AE677" s="108"/>
      <c r="AF677" s="108"/>
      <c r="AG677" s="108"/>
      <c r="AH677" s="108"/>
      <c r="AI677" s="108"/>
      <c r="AJ677" s="108"/>
      <c r="AK677" s="108"/>
      <c r="AL677" s="108"/>
      <c r="AM677" s="108"/>
      <c r="AN677" s="108"/>
      <c r="AO677" s="108"/>
      <c r="AP677" s="108"/>
      <c r="AQ677" s="108"/>
      <c r="AR677" s="108"/>
      <c r="AS677" s="108"/>
      <c r="AT677" s="108"/>
      <c r="AU677" s="108"/>
      <c r="AV677" s="108"/>
      <c r="AW677" s="108"/>
      <c r="AX677" s="108"/>
      <c r="AY677" s="108"/>
      <c r="AZ677" s="108"/>
      <c r="BA677" s="108"/>
      <c r="BB677" s="108"/>
      <c r="BC677" s="108"/>
      <c r="BD677" s="108"/>
      <c r="BE677" s="108"/>
      <c r="BF677" s="108"/>
      <c r="BG677" s="108"/>
      <c r="BH677" s="108"/>
      <c r="BI677" s="108"/>
      <c r="BJ677" s="108"/>
      <c r="BK677" s="109"/>
      <c r="BL677" s="108"/>
      <c r="BM677" s="108"/>
      <c r="BN677" s="108"/>
    </row>
    <row r="678" spans="1:66" ht="12" customHeight="1" x14ac:dyDescent="0.2">
      <c r="A678" s="179"/>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c r="AA678" s="108"/>
      <c r="AB678" s="108"/>
      <c r="AC678" s="108"/>
      <c r="AD678" s="108"/>
      <c r="AE678" s="108"/>
      <c r="AF678" s="108"/>
      <c r="AG678" s="108"/>
      <c r="AH678" s="108"/>
      <c r="AI678" s="108"/>
      <c r="AJ678" s="108"/>
      <c r="AK678" s="108"/>
      <c r="AL678" s="108"/>
      <c r="AM678" s="108"/>
      <c r="AN678" s="108"/>
      <c r="AO678" s="108"/>
      <c r="AP678" s="108"/>
      <c r="AQ678" s="108"/>
      <c r="AR678" s="108"/>
      <c r="AS678" s="108"/>
      <c r="AT678" s="108"/>
      <c r="AU678" s="108"/>
      <c r="AV678" s="108"/>
      <c r="AW678" s="108"/>
      <c r="AX678" s="108"/>
      <c r="AY678" s="108"/>
      <c r="AZ678" s="108"/>
      <c r="BA678" s="108"/>
      <c r="BB678" s="108"/>
      <c r="BC678" s="108"/>
      <c r="BD678" s="108"/>
      <c r="BE678" s="108"/>
      <c r="BF678" s="108"/>
      <c r="BG678" s="108"/>
      <c r="BH678" s="108"/>
      <c r="BI678" s="108"/>
      <c r="BJ678" s="108"/>
      <c r="BK678" s="109"/>
      <c r="BL678" s="108"/>
      <c r="BM678" s="108"/>
      <c r="BN678" s="108"/>
    </row>
    <row r="679" spans="1:66" ht="12" customHeight="1" x14ac:dyDescent="0.2">
      <c r="A679" s="179"/>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c r="AA679" s="108"/>
      <c r="AB679" s="108"/>
      <c r="AC679" s="108"/>
      <c r="AD679" s="108"/>
      <c r="AE679" s="108"/>
      <c r="AF679" s="108"/>
      <c r="AG679" s="108"/>
      <c r="AH679" s="108"/>
      <c r="AI679" s="108"/>
      <c r="AJ679" s="108"/>
      <c r="AK679" s="108"/>
      <c r="AL679" s="108"/>
      <c r="AM679" s="108"/>
      <c r="AN679" s="108"/>
      <c r="AO679" s="108"/>
      <c r="AP679" s="108"/>
      <c r="AQ679" s="108"/>
      <c r="AR679" s="108"/>
      <c r="AS679" s="108"/>
      <c r="AT679" s="108"/>
      <c r="AU679" s="108"/>
      <c r="AV679" s="108"/>
      <c r="AW679" s="108"/>
      <c r="AX679" s="108"/>
      <c r="AY679" s="108"/>
      <c r="AZ679" s="108"/>
      <c r="BA679" s="108"/>
      <c r="BB679" s="108"/>
      <c r="BC679" s="108"/>
      <c r="BD679" s="108"/>
      <c r="BE679" s="108"/>
      <c r="BF679" s="108"/>
      <c r="BG679" s="108"/>
      <c r="BH679" s="108"/>
      <c r="BI679" s="108"/>
      <c r="BJ679" s="108"/>
      <c r="BK679" s="109"/>
      <c r="BL679" s="108"/>
      <c r="BM679" s="108"/>
      <c r="BN679" s="108"/>
    </row>
    <row r="680" spans="1:66" ht="12" customHeight="1" x14ac:dyDescent="0.2">
      <c r="A680" s="179"/>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c r="AA680" s="108"/>
      <c r="AB680" s="108"/>
      <c r="AC680" s="108"/>
      <c r="AD680" s="108"/>
      <c r="AE680" s="108"/>
      <c r="AF680" s="108"/>
      <c r="AG680" s="108"/>
      <c r="AH680" s="108"/>
      <c r="AI680" s="108"/>
      <c r="AJ680" s="108"/>
      <c r="AK680" s="108"/>
      <c r="AL680" s="108"/>
      <c r="AM680" s="108"/>
      <c r="AN680" s="108"/>
      <c r="AO680" s="108"/>
      <c r="AP680" s="108"/>
      <c r="AQ680" s="108"/>
      <c r="AR680" s="108"/>
      <c r="AS680" s="108"/>
      <c r="AT680" s="108"/>
      <c r="AU680" s="108"/>
      <c r="AV680" s="108"/>
      <c r="AW680" s="108"/>
      <c r="AX680" s="108"/>
      <c r="AY680" s="108"/>
      <c r="AZ680" s="108"/>
      <c r="BA680" s="108"/>
      <c r="BB680" s="108"/>
      <c r="BC680" s="108"/>
      <c r="BD680" s="108"/>
      <c r="BE680" s="108"/>
      <c r="BF680" s="108"/>
      <c r="BG680" s="108"/>
      <c r="BH680" s="108"/>
      <c r="BI680" s="108"/>
      <c r="BJ680" s="108"/>
      <c r="BK680" s="109"/>
      <c r="BL680" s="108"/>
      <c r="BM680" s="108"/>
      <c r="BN680" s="108"/>
    </row>
    <row r="681" spans="1:66" ht="12" customHeight="1" x14ac:dyDescent="0.2">
      <c r="A681" s="179"/>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c r="AA681" s="108"/>
      <c r="AB681" s="108"/>
      <c r="AC681" s="108"/>
      <c r="AD681" s="108"/>
      <c r="AE681" s="108"/>
      <c r="AF681" s="108"/>
      <c r="AG681" s="108"/>
      <c r="AH681" s="108"/>
      <c r="AI681" s="108"/>
      <c r="AJ681" s="108"/>
      <c r="AK681" s="108"/>
      <c r="AL681" s="108"/>
      <c r="AM681" s="108"/>
      <c r="AN681" s="108"/>
      <c r="AO681" s="108"/>
      <c r="AP681" s="108"/>
      <c r="AQ681" s="108"/>
      <c r="AR681" s="108"/>
      <c r="AS681" s="108"/>
      <c r="AT681" s="108"/>
      <c r="AU681" s="108"/>
      <c r="AV681" s="108"/>
      <c r="AW681" s="108"/>
      <c r="AX681" s="108"/>
      <c r="AY681" s="108"/>
      <c r="AZ681" s="108"/>
      <c r="BA681" s="108"/>
      <c r="BB681" s="108"/>
      <c r="BC681" s="108"/>
      <c r="BD681" s="108"/>
      <c r="BE681" s="108"/>
      <c r="BF681" s="108"/>
      <c r="BG681" s="108"/>
      <c r="BH681" s="108"/>
      <c r="BI681" s="108"/>
      <c r="BJ681" s="108"/>
      <c r="BK681" s="109"/>
      <c r="BL681" s="108"/>
      <c r="BM681" s="108"/>
      <c r="BN681" s="108"/>
    </row>
    <row r="682" spans="1:66" ht="12" customHeight="1" x14ac:dyDescent="0.2">
      <c r="A682" s="179"/>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c r="AA682" s="108"/>
      <c r="AB682" s="108"/>
      <c r="AC682" s="108"/>
      <c r="AD682" s="108"/>
      <c r="AE682" s="108"/>
      <c r="AF682" s="108"/>
      <c r="AG682" s="108"/>
      <c r="AH682" s="108"/>
      <c r="AI682" s="108"/>
      <c r="AJ682" s="108"/>
      <c r="AK682" s="108"/>
      <c r="AL682" s="108"/>
      <c r="AM682" s="108"/>
      <c r="AN682" s="108"/>
      <c r="AO682" s="108"/>
      <c r="AP682" s="108"/>
      <c r="AQ682" s="108"/>
      <c r="AR682" s="108"/>
      <c r="AS682" s="108"/>
      <c r="AT682" s="108"/>
      <c r="AU682" s="108"/>
      <c r="AV682" s="108"/>
      <c r="AW682" s="108"/>
      <c r="AX682" s="108"/>
      <c r="AY682" s="108"/>
      <c r="AZ682" s="108"/>
      <c r="BA682" s="108"/>
      <c r="BB682" s="108"/>
      <c r="BC682" s="108"/>
      <c r="BD682" s="108"/>
      <c r="BE682" s="108"/>
      <c r="BF682" s="108"/>
      <c r="BG682" s="108"/>
      <c r="BH682" s="108"/>
      <c r="BI682" s="108"/>
      <c r="BJ682" s="108"/>
      <c r="BK682" s="109"/>
      <c r="BL682" s="108"/>
      <c r="BM682" s="108"/>
      <c r="BN682" s="108"/>
    </row>
    <row r="683" spans="1:66" ht="12" customHeight="1" x14ac:dyDescent="0.2">
      <c r="A683" s="179"/>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c r="AA683" s="108"/>
      <c r="AB683" s="108"/>
      <c r="AC683" s="108"/>
      <c r="AD683" s="108"/>
      <c r="AE683" s="108"/>
      <c r="AF683" s="108"/>
      <c r="AG683" s="108"/>
      <c r="AH683" s="108"/>
      <c r="AI683" s="108"/>
      <c r="AJ683" s="108"/>
      <c r="AK683" s="108"/>
      <c r="AL683" s="108"/>
      <c r="AM683" s="108"/>
      <c r="AN683" s="108"/>
      <c r="AO683" s="108"/>
      <c r="AP683" s="108"/>
      <c r="AQ683" s="108"/>
      <c r="AR683" s="108"/>
      <c r="AS683" s="108"/>
      <c r="AT683" s="108"/>
      <c r="AU683" s="108"/>
      <c r="AV683" s="108"/>
      <c r="AW683" s="108"/>
      <c r="AX683" s="108"/>
      <c r="AY683" s="108"/>
      <c r="AZ683" s="108"/>
      <c r="BA683" s="108"/>
      <c r="BB683" s="108"/>
      <c r="BC683" s="108"/>
      <c r="BD683" s="108"/>
      <c r="BE683" s="108"/>
      <c r="BF683" s="108"/>
      <c r="BG683" s="108"/>
      <c r="BH683" s="108"/>
      <c r="BI683" s="108"/>
      <c r="BJ683" s="108"/>
      <c r="BK683" s="109"/>
      <c r="BL683" s="108"/>
      <c r="BM683" s="108"/>
      <c r="BN683" s="108"/>
    </row>
    <row r="684" spans="1:66" ht="12" customHeight="1" x14ac:dyDescent="0.2">
      <c r="A684" s="179"/>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c r="AA684" s="108"/>
      <c r="AB684" s="108"/>
      <c r="AC684" s="108"/>
      <c r="AD684" s="108"/>
      <c r="AE684" s="108"/>
      <c r="AF684" s="108"/>
      <c r="AG684" s="108"/>
      <c r="AH684" s="108"/>
      <c r="AI684" s="108"/>
      <c r="AJ684" s="108"/>
      <c r="AK684" s="108"/>
      <c r="AL684" s="108"/>
      <c r="AM684" s="108"/>
      <c r="AN684" s="108"/>
      <c r="AO684" s="108"/>
      <c r="AP684" s="108"/>
      <c r="AQ684" s="108"/>
      <c r="AR684" s="108"/>
      <c r="AS684" s="108"/>
      <c r="AT684" s="108"/>
      <c r="AU684" s="108"/>
      <c r="AV684" s="108"/>
      <c r="AW684" s="108"/>
      <c r="AX684" s="108"/>
      <c r="AY684" s="108"/>
      <c r="AZ684" s="108"/>
      <c r="BA684" s="108"/>
      <c r="BB684" s="108"/>
      <c r="BC684" s="108"/>
      <c r="BD684" s="108"/>
      <c r="BE684" s="108"/>
      <c r="BF684" s="108"/>
      <c r="BG684" s="108"/>
      <c r="BH684" s="108"/>
      <c r="BI684" s="108"/>
      <c r="BJ684" s="108"/>
      <c r="BK684" s="109"/>
      <c r="BL684" s="108"/>
      <c r="BM684" s="108"/>
      <c r="BN684" s="108"/>
    </row>
    <row r="685" spans="1:66" ht="12" customHeight="1" x14ac:dyDescent="0.2">
      <c r="A685" s="179"/>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c r="AA685" s="108"/>
      <c r="AB685" s="108"/>
      <c r="AC685" s="108"/>
      <c r="AD685" s="108"/>
      <c r="AE685" s="108"/>
      <c r="AF685" s="108"/>
      <c r="AG685" s="108"/>
      <c r="AH685" s="108"/>
      <c r="AI685" s="108"/>
      <c r="AJ685" s="108"/>
      <c r="AK685" s="108"/>
      <c r="AL685" s="108"/>
      <c r="AM685" s="108"/>
      <c r="AN685" s="108"/>
      <c r="AO685" s="108"/>
      <c r="AP685" s="108"/>
      <c r="AQ685" s="108"/>
      <c r="AR685" s="108"/>
      <c r="AS685" s="108"/>
      <c r="AT685" s="108"/>
      <c r="AU685" s="108"/>
      <c r="AV685" s="108"/>
      <c r="AW685" s="108"/>
      <c r="AX685" s="108"/>
      <c r="AY685" s="108"/>
      <c r="AZ685" s="108"/>
      <c r="BA685" s="108"/>
      <c r="BB685" s="108"/>
      <c r="BC685" s="108"/>
      <c r="BD685" s="108"/>
      <c r="BE685" s="108"/>
      <c r="BF685" s="108"/>
      <c r="BG685" s="108"/>
      <c r="BH685" s="108"/>
      <c r="BI685" s="108"/>
      <c r="BJ685" s="108"/>
      <c r="BK685" s="109"/>
      <c r="BL685" s="108"/>
      <c r="BM685" s="108"/>
      <c r="BN685" s="108"/>
    </row>
    <row r="686" spans="1:66" ht="12" customHeight="1" x14ac:dyDescent="0.2">
      <c r="A686" s="179"/>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c r="AA686" s="108"/>
      <c r="AB686" s="108"/>
      <c r="AC686" s="108"/>
      <c r="AD686" s="108"/>
      <c r="AE686" s="108"/>
      <c r="AF686" s="108"/>
      <c r="AG686" s="108"/>
      <c r="AH686" s="108"/>
      <c r="AI686" s="108"/>
      <c r="AJ686" s="108"/>
      <c r="AK686" s="108"/>
      <c r="AL686" s="108"/>
      <c r="AM686" s="108"/>
      <c r="AN686" s="108"/>
      <c r="AO686" s="108"/>
      <c r="AP686" s="108"/>
      <c r="AQ686" s="108"/>
      <c r="AR686" s="108"/>
      <c r="AS686" s="108"/>
      <c r="AT686" s="108"/>
      <c r="AU686" s="108"/>
      <c r="AV686" s="108"/>
      <c r="AW686" s="108"/>
      <c r="AX686" s="108"/>
      <c r="AY686" s="108"/>
      <c r="AZ686" s="108"/>
      <c r="BA686" s="108"/>
      <c r="BB686" s="108"/>
      <c r="BC686" s="108"/>
      <c r="BD686" s="108"/>
      <c r="BE686" s="108"/>
      <c r="BF686" s="108"/>
      <c r="BG686" s="108"/>
      <c r="BH686" s="108"/>
      <c r="BI686" s="108"/>
      <c r="BJ686" s="108"/>
      <c r="BK686" s="109"/>
      <c r="BL686" s="108"/>
      <c r="BM686" s="108"/>
      <c r="BN686" s="108"/>
    </row>
    <row r="687" spans="1:66" ht="12" customHeight="1" x14ac:dyDescent="0.2">
      <c r="A687" s="179"/>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c r="AA687" s="108"/>
      <c r="AB687" s="108"/>
      <c r="AC687" s="108"/>
      <c r="AD687" s="108"/>
      <c r="AE687" s="108"/>
      <c r="AF687" s="108"/>
      <c r="AG687" s="108"/>
      <c r="AH687" s="108"/>
      <c r="AI687" s="108"/>
      <c r="AJ687" s="108"/>
      <c r="AK687" s="108"/>
      <c r="AL687" s="108"/>
      <c r="AM687" s="108"/>
      <c r="AN687" s="108"/>
      <c r="AO687" s="108"/>
      <c r="AP687" s="108"/>
      <c r="AQ687" s="108"/>
      <c r="AR687" s="108"/>
      <c r="AS687" s="108"/>
      <c r="AT687" s="108"/>
      <c r="AU687" s="108"/>
      <c r="AV687" s="108"/>
      <c r="AW687" s="108"/>
      <c r="AX687" s="108"/>
      <c r="AY687" s="108"/>
      <c r="AZ687" s="108"/>
      <c r="BA687" s="108"/>
      <c r="BB687" s="108"/>
      <c r="BC687" s="108"/>
      <c r="BD687" s="108"/>
      <c r="BE687" s="108"/>
      <c r="BF687" s="108"/>
      <c r="BG687" s="108"/>
      <c r="BH687" s="108"/>
      <c r="BI687" s="108"/>
      <c r="BJ687" s="108"/>
      <c r="BK687" s="109"/>
      <c r="BL687" s="108"/>
      <c r="BM687" s="108"/>
      <c r="BN687" s="108"/>
    </row>
    <row r="688" spans="1:66" ht="12" customHeight="1" x14ac:dyDescent="0.2">
      <c r="A688" s="179"/>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c r="AA688" s="108"/>
      <c r="AB688" s="108"/>
      <c r="AC688" s="108"/>
      <c r="AD688" s="108"/>
      <c r="AE688" s="108"/>
      <c r="AF688" s="108"/>
      <c r="AG688" s="108"/>
      <c r="AH688" s="108"/>
      <c r="AI688" s="108"/>
      <c r="AJ688" s="108"/>
      <c r="AK688" s="108"/>
      <c r="AL688" s="108"/>
      <c r="AM688" s="108"/>
      <c r="AN688" s="108"/>
      <c r="AO688" s="108"/>
      <c r="AP688" s="108"/>
      <c r="AQ688" s="108"/>
      <c r="AR688" s="108"/>
      <c r="AS688" s="108"/>
      <c r="AT688" s="108"/>
      <c r="AU688" s="108"/>
      <c r="AV688" s="108"/>
      <c r="AW688" s="108"/>
      <c r="AX688" s="108"/>
      <c r="AY688" s="108"/>
      <c r="AZ688" s="108"/>
      <c r="BA688" s="108"/>
      <c r="BB688" s="108"/>
      <c r="BC688" s="108"/>
      <c r="BD688" s="108"/>
      <c r="BE688" s="108"/>
      <c r="BF688" s="108"/>
      <c r="BG688" s="108"/>
      <c r="BH688" s="108"/>
      <c r="BI688" s="108"/>
      <c r="BJ688" s="108"/>
      <c r="BK688" s="109"/>
      <c r="BL688" s="108"/>
      <c r="BM688" s="108"/>
      <c r="BN688" s="108"/>
    </row>
    <row r="689" spans="1:66" ht="12" customHeight="1" x14ac:dyDescent="0.2">
      <c r="A689" s="179"/>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c r="AA689" s="108"/>
      <c r="AB689" s="108"/>
      <c r="AC689" s="108"/>
      <c r="AD689" s="108"/>
      <c r="AE689" s="108"/>
      <c r="AF689" s="108"/>
      <c r="AG689" s="108"/>
      <c r="AH689" s="108"/>
      <c r="AI689" s="108"/>
      <c r="AJ689" s="108"/>
      <c r="AK689" s="108"/>
      <c r="AL689" s="108"/>
      <c r="AM689" s="108"/>
      <c r="AN689" s="108"/>
      <c r="AO689" s="108"/>
      <c r="AP689" s="108"/>
      <c r="AQ689" s="108"/>
      <c r="AR689" s="108"/>
      <c r="AS689" s="108"/>
      <c r="AT689" s="108"/>
      <c r="AU689" s="108"/>
      <c r="AV689" s="108"/>
      <c r="AW689" s="108"/>
      <c r="AX689" s="108"/>
      <c r="AY689" s="108"/>
      <c r="AZ689" s="108"/>
      <c r="BA689" s="108"/>
      <c r="BB689" s="108"/>
      <c r="BC689" s="108"/>
      <c r="BD689" s="108"/>
      <c r="BE689" s="108"/>
      <c r="BF689" s="108"/>
      <c r="BG689" s="108"/>
      <c r="BH689" s="108"/>
      <c r="BI689" s="108"/>
      <c r="BJ689" s="108"/>
      <c r="BK689" s="109"/>
      <c r="BL689" s="108"/>
      <c r="BM689" s="108"/>
      <c r="BN689" s="108"/>
    </row>
    <row r="690" spans="1:66" ht="12" customHeight="1" x14ac:dyDescent="0.2">
      <c r="A690" s="179"/>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c r="AA690" s="108"/>
      <c r="AB690" s="108"/>
      <c r="AC690" s="108"/>
      <c r="AD690" s="108"/>
      <c r="AE690" s="108"/>
      <c r="AF690" s="108"/>
      <c r="AG690" s="108"/>
      <c r="AH690" s="108"/>
      <c r="AI690" s="108"/>
      <c r="AJ690" s="108"/>
      <c r="AK690" s="108"/>
      <c r="AL690" s="108"/>
      <c r="AM690" s="108"/>
      <c r="AN690" s="108"/>
      <c r="AO690" s="108"/>
      <c r="AP690" s="108"/>
      <c r="AQ690" s="108"/>
      <c r="AR690" s="108"/>
      <c r="AS690" s="108"/>
      <c r="AT690" s="108"/>
      <c r="AU690" s="108"/>
      <c r="AV690" s="108"/>
      <c r="AW690" s="108"/>
      <c r="AX690" s="108"/>
      <c r="AY690" s="108"/>
      <c r="AZ690" s="108"/>
      <c r="BA690" s="108"/>
      <c r="BB690" s="108"/>
      <c r="BC690" s="108"/>
      <c r="BD690" s="108"/>
      <c r="BE690" s="108"/>
      <c r="BF690" s="108"/>
      <c r="BG690" s="108"/>
      <c r="BH690" s="108"/>
      <c r="BI690" s="108"/>
      <c r="BJ690" s="108"/>
      <c r="BK690" s="109"/>
      <c r="BL690" s="108"/>
      <c r="BM690" s="108"/>
      <c r="BN690" s="108"/>
    </row>
    <row r="691" spans="1:66" ht="12" customHeight="1" x14ac:dyDescent="0.2">
      <c r="A691" s="179"/>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c r="AA691" s="108"/>
      <c r="AB691" s="108"/>
      <c r="AC691" s="108"/>
      <c r="AD691" s="108"/>
      <c r="AE691" s="108"/>
      <c r="AF691" s="108"/>
      <c r="AG691" s="108"/>
      <c r="AH691" s="108"/>
      <c r="AI691" s="108"/>
      <c r="AJ691" s="108"/>
      <c r="AK691" s="108"/>
      <c r="AL691" s="108"/>
      <c r="AM691" s="108"/>
      <c r="AN691" s="108"/>
      <c r="AO691" s="108"/>
      <c r="AP691" s="108"/>
      <c r="AQ691" s="108"/>
      <c r="AR691" s="108"/>
      <c r="AS691" s="108"/>
      <c r="AT691" s="108"/>
      <c r="AU691" s="108"/>
      <c r="AV691" s="108"/>
      <c r="AW691" s="108"/>
      <c r="AX691" s="108"/>
      <c r="AY691" s="108"/>
      <c r="AZ691" s="108"/>
      <c r="BA691" s="108"/>
      <c r="BB691" s="108"/>
      <c r="BC691" s="108"/>
      <c r="BD691" s="108"/>
      <c r="BE691" s="108"/>
      <c r="BF691" s="108"/>
      <c r="BG691" s="108"/>
      <c r="BH691" s="108"/>
      <c r="BI691" s="108"/>
      <c r="BJ691" s="108"/>
      <c r="BK691" s="109"/>
      <c r="BL691" s="108"/>
      <c r="BM691" s="108"/>
      <c r="BN691" s="108"/>
    </row>
    <row r="692" spans="1:66" ht="12" customHeight="1" x14ac:dyDescent="0.2">
      <c r="A692" s="179"/>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c r="AA692" s="108"/>
      <c r="AB692" s="108"/>
      <c r="AC692" s="108"/>
      <c r="AD692" s="108"/>
      <c r="AE692" s="108"/>
      <c r="AF692" s="108"/>
      <c r="AG692" s="108"/>
      <c r="AH692" s="108"/>
      <c r="AI692" s="108"/>
      <c r="AJ692" s="108"/>
      <c r="AK692" s="108"/>
      <c r="AL692" s="108"/>
      <c r="AM692" s="108"/>
      <c r="AN692" s="108"/>
      <c r="AO692" s="108"/>
      <c r="AP692" s="108"/>
      <c r="AQ692" s="108"/>
      <c r="AR692" s="108"/>
      <c r="AS692" s="108"/>
      <c r="AT692" s="108"/>
      <c r="AU692" s="108"/>
      <c r="AV692" s="108"/>
      <c r="AW692" s="108"/>
      <c r="AX692" s="108"/>
      <c r="AY692" s="108"/>
      <c r="AZ692" s="108"/>
      <c r="BA692" s="108"/>
      <c r="BB692" s="108"/>
      <c r="BC692" s="108"/>
      <c r="BD692" s="108"/>
      <c r="BE692" s="108"/>
      <c r="BF692" s="108"/>
      <c r="BG692" s="108"/>
      <c r="BH692" s="108"/>
      <c r="BI692" s="108"/>
      <c r="BJ692" s="108"/>
      <c r="BK692" s="109"/>
      <c r="BL692" s="108"/>
      <c r="BM692" s="108"/>
      <c r="BN692" s="108"/>
    </row>
    <row r="693" spans="1:66" ht="12" customHeight="1" x14ac:dyDescent="0.2">
      <c r="A693" s="179"/>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c r="AA693" s="108"/>
      <c r="AB693" s="108"/>
      <c r="AC693" s="108"/>
      <c r="AD693" s="108"/>
      <c r="AE693" s="108"/>
      <c r="AF693" s="108"/>
      <c r="AG693" s="108"/>
      <c r="AH693" s="108"/>
      <c r="AI693" s="108"/>
      <c r="AJ693" s="108"/>
      <c r="AK693" s="108"/>
      <c r="AL693" s="108"/>
      <c r="AM693" s="108"/>
      <c r="AN693" s="108"/>
      <c r="AO693" s="108"/>
      <c r="AP693" s="108"/>
      <c r="AQ693" s="108"/>
      <c r="AR693" s="108"/>
      <c r="AS693" s="108"/>
      <c r="AT693" s="108"/>
      <c r="AU693" s="108"/>
      <c r="AV693" s="108"/>
      <c r="AW693" s="108"/>
      <c r="AX693" s="108"/>
      <c r="AY693" s="108"/>
      <c r="AZ693" s="108"/>
      <c r="BA693" s="108"/>
      <c r="BB693" s="108"/>
      <c r="BC693" s="108"/>
      <c r="BD693" s="108"/>
      <c r="BE693" s="108"/>
      <c r="BF693" s="108"/>
      <c r="BG693" s="108"/>
      <c r="BH693" s="108"/>
      <c r="BI693" s="108"/>
      <c r="BJ693" s="108"/>
      <c r="BK693" s="109"/>
      <c r="BL693" s="108"/>
      <c r="BM693" s="108"/>
      <c r="BN693" s="108"/>
    </row>
    <row r="694" spans="1:66" ht="12" customHeight="1" x14ac:dyDescent="0.2">
      <c r="A694" s="179"/>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c r="AA694" s="108"/>
      <c r="AB694" s="108"/>
      <c r="AC694" s="108"/>
      <c r="AD694" s="108"/>
      <c r="AE694" s="108"/>
      <c r="AF694" s="108"/>
      <c r="AG694" s="108"/>
      <c r="AH694" s="108"/>
      <c r="AI694" s="108"/>
      <c r="AJ694" s="108"/>
      <c r="AK694" s="108"/>
      <c r="AL694" s="108"/>
      <c r="AM694" s="108"/>
      <c r="AN694" s="108"/>
      <c r="AO694" s="108"/>
      <c r="AP694" s="108"/>
      <c r="AQ694" s="108"/>
      <c r="AR694" s="108"/>
      <c r="AS694" s="108"/>
      <c r="AT694" s="108"/>
      <c r="AU694" s="108"/>
      <c r="AV694" s="108"/>
      <c r="AW694" s="108"/>
      <c r="AX694" s="108"/>
      <c r="AY694" s="108"/>
      <c r="AZ694" s="108"/>
      <c r="BA694" s="108"/>
      <c r="BB694" s="108"/>
      <c r="BC694" s="108"/>
      <c r="BD694" s="108"/>
      <c r="BE694" s="108"/>
      <c r="BF694" s="108"/>
      <c r="BG694" s="108"/>
      <c r="BH694" s="108"/>
      <c r="BI694" s="108"/>
      <c r="BJ694" s="108"/>
      <c r="BK694" s="109"/>
      <c r="BL694" s="108"/>
      <c r="BM694" s="108"/>
      <c r="BN694" s="108"/>
    </row>
    <row r="695" spans="1:66" ht="12" customHeight="1" x14ac:dyDescent="0.2">
      <c r="A695" s="179"/>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c r="AA695" s="108"/>
      <c r="AB695" s="108"/>
      <c r="AC695" s="108"/>
      <c r="AD695" s="108"/>
      <c r="AE695" s="108"/>
      <c r="AF695" s="108"/>
      <c r="AG695" s="108"/>
      <c r="AH695" s="108"/>
      <c r="AI695" s="108"/>
      <c r="AJ695" s="108"/>
      <c r="AK695" s="108"/>
      <c r="AL695" s="108"/>
      <c r="AM695" s="108"/>
      <c r="AN695" s="108"/>
      <c r="AO695" s="108"/>
      <c r="AP695" s="108"/>
      <c r="AQ695" s="108"/>
      <c r="AR695" s="108"/>
      <c r="AS695" s="108"/>
      <c r="AT695" s="108"/>
      <c r="AU695" s="108"/>
      <c r="AV695" s="108"/>
      <c r="AW695" s="108"/>
      <c r="AX695" s="108"/>
      <c r="AY695" s="108"/>
      <c r="AZ695" s="108"/>
      <c r="BA695" s="108"/>
      <c r="BB695" s="108"/>
      <c r="BC695" s="108"/>
      <c r="BD695" s="108"/>
      <c r="BE695" s="108"/>
      <c r="BF695" s="108"/>
      <c r="BG695" s="108"/>
      <c r="BH695" s="108"/>
      <c r="BI695" s="108"/>
      <c r="BJ695" s="108"/>
      <c r="BK695" s="109"/>
      <c r="BL695" s="108"/>
      <c r="BM695" s="108"/>
      <c r="BN695" s="108"/>
    </row>
    <row r="696" spans="1:66" ht="12" customHeight="1" x14ac:dyDescent="0.2">
      <c r="A696" s="179"/>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c r="AA696" s="108"/>
      <c r="AB696" s="108"/>
      <c r="AC696" s="108"/>
      <c r="AD696" s="108"/>
      <c r="AE696" s="108"/>
      <c r="AF696" s="108"/>
      <c r="AG696" s="108"/>
      <c r="AH696" s="108"/>
      <c r="AI696" s="108"/>
      <c r="AJ696" s="108"/>
      <c r="AK696" s="108"/>
      <c r="AL696" s="108"/>
      <c r="AM696" s="108"/>
      <c r="AN696" s="108"/>
      <c r="AO696" s="108"/>
      <c r="AP696" s="108"/>
      <c r="AQ696" s="108"/>
      <c r="AR696" s="108"/>
      <c r="AS696" s="108"/>
      <c r="AT696" s="108"/>
      <c r="AU696" s="108"/>
      <c r="AV696" s="108"/>
      <c r="AW696" s="108"/>
      <c r="AX696" s="108"/>
      <c r="AY696" s="108"/>
      <c r="AZ696" s="108"/>
      <c r="BA696" s="108"/>
      <c r="BB696" s="108"/>
      <c r="BC696" s="108"/>
      <c r="BD696" s="108"/>
      <c r="BE696" s="108"/>
      <c r="BF696" s="108"/>
      <c r="BG696" s="108"/>
      <c r="BH696" s="108"/>
      <c r="BI696" s="108"/>
      <c r="BJ696" s="108"/>
      <c r="BK696" s="109"/>
      <c r="BL696" s="108"/>
      <c r="BM696" s="108"/>
      <c r="BN696" s="108"/>
    </row>
    <row r="697" spans="1:66" ht="12" customHeight="1" x14ac:dyDescent="0.2">
      <c r="A697" s="179"/>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c r="AA697" s="108"/>
      <c r="AB697" s="108"/>
      <c r="AC697" s="108"/>
      <c r="AD697" s="108"/>
      <c r="AE697" s="108"/>
      <c r="AF697" s="108"/>
      <c r="AG697" s="108"/>
      <c r="AH697" s="108"/>
      <c r="AI697" s="108"/>
      <c r="AJ697" s="108"/>
      <c r="AK697" s="108"/>
      <c r="AL697" s="108"/>
      <c r="AM697" s="108"/>
      <c r="AN697" s="108"/>
      <c r="AO697" s="108"/>
      <c r="AP697" s="108"/>
      <c r="AQ697" s="108"/>
      <c r="AR697" s="108"/>
      <c r="AS697" s="108"/>
      <c r="AT697" s="108"/>
      <c r="AU697" s="108"/>
      <c r="AV697" s="108"/>
      <c r="AW697" s="108"/>
      <c r="AX697" s="108"/>
      <c r="AY697" s="108"/>
      <c r="AZ697" s="108"/>
      <c r="BA697" s="108"/>
      <c r="BB697" s="108"/>
      <c r="BC697" s="108"/>
      <c r="BD697" s="108"/>
      <c r="BE697" s="108"/>
      <c r="BF697" s="108"/>
      <c r="BG697" s="108"/>
      <c r="BH697" s="108"/>
      <c r="BI697" s="108"/>
      <c r="BJ697" s="108"/>
      <c r="BK697" s="109"/>
      <c r="BL697" s="108"/>
      <c r="BM697" s="108"/>
      <c r="BN697" s="108"/>
    </row>
    <row r="698" spans="1:66" ht="12" customHeight="1" x14ac:dyDescent="0.2">
      <c r="A698" s="179"/>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c r="AA698" s="108"/>
      <c r="AB698" s="108"/>
      <c r="AC698" s="108"/>
      <c r="AD698" s="108"/>
      <c r="AE698" s="108"/>
      <c r="AF698" s="108"/>
      <c r="AG698" s="108"/>
      <c r="AH698" s="108"/>
      <c r="AI698" s="108"/>
      <c r="AJ698" s="108"/>
      <c r="AK698" s="108"/>
      <c r="AL698" s="108"/>
      <c r="AM698" s="108"/>
      <c r="AN698" s="108"/>
      <c r="AO698" s="108"/>
      <c r="AP698" s="108"/>
      <c r="AQ698" s="108"/>
      <c r="AR698" s="108"/>
      <c r="AS698" s="108"/>
      <c r="AT698" s="108"/>
      <c r="AU698" s="108"/>
      <c r="AV698" s="108"/>
      <c r="AW698" s="108"/>
      <c r="AX698" s="108"/>
      <c r="AY698" s="108"/>
      <c r="AZ698" s="108"/>
      <c r="BA698" s="108"/>
      <c r="BB698" s="108"/>
      <c r="BC698" s="108"/>
      <c r="BD698" s="108"/>
      <c r="BE698" s="108"/>
      <c r="BF698" s="108"/>
      <c r="BG698" s="108"/>
      <c r="BH698" s="108"/>
      <c r="BI698" s="108"/>
      <c r="BJ698" s="108"/>
      <c r="BK698" s="109"/>
      <c r="BL698" s="108"/>
      <c r="BM698" s="108"/>
      <c r="BN698" s="108"/>
    </row>
    <row r="699" spans="1:66" ht="12" customHeight="1" x14ac:dyDescent="0.2">
      <c r="A699" s="179"/>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c r="AA699" s="108"/>
      <c r="AB699" s="108"/>
      <c r="AC699" s="108"/>
      <c r="AD699" s="108"/>
      <c r="AE699" s="108"/>
      <c r="AF699" s="108"/>
      <c r="AG699" s="108"/>
      <c r="AH699" s="108"/>
      <c r="AI699" s="108"/>
      <c r="AJ699" s="108"/>
      <c r="AK699" s="108"/>
      <c r="AL699" s="108"/>
      <c r="AM699" s="108"/>
      <c r="AN699" s="108"/>
      <c r="AO699" s="108"/>
      <c r="AP699" s="108"/>
      <c r="AQ699" s="108"/>
      <c r="AR699" s="108"/>
      <c r="AS699" s="108"/>
      <c r="AT699" s="108"/>
      <c r="AU699" s="108"/>
      <c r="AV699" s="108"/>
      <c r="AW699" s="108"/>
      <c r="AX699" s="108"/>
      <c r="AY699" s="108"/>
      <c r="AZ699" s="108"/>
      <c r="BA699" s="108"/>
      <c r="BB699" s="108"/>
      <c r="BC699" s="108"/>
      <c r="BD699" s="108"/>
      <c r="BE699" s="108"/>
      <c r="BF699" s="108"/>
      <c r="BG699" s="108"/>
      <c r="BH699" s="108"/>
      <c r="BI699" s="108"/>
      <c r="BJ699" s="108"/>
      <c r="BK699" s="109"/>
      <c r="BL699" s="108"/>
      <c r="BM699" s="108"/>
      <c r="BN699" s="108"/>
    </row>
    <row r="700" spans="1:66" ht="12" customHeight="1" x14ac:dyDescent="0.2">
      <c r="A700" s="179"/>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c r="AA700" s="108"/>
      <c r="AB700" s="108"/>
      <c r="AC700" s="108"/>
      <c r="AD700" s="108"/>
      <c r="AE700" s="108"/>
      <c r="AF700" s="108"/>
      <c r="AG700" s="108"/>
      <c r="AH700" s="108"/>
      <c r="AI700" s="108"/>
      <c r="AJ700" s="108"/>
      <c r="AK700" s="108"/>
      <c r="AL700" s="108"/>
      <c r="AM700" s="108"/>
      <c r="AN700" s="108"/>
      <c r="AO700" s="108"/>
      <c r="AP700" s="108"/>
      <c r="AQ700" s="108"/>
      <c r="AR700" s="108"/>
      <c r="AS700" s="108"/>
      <c r="AT700" s="108"/>
      <c r="AU700" s="108"/>
      <c r="AV700" s="108"/>
      <c r="AW700" s="108"/>
      <c r="AX700" s="108"/>
      <c r="AY700" s="108"/>
      <c r="AZ700" s="108"/>
      <c r="BA700" s="108"/>
      <c r="BB700" s="108"/>
      <c r="BC700" s="108"/>
      <c r="BD700" s="108"/>
      <c r="BE700" s="108"/>
      <c r="BF700" s="108"/>
      <c r="BG700" s="108"/>
      <c r="BH700" s="108"/>
      <c r="BI700" s="108"/>
      <c r="BJ700" s="108"/>
      <c r="BK700" s="109"/>
      <c r="BL700" s="108"/>
      <c r="BM700" s="108"/>
      <c r="BN700" s="108"/>
    </row>
    <row r="701" spans="1:66" ht="12" customHeight="1" x14ac:dyDescent="0.2">
      <c r="A701" s="179"/>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c r="AA701" s="108"/>
      <c r="AB701" s="108"/>
      <c r="AC701" s="108"/>
      <c r="AD701" s="108"/>
      <c r="AE701" s="108"/>
      <c r="AF701" s="108"/>
      <c r="AG701" s="108"/>
      <c r="AH701" s="108"/>
      <c r="AI701" s="108"/>
      <c r="AJ701" s="108"/>
      <c r="AK701" s="108"/>
      <c r="AL701" s="108"/>
      <c r="AM701" s="108"/>
      <c r="AN701" s="108"/>
      <c r="AO701" s="108"/>
      <c r="AP701" s="108"/>
      <c r="AQ701" s="108"/>
      <c r="AR701" s="108"/>
      <c r="AS701" s="108"/>
      <c r="AT701" s="108"/>
      <c r="AU701" s="108"/>
      <c r="AV701" s="108"/>
      <c r="AW701" s="108"/>
      <c r="AX701" s="108"/>
      <c r="AY701" s="108"/>
      <c r="AZ701" s="108"/>
      <c r="BA701" s="108"/>
      <c r="BB701" s="108"/>
      <c r="BC701" s="108"/>
      <c r="BD701" s="108"/>
      <c r="BE701" s="108"/>
      <c r="BF701" s="108"/>
      <c r="BG701" s="108"/>
      <c r="BH701" s="108"/>
      <c r="BI701" s="108"/>
      <c r="BJ701" s="108"/>
      <c r="BK701" s="109"/>
      <c r="BL701" s="108"/>
      <c r="BM701" s="108"/>
      <c r="BN701" s="108"/>
    </row>
    <row r="702" spans="1:66" ht="12" customHeight="1" x14ac:dyDescent="0.2">
      <c r="A702" s="179"/>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c r="AA702" s="108"/>
      <c r="AB702" s="108"/>
      <c r="AC702" s="108"/>
      <c r="AD702" s="108"/>
      <c r="AE702" s="108"/>
      <c r="AF702" s="108"/>
      <c r="AG702" s="108"/>
      <c r="AH702" s="108"/>
      <c r="AI702" s="108"/>
      <c r="AJ702" s="108"/>
      <c r="AK702" s="108"/>
      <c r="AL702" s="108"/>
      <c r="AM702" s="108"/>
      <c r="AN702" s="108"/>
      <c r="AO702" s="108"/>
      <c r="AP702" s="108"/>
      <c r="AQ702" s="108"/>
      <c r="AR702" s="108"/>
      <c r="AS702" s="108"/>
      <c r="AT702" s="108"/>
      <c r="AU702" s="108"/>
      <c r="AV702" s="108"/>
      <c r="AW702" s="108"/>
      <c r="AX702" s="108"/>
      <c r="AY702" s="108"/>
      <c r="AZ702" s="108"/>
      <c r="BA702" s="108"/>
      <c r="BB702" s="108"/>
      <c r="BC702" s="108"/>
      <c r="BD702" s="108"/>
      <c r="BE702" s="108"/>
      <c r="BF702" s="108"/>
      <c r="BG702" s="108"/>
      <c r="BH702" s="108"/>
      <c r="BI702" s="108"/>
      <c r="BJ702" s="108"/>
      <c r="BK702" s="109"/>
      <c r="BL702" s="108"/>
      <c r="BM702" s="108"/>
      <c r="BN702" s="108"/>
    </row>
    <row r="703" spans="1:66" ht="12" customHeight="1" x14ac:dyDescent="0.2">
      <c r="A703" s="179"/>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c r="AA703" s="108"/>
      <c r="AB703" s="108"/>
      <c r="AC703" s="108"/>
      <c r="AD703" s="108"/>
      <c r="AE703" s="108"/>
      <c r="AF703" s="108"/>
      <c r="AG703" s="108"/>
      <c r="AH703" s="108"/>
      <c r="AI703" s="108"/>
      <c r="AJ703" s="108"/>
      <c r="AK703" s="108"/>
      <c r="AL703" s="108"/>
      <c r="AM703" s="108"/>
      <c r="AN703" s="108"/>
      <c r="AO703" s="108"/>
      <c r="AP703" s="108"/>
      <c r="AQ703" s="108"/>
      <c r="AR703" s="108"/>
      <c r="AS703" s="108"/>
      <c r="AT703" s="108"/>
      <c r="AU703" s="108"/>
      <c r="AV703" s="108"/>
      <c r="AW703" s="108"/>
      <c r="AX703" s="108"/>
      <c r="AY703" s="108"/>
      <c r="AZ703" s="108"/>
      <c r="BA703" s="108"/>
      <c r="BB703" s="108"/>
      <c r="BC703" s="108"/>
      <c r="BD703" s="108"/>
      <c r="BE703" s="108"/>
      <c r="BF703" s="108"/>
      <c r="BG703" s="108"/>
      <c r="BH703" s="108"/>
      <c r="BI703" s="108"/>
      <c r="BJ703" s="108"/>
      <c r="BK703" s="109"/>
      <c r="BL703" s="108"/>
      <c r="BM703" s="108"/>
      <c r="BN703" s="108"/>
    </row>
    <row r="704" spans="1:66" ht="12" customHeight="1" x14ac:dyDescent="0.2">
      <c r="A704" s="179"/>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c r="AA704" s="108"/>
      <c r="AB704" s="108"/>
      <c r="AC704" s="108"/>
      <c r="AD704" s="108"/>
      <c r="AE704" s="108"/>
      <c r="AF704" s="108"/>
      <c r="AG704" s="108"/>
      <c r="AH704" s="108"/>
      <c r="AI704" s="108"/>
      <c r="AJ704" s="108"/>
      <c r="AK704" s="108"/>
      <c r="AL704" s="108"/>
      <c r="AM704" s="108"/>
      <c r="AN704" s="108"/>
      <c r="AO704" s="108"/>
      <c r="AP704" s="108"/>
      <c r="AQ704" s="108"/>
      <c r="AR704" s="108"/>
      <c r="AS704" s="108"/>
      <c r="AT704" s="108"/>
      <c r="AU704" s="108"/>
      <c r="AV704" s="108"/>
      <c r="AW704" s="108"/>
      <c r="AX704" s="108"/>
      <c r="AY704" s="108"/>
      <c r="AZ704" s="108"/>
      <c r="BA704" s="108"/>
      <c r="BB704" s="108"/>
      <c r="BC704" s="108"/>
      <c r="BD704" s="108"/>
      <c r="BE704" s="108"/>
      <c r="BF704" s="108"/>
      <c r="BG704" s="108"/>
      <c r="BH704" s="108"/>
      <c r="BI704" s="108"/>
      <c r="BJ704" s="108"/>
      <c r="BK704" s="109"/>
      <c r="BL704" s="108"/>
      <c r="BM704" s="108"/>
      <c r="BN704" s="108"/>
    </row>
    <row r="705" spans="1:66" ht="12" customHeight="1" x14ac:dyDescent="0.2">
      <c r="A705" s="179"/>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c r="AA705" s="108"/>
      <c r="AB705" s="108"/>
      <c r="AC705" s="108"/>
      <c r="AD705" s="108"/>
      <c r="AE705" s="108"/>
      <c r="AF705" s="108"/>
      <c r="AG705" s="108"/>
      <c r="AH705" s="108"/>
      <c r="AI705" s="108"/>
      <c r="AJ705" s="108"/>
      <c r="AK705" s="108"/>
      <c r="AL705" s="108"/>
      <c r="AM705" s="108"/>
      <c r="AN705" s="108"/>
      <c r="AO705" s="108"/>
      <c r="AP705" s="108"/>
      <c r="AQ705" s="108"/>
      <c r="AR705" s="108"/>
      <c r="AS705" s="108"/>
      <c r="AT705" s="108"/>
      <c r="AU705" s="108"/>
      <c r="AV705" s="108"/>
      <c r="AW705" s="108"/>
      <c r="AX705" s="108"/>
      <c r="AY705" s="108"/>
      <c r="AZ705" s="108"/>
      <c r="BA705" s="108"/>
      <c r="BB705" s="108"/>
      <c r="BC705" s="108"/>
      <c r="BD705" s="108"/>
      <c r="BE705" s="108"/>
      <c r="BF705" s="108"/>
      <c r="BG705" s="108"/>
      <c r="BH705" s="108"/>
      <c r="BI705" s="108"/>
      <c r="BJ705" s="108"/>
      <c r="BK705" s="109"/>
      <c r="BL705" s="108"/>
      <c r="BM705" s="108"/>
      <c r="BN705" s="108"/>
    </row>
    <row r="706" spans="1:66" ht="12" customHeight="1" x14ac:dyDescent="0.2">
      <c r="A706" s="179"/>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c r="AA706" s="108"/>
      <c r="AB706" s="108"/>
      <c r="AC706" s="108"/>
      <c r="AD706" s="108"/>
      <c r="AE706" s="108"/>
      <c r="AF706" s="108"/>
      <c r="AG706" s="108"/>
      <c r="AH706" s="108"/>
      <c r="AI706" s="108"/>
      <c r="AJ706" s="108"/>
      <c r="AK706" s="108"/>
      <c r="AL706" s="108"/>
      <c r="AM706" s="108"/>
      <c r="AN706" s="108"/>
      <c r="AO706" s="108"/>
      <c r="AP706" s="108"/>
      <c r="AQ706" s="108"/>
      <c r="AR706" s="108"/>
      <c r="AS706" s="108"/>
      <c r="AT706" s="108"/>
      <c r="AU706" s="108"/>
      <c r="AV706" s="108"/>
      <c r="AW706" s="108"/>
      <c r="AX706" s="108"/>
      <c r="AY706" s="108"/>
      <c r="AZ706" s="108"/>
      <c r="BA706" s="108"/>
      <c r="BB706" s="108"/>
      <c r="BC706" s="108"/>
      <c r="BD706" s="108"/>
      <c r="BE706" s="108"/>
      <c r="BF706" s="108"/>
      <c r="BG706" s="108"/>
      <c r="BH706" s="108"/>
      <c r="BI706" s="108"/>
      <c r="BJ706" s="108"/>
      <c r="BK706" s="109"/>
      <c r="BL706" s="108"/>
      <c r="BM706" s="108"/>
      <c r="BN706" s="108"/>
    </row>
    <row r="707" spans="1:66" ht="12" customHeight="1" x14ac:dyDescent="0.2">
      <c r="A707" s="179"/>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c r="AA707" s="108"/>
      <c r="AB707" s="108"/>
      <c r="AC707" s="108"/>
      <c r="AD707" s="108"/>
      <c r="AE707" s="108"/>
      <c r="AF707" s="108"/>
      <c r="AG707" s="108"/>
      <c r="AH707" s="108"/>
      <c r="AI707" s="108"/>
      <c r="AJ707" s="108"/>
      <c r="AK707" s="108"/>
      <c r="AL707" s="108"/>
      <c r="AM707" s="108"/>
      <c r="AN707" s="108"/>
      <c r="AO707" s="108"/>
      <c r="AP707" s="108"/>
      <c r="AQ707" s="108"/>
      <c r="AR707" s="108"/>
      <c r="AS707" s="108"/>
      <c r="AT707" s="108"/>
      <c r="AU707" s="108"/>
      <c r="AV707" s="108"/>
      <c r="AW707" s="108"/>
      <c r="AX707" s="108"/>
      <c r="AY707" s="108"/>
      <c r="AZ707" s="108"/>
      <c r="BA707" s="108"/>
      <c r="BB707" s="108"/>
      <c r="BC707" s="108"/>
      <c r="BD707" s="108"/>
      <c r="BE707" s="108"/>
      <c r="BF707" s="108"/>
      <c r="BG707" s="108"/>
      <c r="BH707" s="108"/>
      <c r="BI707" s="108"/>
      <c r="BJ707" s="108"/>
      <c r="BK707" s="109"/>
      <c r="BL707" s="108"/>
      <c r="BM707" s="108"/>
      <c r="BN707" s="108"/>
    </row>
    <row r="708" spans="1:66" ht="12" customHeight="1" x14ac:dyDescent="0.2">
      <c r="A708" s="179"/>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c r="AA708" s="108"/>
      <c r="AB708" s="108"/>
      <c r="AC708" s="108"/>
      <c r="AD708" s="108"/>
      <c r="AE708" s="108"/>
      <c r="AF708" s="108"/>
      <c r="AG708" s="108"/>
      <c r="AH708" s="108"/>
      <c r="AI708" s="108"/>
      <c r="AJ708" s="108"/>
      <c r="AK708" s="108"/>
      <c r="AL708" s="108"/>
      <c r="AM708" s="108"/>
      <c r="AN708" s="108"/>
      <c r="AO708" s="108"/>
      <c r="AP708" s="108"/>
      <c r="AQ708" s="108"/>
      <c r="AR708" s="108"/>
      <c r="AS708" s="108"/>
      <c r="AT708" s="108"/>
      <c r="AU708" s="108"/>
      <c r="AV708" s="108"/>
      <c r="AW708" s="108"/>
      <c r="AX708" s="108"/>
      <c r="AY708" s="108"/>
      <c r="AZ708" s="108"/>
      <c r="BA708" s="108"/>
      <c r="BB708" s="108"/>
      <c r="BC708" s="108"/>
      <c r="BD708" s="108"/>
      <c r="BE708" s="108"/>
      <c r="BF708" s="108"/>
      <c r="BG708" s="108"/>
      <c r="BH708" s="108"/>
      <c r="BI708" s="108"/>
      <c r="BJ708" s="108"/>
      <c r="BK708" s="109"/>
      <c r="BL708" s="108"/>
      <c r="BM708" s="108"/>
      <c r="BN708" s="108"/>
    </row>
    <row r="709" spans="1:66" ht="12" customHeight="1" x14ac:dyDescent="0.2">
      <c r="A709" s="179"/>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c r="AA709" s="108"/>
      <c r="AB709" s="108"/>
      <c r="AC709" s="108"/>
      <c r="AD709" s="108"/>
      <c r="AE709" s="108"/>
      <c r="AF709" s="108"/>
      <c r="AG709" s="108"/>
      <c r="AH709" s="108"/>
      <c r="AI709" s="108"/>
      <c r="AJ709" s="108"/>
      <c r="AK709" s="108"/>
      <c r="AL709" s="108"/>
      <c r="AM709" s="108"/>
      <c r="AN709" s="108"/>
      <c r="AO709" s="108"/>
      <c r="AP709" s="108"/>
      <c r="AQ709" s="108"/>
      <c r="AR709" s="108"/>
      <c r="AS709" s="108"/>
      <c r="AT709" s="108"/>
      <c r="AU709" s="108"/>
      <c r="AV709" s="108"/>
      <c r="AW709" s="108"/>
      <c r="AX709" s="108"/>
      <c r="AY709" s="108"/>
      <c r="AZ709" s="108"/>
      <c r="BA709" s="108"/>
      <c r="BB709" s="108"/>
      <c r="BC709" s="108"/>
      <c r="BD709" s="108"/>
      <c r="BE709" s="108"/>
      <c r="BF709" s="108"/>
      <c r="BG709" s="108"/>
      <c r="BH709" s="108"/>
      <c r="BI709" s="108"/>
      <c r="BJ709" s="108"/>
      <c r="BK709" s="109"/>
      <c r="BL709" s="108"/>
      <c r="BM709" s="108"/>
      <c r="BN709" s="108"/>
    </row>
    <row r="710" spans="1:66" ht="12" customHeight="1" x14ac:dyDescent="0.2">
      <c r="A710" s="179"/>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c r="AA710" s="108"/>
      <c r="AB710" s="108"/>
      <c r="AC710" s="108"/>
      <c r="AD710" s="108"/>
      <c r="AE710" s="108"/>
      <c r="AF710" s="108"/>
      <c r="AG710" s="108"/>
      <c r="AH710" s="108"/>
      <c r="AI710" s="108"/>
      <c r="AJ710" s="108"/>
      <c r="AK710" s="108"/>
      <c r="AL710" s="108"/>
      <c r="AM710" s="108"/>
      <c r="AN710" s="108"/>
      <c r="AO710" s="108"/>
      <c r="AP710" s="108"/>
      <c r="AQ710" s="108"/>
      <c r="AR710" s="108"/>
      <c r="AS710" s="108"/>
      <c r="AT710" s="108"/>
      <c r="AU710" s="108"/>
      <c r="AV710" s="108"/>
      <c r="AW710" s="108"/>
      <c r="AX710" s="108"/>
      <c r="AY710" s="108"/>
      <c r="AZ710" s="108"/>
      <c r="BA710" s="108"/>
      <c r="BB710" s="108"/>
      <c r="BC710" s="108"/>
      <c r="BD710" s="108"/>
      <c r="BE710" s="108"/>
      <c r="BF710" s="108"/>
      <c r="BG710" s="108"/>
      <c r="BH710" s="108"/>
      <c r="BI710" s="108"/>
      <c r="BJ710" s="108"/>
      <c r="BK710" s="109"/>
      <c r="BL710" s="108"/>
      <c r="BM710" s="108"/>
      <c r="BN710" s="108"/>
    </row>
    <row r="711" spans="1:66" ht="12" customHeight="1" x14ac:dyDescent="0.2">
      <c r="A711" s="179"/>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c r="AA711" s="108"/>
      <c r="AB711" s="108"/>
      <c r="AC711" s="108"/>
      <c r="AD711" s="108"/>
      <c r="AE711" s="108"/>
      <c r="AF711" s="108"/>
      <c r="AG711" s="108"/>
      <c r="AH711" s="108"/>
      <c r="AI711" s="108"/>
      <c r="AJ711" s="108"/>
      <c r="AK711" s="108"/>
      <c r="AL711" s="108"/>
      <c r="AM711" s="108"/>
      <c r="AN711" s="108"/>
      <c r="AO711" s="108"/>
      <c r="AP711" s="108"/>
      <c r="AQ711" s="108"/>
      <c r="AR711" s="108"/>
      <c r="AS711" s="108"/>
      <c r="AT711" s="108"/>
      <c r="AU711" s="108"/>
      <c r="AV711" s="108"/>
      <c r="AW711" s="108"/>
      <c r="AX711" s="108"/>
      <c r="AY711" s="108"/>
      <c r="AZ711" s="108"/>
      <c r="BA711" s="108"/>
      <c r="BB711" s="108"/>
      <c r="BC711" s="108"/>
      <c r="BD711" s="108"/>
      <c r="BE711" s="108"/>
      <c r="BF711" s="108"/>
      <c r="BG711" s="108"/>
      <c r="BH711" s="108"/>
      <c r="BI711" s="108"/>
      <c r="BJ711" s="108"/>
      <c r="BK711" s="109"/>
      <c r="BL711" s="108"/>
      <c r="BM711" s="108"/>
      <c r="BN711" s="108"/>
    </row>
    <row r="712" spans="1:66" ht="12" customHeight="1" x14ac:dyDescent="0.2">
      <c r="A712" s="179"/>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c r="AA712" s="108"/>
      <c r="AB712" s="108"/>
      <c r="AC712" s="108"/>
      <c r="AD712" s="108"/>
      <c r="AE712" s="108"/>
      <c r="AF712" s="108"/>
      <c r="AG712" s="108"/>
      <c r="AH712" s="108"/>
      <c r="AI712" s="108"/>
      <c r="AJ712" s="108"/>
      <c r="AK712" s="108"/>
      <c r="AL712" s="108"/>
      <c r="AM712" s="108"/>
      <c r="AN712" s="108"/>
      <c r="AO712" s="108"/>
      <c r="AP712" s="108"/>
      <c r="AQ712" s="108"/>
      <c r="AR712" s="108"/>
      <c r="AS712" s="108"/>
      <c r="AT712" s="108"/>
      <c r="AU712" s="108"/>
      <c r="AV712" s="108"/>
      <c r="AW712" s="108"/>
      <c r="AX712" s="108"/>
      <c r="AY712" s="108"/>
      <c r="AZ712" s="108"/>
      <c r="BA712" s="108"/>
      <c r="BB712" s="108"/>
      <c r="BC712" s="108"/>
      <c r="BD712" s="108"/>
      <c r="BE712" s="108"/>
      <c r="BF712" s="108"/>
      <c r="BG712" s="108"/>
      <c r="BH712" s="108"/>
      <c r="BI712" s="108"/>
      <c r="BJ712" s="108"/>
      <c r="BK712" s="109"/>
      <c r="BL712" s="108"/>
      <c r="BM712" s="108"/>
      <c r="BN712" s="108"/>
    </row>
    <row r="713" spans="1:66" ht="12" customHeight="1" x14ac:dyDescent="0.2">
      <c r="A713" s="179"/>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c r="AA713" s="108"/>
      <c r="AB713" s="108"/>
      <c r="AC713" s="108"/>
      <c r="AD713" s="108"/>
      <c r="AE713" s="108"/>
      <c r="AF713" s="108"/>
      <c r="AG713" s="108"/>
      <c r="AH713" s="108"/>
      <c r="AI713" s="108"/>
      <c r="AJ713" s="108"/>
      <c r="AK713" s="108"/>
      <c r="AL713" s="108"/>
      <c r="AM713" s="108"/>
      <c r="AN713" s="108"/>
      <c r="AO713" s="108"/>
      <c r="AP713" s="108"/>
      <c r="AQ713" s="108"/>
      <c r="AR713" s="108"/>
      <c r="AS713" s="108"/>
      <c r="AT713" s="108"/>
      <c r="AU713" s="108"/>
      <c r="AV713" s="108"/>
      <c r="AW713" s="108"/>
      <c r="AX713" s="108"/>
      <c r="AY713" s="108"/>
      <c r="AZ713" s="108"/>
      <c r="BA713" s="108"/>
      <c r="BB713" s="108"/>
      <c r="BC713" s="108"/>
      <c r="BD713" s="108"/>
      <c r="BE713" s="108"/>
      <c r="BF713" s="108"/>
      <c r="BG713" s="108"/>
      <c r="BH713" s="108"/>
      <c r="BI713" s="108"/>
      <c r="BJ713" s="108"/>
      <c r="BK713" s="109"/>
      <c r="BL713" s="108"/>
      <c r="BM713" s="108"/>
      <c r="BN713" s="108"/>
    </row>
    <row r="714" spans="1:66" ht="12" customHeight="1" x14ac:dyDescent="0.2">
      <c r="A714" s="179"/>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c r="AA714" s="108"/>
      <c r="AB714" s="108"/>
      <c r="AC714" s="108"/>
      <c r="AD714" s="108"/>
      <c r="AE714" s="108"/>
      <c r="AF714" s="108"/>
      <c r="AG714" s="108"/>
      <c r="AH714" s="108"/>
      <c r="AI714" s="108"/>
      <c r="AJ714" s="108"/>
      <c r="AK714" s="108"/>
      <c r="AL714" s="108"/>
      <c r="AM714" s="108"/>
      <c r="AN714" s="108"/>
      <c r="AO714" s="108"/>
      <c r="AP714" s="108"/>
      <c r="AQ714" s="108"/>
      <c r="AR714" s="108"/>
      <c r="AS714" s="108"/>
      <c r="AT714" s="108"/>
      <c r="AU714" s="108"/>
      <c r="AV714" s="108"/>
      <c r="AW714" s="108"/>
      <c r="AX714" s="108"/>
      <c r="AY714" s="108"/>
      <c r="AZ714" s="108"/>
      <c r="BA714" s="108"/>
      <c r="BB714" s="108"/>
      <c r="BC714" s="108"/>
      <c r="BD714" s="108"/>
      <c r="BE714" s="108"/>
      <c r="BF714" s="108"/>
      <c r="BG714" s="108"/>
      <c r="BH714" s="108"/>
      <c r="BI714" s="108"/>
      <c r="BJ714" s="108"/>
      <c r="BK714" s="109"/>
      <c r="BL714" s="108"/>
      <c r="BM714" s="108"/>
      <c r="BN714" s="108"/>
    </row>
    <row r="715" spans="1:66" ht="12" customHeight="1" x14ac:dyDescent="0.2">
      <c r="A715" s="179"/>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c r="AA715" s="108"/>
      <c r="AB715" s="108"/>
      <c r="AC715" s="108"/>
      <c r="AD715" s="108"/>
      <c r="AE715" s="108"/>
      <c r="AF715" s="108"/>
      <c r="AG715" s="108"/>
      <c r="AH715" s="108"/>
      <c r="AI715" s="108"/>
      <c r="AJ715" s="108"/>
      <c r="AK715" s="108"/>
      <c r="AL715" s="108"/>
      <c r="AM715" s="108"/>
      <c r="AN715" s="108"/>
      <c r="AO715" s="108"/>
      <c r="AP715" s="108"/>
      <c r="AQ715" s="108"/>
      <c r="AR715" s="108"/>
      <c r="AS715" s="108"/>
      <c r="AT715" s="108"/>
      <c r="AU715" s="108"/>
      <c r="AV715" s="108"/>
      <c r="AW715" s="108"/>
      <c r="AX715" s="108"/>
      <c r="AY715" s="108"/>
      <c r="AZ715" s="108"/>
      <c r="BA715" s="108"/>
      <c r="BB715" s="108"/>
      <c r="BC715" s="108"/>
      <c r="BD715" s="108"/>
      <c r="BE715" s="108"/>
      <c r="BF715" s="108"/>
      <c r="BG715" s="108"/>
      <c r="BH715" s="108"/>
      <c r="BI715" s="108"/>
      <c r="BJ715" s="108"/>
      <c r="BK715" s="109"/>
      <c r="BL715" s="108"/>
      <c r="BM715" s="108"/>
      <c r="BN715" s="108"/>
    </row>
    <row r="716" spans="1:66" ht="12" customHeight="1" x14ac:dyDescent="0.2">
      <c r="A716" s="179"/>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c r="AA716" s="108"/>
      <c r="AB716" s="108"/>
      <c r="AC716" s="108"/>
      <c r="AD716" s="108"/>
      <c r="AE716" s="108"/>
      <c r="AF716" s="108"/>
      <c r="AG716" s="108"/>
      <c r="AH716" s="108"/>
      <c r="AI716" s="108"/>
      <c r="AJ716" s="108"/>
      <c r="AK716" s="108"/>
      <c r="AL716" s="108"/>
      <c r="AM716" s="108"/>
      <c r="AN716" s="108"/>
      <c r="AO716" s="108"/>
      <c r="AP716" s="108"/>
      <c r="AQ716" s="108"/>
      <c r="AR716" s="108"/>
      <c r="AS716" s="108"/>
      <c r="AT716" s="108"/>
      <c r="AU716" s="108"/>
      <c r="AV716" s="108"/>
      <c r="AW716" s="108"/>
      <c r="AX716" s="108"/>
      <c r="AY716" s="108"/>
      <c r="AZ716" s="108"/>
      <c r="BA716" s="108"/>
      <c r="BB716" s="108"/>
      <c r="BC716" s="108"/>
      <c r="BD716" s="108"/>
      <c r="BE716" s="108"/>
      <c r="BF716" s="108"/>
      <c r="BG716" s="108"/>
      <c r="BH716" s="108"/>
      <c r="BI716" s="108"/>
      <c r="BJ716" s="108"/>
      <c r="BK716" s="109"/>
      <c r="BL716" s="108"/>
      <c r="BM716" s="108"/>
      <c r="BN716" s="108"/>
    </row>
    <row r="717" spans="1:66" ht="12" customHeight="1" x14ac:dyDescent="0.2">
      <c r="A717" s="179"/>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c r="AA717" s="108"/>
      <c r="AB717" s="108"/>
      <c r="AC717" s="108"/>
      <c r="AD717" s="108"/>
      <c r="AE717" s="108"/>
      <c r="AF717" s="108"/>
      <c r="AG717" s="108"/>
      <c r="AH717" s="108"/>
      <c r="AI717" s="108"/>
      <c r="AJ717" s="108"/>
      <c r="AK717" s="108"/>
      <c r="AL717" s="108"/>
      <c r="AM717" s="108"/>
      <c r="AN717" s="108"/>
      <c r="AO717" s="108"/>
      <c r="AP717" s="108"/>
      <c r="AQ717" s="108"/>
      <c r="AR717" s="108"/>
      <c r="AS717" s="108"/>
      <c r="AT717" s="108"/>
      <c r="AU717" s="108"/>
      <c r="AV717" s="108"/>
      <c r="AW717" s="108"/>
      <c r="AX717" s="108"/>
      <c r="AY717" s="108"/>
      <c r="AZ717" s="108"/>
      <c r="BA717" s="108"/>
      <c r="BB717" s="108"/>
      <c r="BC717" s="108"/>
      <c r="BD717" s="108"/>
      <c r="BE717" s="108"/>
      <c r="BF717" s="108"/>
      <c r="BG717" s="108"/>
      <c r="BH717" s="108"/>
      <c r="BI717" s="108"/>
      <c r="BJ717" s="108"/>
      <c r="BK717" s="109"/>
      <c r="BL717" s="108"/>
      <c r="BM717" s="108"/>
      <c r="BN717" s="108"/>
    </row>
    <row r="718" spans="1:66" ht="12" customHeight="1" x14ac:dyDescent="0.2">
      <c r="A718" s="179"/>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c r="AA718" s="108"/>
      <c r="AB718" s="108"/>
      <c r="AC718" s="108"/>
      <c r="AD718" s="108"/>
      <c r="AE718" s="108"/>
      <c r="AF718" s="108"/>
      <c r="AG718" s="108"/>
      <c r="AH718" s="108"/>
      <c r="AI718" s="108"/>
      <c r="AJ718" s="108"/>
      <c r="AK718" s="108"/>
      <c r="AL718" s="108"/>
      <c r="AM718" s="108"/>
      <c r="AN718" s="108"/>
      <c r="AO718" s="108"/>
      <c r="AP718" s="108"/>
      <c r="AQ718" s="108"/>
      <c r="AR718" s="108"/>
      <c r="AS718" s="108"/>
      <c r="AT718" s="108"/>
      <c r="AU718" s="108"/>
      <c r="AV718" s="108"/>
      <c r="AW718" s="108"/>
      <c r="AX718" s="108"/>
      <c r="AY718" s="108"/>
      <c r="AZ718" s="108"/>
      <c r="BA718" s="108"/>
      <c r="BB718" s="108"/>
      <c r="BC718" s="108"/>
      <c r="BD718" s="108"/>
      <c r="BE718" s="108"/>
      <c r="BF718" s="108"/>
      <c r="BG718" s="108"/>
      <c r="BH718" s="108"/>
      <c r="BI718" s="108"/>
      <c r="BJ718" s="108"/>
      <c r="BK718" s="109"/>
      <c r="BL718" s="108"/>
      <c r="BM718" s="108"/>
      <c r="BN718" s="108"/>
    </row>
    <row r="719" spans="1:66" ht="12" customHeight="1" x14ac:dyDescent="0.2">
      <c r="A719" s="179"/>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c r="AA719" s="108"/>
      <c r="AB719" s="108"/>
      <c r="AC719" s="108"/>
      <c r="AD719" s="108"/>
      <c r="AE719" s="108"/>
      <c r="AF719" s="108"/>
      <c r="AG719" s="108"/>
      <c r="AH719" s="108"/>
      <c r="AI719" s="108"/>
      <c r="AJ719" s="108"/>
      <c r="AK719" s="108"/>
      <c r="AL719" s="108"/>
      <c r="AM719" s="108"/>
      <c r="AN719" s="108"/>
      <c r="AO719" s="108"/>
      <c r="AP719" s="108"/>
      <c r="AQ719" s="108"/>
      <c r="AR719" s="108"/>
      <c r="AS719" s="108"/>
      <c r="AT719" s="108"/>
      <c r="AU719" s="108"/>
      <c r="AV719" s="108"/>
      <c r="AW719" s="108"/>
      <c r="AX719" s="108"/>
      <c r="AY719" s="108"/>
      <c r="AZ719" s="108"/>
      <c r="BA719" s="108"/>
      <c r="BB719" s="108"/>
      <c r="BC719" s="108"/>
      <c r="BD719" s="108"/>
      <c r="BE719" s="108"/>
      <c r="BF719" s="108"/>
      <c r="BG719" s="108"/>
      <c r="BH719" s="108"/>
      <c r="BI719" s="108"/>
      <c r="BJ719" s="108"/>
      <c r="BK719" s="109"/>
      <c r="BL719" s="108"/>
      <c r="BM719" s="108"/>
      <c r="BN719" s="108"/>
    </row>
    <row r="720" spans="1:66" ht="12" customHeight="1" x14ac:dyDescent="0.2">
      <c r="A720" s="179"/>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c r="AA720" s="108"/>
      <c r="AB720" s="108"/>
      <c r="AC720" s="108"/>
      <c r="AD720" s="108"/>
      <c r="AE720" s="108"/>
      <c r="AF720" s="108"/>
      <c r="AG720" s="108"/>
      <c r="AH720" s="108"/>
      <c r="AI720" s="108"/>
      <c r="AJ720" s="108"/>
      <c r="AK720" s="108"/>
      <c r="AL720" s="108"/>
      <c r="AM720" s="108"/>
      <c r="AN720" s="108"/>
      <c r="AO720" s="108"/>
      <c r="AP720" s="108"/>
      <c r="AQ720" s="108"/>
      <c r="AR720" s="108"/>
      <c r="AS720" s="108"/>
      <c r="AT720" s="108"/>
      <c r="AU720" s="108"/>
      <c r="AV720" s="108"/>
      <c r="AW720" s="108"/>
      <c r="AX720" s="108"/>
      <c r="AY720" s="108"/>
      <c r="AZ720" s="108"/>
      <c r="BA720" s="108"/>
      <c r="BB720" s="108"/>
      <c r="BC720" s="108"/>
      <c r="BD720" s="108"/>
      <c r="BE720" s="108"/>
      <c r="BF720" s="108"/>
      <c r="BG720" s="108"/>
      <c r="BH720" s="108"/>
      <c r="BI720" s="108"/>
      <c r="BJ720" s="108"/>
      <c r="BK720" s="109"/>
      <c r="BL720" s="108"/>
      <c r="BM720" s="108"/>
      <c r="BN720" s="108"/>
    </row>
    <row r="721" spans="1:66" ht="12" customHeight="1" x14ac:dyDescent="0.2">
      <c r="A721" s="179"/>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c r="AA721" s="108"/>
      <c r="AB721" s="108"/>
      <c r="AC721" s="108"/>
      <c r="AD721" s="108"/>
      <c r="AE721" s="108"/>
      <c r="AF721" s="108"/>
      <c r="AG721" s="108"/>
      <c r="AH721" s="108"/>
      <c r="AI721" s="108"/>
      <c r="AJ721" s="108"/>
      <c r="AK721" s="108"/>
      <c r="AL721" s="108"/>
      <c r="AM721" s="108"/>
      <c r="AN721" s="108"/>
      <c r="AO721" s="108"/>
      <c r="AP721" s="108"/>
      <c r="AQ721" s="108"/>
      <c r="AR721" s="108"/>
      <c r="AS721" s="108"/>
      <c r="AT721" s="108"/>
      <c r="AU721" s="108"/>
      <c r="AV721" s="108"/>
      <c r="AW721" s="108"/>
      <c r="AX721" s="108"/>
      <c r="AY721" s="108"/>
      <c r="AZ721" s="108"/>
      <c r="BA721" s="108"/>
      <c r="BB721" s="108"/>
      <c r="BC721" s="108"/>
      <c r="BD721" s="108"/>
      <c r="BE721" s="108"/>
      <c r="BF721" s="108"/>
      <c r="BG721" s="108"/>
      <c r="BH721" s="108"/>
      <c r="BI721" s="108"/>
      <c r="BJ721" s="108"/>
      <c r="BK721" s="109"/>
      <c r="BL721" s="108"/>
      <c r="BM721" s="108"/>
      <c r="BN721" s="108"/>
    </row>
    <row r="722" spans="1:66" ht="12" customHeight="1" x14ac:dyDescent="0.2">
      <c r="A722" s="179"/>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c r="AA722" s="108"/>
      <c r="AB722" s="108"/>
      <c r="AC722" s="108"/>
      <c r="AD722" s="108"/>
      <c r="AE722" s="108"/>
      <c r="AF722" s="108"/>
      <c r="AG722" s="108"/>
      <c r="AH722" s="108"/>
      <c r="AI722" s="108"/>
      <c r="AJ722" s="108"/>
      <c r="AK722" s="108"/>
      <c r="AL722" s="108"/>
      <c r="AM722" s="108"/>
      <c r="AN722" s="108"/>
      <c r="AO722" s="108"/>
      <c r="AP722" s="108"/>
      <c r="AQ722" s="108"/>
      <c r="AR722" s="108"/>
      <c r="AS722" s="108"/>
      <c r="AT722" s="108"/>
      <c r="AU722" s="108"/>
      <c r="AV722" s="108"/>
      <c r="AW722" s="108"/>
      <c r="AX722" s="108"/>
      <c r="AY722" s="108"/>
      <c r="AZ722" s="108"/>
      <c r="BA722" s="108"/>
      <c r="BB722" s="108"/>
      <c r="BC722" s="108"/>
      <c r="BD722" s="108"/>
      <c r="BE722" s="108"/>
      <c r="BF722" s="108"/>
      <c r="BG722" s="108"/>
      <c r="BH722" s="108"/>
      <c r="BI722" s="108"/>
      <c r="BJ722" s="108"/>
      <c r="BK722" s="109"/>
      <c r="BL722" s="108"/>
      <c r="BM722" s="108"/>
      <c r="BN722" s="108"/>
    </row>
    <row r="723" spans="1:66" ht="12" customHeight="1" x14ac:dyDescent="0.2">
      <c r="A723" s="179"/>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c r="AA723" s="108"/>
      <c r="AB723" s="108"/>
      <c r="AC723" s="108"/>
      <c r="AD723" s="108"/>
      <c r="AE723" s="108"/>
      <c r="AF723" s="108"/>
      <c r="AG723" s="108"/>
      <c r="AH723" s="108"/>
      <c r="AI723" s="108"/>
      <c r="AJ723" s="108"/>
      <c r="AK723" s="108"/>
      <c r="AL723" s="108"/>
      <c r="AM723" s="108"/>
      <c r="AN723" s="108"/>
      <c r="AO723" s="108"/>
      <c r="AP723" s="108"/>
      <c r="AQ723" s="108"/>
      <c r="AR723" s="108"/>
      <c r="AS723" s="108"/>
      <c r="AT723" s="108"/>
      <c r="AU723" s="108"/>
      <c r="AV723" s="108"/>
      <c r="AW723" s="108"/>
      <c r="AX723" s="108"/>
      <c r="AY723" s="108"/>
      <c r="AZ723" s="108"/>
      <c r="BA723" s="108"/>
      <c r="BB723" s="108"/>
      <c r="BC723" s="108"/>
      <c r="BD723" s="108"/>
      <c r="BE723" s="108"/>
      <c r="BF723" s="108"/>
      <c r="BG723" s="108"/>
      <c r="BH723" s="108"/>
      <c r="BI723" s="108"/>
      <c r="BJ723" s="108"/>
      <c r="BK723" s="109"/>
      <c r="BL723" s="108"/>
      <c r="BM723" s="108"/>
      <c r="BN723" s="108"/>
    </row>
    <row r="724" spans="1:66" ht="12" customHeight="1" x14ac:dyDescent="0.2">
      <c r="A724" s="179"/>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c r="AA724" s="108"/>
      <c r="AB724" s="108"/>
      <c r="AC724" s="108"/>
      <c r="AD724" s="108"/>
      <c r="AE724" s="108"/>
      <c r="AF724" s="108"/>
      <c r="AG724" s="108"/>
      <c r="AH724" s="108"/>
      <c r="AI724" s="108"/>
      <c r="AJ724" s="108"/>
      <c r="AK724" s="108"/>
      <c r="AL724" s="108"/>
      <c r="AM724" s="108"/>
      <c r="AN724" s="108"/>
      <c r="AO724" s="108"/>
      <c r="AP724" s="108"/>
      <c r="AQ724" s="108"/>
      <c r="AR724" s="108"/>
      <c r="AS724" s="108"/>
      <c r="AT724" s="108"/>
      <c r="AU724" s="108"/>
      <c r="AV724" s="108"/>
      <c r="AW724" s="108"/>
      <c r="AX724" s="108"/>
      <c r="AY724" s="108"/>
      <c r="AZ724" s="108"/>
      <c r="BA724" s="108"/>
      <c r="BB724" s="108"/>
      <c r="BC724" s="108"/>
      <c r="BD724" s="108"/>
      <c r="BE724" s="108"/>
      <c r="BF724" s="108"/>
      <c r="BG724" s="108"/>
      <c r="BH724" s="108"/>
      <c r="BI724" s="108"/>
      <c r="BJ724" s="108"/>
      <c r="BK724" s="109"/>
      <c r="BL724" s="108"/>
      <c r="BM724" s="108"/>
      <c r="BN724" s="108"/>
    </row>
    <row r="725" spans="1:66" ht="12" customHeight="1" x14ac:dyDescent="0.2">
      <c r="A725" s="179"/>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c r="AA725" s="108"/>
      <c r="AB725" s="108"/>
      <c r="AC725" s="108"/>
      <c r="AD725" s="108"/>
      <c r="AE725" s="108"/>
      <c r="AF725" s="108"/>
      <c r="AG725" s="108"/>
      <c r="AH725" s="108"/>
      <c r="AI725" s="108"/>
      <c r="AJ725" s="108"/>
      <c r="AK725" s="108"/>
      <c r="AL725" s="108"/>
      <c r="AM725" s="108"/>
      <c r="AN725" s="108"/>
      <c r="AO725" s="108"/>
      <c r="AP725" s="108"/>
      <c r="AQ725" s="108"/>
      <c r="AR725" s="108"/>
      <c r="AS725" s="108"/>
      <c r="AT725" s="108"/>
      <c r="AU725" s="108"/>
      <c r="AV725" s="108"/>
      <c r="AW725" s="108"/>
      <c r="AX725" s="108"/>
      <c r="AY725" s="108"/>
      <c r="AZ725" s="108"/>
      <c r="BA725" s="108"/>
      <c r="BB725" s="108"/>
      <c r="BC725" s="108"/>
      <c r="BD725" s="108"/>
      <c r="BE725" s="108"/>
      <c r="BF725" s="108"/>
      <c r="BG725" s="108"/>
      <c r="BH725" s="108"/>
      <c r="BI725" s="108"/>
      <c r="BJ725" s="108"/>
      <c r="BK725" s="109"/>
      <c r="BL725" s="108"/>
      <c r="BM725" s="108"/>
      <c r="BN725" s="108"/>
    </row>
    <row r="726" spans="1:66" ht="12" customHeight="1" x14ac:dyDescent="0.2">
      <c r="A726" s="179"/>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c r="AA726" s="108"/>
      <c r="AB726" s="108"/>
      <c r="AC726" s="108"/>
      <c r="AD726" s="108"/>
      <c r="AE726" s="108"/>
      <c r="AF726" s="108"/>
      <c r="AG726" s="108"/>
      <c r="AH726" s="108"/>
      <c r="AI726" s="108"/>
      <c r="AJ726" s="108"/>
      <c r="AK726" s="108"/>
      <c r="AL726" s="108"/>
      <c r="AM726" s="108"/>
      <c r="AN726" s="108"/>
      <c r="AO726" s="108"/>
      <c r="AP726" s="108"/>
      <c r="AQ726" s="108"/>
      <c r="AR726" s="108"/>
      <c r="AS726" s="108"/>
      <c r="AT726" s="108"/>
      <c r="AU726" s="108"/>
      <c r="AV726" s="108"/>
      <c r="AW726" s="108"/>
      <c r="AX726" s="108"/>
      <c r="AY726" s="108"/>
      <c r="AZ726" s="108"/>
      <c r="BA726" s="108"/>
      <c r="BB726" s="108"/>
      <c r="BC726" s="108"/>
      <c r="BD726" s="108"/>
      <c r="BE726" s="108"/>
      <c r="BF726" s="108"/>
      <c r="BG726" s="108"/>
      <c r="BH726" s="108"/>
      <c r="BI726" s="108"/>
      <c r="BJ726" s="108"/>
      <c r="BK726" s="109"/>
      <c r="BL726" s="108"/>
      <c r="BM726" s="108"/>
      <c r="BN726" s="108"/>
    </row>
    <row r="727" spans="1:66" ht="12" customHeight="1" x14ac:dyDescent="0.2">
      <c r="A727" s="179"/>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c r="AA727" s="108"/>
      <c r="AB727" s="108"/>
      <c r="AC727" s="108"/>
      <c r="AD727" s="108"/>
      <c r="AE727" s="108"/>
      <c r="AF727" s="108"/>
      <c r="AG727" s="108"/>
      <c r="AH727" s="108"/>
      <c r="AI727" s="108"/>
      <c r="AJ727" s="108"/>
      <c r="AK727" s="108"/>
      <c r="AL727" s="108"/>
      <c r="AM727" s="108"/>
      <c r="AN727" s="108"/>
      <c r="AO727" s="108"/>
      <c r="AP727" s="108"/>
      <c r="AQ727" s="108"/>
      <c r="AR727" s="108"/>
      <c r="AS727" s="108"/>
      <c r="AT727" s="108"/>
      <c r="AU727" s="108"/>
      <c r="AV727" s="108"/>
      <c r="AW727" s="108"/>
      <c r="AX727" s="108"/>
      <c r="AY727" s="108"/>
      <c r="AZ727" s="108"/>
      <c r="BA727" s="108"/>
      <c r="BB727" s="108"/>
      <c r="BC727" s="108"/>
      <c r="BD727" s="108"/>
      <c r="BE727" s="108"/>
      <c r="BF727" s="108"/>
      <c r="BG727" s="108"/>
      <c r="BH727" s="108"/>
      <c r="BI727" s="108"/>
      <c r="BJ727" s="108"/>
      <c r="BK727" s="109"/>
      <c r="BL727" s="108"/>
      <c r="BM727" s="108"/>
      <c r="BN727" s="108"/>
    </row>
    <row r="728" spans="1:66" ht="12" customHeight="1" x14ac:dyDescent="0.2">
      <c r="A728" s="179"/>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c r="AA728" s="108"/>
      <c r="AB728" s="108"/>
      <c r="AC728" s="108"/>
      <c r="AD728" s="108"/>
      <c r="AE728" s="108"/>
      <c r="AF728" s="108"/>
      <c r="AG728" s="108"/>
      <c r="AH728" s="108"/>
      <c r="AI728" s="108"/>
      <c r="AJ728" s="108"/>
      <c r="AK728" s="108"/>
      <c r="AL728" s="108"/>
      <c r="AM728" s="108"/>
      <c r="AN728" s="108"/>
      <c r="AO728" s="108"/>
      <c r="AP728" s="108"/>
      <c r="AQ728" s="108"/>
      <c r="AR728" s="108"/>
      <c r="AS728" s="108"/>
      <c r="AT728" s="108"/>
      <c r="AU728" s="108"/>
      <c r="AV728" s="108"/>
      <c r="AW728" s="108"/>
      <c r="AX728" s="108"/>
      <c r="AY728" s="108"/>
      <c r="AZ728" s="108"/>
      <c r="BA728" s="108"/>
      <c r="BB728" s="108"/>
      <c r="BC728" s="108"/>
      <c r="BD728" s="108"/>
      <c r="BE728" s="108"/>
      <c r="BF728" s="108"/>
      <c r="BG728" s="108"/>
      <c r="BH728" s="108"/>
      <c r="BI728" s="108"/>
      <c r="BJ728" s="108"/>
      <c r="BK728" s="109"/>
      <c r="BL728" s="108"/>
      <c r="BM728" s="108"/>
      <c r="BN728" s="108"/>
    </row>
    <row r="729" spans="1:66" ht="12" customHeight="1" x14ac:dyDescent="0.2">
      <c r="A729" s="179"/>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c r="AA729" s="108"/>
      <c r="AB729" s="108"/>
      <c r="AC729" s="108"/>
      <c r="AD729" s="108"/>
      <c r="AE729" s="108"/>
      <c r="AF729" s="108"/>
      <c r="AG729" s="108"/>
      <c r="AH729" s="108"/>
      <c r="AI729" s="108"/>
      <c r="AJ729" s="108"/>
      <c r="AK729" s="108"/>
      <c r="AL729" s="108"/>
      <c r="AM729" s="108"/>
      <c r="AN729" s="108"/>
      <c r="AO729" s="108"/>
      <c r="AP729" s="108"/>
      <c r="AQ729" s="108"/>
      <c r="AR729" s="108"/>
      <c r="AS729" s="108"/>
      <c r="AT729" s="108"/>
      <c r="AU729" s="108"/>
      <c r="AV729" s="108"/>
      <c r="AW729" s="108"/>
      <c r="AX729" s="108"/>
      <c r="AY729" s="108"/>
      <c r="AZ729" s="108"/>
      <c r="BA729" s="108"/>
      <c r="BB729" s="108"/>
      <c r="BC729" s="108"/>
      <c r="BD729" s="108"/>
      <c r="BE729" s="108"/>
      <c r="BF729" s="108"/>
      <c r="BG729" s="108"/>
      <c r="BH729" s="108"/>
      <c r="BI729" s="108"/>
      <c r="BJ729" s="108"/>
      <c r="BK729" s="109"/>
      <c r="BL729" s="108"/>
      <c r="BM729" s="108"/>
      <c r="BN729" s="108"/>
    </row>
    <row r="730" spans="1:66" ht="12" customHeight="1" x14ac:dyDescent="0.2">
      <c r="A730" s="179"/>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c r="AA730" s="108"/>
      <c r="AB730" s="108"/>
      <c r="AC730" s="108"/>
      <c r="AD730" s="108"/>
      <c r="AE730" s="108"/>
      <c r="AF730" s="108"/>
      <c r="AG730" s="108"/>
      <c r="AH730" s="108"/>
      <c r="AI730" s="108"/>
      <c r="AJ730" s="108"/>
      <c r="AK730" s="108"/>
      <c r="AL730" s="108"/>
      <c r="AM730" s="108"/>
      <c r="AN730" s="108"/>
      <c r="AO730" s="108"/>
      <c r="AP730" s="108"/>
      <c r="AQ730" s="108"/>
      <c r="AR730" s="108"/>
      <c r="AS730" s="108"/>
      <c r="AT730" s="108"/>
      <c r="AU730" s="108"/>
      <c r="AV730" s="108"/>
      <c r="AW730" s="108"/>
      <c r="AX730" s="108"/>
      <c r="AY730" s="108"/>
      <c r="AZ730" s="108"/>
      <c r="BA730" s="108"/>
      <c r="BB730" s="108"/>
      <c r="BC730" s="108"/>
      <c r="BD730" s="108"/>
      <c r="BE730" s="108"/>
      <c r="BF730" s="108"/>
      <c r="BG730" s="108"/>
      <c r="BH730" s="108"/>
      <c r="BI730" s="108"/>
      <c r="BJ730" s="108"/>
      <c r="BK730" s="109"/>
      <c r="BL730" s="108"/>
      <c r="BM730" s="108"/>
      <c r="BN730" s="108"/>
    </row>
    <row r="731" spans="1:66" ht="12" customHeight="1" x14ac:dyDescent="0.2">
      <c r="A731" s="179"/>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c r="AA731" s="108"/>
      <c r="AB731" s="108"/>
      <c r="AC731" s="108"/>
      <c r="AD731" s="108"/>
      <c r="AE731" s="108"/>
      <c r="AF731" s="108"/>
      <c r="AG731" s="108"/>
      <c r="AH731" s="108"/>
      <c r="AI731" s="108"/>
      <c r="AJ731" s="108"/>
      <c r="AK731" s="108"/>
      <c r="AL731" s="108"/>
      <c r="AM731" s="108"/>
      <c r="AN731" s="108"/>
      <c r="AO731" s="108"/>
      <c r="AP731" s="108"/>
      <c r="AQ731" s="108"/>
      <c r="AR731" s="108"/>
      <c r="AS731" s="108"/>
      <c r="AT731" s="108"/>
      <c r="AU731" s="108"/>
      <c r="AV731" s="108"/>
      <c r="AW731" s="108"/>
      <c r="AX731" s="108"/>
      <c r="AY731" s="108"/>
      <c r="AZ731" s="108"/>
      <c r="BA731" s="108"/>
      <c r="BB731" s="108"/>
      <c r="BC731" s="108"/>
      <c r="BD731" s="108"/>
      <c r="BE731" s="108"/>
      <c r="BF731" s="108"/>
      <c r="BG731" s="108"/>
      <c r="BH731" s="108"/>
      <c r="BI731" s="108"/>
      <c r="BJ731" s="108"/>
      <c r="BK731" s="109"/>
      <c r="BL731" s="108"/>
      <c r="BM731" s="108"/>
      <c r="BN731" s="108"/>
    </row>
    <row r="732" spans="1:66" ht="12" customHeight="1" x14ac:dyDescent="0.2">
      <c r="A732" s="179"/>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c r="AA732" s="108"/>
      <c r="AB732" s="108"/>
      <c r="AC732" s="108"/>
      <c r="AD732" s="108"/>
      <c r="AE732" s="108"/>
      <c r="AF732" s="108"/>
      <c r="AG732" s="108"/>
      <c r="AH732" s="108"/>
      <c r="AI732" s="108"/>
      <c r="AJ732" s="108"/>
      <c r="AK732" s="108"/>
      <c r="AL732" s="108"/>
      <c r="AM732" s="108"/>
      <c r="AN732" s="108"/>
      <c r="AO732" s="108"/>
      <c r="AP732" s="108"/>
      <c r="AQ732" s="108"/>
      <c r="AR732" s="108"/>
      <c r="AS732" s="108"/>
      <c r="AT732" s="108"/>
      <c r="AU732" s="108"/>
      <c r="AV732" s="108"/>
      <c r="AW732" s="108"/>
      <c r="AX732" s="108"/>
      <c r="AY732" s="108"/>
      <c r="AZ732" s="108"/>
      <c r="BA732" s="108"/>
      <c r="BB732" s="108"/>
      <c r="BC732" s="108"/>
      <c r="BD732" s="108"/>
      <c r="BE732" s="108"/>
      <c r="BF732" s="108"/>
      <c r="BG732" s="108"/>
      <c r="BH732" s="108"/>
      <c r="BI732" s="108"/>
      <c r="BJ732" s="108"/>
      <c r="BK732" s="109"/>
      <c r="BL732" s="108"/>
      <c r="BM732" s="108"/>
      <c r="BN732" s="108"/>
    </row>
    <row r="733" spans="1:66" ht="12" customHeight="1" x14ac:dyDescent="0.2">
      <c r="A733" s="179"/>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c r="AA733" s="108"/>
      <c r="AB733" s="108"/>
      <c r="AC733" s="108"/>
      <c r="AD733" s="108"/>
      <c r="AE733" s="108"/>
      <c r="AF733" s="108"/>
      <c r="AG733" s="108"/>
      <c r="AH733" s="108"/>
      <c r="AI733" s="108"/>
      <c r="AJ733" s="108"/>
      <c r="AK733" s="108"/>
      <c r="AL733" s="108"/>
      <c r="AM733" s="108"/>
      <c r="AN733" s="108"/>
      <c r="AO733" s="108"/>
      <c r="AP733" s="108"/>
      <c r="AQ733" s="108"/>
      <c r="AR733" s="108"/>
      <c r="AS733" s="108"/>
      <c r="AT733" s="108"/>
      <c r="AU733" s="108"/>
      <c r="AV733" s="108"/>
      <c r="AW733" s="108"/>
      <c r="AX733" s="108"/>
      <c r="AY733" s="108"/>
      <c r="AZ733" s="108"/>
      <c r="BA733" s="108"/>
      <c r="BB733" s="108"/>
      <c r="BC733" s="108"/>
      <c r="BD733" s="108"/>
      <c r="BE733" s="108"/>
      <c r="BF733" s="108"/>
      <c r="BG733" s="108"/>
      <c r="BH733" s="108"/>
      <c r="BI733" s="108"/>
      <c r="BJ733" s="108"/>
      <c r="BK733" s="109"/>
      <c r="BL733" s="108"/>
      <c r="BM733" s="108"/>
      <c r="BN733" s="108"/>
    </row>
    <row r="734" spans="1:66" ht="12" customHeight="1" x14ac:dyDescent="0.2">
      <c r="A734" s="179"/>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c r="AA734" s="108"/>
      <c r="AB734" s="108"/>
      <c r="AC734" s="108"/>
      <c r="AD734" s="108"/>
      <c r="AE734" s="108"/>
      <c r="AF734" s="108"/>
      <c r="AG734" s="108"/>
      <c r="AH734" s="108"/>
      <c r="AI734" s="108"/>
      <c r="AJ734" s="108"/>
      <c r="AK734" s="108"/>
      <c r="AL734" s="108"/>
      <c r="AM734" s="108"/>
      <c r="AN734" s="108"/>
      <c r="AO734" s="108"/>
      <c r="AP734" s="108"/>
      <c r="AQ734" s="108"/>
      <c r="AR734" s="108"/>
      <c r="AS734" s="108"/>
      <c r="AT734" s="108"/>
      <c r="AU734" s="108"/>
      <c r="AV734" s="108"/>
      <c r="AW734" s="108"/>
      <c r="AX734" s="108"/>
      <c r="AY734" s="108"/>
      <c r="AZ734" s="108"/>
      <c r="BA734" s="108"/>
      <c r="BB734" s="108"/>
      <c r="BC734" s="108"/>
      <c r="BD734" s="108"/>
      <c r="BE734" s="108"/>
      <c r="BF734" s="108"/>
      <c r="BG734" s="108"/>
      <c r="BH734" s="108"/>
      <c r="BI734" s="108"/>
      <c r="BJ734" s="108"/>
      <c r="BK734" s="109"/>
      <c r="BL734" s="108"/>
      <c r="BM734" s="108"/>
      <c r="BN734" s="108"/>
    </row>
    <row r="735" spans="1:66" ht="12" customHeight="1" x14ac:dyDescent="0.2">
      <c r="A735" s="179"/>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c r="AA735" s="108"/>
      <c r="AB735" s="108"/>
      <c r="AC735" s="108"/>
      <c r="AD735" s="108"/>
      <c r="AE735" s="108"/>
      <c r="AF735" s="108"/>
      <c r="AG735" s="108"/>
      <c r="AH735" s="108"/>
      <c r="AI735" s="108"/>
      <c r="AJ735" s="108"/>
      <c r="AK735" s="108"/>
      <c r="AL735" s="108"/>
      <c r="AM735" s="108"/>
      <c r="AN735" s="108"/>
      <c r="AO735" s="108"/>
      <c r="AP735" s="108"/>
      <c r="AQ735" s="108"/>
      <c r="AR735" s="108"/>
      <c r="AS735" s="108"/>
      <c r="AT735" s="108"/>
      <c r="AU735" s="108"/>
      <c r="AV735" s="108"/>
      <c r="AW735" s="108"/>
      <c r="AX735" s="108"/>
      <c r="AY735" s="108"/>
      <c r="AZ735" s="108"/>
      <c r="BA735" s="108"/>
      <c r="BB735" s="108"/>
      <c r="BC735" s="108"/>
      <c r="BD735" s="108"/>
      <c r="BE735" s="108"/>
      <c r="BF735" s="108"/>
      <c r="BG735" s="108"/>
      <c r="BH735" s="108"/>
      <c r="BI735" s="108"/>
      <c r="BJ735" s="108"/>
      <c r="BK735" s="109"/>
      <c r="BL735" s="108"/>
      <c r="BM735" s="108"/>
      <c r="BN735" s="108"/>
    </row>
    <row r="736" spans="1:66" ht="12" customHeight="1" x14ac:dyDescent="0.2">
      <c r="A736" s="179"/>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c r="AA736" s="108"/>
      <c r="AB736" s="108"/>
      <c r="AC736" s="108"/>
      <c r="AD736" s="108"/>
      <c r="AE736" s="108"/>
      <c r="AF736" s="108"/>
      <c r="AG736" s="108"/>
      <c r="AH736" s="108"/>
      <c r="AI736" s="108"/>
      <c r="AJ736" s="108"/>
      <c r="AK736" s="108"/>
      <c r="AL736" s="108"/>
      <c r="AM736" s="108"/>
      <c r="AN736" s="108"/>
      <c r="AO736" s="108"/>
      <c r="AP736" s="108"/>
      <c r="AQ736" s="108"/>
      <c r="AR736" s="108"/>
      <c r="AS736" s="108"/>
      <c r="AT736" s="108"/>
      <c r="AU736" s="108"/>
      <c r="AV736" s="108"/>
      <c r="AW736" s="108"/>
      <c r="AX736" s="108"/>
      <c r="AY736" s="108"/>
      <c r="AZ736" s="108"/>
      <c r="BA736" s="108"/>
      <c r="BB736" s="108"/>
      <c r="BC736" s="108"/>
      <c r="BD736" s="108"/>
      <c r="BE736" s="108"/>
      <c r="BF736" s="108"/>
      <c r="BG736" s="108"/>
      <c r="BH736" s="108"/>
      <c r="BI736" s="108"/>
      <c r="BJ736" s="108"/>
      <c r="BK736" s="109"/>
      <c r="BL736" s="108"/>
      <c r="BM736" s="108"/>
      <c r="BN736" s="108"/>
    </row>
    <row r="737" spans="1:66" ht="12" customHeight="1" x14ac:dyDescent="0.2">
      <c r="A737" s="179"/>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c r="AA737" s="108"/>
      <c r="AB737" s="108"/>
      <c r="AC737" s="108"/>
      <c r="AD737" s="108"/>
      <c r="AE737" s="108"/>
      <c r="AF737" s="108"/>
      <c r="AG737" s="108"/>
      <c r="AH737" s="108"/>
      <c r="AI737" s="108"/>
      <c r="AJ737" s="108"/>
      <c r="AK737" s="108"/>
      <c r="AL737" s="108"/>
      <c r="AM737" s="108"/>
      <c r="AN737" s="108"/>
      <c r="AO737" s="108"/>
      <c r="AP737" s="108"/>
      <c r="AQ737" s="108"/>
      <c r="AR737" s="108"/>
      <c r="AS737" s="108"/>
      <c r="AT737" s="108"/>
      <c r="AU737" s="108"/>
      <c r="AV737" s="108"/>
      <c r="AW737" s="108"/>
      <c r="AX737" s="108"/>
      <c r="AY737" s="108"/>
      <c r="AZ737" s="108"/>
      <c r="BA737" s="108"/>
      <c r="BB737" s="108"/>
      <c r="BC737" s="108"/>
      <c r="BD737" s="108"/>
      <c r="BE737" s="108"/>
      <c r="BF737" s="108"/>
      <c r="BG737" s="108"/>
      <c r="BH737" s="108"/>
      <c r="BI737" s="108"/>
      <c r="BJ737" s="108"/>
      <c r="BK737" s="109"/>
      <c r="BL737" s="108"/>
      <c r="BM737" s="108"/>
      <c r="BN737" s="108"/>
    </row>
    <row r="738" spans="1:66" ht="12" customHeight="1" x14ac:dyDescent="0.2">
      <c r="A738" s="179"/>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c r="AA738" s="108"/>
      <c r="AB738" s="108"/>
      <c r="AC738" s="108"/>
      <c r="AD738" s="108"/>
      <c r="AE738" s="108"/>
      <c r="AF738" s="108"/>
      <c r="AG738" s="108"/>
      <c r="AH738" s="108"/>
      <c r="AI738" s="108"/>
      <c r="AJ738" s="108"/>
      <c r="AK738" s="108"/>
      <c r="AL738" s="108"/>
      <c r="AM738" s="108"/>
      <c r="AN738" s="108"/>
      <c r="AO738" s="108"/>
      <c r="AP738" s="108"/>
      <c r="AQ738" s="108"/>
      <c r="AR738" s="108"/>
      <c r="AS738" s="108"/>
      <c r="AT738" s="108"/>
      <c r="AU738" s="108"/>
      <c r="AV738" s="108"/>
      <c r="AW738" s="108"/>
      <c r="AX738" s="108"/>
      <c r="AY738" s="108"/>
      <c r="AZ738" s="108"/>
      <c r="BA738" s="108"/>
      <c r="BB738" s="108"/>
      <c r="BC738" s="108"/>
      <c r="BD738" s="108"/>
      <c r="BE738" s="108"/>
      <c r="BF738" s="108"/>
      <c r="BG738" s="108"/>
      <c r="BH738" s="108"/>
      <c r="BI738" s="108"/>
      <c r="BJ738" s="108"/>
      <c r="BK738" s="109"/>
      <c r="BL738" s="108"/>
      <c r="BM738" s="108"/>
      <c r="BN738" s="108"/>
    </row>
    <row r="739" spans="1:66" ht="12" customHeight="1" x14ac:dyDescent="0.2">
      <c r="A739" s="179"/>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c r="AA739" s="108"/>
      <c r="AB739" s="108"/>
      <c r="AC739" s="108"/>
      <c r="AD739" s="108"/>
      <c r="AE739" s="108"/>
      <c r="AF739" s="108"/>
      <c r="AG739" s="108"/>
      <c r="AH739" s="108"/>
      <c r="AI739" s="108"/>
      <c r="AJ739" s="108"/>
      <c r="AK739" s="108"/>
      <c r="AL739" s="108"/>
      <c r="AM739" s="108"/>
      <c r="AN739" s="108"/>
      <c r="AO739" s="108"/>
      <c r="AP739" s="108"/>
      <c r="AQ739" s="108"/>
      <c r="AR739" s="108"/>
      <c r="AS739" s="108"/>
      <c r="AT739" s="108"/>
      <c r="AU739" s="108"/>
      <c r="AV739" s="108"/>
      <c r="AW739" s="108"/>
      <c r="AX739" s="108"/>
      <c r="AY739" s="108"/>
      <c r="AZ739" s="108"/>
      <c r="BA739" s="108"/>
      <c r="BB739" s="108"/>
      <c r="BC739" s="108"/>
      <c r="BD739" s="108"/>
      <c r="BE739" s="108"/>
      <c r="BF739" s="108"/>
      <c r="BG739" s="108"/>
      <c r="BH739" s="108"/>
      <c r="BI739" s="108"/>
      <c r="BJ739" s="108"/>
      <c r="BK739" s="109"/>
      <c r="BL739" s="108"/>
      <c r="BM739" s="108"/>
      <c r="BN739" s="108"/>
    </row>
    <row r="740" spans="1:66" ht="12" customHeight="1" x14ac:dyDescent="0.2">
      <c r="A740" s="179"/>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c r="AA740" s="108"/>
      <c r="AB740" s="108"/>
      <c r="AC740" s="108"/>
      <c r="AD740" s="108"/>
      <c r="AE740" s="108"/>
      <c r="AF740" s="108"/>
      <c r="AG740" s="108"/>
      <c r="AH740" s="108"/>
      <c r="AI740" s="108"/>
      <c r="AJ740" s="108"/>
      <c r="AK740" s="108"/>
      <c r="AL740" s="108"/>
      <c r="AM740" s="108"/>
      <c r="AN740" s="108"/>
      <c r="AO740" s="108"/>
      <c r="AP740" s="108"/>
      <c r="AQ740" s="108"/>
      <c r="AR740" s="108"/>
      <c r="AS740" s="108"/>
      <c r="AT740" s="108"/>
      <c r="AU740" s="108"/>
      <c r="AV740" s="108"/>
      <c r="AW740" s="108"/>
      <c r="AX740" s="108"/>
      <c r="AY740" s="108"/>
      <c r="AZ740" s="108"/>
      <c r="BA740" s="108"/>
      <c r="BB740" s="108"/>
      <c r="BC740" s="108"/>
      <c r="BD740" s="108"/>
      <c r="BE740" s="108"/>
      <c r="BF740" s="108"/>
      <c r="BG740" s="108"/>
      <c r="BH740" s="108"/>
      <c r="BI740" s="108"/>
      <c r="BJ740" s="108"/>
      <c r="BK740" s="109"/>
      <c r="BL740" s="108"/>
      <c r="BM740" s="108"/>
      <c r="BN740" s="108"/>
    </row>
    <row r="741" spans="1:66" ht="12" customHeight="1" x14ac:dyDescent="0.2">
      <c r="A741" s="179"/>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c r="AA741" s="108"/>
      <c r="AB741" s="108"/>
      <c r="AC741" s="108"/>
      <c r="AD741" s="108"/>
      <c r="AE741" s="108"/>
      <c r="AF741" s="108"/>
      <c r="AG741" s="108"/>
      <c r="AH741" s="108"/>
      <c r="AI741" s="108"/>
      <c r="AJ741" s="108"/>
      <c r="AK741" s="108"/>
      <c r="AL741" s="108"/>
      <c r="AM741" s="108"/>
      <c r="AN741" s="108"/>
      <c r="AO741" s="108"/>
      <c r="AP741" s="108"/>
      <c r="AQ741" s="108"/>
      <c r="AR741" s="108"/>
      <c r="AS741" s="108"/>
      <c r="AT741" s="108"/>
      <c r="AU741" s="108"/>
      <c r="AV741" s="108"/>
      <c r="AW741" s="108"/>
      <c r="AX741" s="108"/>
      <c r="AY741" s="108"/>
      <c r="AZ741" s="108"/>
      <c r="BA741" s="108"/>
      <c r="BB741" s="108"/>
      <c r="BC741" s="108"/>
      <c r="BD741" s="108"/>
      <c r="BE741" s="108"/>
      <c r="BF741" s="108"/>
      <c r="BG741" s="108"/>
      <c r="BH741" s="108"/>
      <c r="BI741" s="108"/>
      <c r="BJ741" s="108"/>
      <c r="BK741" s="109"/>
      <c r="BL741" s="108"/>
      <c r="BM741" s="108"/>
      <c r="BN741" s="108"/>
    </row>
    <row r="742" spans="1:66" ht="12" customHeight="1" x14ac:dyDescent="0.2">
      <c r="A742" s="179"/>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c r="AA742" s="108"/>
      <c r="AB742" s="108"/>
      <c r="AC742" s="108"/>
      <c r="AD742" s="108"/>
      <c r="AE742" s="108"/>
      <c r="AF742" s="108"/>
      <c r="AG742" s="108"/>
      <c r="AH742" s="108"/>
      <c r="AI742" s="108"/>
      <c r="AJ742" s="108"/>
      <c r="AK742" s="108"/>
      <c r="AL742" s="108"/>
      <c r="AM742" s="108"/>
      <c r="AN742" s="108"/>
      <c r="AO742" s="108"/>
      <c r="AP742" s="108"/>
      <c r="AQ742" s="108"/>
      <c r="AR742" s="108"/>
      <c r="AS742" s="108"/>
      <c r="AT742" s="108"/>
      <c r="AU742" s="108"/>
      <c r="AV742" s="108"/>
      <c r="AW742" s="108"/>
      <c r="AX742" s="108"/>
      <c r="AY742" s="108"/>
      <c r="AZ742" s="108"/>
      <c r="BA742" s="108"/>
      <c r="BB742" s="108"/>
      <c r="BC742" s="108"/>
      <c r="BD742" s="108"/>
      <c r="BE742" s="108"/>
      <c r="BF742" s="108"/>
      <c r="BG742" s="108"/>
      <c r="BH742" s="108"/>
      <c r="BI742" s="108"/>
      <c r="BJ742" s="108"/>
      <c r="BK742" s="109"/>
      <c r="BL742" s="108"/>
      <c r="BM742" s="108"/>
      <c r="BN742" s="108"/>
    </row>
    <row r="743" spans="1:66" ht="12" customHeight="1" x14ac:dyDescent="0.2">
      <c r="A743" s="179"/>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c r="AA743" s="108"/>
      <c r="AB743" s="108"/>
      <c r="AC743" s="108"/>
      <c r="AD743" s="108"/>
      <c r="AE743" s="108"/>
      <c r="AF743" s="108"/>
      <c r="AG743" s="108"/>
      <c r="AH743" s="108"/>
      <c r="AI743" s="108"/>
      <c r="AJ743" s="108"/>
      <c r="AK743" s="108"/>
      <c r="AL743" s="108"/>
      <c r="AM743" s="108"/>
      <c r="AN743" s="108"/>
      <c r="AO743" s="108"/>
      <c r="AP743" s="108"/>
      <c r="AQ743" s="108"/>
      <c r="AR743" s="108"/>
      <c r="AS743" s="108"/>
      <c r="AT743" s="108"/>
      <c r="AU743" s="108"/>
      <c r="AV743" s="108"/>
      <c r="AW743" s="108"/>
      <c r="AX743" s="108"/>
      <c r="AY743" s="108"/>
      <c r="AZ743" s="108"/>
      <c r="BA743" s="108"/>
      <c r="BB743" s="108"/>
      <c r="BC743" s="108"/>
      <c r="BD743" s="108"/>
      <c r="BE743" s="108"/>
      <c r="BF743" s="108"/>
      <c r="BG743" s="108"/>
      <c r="BH743" s="108"/>
      <c r="BI743" s="108"/>
      <c r="BJ743" s="108"/>
      <c r="BK743" s="109"/>
      <c r="BL743" s="108"/>
      <c r="BM743" s="108"/>
      <c r="BN743" s="108"/>
    </row>
    <row r="744" spans="1:66" ht="12" customHeight="1" x14ac:dyDescent="0.2">
      <c r="A744" s="179"/>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c r="AA744" s="108"/>
      <c r="AB744" s="108"/>
      <c r="AC744" s="108"/>
      <c r="AD744" s="108"/>
      <c r="AE744" s="108"/>
      <c r="AF744" s="108"/>
      <c r="AG744" s="108"/>
      <c r="AH744" s="108"/>
      <c r="AI744" s="108"/>
      <c r="AJ744" s="108"/>
      <c r="AK744" s="108"/>
      <c r="AL744" s="108"/>
      <c r="AM744" s="108"/>
      <c r="AN744" s="108"/>
      <c r="AO744" s="108"/>
      <c r="AP744" s="108"/>
      <c r="AQ744" s="108"/>
      <c r="AR744" s="108"/>
      <c r="AS744" s="108"/>
      <c r="AT744" s="108"/>
      <c r="AU744" s="108"/>
      <c r="AV744" s="108"/>
      <c r="AW744" s="108"/>
      <c r="AX744" s="108"/>
      <c r="AY744" s="108"/>
      <c r="AZ744" s="108"/>
      <c r="BA744" s="108"/>
      <c r="BB744" s="108"/>
      <c r="BC744" s="108"/>
      <c r="BD744" s="108"/>
      <c r="BE744" s="108"/>
      <c r="BF744" s="108"/>
      <c r="BG744" s="108"/>
      <c r="BH744" s="108"/>
      <c r="BI744" s="108"/>
      <c r="BJ744" s="108"/>
      <c r="BK744" s="109"/>
      <c r="BL744" s="108"/>
      <c r="BM744" s="108"/>
      <c r="BN744" s="108"/>
    </row>
    <row r="745" spans="1:66" ht="12" customHeight="1" x14ac:dyDescent="0.2">
      <c r="A745" s="179"/>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c r="AA745" s="108"/>
      <c r="AB745" s="108"/>
      <c r="AC745" s="108"/>
      <c r="AD745" s="108"/>
      <c r="AE745" s="108"/>
      <c r="AF745" s="108"/>
      <c r="AG745" s="108"/>
      <c r="AH745" s="108"/>
      <c r="AI745" s="108"/>
      <c r="AJ745" s="108"/>
      <c r="AK745" s="108"/>
      <c r="AL745" s="108"/>
      <c r="AM745" s="108"/>
      <c r="AN745" s="108"/>
      <c r="AO745" s="108"/>
      <c r="AP745" s="108"/>
      <c r="AQ745" s="108"/>
      <c r="AR745" s="108"/>
      <c r="AS745" s="108"/>
      <c r="AT745" s="108"/>
      <c r="AU745" s="108"/>
      <c r="AV745" s="108"/>
      <c r="AW745" s="108"/>
      <c r="AX745" s="108"/>
      <c r="AY745" s="108"/>
      <c r="AZ745" s="108"/>
      <c r="BA745" s="108"/>
      <c r="BB745" s="108"/>
      <c r="BC745" s="108"/>
      <c r="BD745" s="108"/>
      <c r="BE745" s="108"/>
      <c r="BF745" s="108"/>
      <c r="BG745" s="108"/>
      <c r="BH745" s="108"/>
      <c r="BI745" s="108"/>
      <c r="BJ745" s="108"/>
      <c r="BK745" s="109"/>
      <c r="BL745" s="108"/>
      <c r="BM745" s="108"/>
      <c r="BN745" s="108"/>
    </row>
    <row r="746" spans="1:66" ht="12" customHeight="1" x14ac:dyDescent="0.2">
      <c r="A746" s="179"/>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c r="AA746" s="108"/>
      <c r="AB746" s="108"/>
      <c r="AC746" s="108"/>
      <c r="AD746" s="108"/>
      <c r="AE746" s="108"/>
      <c r="AF746" s="108"/>
      <c r="AG746" s="108"/>
      <c r="AH746" s="108"/>
      <c r="AI746" s="108"/>
      <c r="AJ746" s="108"/>
      <c r="AK746" s="108"/>
      <c r="AL746" s="108"/>
      <c r="AM746" s="108"/>
      <c r="AN746" s="108"/>
      <c r="AO746" s="108"/>
      <c r="AP746" s="108"/>
      <c r="AQ746" s="108"/>
      <c r="AR746" s="108"/>
      <c r="AS746" s="108"/>
      <c r="AT746" s="108"/>
      <c r="AU746" s="108"/>
      <c r="AV746" s="108"/>
      <c r="AW746" s="108"/>
      <c r="AX746" s="108"/>
      <c r="AY746" s="108"/>
      <c r="AZ746" s="108"/>
      <c r="BA746" s="108"/>
      <c r="BB746" s="108"/>
      <c r="BC746" s="108"/>
      <c r="BD746" s="108"/>
      <c r="BE746" s="108"/>
      <c r="BF746" s="108"/>
      <c r="BG746" s="108"/>
      <c r="BH746" s="108"/>
      <c r="BI746" s="108"/>
      <c r="BJ746" s="108"/>
      <c r="BK746" s="109"/>
      <c r="BL746" s="108"/>
      <c r="BM746" s="108"/>
      <c r="BN746" s="108"/>
    </row>
    <row r="747" spans="1:66" ht="12" customHeight="1" x14ac:dyDescent="0.2">
      <c r="A747" s="179"/>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c r="AA747" s="108"/>
      <c r="AB747" s="108"/>
      <c r="AC747" s="108"/>
      <c r="AD747" s="108"/>
      <c r="AE747" s="108"/>
      <c r="AF747" s="108"/>
      <c r="AG747" s="108"/>
      <c r="AH747" s="108"/>
      <c r="AI747" s="108"/>
      <c r="AJ747" s="108"/>
      <c r="AK747" s="108"/>
      <c r="AL747" s="108"/>
      <c r="AM747" s="108"/>
      <c r="AN747" s="108"/>
      <c r="AO747" s="108"/>
      <c r="AP747" s="108"/>
      <c r="AQ747" s="108"/>
      <c r="AR747" s="108"/>
      <c r="AS747" s="108"/>
      <c r="AT747" s="108"/>
      <c r="AU747" s="108"/>
      <c r="AV747" s="108"/>
      <c r="AW747" s="108"/>
      <c r="AX747" s="108"/>
      <c r="AY747" s="108"/>
      <c r="AZ747" s="108"/>
      <c r="BA747" s="108"/>
      <c r="BB747" s="108"/>
      <c r="BC747" s="108"/>
      <c r="BD747" s="108"/>
      <c r="BE747" s="108"/>
      <c r="BF747" s="108"/>
      <c r="BG747" s="108"/>
      <c r="BH747" s="108"/>
      <c r="BI747" s="108"/>
      <c r="BJ747" s="108"/>
      <c r="BK747" s="109"/>
      <c r="BL747" s="108"/>
      <c r="BM747" s="108"/>
      <c r="BN747" s="108"/>
    </row>
    <row r="748" spans="1:66" ht="12" customHeight="1" x14ac:dyDescent="0.2">
      <c r="A748" s="179"/>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c r="AA748" s="108"/>
      <c r="AB748" s="108"/>
      <c r="AC748" s="108"/>
      <c r="AD748" s="108"/>
      <c r="AE748" s="108"/>
      <c r="AF748" s="108"/>
      <c r="AG748" s="108"/>
      <c r="AH748" s="108"/>
      <c r="AI748" s="108"/>
      <c r="AJ748" s="108"/>
      <c r="AK748" s="108"/>
      <c r="AL748" s="108"/>
      <c r="AM748" s="108"/>
      <c r="AN748" s="108"/>
      <c r="AO748" s="108"/>
      <c r="AP748" s="108"/>
      <c r="AQ748" s="108"/>
      <c r="AR748" s="108"/>
      <c r="AS748" s="108"/>
      <c r="AT748" s="108"/>
      <c r="AU748" s="108"/>
      <c r="AV748" s="108"/>
      <c r="AW748" s="108"/>
      <c r="AX748" s="108"/>
      <c r="AY748" s="108"/>
      <c r="AZ748" s="108"/>
      <c r="BA748" s="108"/>
      <c r="BB748" s="108"/>
      <c r="BC748" s="108"/>
      <c r="BD748" s="108"/>
      <c r="BE748" s="108"/>
      <c r="BF748" s="108"/>
      <c r="BG748" s="108"/>
      <c r="BH748" s="108"/>
      <c r="BI748" s="108"/>
      <c r="BJ748" s="108"/>
      <c r="BK748" s="109"/>
      <c r="BL748" s="108"/>
      <c r="BM748" s="108"/>
      <c r="BN748" s="108"/>
    </row>
    <row r="749" spans="1:66" ht="12" customHeight="1" x14ac:dyDescent="0.2">
      <c r="A749" s="179"/>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c r="AA749" s="108"/>
      <c r="AB749" s="108"/>
      <c r="AC749" s="108"/>
      <c r="AD749" s="108"/>
      <c r="AE749" s="108"/>
      <c r="AF749" s="108"/>
      <c r="AG749" s="108"/>
      <c r="AH749" s="108"/>
      <c r="AI749" s="108"/>
      <c r="AJ749" s="108"/>
      <c r="AK749" s="108"/>
      <c r="AL749" s="108"/>
      <c r="AM749" s="108"/>
      <c r="AN749" s="108"/>
      <c r="AO749" s="108"/>
      <c r="AP749" s="108"/>
      <c r="AQ749" s="108"/>
      <c r="AR749" s="108"/>
      <c r="AS749" s="108"/>
      <c r="AT749" s="108"/>
      <c r="AU749" s="108"/>
      <c r="AV749" s="108"/>
      <c r="AW749" s="108"/>
      <c r="AX749" s="108"/>
      <c r="AY749" s="108"/>
      <c r="AZ749" s="108"/>
      <c r="BA749" s="108"/>
      <c r="BB749" s="108"/>
      <c r="BC749" s="108"/>
      <c r="BD749" s="108"/>
      <c r="BE749" s="108"/>
      <c r="BF749" s="108"/>
      <c r="BG749" s="108"/>
      <c r="BH749" s="108"/>
      <c r="BI749" s="108"/>
      <c r="BJ749" s="108"/>
      <c r="BK749" s="109"/>
      <c r="BL749" s="108"/>
      <c r="BM749" s="108"/>
      <c r="BN749" s="108"/>
    </row>
    <row r="750" spans="1:66" ht="12" customHeight="1" x14ac:dyDescent="0.2">
      <c r="A750" s="179"/>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c r="AA750" s="108"/>
      <c r="AB750" s="108"/>
      <c r="AC750" s="108"/>
      <c r="AD750" s="108"/>
      <c r="AE750" s="108"/>
      <c r="AF750" s="108"/>
      <c r="AG750" s="108"/>
      <c r="AH750" s="108"/>
      <c r="AI750" s="108"/>
      <c r="AJ750" s="108"/>
      <c r="AK750" s="108"/>
      <c r="AL750" s="108"/>
      <c r="AM750" s="108"/>
      <c r="AN750" s="108"/>
      <c r="AO750" s="108"/>
      <c r="AP750" s="108"/>
      <c r="AQ750" s="108"/>
      <c r="AR750" s="108"/>
      <c r="AS750" s="108"/>
      <c r="AT750" s="108"/>
      <c r="AU750" s="108"/>
      <c r="AV750" s="108"/>
      <c r="AW750" s="108"/>
      <c r="AX750" s="108"/>
      <c r="AY750" s="108"/>
      <c r="AZ750" s="108"/>
      <c r="BA750" s="108"/>
      <c r="BB750" s="108"/>
      <c r="BC750" s="108"/>
      <c r="BD750" s="108"/>
      <c r="BE750" s="108"/>
      <c r="BF750" s="108"/>
      <c r="BG750" s="108"/>
      <c r="BH750" s="108"/>
      <c r="BI750" s="108"/>
      <c r="BJ750" s="108"/>
      <c r="BK750" s="109"/>
      <c r="BL750" s="108"/>
      <c r="BM750" s="108"/>
      <c r="BN750" s="108"/>
    </row>
    <row r="751" spans="1:66" ht="12" customHeight="1" x14ac:dyDescent="0.2">
      <c r="A751" s="179"/>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c r="AA751" s="108"/>
      <c r="AB751" s="108"/>
      <c r="AC751" s="108"/>
      <c r="AD751" s="108"/>
      <c r="AE751" s="108"/>
      <c r="AF751" s="108"/>
      <c r="AG751" s="108"/>
      <c r="AH751" s="108"/>
      <c r="AI751" s="108"/>
      <c r="AJ751" s="108"/>
      <c r="AK751" s="108"/>
      <c r="AL751" s="108"/>
      <c r="AM751" s="108"/>
      <c r="AN751" s="108"/>
      <c r="AO751" s="108"/>
      <c r="AP751" s="108"/>
      <c r="AQ751" s="108"/>
      <c r="AR751" s="108"/>
      <c r="AS751" s="108"/>
      <c r="AT751" s="108"/>
      <c r="AU751" s="108"/>
      <c r="AV751" s="108"/>
      <c r="AW751" s="108"/>
      <c r="AX751" s="108"/>
      <c r="AY751" s="108"/>
      <c r="AZ751" s="108"/>
      <c r="BA751" s="108"/>
      <c r="BB751" s="108"/>
      <c r="BC751" s="108"/>
      <c r="BD751" s="108"/>
      <c r="BE751" s="108"/>
      <c r="BF751" s="108"/>
      <c r="BG751" s="108"/>
      <c r="BH751" s="108"/>
      <c r="BI751" s="108"/>
      <c r="BJ751" s="108"/>
      <c r="BK751" s="109"/>
      <c r="BL751" s="108"/>
      <c r="BM751" s="108"/>
      <c r="BN751" s="108"/>
    </row>
    <row r="752" spans="1:66" ht="12" customHeight="1" x14ac:dyDescent="0.2">
      <c r="A752" s="179"/>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c r="AA752" s="108"/>
      <c r="AB752" s="108"/>
      <c r="AC752" s="108"/>
      <c r="AD752" s="108"/>
      <c r="AE752" s="108"/>
      <c r="AF752" s="108"/>
      <c r="AG752" s="108"/>
      <c r="AH752" s="108"/>
      <c r="AI752" s="108"/>
      <c r="AJ752" s="108"/>
      <c r="AK752" s="108"/>
      <c r="AL752" s="108"/>
      <c r="AM752" s="108"/>
      <c r="AN752" s="108"/>
      <c r="AO752" s="108"/>
      <c r="AP752" s="108"/>
      <c r="AQ752" s="108"/>
      <c r="AR752" s="108"/>
      <c r="AS752" s="108"/>
      <c r="AT752" s="108"/>
      <c r="AU752" s="108"/>
      <c r="AV752" s="108"/>
      <c r="AW752" s="108"/>
      <c r="AX752" s="108"/>
      <c r="AY752" s="108"/>
      <c r="AZ752" s="108"/>
      <c r="BA752" s="108"/>
      <c r="BB752" s="108"/>
      <c r="BC752" s="108"/>
      <c r="BD752" s="108"/>
      <c r="BE752" s="108"/>
      <c r="BF752" s="108"/>
      <c r="BG752" s="108"/>
      <c r="BH752" s="108"/>
      <c r="BI752" s="108"/>
      <c r="BJ752" s="108"/>
      <c r="BK752" s="109"/>
      <c r="BL752" s="108"/>
      <c r="BM752" s="108"/>
      <c r="BN752" s="108"/>
    </row>
    <row r="753" spans="1:66" ht="12" customHeight="1" x14ac:dyDescent="0.2">
      <c r="A753" s="179"/>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c r="AA753" s="108"/>
      <c r="AB753" s="108"/>
      <c r="AC753" s="108"/>
      <c r="AD753" s="108"/>
      <c r="AE753" s="108"/>
      <c r="AF753" s="108"/>
      <c r="AG753" s="108"/>
      <c r="AH753" s="108"/>
      <c r="AI753" s="108"/>
      <c r="AJ753" s="108"/>
      <c r="AK753" s="108"/>
      <c r="AL753" s="108"/>
      <c r="AM753" s="108"/>
      <c r="AN753" s="108"/>
      <c r="AO753" s="108"/>
      <c r="AP753" s="108"/>
      <c r="AQ753" s="108"/>
      <c r="AR753" s="108"/>
      <c r="AS753" s="108"/>
      <c r="AT753" s="108"/>
      <c r="AU753" s="108"/>
      <c r="AV753" s="108"/>
      <c r="AW753" s="108"/>
      <c r="AX753" s="108"/>
      <c r="AY753" s="108"/>
      <c r="AZ753" s="108"/>
      <c r="BA753" s="108"/>
      <c r="BB753" s="108"/>
      <c r="BC753" s="108"/>
      <c r="BD753" s="108"/>
      <c r="BE753" s="108"/>
      <c r="BF753" s="108"/>
      <c r="BG753" s="108"/>
      <c r="BH753" s="108"/>
      <c r="BI753" s="108"/>
      <c r="BJ753" s="108"/>
      <c r="BK753" s="109"/>
      <c r="BL753" s="108"/>
      <c r="BM753" s="108"/>
      <c r="BN753" s="108"/>
    </row>
    <row r="754" spans="1:66" ht="12" customHeight="1" x14ac:dyDescent="0.2">
      <c r="A754" s="179"/>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c r="AA754" s="108"/>
      <c r="AB754" s="108"/>
      <c r="AC754" s="108"/>
      <c r="AD754" s="108"/>
      <c r="AE754" s="108"/>
      <c r="AF754" s="108"/>
      <c r="AG754" s="108"/>
      <c r="AH754" s="108"/>
      <c r="AI754" s="108"/>
      <c r="AJ754" s="108"/>
      <c r="AK754" s="108"/>
      <c r="AL754" s="108"/>
      <c r="AM754" s="108"/>
      <c r="AN754" s="108"/>
      <c r="AO754" s="108"/>
      <c r="AP754" s="108"/>
      <c r="AQ754" s="108"/>
      <c r="AR754" s="108"/>
      <c r="AS754" s="108"/>
      <c r="AT754" s="108"/>
      <c r="AU754" s="108"/>
      <c r="AV754" s="108"/>
      <c r="AW754" s="108"/>
      <c r="AX754" s="108"/>
      <c r="AY754" s="108"/>
      <c r="AZ754" s="108"/>
      <c r="BA754" s="108"/>
      <c r="BB754" s="108"/>
      <c r="BC754" s="108"/>
      <c r="BD754" s="108"/>
      <c r="BE754" s="108"/>
      <c r="BF754" s="108"/>
      <c r="BG754" s="108"/>
      <c r="BH754" s="108"/>
      <c r="BI754" s="108"/>
      <c r="BJ754" s="108"/>
      <c r="BK754" s="109"/>
      <c r="BL754" s="108"/>
      <c r="BM754" s="108"/>
      <c r="BN754" s="108"/>
    </row>
    <row r="755" spans="1:66" ht="12" customHeight="1" x14ac:dyDescent="0.2">
      <c r="A755" s="179"/>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c r="AA755" s="108"/>
      <c r="AB755" s="108"/>
      <c r="AC755" s="108"/>
      <c r="AD755" s="108"/>
      <c r="AE755" s="108"/>
      <c r="AF755" s="108"/>
      <c r="AG755" s="108"/>
      <c r="AH755" s="108"/>
      <c r="AI755" s="108"/>
      <c r="AJ755" s="108"/>
      <c r="AK755" s="108"/>
      <c r="AL755" s="108"/>
      <c r="AM755" s="108"/>
      <c r="AN755" s="108"/>
      <c r="AO755" s="108"/>
      <c r="AP755" s="108"/>
      <c r="AQ755" s="108"/>
      <c r="AR755" s="108"/>
      <c r="AS755" s="108"/>
      <c r="AT755" s="108"/>
      <c r="AU755" s="108"/>
      <c r="AV755" s="108"/>
      <c r="AW755" s="108"/>
      <c r="AX755" s="108"/>
      <c r="AY755" s="108"/>
      <c r="AZ755" s="108"/>
      <c r="BA755" s="108"/>
      <c r="BB755" s="108"/>
      <c r="BC755" s="108"/>
      <c r="BD755" s="108"/>
      <c r="BE755" s="108"/>
      <c r="BF755" s="108"/>
      <c r="BG755" s="108"/>
      <c r="BH755" s="108"/>
      <c r="BI755" s="108"/>
      <c r="BJ755" s="108"/>
      <c r="BK755" s="109"/>
      <c r="BL755" s="108"/>
      <c r="BM755" s="108"/>
      <c r="BN755" s="108"/>
    </row>
    <row r="756" spans="1:66" ht="12" customHeight="1" x14ac:dyDescent="0.2">
      <c r="A756" s="179"/>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c r="AA756" s="108"/>
      <c r="AB756" s="108"/>
      <c r="AC756" s="108"/>
      <c r="AD756" s="108"/>
      <c r="AE756" s="108"/>
      <c r="AF756" s="108"/>
      <c r="AG756" s="108"/>
      <c r="AH756" s="108"/>
      <c r="AI756" s="108"/>
      <c r="AJ756" s="108"/>
      <c r="AK756" s="108"/>
      <c r="AL756" s="108"/>
      <c r="AM756" s="108"/>
      <c r="AN756" s="108"/>
      <c r="AO756" s="108"/>
      <c r="AP756" s="108"/>
      <c r="AQ756" s="108"/>
      <c r="AR756" s="108"/>
      <c r="AS756" s="108"/>
      <c r="AT756" s="108"/>
      <c r="AU756" s="108"/>
      <c r="AV756" s="108"/>
      <c r="AW756" s="108"/>
      <c r="AX756" s="108"/>
      <c r="AY756" s="108"/>
      <c r="AZ756" s="108"/>
      <c r="BA756" s="108"/>
      <c r="BB756" s="108"/>
      <c r="BC756" s="108"/>
      <c r="BD756" s="108"/>
      <c r="BE756" s="108"/>
      <c r="BF756" s="108"/>
      <c r="BG756" s="108"/>
      <c r="BH756" s="108"/>
      <c r="BI756" s="108"/>
      <c r="BJ756" s="108"/>
      <c r="BK756" s="109"/>
      <c r="BL756" s="108"/>
      <c r="BM756" s="108"/>
      <c r="BN756" s="108"/>
    </row>
    <row r="757" spans="1:66" ht="12" customHeight="1" x14ac:dyDescent="0.2">
      <c r="A757" s="179"/>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c r="AA757" s="108"/>
      <c r="AB757" s="108"/>
      <c r="AC757" s="108"/>
      <c r="AD757" s="108"/>
      <c r="AE757" s="108"/>
      <c r="AF757" s="108"/>
      <c r="AG757" s="108"/>
      <c r="AH757" s="108"/>
      <c r="AI757" s="108"/>
      <c r="AJ757" s="108"/>
      <c r="AK757" s="108"/>
      <c r="AL757" s="108"/>
      <c r="AM757" s="108"/>
      <c r="AN757" s="108"/>
      <c r="AO757" s="108"/>
      <c r="AP757" s="108"/>
      <c r="AQ757" s="108"/>
      <c r="AR757" s="108"/>
      <c r="AS757" s="108"/>
      <c r="AT757" s="108"/>
      <c r="AU757" s="108"/>
      <c r="AV757" s="108"/>
      <c r="AW757" s="108"/>
      <c r="AX757" s="108"/>
      <c r="AY757" s="108"/>
      <c r="AZ757" s="108"/>
      <c r="BA757" s="108"/>
      <c r="BB757" s="108"/>
      <c r="BC757" s="108"/>
      <c r="BD757" s="108"/>
      <c r="BE757" s="108"/>
      <c r="BF757" s="108"/>
      <c r="BG757" s="108"/>
      <c r="BH757" s="108"/>
      <c r="BI757" s="108"/>
      <c r="BJ757" s="108"/>
      <c r="BK757" s="109"/>
      <c r="BL757" s="108"/>
      <c r="BM757" s="108"/>
      <c r="BN757" s="108"/>
    </row>
    <row r="758" spans="1:66" ht="12" customHeight="1" x14ac:dyDescent="0.2">
      <c r="A758" s="179"/>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c r="AA758" s="108"/>
      <c r="AB758" s="108"/>
      <c r="AC758" s="108"/>
      <c r="AD758" s="108"/>
      <c r="AE758" s="108"/>
      <c r="AF758" s="108"/>
      <c r="AG758" s="108"/>
      <c r="AH758" s="108"/>
      <c r="AI758" s="108"/>
      <c r="AJ758" s="108"/>
      <c r="AK758" s="108"/>
      <c r="AL758" s="108"/>
      <c r="AM758" s="108"/>
      <c r="AN758" s="108"/>
      <c r="AO758" s="108"/>
      <c r="AP758" s="108"/>
      <c r="AQ758" s="108"/>
      <c r="AR758" s="108"/>
      <c r="AS758" s="108"/>
      <c r="AT758" s="108"/>
      <c r="AU758" s="108"/>
      <c r="AV758" s="108"/>
      <c r="AW758" s="108"/>
      <c r="AX758" s="108"/>
      <c r="AY758" s="108"/>
      <c r="AZ758" s="108"/>
      <c r="BA758" s="108"/>
      <c r="BB758" s="108"/>
      <c r="BC758" s="108"/>
      <c r="BD758" s="108"/>
      <c r="BE758" s="108"/>
      <c r="BF758" s="108"/>
      <c r="BG758" s="108"/>
      <c r="BH758" s="108"/>
      <c r="BI758" s="108"/>
      <c r="BJ758" s="108"/>
      <c r="BK758" s="109"/>
      <c r="BL758" s="108"/>
      <c r="BM758" s="108"/>
      <c r="BN758" s="108"/>
    </row>
    <row r="759" spans="1:66" ht="12" customHeight="1" x14ac:dyDescent="0.2">
      <c r="A759" s="179"/>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c r="AA759" s="108"/>
      <c r="AB759" s="108"/>
      <c r="AC759" s="108"/>
      <c r="AD759" s="108"/>
      <c r="AE759" s="108"/>
      <c r="AF759" s="108"/>
      <c r="AG759" s="108"/>
      <c r="AH759" s="108"/>
      <c r="AI759" s="108"/>
      <c r="AJ759" s="108"/>
      <c r="AK759" s="108"/>
      <c r="AL759" s="108"/>
      <c r="AM759" s="108"/>
      <c r="AN759" s="108"/>
      <c r="AO759" s="108"/>
      <c r="AP759" s="108"/>
      <c r="AQ759" s="108"/>
      <c r="AR759" s="108"/>
      <c r="AS759" s="108"/>
      <c r="AT759" s="108"/>
      <c r="AU759" s="108"/>
      <c r="AV759" s="108"/>
      <c r="AW759" s="108"/>
      <c r="AX759" s="108"/>
      <c r="AY759" s="108"/>
      <c r="AZ759" s="108"/>
      <c r="BA759" s="108"/>
      <c r="BB759" s="108"/>
      <c r="BC759" s="108"/>
      <c r="BD759" s="108"/>
      <c r="BE759" s="108"/>
      <c r="BF759" s="108"/>
      <c r="BG759" s="108"/>
      <c r="BH759" s="108"/>
      <c r="BI759" s="108"/>
      <c r="BJ759" s="108"/>
      <c r="BK759" s="109"/>
      <c r="BL759" s="108"/>
      <c r="BM759" s="108"/>
      <c r="BN759" s="108"/>
    </row>
    <row r="760" spans="1:66" ht="12" customHeight="1" x14ac:dyDescent="0.2">
      <c r="A760" s="179"/>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c r="AA760" s="108"/>
      <c r="AB760" s="108"/>
      <c r="AC760" s="108"/>
      <c r="AD760" s="108"/>
      <c r="AE760" s="108"/>
      <c r="AF760" s="108"/>
      <c r="AG760" s="108"/>
      <c r="AH760" s="108"/>
      <c r="AI760" s="108"/>
      <c r="AJ760" s="108"/>
      <c r="AK760" s="108"/>
      <c r="AL760" s="108"/>
      <c r="AM760" s="108"/>
      <c r="AN760" s="108"/>
      <c r="AO760" s="108"/>
      <c r="AP760" s="108"/>
      <c r="AQ760" s="108"/>
      <c r="AR760" s="108"/>
      <c r="AS760" s="108"/>
      <c r="AT760" s="108"/>
      <c r="AU760" s="108"/>
      <c r="AV760" s="108"/>
      <c r="AW760" s="108"/>
      <c r="AX760" s="108"/>
      <c r="AY760" s="108"/>
      <c r="AZ760" s="108"/>
      <c r="BA760" s="108"/>
      <c r="BB760" s="108"/>
      <c r="BC760" s="108"/>
      <c r="BD760" s="108"/>
      <c r="BE760" s="108"/>
      <c r="BF760" s="108"/>
      <c r="BG760" s="108"/>
      <c r="BH760" s="108"/>
      <c r="BI760" s="108"/>
      <c r="BJ760" s="108"/>
      <c r="BK760" s="109"/>
      <c r="BL760" s="108"/>
      <c r="BM760" s="108"/>
      <c r="BN760" s="108"/>
    </row>
    <row r="761" spans="1:66" ht="12" customHeight="1" x14ac:dyDescent="0.2">
      <c r="A761" s="179"/>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c r="AA761" s="108"/>
      <c r="AB761" s="108"/>
      <c r="AC761" s="108"/>
      <c r="AD761" s="108"/>
      <c r="AE761" s="108"/>
      <c r="AF761" s="108"/>
      <c r="AG761" s="108"/>
      <c r="AH761" s="108"/>
      <c r="AI761" s="108"/>
      <c r="AJ761" s="108"/>
      <c r="AK761" s="108"/>
      <c r="AL761" s="108"/>
      <c r="AM761" s="108"/>
      <c r="AN761" s="108"/>
      <c r="AO761" s="108"/>
      <c r="AP761" s="108"/>
      <c r="AQ761" s="108"/>
      <c r="AR761" s="108"/>
      <c r="AS761" s="108"/>
      <c r="AT761" s="108"/>
      <c r="AU761" s="108"/>
      <c r="AV761" s="108"/>
      <c r="AW761" s="108"/>
      <c r="AX761" s="108"/>
      <c r="AY761" s="108"/>
      <c r="AZ761" s="108"/>
      <c r="BA761" s="108"/>
      <c r="BB761" s="108"/>
      <c r="BC761" s="108"/>
      <c r="BD761" s="108"/>
      <c r="BE761" s="108"/>
      <c r="BF761" s="108"/>
      <c r="BG761" s="108"/>
      <c r="BH761" s="108"/>
      <c r="BI761" s="108"/>
      <c r="BJ761" s="108"/>
      <c r="BK761" s="109"/>
      <c r="BL761" s="108"/>
      <c r="BM761" s="108"/>
      <c r="BN761" s="108"/>
    </row>
    <row r="762" spans="1:66" ht="12" customHeight="1" x14ac:dyDescent="0.2">
      <c r="A762" s="179"/>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c r="AA762" s="108"/>
      <c r="AB762" s="108"/>
      <c r="AC762" s="108"/>
      <c r="AD762" s="108"/>
      <c r="AE762" s="108"/>
      <c r="AF762" s="108"/>
      <c r="AG762" s="108"/>
      <c r="AH762" s="108"/>
      <c r="AI762" s="108"/>
      <c r="AJ762" s="108"/>
      <c r="AK762" s="108"/>
      <c r="AL762" s="108"/>
      <c r="AM762" s="108"/>
      <c r="AN762" s="108"/>
      <c r="AO762" s="108"/>
      <c r="AP762" s="108"/>
      <c r="AQ762" s="108"/>
      <c r="AR762" s="108"/>
      <c r="AS762" s="108"/>
      <c r="AT762" s="108"/>
      <c r="AU762" s="108"/>
      <c r="AV762" s="108"/>
      <c r="AW762" s="108"/>
      <c r="AX762" s="108"/>
      <c r="AY762" s="108"/>
      <c r="AZ762" s="108"/>
      <c r="BA762" s="108"/>
      <c r="BB762" s="108"/>
      <c r="BC762" s="108"/>
      <c r="BD762" s="108"/>
      <c r="BE762" s="108"/>
      <c r="BF762" s="108"/>
      <c r="BG762" s="108"/>
      <c r="BH762" s="108"/>
      <c r="BI762" s="108"/>
      <c r="BJ762" s="108"/>
      <c r="BK762" s="109"/>
      <c r="BL762" s="108"/>
      <c r="BM762" s="108"/>
      <c r="BN762" s="108"/>
    </row>
    <row r="763" spans="1:66" ht="12" customHeight="1" x14ac:dyDescent="0.2">
      <c r="A763" s="179"/>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c r="AA763" s="108"/>
      <c r="AB763" s="108"/>
      <c r="AC763" s="108"/>
      <c r="AD763" s="108"/>
      <c r="AE763" s="108"/>
      <c r="AF763" s="108"/>
      <c r="AG763" s="108"/>
      <c r="AH763" s="108"/>
      <c r="AI763" s="108"/>
      <c r="AJ763" s="108"/>
      <c r="AK763" s="108"/>
      <c r="AL763" s="108"/>
      <c r="AM763" s="108"/>
      <c r="AN763" s="108"/>
      <c r="AO763" s="108"/>
      <c r="AP763" s="108"/>
      <c r="AQ763" s="108"/>
      <c r="AR763" s="108"/>
      <c r="AS763" s="108"/>
      <c r="AT763" s="108"/>
      <c r="AU763" s="108"/>
      <c r="AV763" s="108"/>
      <c r="AW763" s="108"/>
      <c r="AX763" s="108"/>
      <c r="AY763" s="108"/>
      <c r="AZ763" s="108"/>
      <c r="BA763" s="108"/>
      <c r="BB763" s="108"/>
      <c r="BC763" s="108"/>
      <c r="BD763" s="108"/>
      <c r="BE763" s="108"/>
      <c r="BF763" s="108"/>
      <c r="BG763" s="108"/>
      <c r="BH763" s="108"/>
      <c r="BI763" s="108"/>
      <c r="BJ763" s="108"/>
      <c r="BK763" s="109"/>
      <c r="BL763" s="108"/>
      <c r="BM763" s="108"/>
      <c r="BN763" s="108"/>
    </row>
    <row r="764" spans="1:66" ht="12" customHeight="1" x14ac:dyDescent="0.2">
      <c r="A764" s="179"/>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c r="AA764" s="108"/>
      <c r="AB764" s="108"/>
      <c r="AC764" s="108"/>
      <c r="AD764" s="108"/>
      <c r="AE764" s="108"/>
      <c r="AF764" s="108"/>
      <c r="AG764" s="108"/>
      <c r="AH764" s="108"/>
      <c r="AI764" s="108"/>
      <c r="AJ764" s="108"/>
      <c r="AK764" s="108"/>
      <c r="AL764" s="108"/>
      <c r="AM764" s="108"/>
      <c r="AN764" s="108"/>
      <c r="AO764" s="108"/>
      <c r="AP764" s="108"/>
      <c r="AQ764" s="108"/>
      <c r="AR764" s="108"/>
      <c r="AS764" s="108"/>
      <c r="AT764" s="108"/>
      <c r="AU764" s="108"/>
      <c r="AV764" s="108"/>
      <c r="AW764" s="108"/>
      <c r="AX764" s="108"/>
      <c r="AY764" s="108"/>
      <c r="AZ764" s="108"/>
      <c r="BA764" s="108"/>
      <c r="BB764" s="108"/>
      <c r="BC764" s="108"/>
      <c r="BD764" s="108"/>
      <c r="BE764" s="108"/>
      <c r="BF764" s="108"/>
      <c r="BG764" s="108"/>
      <c r="BH764" s="108"/>
      <c r="BI764" s="108"/>
      <c r="BJ764" s="108"/>
      <c r="BK764" s="109"/>
      <c r="BL764" s="108"/>
      <c r="BM764" s="108"/>
      <c r="BN764" s="108"/>
    </row>
    <row r="765" spans="1:66" ht="12" customHeight="1" x14ac:dyDescent="0.2">
      <c r="A765" s="179"/>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c r="AA765" s="108"/>
      <c r="AB765" s="108"/>
      <c r="AC765" s="108"/>
      <c r="AD765" s="108"/>
      <c r="AE765" s="108"/>
      <c r="AF765" s="108"/>
      <c r="AG765" s="108"/>
      <c r="AH765" s="108"/>
      <c r="AI765" s="108"/>
      <c r="AJ765" s="108"/>
      <c r="AK765" s="108"/>
      <c r="AL765" s="108"/>
      <c r="AM765" s="108"/>
      <c r="AN765" s="108"/>
      <c r="AO765" s="108"/>
      <c r="AP765" s="108"/>
      <c r="AQ765" s="108"/>
      <c r="AR765" s="108"/>
      <c r="AS765" s="108"/>
      <c r="AT765" s="108"/>
      <c r="AU765" s="108"/>
      <c r="AV765" s="108"/>
      <c r="AW765" s="108"/>
      <c r="AX765" s="108"/>
      <c r="AY765" s="108"/>
      <c r="AZ765" s="108"/>
      <c r="BA765" s="108"/>
      <c r="BB765" s="108"/>
      <c r="BC765" s="108"/>
      <c r="BD765" s="108"/>
      <c r="BE765" s="108"/>
      <c r="BF765" s="108"/>
      <c r="BG765" s="108"/>
      <c r="BH765" s="108"/>
      <c r="BI765" s="108"/>
      <c r="BJ765" s="108"/>
      <c r="BK765" s="109"/>
      <c r="BL765" s="108"/>
      <c r="BM765" s="108"/>
      <c r="BN765" s="108"/>
    </row>
    <row r="766" spans="1:66" ht="12" customHeight="1" x14ac:dyDescent="0.2">
      <c r="A766" s="179"/>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c r="AA766" s="108"/>
      <c r="AB766" s="108"/>
      <c r="AC766" s="108"/>
      <c r="AD766" s="108"/>
      <c r="AE766" s="108"/>
      <c r="AF766" s="108"/>
      <c r="AG766" s="108"/>
      <c r="AH766" s="108"/>
      <c r="AI766" s="108"/>
      <c r="AJ766" s="108"/>
      <c r="AK766" s="108"/>
      <c r="AL766" s="108"/>
      <c r="AM766" s="108"/>
      <c r="AN766" s="108"/>
      <c r="AO766" s="108"/>
      <c r="AP766" s="108"/>
      <c r="AQ766" s="108"/>
      <c r="AR766" s="108"/>
      <c r="AS766" s="108"/>
      <c r="AT766" s="108"/>
      <c r="AU766" s="108"/>
      <c r="AV766" s="108"/>
      <c r="AW766" s="108"/>
      <c r="AX766" s="108"/>
      <c r="AY766" s="108"/>
      <c r="AZ766" s="108"/>
      <c r="BA766" s="108"/>
      <c r="BB766" s="108"/>
      <c r="BC766" s="108"/>
      <c r="BD766" s="108"/>
      <c r="BE766" s="108"/>
      <c r="BF766" s="108"/>
      <c r="BG766" s="108"/>
      <c r="BH766" s="108"/>
      <c r="BI766" s="108"/>
      <c r="BJ766" s="108"/>
      <c r="BK766" s="109"/>
      <c r="BL766" s="108"/>
      <c r="BM766" s="108"/>
      <c r="BN766" s="108"/>
    </row>
    <row r="767" spans="1:66" ht="12" customHeight="1" x14ac:dyDescent="0.2">
      <c r="A767" s="179"/>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c r="AA767" s="108"/>
      <c r="AB767" s="108"/>
      <c r="AC767" s="108"/>
      <c r="AD767" s="108"/>
      <c r="AE767" s="108"/>
      <c r="AF767" s="108"/>
      <c r="AG767" s="108"/>
      <c r="AH767" s="108"/>
      <c r="AI767" s="108"/>
      <c r="AJ767" s="108"/>
      <c r="AK767" s="108"/>
      <c r="AL767" s="108"/>
      <c r="AM767" s="108"/>
      <c r="AN767" s="108"/>
      <c r="AO767" s="108"/>
      <c r="AP767" s="108"/>
      <c r="AQ767" s="108"/>
      <c r="AR767" s="108"/>
      <c r="AS767" s="108"/>
      <c r="AT767" s="108"/>
      <c r="AU767" s="108"/>
      <c r="AV767" s="108"/>
      <c r="AW767" s="108"/>
      <c r="AX767" s="108"/>
      <c r="AY767" s="108"/>
      <c r="AZ767" s="108"/>
      <c r="BA767" s="108"/>
      <c r="BB767" s="108"/>
      <c r="BC767" s="108"/>
      <c r="BD767" s="108"/>
      <c r="BE767" s="108"/>
      <c r="BF767" s="108"/>
      <c r="BG767" s="108"/>
      <c r="BH767" s="108"/>
      <c r="BI767" s="108"/>
      <c r="BJ767" s="108"/>
      <c r="BK767" s="109"/>
      <c r="BL767" s="108"/>
      <c r="BM767" s="108"/>
      <c r="BN767" s="108"/>
    </row>
    <row r="768" spans="1:66" ht="12" customHeight="1" x14ac:dyDescent="0.2">
      <c r="A768" s="179"/>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c r="AA768" s="108"/>
      <c r="AB768" s="108"/>
      <c r="AC768" s="108"/>
      <c r="AD768" s="108"/>
      <c r="AE768" s="108"/>
      <c r="AF768" s="108"/>
      <c r="AG768" s="108"/>
      <c r="AH768" s="108"/>
      <c r="AI768" s="108"/>
      <c r="AJ768" s="108"/>
      <c r="AK768" s="108"/>
      <c r="AL768" s="108"/>
      <c r="AM768" s="108"/>
      <c r="AN768" s="108"/>
      <c r="AO768" s="108"/>
      <c r="AP768" s="108"/>
      <c r="AQ768" s="108"/>
      <c r="AR768" s="108"/>
      <c r="AS768" s="108"/>
      <c r="AT768" s="108"/>
      <c r="AU768" s="108"/>
      <c r="AV768" s="108"/>
      <c r="AW768" s="108"/>
      <c r="AX768" s="108"/>
      <c r="AY768" s="108"/>
      <c r="AZ768" s="108"/>
      <c r="BA768" s="108"/>
      <c r="BB768" s="108"/>
      <c r="BC768" s="108"/>
      <c r="BD768" s="108"/>
      <c r="BE768" s="108"/>
      <c r="BF768" s="108"/>
      <c r="BG768" s="108"/>
      <c r="BH768" s="108"/>
      <c r="BI768" s="108"/>
      <c r="BJ768" s="108"/>
      <c r="BK768" s="109"/>
      <c r="BL768" s="108"/>
      <c r="BM768" s="108"/>
      <c r="BN768" s="108"/>
    </row>
    <row r="769" spans="1:66" ht="12" customHeight="1" x14ac:dyDescent="0.2">
      <c r="A769" s="179"/>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c r="AA769" s="108"/>
      <c r="AB769" s="108"/>
      <c r="AC769" s="108"/>
      <c r="AD769" s="108"/>
      <c r="AE769" s="108"/>
      <c r="AF769" s="108"/>
      <c r="AG769" s="108"/>
      <c r="AH769" s="108"/>
      <c r="AI769" s="108"/>
      <c r="AJ769" s="108"/>
      <c r="AK769" s="108"/>
      <c r="AL769" s="108"/>
      <c r="AM769" s="108"/>
      <c r="AN769" s="108"/>
      <c r="AO769" s="108"/>
      <c r="AP769" s="108"/>
      <c r="AQ769" s="108"/>
      <c r="AR769" s="108"/>
      <c r="AS769" s="108"/>
      <c r="AT769" s="108"/>
      <c r="AU769" s="108"/>
      <c r="AV769" s="108"/>
      <c r="AW769" s="108"/>
      <c r="AX769" s="108"/>
      <c r="AY769" s="108"/>
      <c r="AZ769" s="108"/>
      <c r="BA769" s="108"/>
      <c r="BB769" s="108"/>
      <c r="BC769" s="108"/>
      <c r="BD769" s="108"/>
      <c r="BE769" s="108"/>
      <c r="BF769" s="108"/>
      <c r="BG769" s="108"/>
      <c r="BH769" s="108"/>
      <c r="BI769" s="108"/>
      <c r="BJ769" s="108"/>
      <c r="BK769" s="109"/>
      <c r="BL769" s="108"/>
      <c r="BM769" s="108"/>
      <c r="BN769" s="108"/>
    </row>
    <row r="770" spans="1:66" ht="12" customHeight="1" x14ac:dyDescent="0.2">
      <c r="A770" s="179"/>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c r="AA770" s="108"/>
      <c r="AB770" s="108"/>
      <c r="AC770" s="108"/>
      <c r="AD770" s="108"/>
      <c r="AE770" s="108"/>
      <c r="AF770" s="108"/>
      <c r="AG770" s="108"/>
      <c r="AH770" s="108"/>
      <c r="AI770" s="108"/>
      <c r="AJ770" s="108"/>
      <c r="AK770" s="108"/>
      <c r="AL770" s="108"/>
      <c r="AM770" s="108"/>
      <c r="AN770" s="108"/>
      <c r="AO770" s="108"/>
      <c r="AP770" s="108"/>
      <c r="AQ770" s="108"/>
      <c r="AR770" s="108"/>
      <c r="AS770" s="108"/>
      <c r="AT770" s="108"/>
      <c r="AU770" s="108"/>
      <c r="AV770" s="108"/>
      <c r="AW770" s="108"/>
      <c r="AX770" s="108"/>
      <c r="AY770" s="108"/>
      <c r="AZ770" s="108"/>
      <c r="BA770" s="108"/>
      <c r="BB770" s="108"/>
      <c r="BC770" s="108"/>
      <c r="BD770" s="108"/>
      <c r="BE770" s="108"/>
      <c r="BF770" s="108"/>
      <c r="BG770" s="108"/>
      <c r="BH770" s="108"/>
      <c r="BI770" s="108"/>
      <c r="BJ770" s="108"/>
      <c r="BK770" s="109"/>
      <c r="BL770" s="108"/>
      <c r="BM770" s="108"/>
      <c r="BN770" s="108"/>
    </row>
    <row r="771" spans="1:66" ht="12" customHeight="1" x14ac:dyDescent="0.2">
      <c r="A771" s="179"/>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c r="AA771" s="108"/>
      <c r="AB771" s="108"/>
      <c r="AC771" s="108"/>
      <c r="AD771" s="108"/>
      <c r="AE771" s="108"/>
      <c r="AF771" s="108"/>
      <c r="AG771" s="108"/>
      <c r="AH771" s="108"/>
      <c r="AI771" s="108"/>
      <c r="AJ771" s="108"/>
      <c r="AK771" s="108"/>
      <c r="AL771" s="108"/>
      <c r="AM771" s="108"/>
      <c r="AN771" s="108"/>
      <c r="AO771" s="108"/>
      <c r="AP771" s="108"/>
      <c r="AQ771" s="108"/>
      <c r="AR771" s="108"/>
      <c r="AS771" s="108"/>
      <c r="AT771" s="108"/>
      <c r="AU771" s="108"/>
      <c r="AV771" s="108"/>
      <c r="AW771" s="108"/>
      <c r="AX771" s="108"/>
      <c r="AY771" s="108"/>
      <c r="AZ771" s="108"/>
      <c r="BA771" s="108"/>
      <c r="BB771" s="108"/>
      <c r="BC771" s="108"/>
      <c r="BD771" s="108"/>
      <c r="BE771" s="108"/>
      <c r="BF771" s="108"/>
      <c r="BG771" s="108"/>
      <c r="BH771" s="108"/>
      <c r="BI771" s="108"/>
      <c r="BJ771" s="108"/>
      <c r="BK771" s="109"/>
      <c r="BL771" s="108"/>
      <c r="BM771" s="108"/>
      <c r="BN771" s="108"/>
    </row>
    <row r="772" spans="1:66" ht="12" customHeight="1" x14ac:dyDescent="0.2">
      <c r="A772" s="179"/>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c r="AA772" s="108"/>
      <c r="AB772" s="108"/>
      <c r="AC772" s="108"/>
      <c r="AD772" s="108"/>
      <c r="AE772" s="108"/>
      <c r="AF772" s="108"/>
      <c r="AG772" s="108"/>
      <c r="AH772" s="108"/>
      <c r="AI772" s="108"/>
      <c r="AJ772" s="108"/>
      <c r="AK772" s="108"/>
      <c r="AL772" s="108"/>
      <c r="AM772" s="108"/>
      <c r="AN772" s="108"/>
      <c r="AO772" s="108"/>
      <c r="AP772" s="108"/>
      <c r="AQ772" s="108"/>
      <c r="AR772" s="108"/>
      <c r="AS772" s="108"/>
      <c r="AT772" s="108"/>
      <c r="AU772" s="108"/>
      <c r="AV772" s="108"/>
      <c r="AW772" s="108"/>
      <c r="AX772" s="108"/>
      <c r="AY772" s="108"/>
      <c r="AZ772" s="108"/>
      <c r="BA772" s="108"/>
      <c r="BB772" s="108"/>
      <c r="BC772" s="108"/>
      <c r="BD772" s="108"/>
      <c r="BE772" s="108"/>
      <c r="BF772" s="108"/>
      <c r="BG772" s="108"/>
      <c r="BH772" s="108"/>
      <c r="BI772" s="108"/>
      <c r="BJ772" s="108"/>
      <c r="BK772" s="109"/>
      <c r="BL772" s="108"/>
      <c r="BM772" s="108"/>
      <c r="BN772" s="108"/>
    </row>
    <row r="773" spans="1:66" ht="12" customHeight="1" x14ac:dyDescent="0.2">
      <c r="A773" s="179"/>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c r="AA773" s="108"/>
      <c r="AB773" s="108"/>
      <c r="AC773" s="108"/>
      <c r="AD773" s="108"/>
      <c r="AE773" s="108"/>
      <c r="AF773" s="108"/>
      <c r="AG773" s="108"/>
      <c r="AH773" s="108"/>
      <c r="AI773" s="108"/>
      <c r="AJ773" s="108"/>
      <c r="AK773" s="108"/>
      <c r="AL773" s="108"/>
      <c r="AM773" s="108"/>
      <c r="AN773" s="108"/>
      <c r="AO773" s="108"/>
      <c r="AP773" s="108"/>
      <c r="AQ773" s="108"/>
      <c r="AR773" s="108"/>
      <c r="AS773" s="108"/>
      <c r="AT773" s="108"/>
      <c r="AU773" s="108"/>
      <c r="AV773" s="108"/>
      <c r="AW773" s="108"/>
      <c r="AX773" s="108"/>
      <c r="AY773" s="108"/>
      <c r="AZ773" s="108"/>
      <c r="BA773" s="108"/>
      <c r="BB773" s="108"/>
      <c r="BC773" s="108"/>
      <c r="BD773" s="108"/>
      <c r="BE773" s="108"/>
      <c r="BF773" s="108"/>
      <c r="BG773" s="108"/>
      <c r="BH773" s="108"/>
      <c r="BI773" s="108"/>
      <c r="BJ773" s="108"/>
      <c r="BK773" s="109"/>
      <c r="BL773" s="108"/>
      <c r="BM773" s="108"/>
      <c r="BN773" s="108"/>
    </row>
    <row r="774" spans="1:66" ht="12" customHeight="1" x14ac:dyDescent="0.2">
      <c r="A774" s="179"/>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c r="AA774" s="108"/>
      <c r="AB774" s="108"/>
      <c r="AC774" s="108"/>
      <c r="AD774" s="108"/>
      <c r="AE774" s="108"/>
      <c r="AF774" s="108"/>
      <c r="AG774" s="108"/>
      <c r="AH774" s="108"/>
      <c r="AI774" s="108"/>
      <c r="AJ774" s="108"/>
      <c r="AK774" s="108"/>
      <c r="AL774" s="108"/>
      <c r="AM774" s="108"/>
      <c r="AN774" s="108"/>
      <c r="AO774" s="108"/>
      <c r="AP774" s="108"/>
      <c r="AQ774" s="108"/>
      <c r="AR774" s="108"/>
      <c r="AS774" s="108"/>
      <c r="AT774" s="108"/>
      <c r="AU774" s="108"/>
      <c r="AV774" s="108"/>
      <c r="AW774" s="108"/>
      <c r="AX774" s="108"/>
      <c r="AY774" s="108"/>
      <c r="AZ774" s="108"/>
      <c r="BA774" s="108"/>
      <c r="BB774" s="108"/>
      <c r="BC774" s="108"/>
      <c r="BD774" s="108"/>
      <c r="BE774" s="108"/>
      <c r="BF774" s="108"/>
      <c r="BG774" s="108"/>
      <c r="BH774" s="108"/>
      <c r="BI774" s="108"/>
      <c r="BJ774" s="108"/>
      <c r="BK774" s="109"/>
      <c r="BL774" s="108"/>
      <c r="BM774" s="108"/>
      <c r="BN774" s="108"/>
    </row>
    <row r="775" spans="1:66" ht="12" customHeight="1" x14ac:dyDescent="0.2">
      <c r="A775" s="179"/>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c r="AA775" s="108"/>
      <c r="AB775" s="108"/>
      <c r="AC775" s="108"/>
      <c r="AD775" s="108"/>
      <c r="AE775" s="108"/>
      <c r="AF775" s="108"/>
      <c r="AG775" s="108"/>
      <c r="AH775" s="108"/>
      <c r="AI775" s="108"/>
      <c r="AJ775" s="108"/>
      <c r="AK775" s="108"/>
      <c r="AL775" s="108"/>
      <c r="AM775" s="108"/>
      <c r="AN775" s="108"/>
      <c r="AO775" s="108"/>
      <c r="AP775" s="108"/>
      <c r="AQ775" s="108"/>
      <c r="AR775" s="108"/>
      <c r="AS775" s="108"/>
      <c r="AT775" s="108"/>
      <c r="AU775" s="108"/>
      <c r="AV775" s="108"/>
      <c r="AW775" s="108"/>
      <c r="AX775" s="108"/>
      <c r="AY775" s="108"/>
      <c r="AZ775" s="108"/>
      <c r="BA775" s="108"/>
      <c r="BB775" s="108"/>
      <c r="BC775" s="108"/>
      <c r="BD775" s="108"/>
      <c r="BE775" s="108"/>
      <c r="BF775" s="108"/>
      <c r="BG775" s="108"/>
      <c r="BH775" s="108"/>
      <c r="BI775" s="108"/>
      <c r="BJ775" s="108"/>
      <c r="BK775" s="109"/>
      <c r="BL775" s="108"/>
      <c r="BM775" s="108"/>
      <c r="BN775" s="108"/>
    </row>
    <row r="776" spans="1:66" ht="12" customHeight="1" x14ac:dyDescent="0.2">
      <c r="A776" s="179"/>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c r="AA776" s="108"/>
      <c r="AB776" s="108"/>
      <c r="AC776" s="108"/>
      <c r="AD776" s="108"/>
      <c r="AE776" s="108"/>
      <c r="AF776" s="108"/>
      <c r="AG776" s="108"/>
      <c r="AH776" s="108"/>
      <c r="AI776" s="108"/>
      <c r="AJ776" s="108"/>
      <c r="AK776" s="108"/>
      <c r="AL776" s="108"/>
      <c r="AM776" s="108"/>
      <c r="AN776" s="108"/>
      <c r="AO776" s="108"/>
      <c r="AP776" s="108"/>
      <c r="AQ776" s="108"/>
      <c r="AR776" s="108"/>
      <c r="AS776" s="108"/>
      <c r="AT776" s="108"/>
      <c r="AU776" s="108"/>
      <c r="AV776" s="108"/>
      <c r="AW776" s="108"/>
      <c r="AX776" s="108"/>
      <c r="AY776" s="108"/>
      <c r="AZ776" s="108"/>
      <c r="BA776" s="108"/>
      <c r="BB776" s="108"/>
      <c r="BC776" s="108"/>
      <c r="BD776" s="108"/>
      <c r="BE776" s="108"/>
      <c r="BF776" s="108"/>
      <c r="BG776" s="108"/>
      <c r="BH776" s="108"/>
      <c r="BI776" s="108"/>
      <c r="BJ776" s="108"/>
      <c r="BK776" s="109"/>
      <c r="BL776" s="108"/>
      <c r="BM776" s="108"/>
      <c r="BN776" s="108"/>
    </row>
    <row r="777" spans="1:66" ht="12" customHeight="1" x14ac:dyDescent="0.2">
      <c r="A777" s="179"/>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c r="AA777" s="108"/>
      <c r="AB777" s="108"/>
      <c r="AC777" s="108"/>
      <c r="AD777" s="108"/>
      <c r="AE777" s="108"/>
      <c r="AF777" s="108"/>
      <c r="AG777" s="108"/>
      <c r="AH777" s="108"/>
      <c r="AI777" s="108"/>
      <c r="AJ777" s="108"/>
      <c r="AK777" s="108"/>
      <c r="AL777" s="108"/>
      <c r="AM777" s="108"/>
      <c r="AN777" s="108"/>
      <c r="AO777" s="108"/>
      <c r="AP777" s="108"/>
      <c r="AQ777" s="108"/>
      <c r="AR777" s="108"/>
      <c r="AS777" s="108"/>
      <c r="AT777" s="108"/>
      <c r="AU777" s="108"/>
      <c r="AV777" s="108"/>
      <c r="AW777" s="108"/>
      <c r="AX777" s="108"/>
      <c r="AY777" s="108"/>
      <c r="AZ777" s="108"/>
      <c r="BA777" s="108"/>
      <c r="BB777" s="108"/>
      <c r="BC777" s="108"/>
      <c r="BD777" s="108"/>
      <c r="BE777" s="108"/>
      <c r="BF777" s="108"/>
      <c r="BG777" s="108"/>
      <c r="BH777" s="108"/>
      <c r="BI777" s="108"/>
      <c r="BJ777" s="108"/>
      <c r="BK777" s="109"/>
      <c r="BL777" s="108"/>
      <c r="BM777" s="108"/>
      <c r="BN777" s="108"/>
    </row>
    <row r="778" spans="1:66" ht="12" customHeight="1" x14ac:dyDescent="0.2">
      <c r="A778" s="179"/>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c r="AA778" s="108"/>
      <c r="AB778" s="108"/>
      <c r="AC778" s="108"/>
      <c r="AD778" s="108"/>
      <c r="AE778" s="108"/>
      <c r="AF778" s="108"/>
      <c r="AG778" s="108"/>
      <c r="AH778" s="108"/>
      <c r="AI778" s="108"/>
      <c r="AJ778" s="108"/>
      <c r="AK778" s="108"/>
      <c r="AL778" s="108"/>
      <c r="AM778" s="108"/>
      <c r="AN778" s="108"/>
      <c r="AO778" s="108"/>
      <c r="AP778" s="108"/>
      <c r="AQ778" s="108"/>
      <c r="AR778" s="108"/>
      <c r="AS778" s="108"/>
      <c r="AT778" s="108"/>
      <c r="AU778" s="108"/>
      <c r="AV778" s="108"/>
      <c r="AW778" s="108"/>
      <c r="AX778" s="108"/>
      <c r="AY778" s="108"/>
      <c r="AZ778" s="108"/>
      <c r="BA778" s="108"/>
      <c r="BB778" s="108"/>
      <c r="BC778" s="108"/>
      <c r="BD778" s="108"/>
      <c r="BE778" s="108"/>
      <c r="BF778" s="108"/>
      <c r="BG778" s="108"/>
      <c r="BH778" s="108"/>
      <c r="BI778" s="108"/>
      <c r="BJ778" s="108"/>
      <c r="BK778" s="109"/>
      <c r="BL778" s="108"/>
      <c r="BM778" s="108"/>
      <c r="BN778" s="108"/>
    </row>
    <row r="779" spans="1:66" ht="12" customHeight="1" x14ac:dyDescent="0.2">
      <c r="A779" s="179"/>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c r="AA779" s="108"/>
      <c r="AB779" s="108"/>
      <c r="AC779" s="108"/>
      <c r="AD779" s="108"/>
      <c r="AE779" s="108"/>
      <c r="AF779" s="108"/>
      <c r="AG779" s="108"/>
      <c r="AH779" s="108"/>
      <c r="AI779" s="108"/>
      <c r="AJ779" s="108"/>
      <c r="AK779" s="108"/>
      <c r="AL779" s="108"/>
      <c r="AM779" s="108"/>
      <c r="AN779" s="108"/>
      <c r="AO779" s="108"/>
      <c r="AP779" s="108"/>
      <c r="AQ779" s="108"/>
      <c r="AR779" s="108"/>
      <c r="AS779" s="108"/>
      <c r="AT779" s="108"/>
      <c r="AU779" s="108"/>
      <c r="AV779" s="108"/>
      <c r="AW779" s="108"/>
      <c r="AX779" s="108"/>
      <c r="AY779" s="108"/>
      <c r="AZ779" s="108"/>
      <c r="BA779" s="108"/>
      <c r="BB779" s="108"/>
      <c r="BC779" s="108"/>
      <c r="BD779" s="108"/>
      <c r="BE779" s="108"/>
      <c r="BF779" s="108"/>
      <c r="BG779" s="108"/>
      <c r="BH779" s="108"/>
      <c r="BI779" s="108"/>
      <c r="BJ779" s="108"/>
      <c r="BK779" s="109"/>
      <c r="BL779" s="108"/>
      <c r="BM779" s="108"/>
      <c r="BN779" s="108"/>
    </row>
    <row r="780" spans="1:66" ht="12" customHeight="1" x14ac:dyDescent="0.2">
      <c r="A780" s="179"/>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c r="AA780" s="108"/>
      <c r="AB780" s="108"/>
      <c r="AC780" s="108"/>
      <c r="AD780" s="108"/>
      <c r="AE780" s="108"/>
      <c r="AF780" s="108"/>
      <c r="AG780" s="108"/>
      <c r="AH780" s="108"/>
      <c r="AI780" s="108"/>
      <c r="AJ780" s="108"/>
      <c r="AK780" s="108"/>
      <c r="AL780" s="108"/>
      <c r="AM780" s="108"/>
      <c r="AN780" s="108"/>
      <c r="AO780" s="108"/>
      <c r="AP780" s="108"/>
      <c r="AQ780" s="108"/>
      <c r="AR780" s="108"/>
      <c r="AS780" s="108"/>
      <c r="AT780" s="108"/>
      <c r="AU780" s="108"/>
      <c r="AV780" s="108"/>
      <c r="AW780" s="108"/>
      <c r="AX780" s="108"/>
      <c r="AY780" s="108"/>
      <c r="AZ780" s="108"/>
      <c r="BA780" s="108"/>
      <c r="BB780" s="108"/>
      <c r="BC780" s="108"/>
      <c r="BD780" s="108"/>
      <c r="BE780" s="108"/>
      <c r="BF780" s="108"/>
      <c r="BG780" s="108"/>
      <c r="BH780" s="108"/>
      <c r="BI780" s="108"/>
      <c r="BJ780" s="108"/>
      <c r="BK780" s="109"/>
      <c r="BL780" s="108"/>
      <c r="BM780" s="108"/>
      <c r="BN780" s="108"/>
    </row>
    <row r="781" spans="1:66" ht="12" customHeight="1" x14ac:dyDescent="0.2">
      <c r="A781" s="179"/>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c r="AA781" s="108"/>
      <c r="AB781" s="108"/>
      <c r="AC781" s="108"/>
      <c r="AD781" s="108"/>
      <c r="AE781" s="108"/>
      <c r="AF781" s="108"/>
      <c r="AG781" s="108"/>
      <c r="AH781" s="108"/>
      <c r="AI781" s="108"/>
      <c r="AJ781" s="108"/>
      <c r="AK781" s="108"/>
      <c r="AL781" s="108"/>
      <c r="AM781" s="108"/>
      <c r="AN781" s="108"/>
      <c r="AO781" s="108"/>
      <c r="AP781" s="108"/>
      <c r="AQ781" s="108"/>
      <c r="AR781" s="108"/>
      <c r="AS781" s="108"/>
      <c r="AT781" s="108"/>
      <c r="AU781" s="108"/>
      <c r="AV781" s="108"/>
      <c r="AW781" s="108"/>
      <c r="AX781" s="108"/>
      <c r="AY781" s="108"/>
      <c r="AZ781" s="108"/>
      <c r="BA781" s="108"/>
      <c r="BB781" s="108"/>
      <c r="BC781" s="108"/>
      <c r="BD781" s="108"/>
      <c r="BE781" s="108"/>
      <c r="BF781" s="108"/>
      <c r="BG781" s="108"/>
      <c r="BH781" s="108"/>
      <c r="BI781" s="108"/>
      <c r="BJ781" s="108"/>
      <c r="BK781" s="109"/>
      <c r="BL781" s="108"/>
      <c r="BM781" s="108"/>
      <c r="BN781" s="108"/>
    </row>
    <row r="782" spans="1:66" ht="12" customHeight="1" x14ac:dyDescent="0.2">
      <c r="A782" s="179"/>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c r="AA782" s="108"/>
      <c r="AB782" s="108"/>
      <c r="AC782" s="108"/>
      <c r="AD782" s="108"/>
      <c r="AE782" s="108"/>
      <c r="AF782" s="108"/>
      <c r="AG782" s="108"/>
      <c r="AH782" s="108"/>
      <c r="AI782" s="108"/>
      <c r="AJ782" s="108"/>
      <c r="AK782" s="108"/>
      <c r="AL782" s="108"/>
      <c r="AM782" s="108"/>
      <c r="AN782" s="108"/>
      <c r="AO782" s="108"/>
      <c r="AP782" s="108"/>
      <c r="AQ782" s="108"/>
      <c r="AR782" s="108"/>
      <c r="AS782" s="108"/>
      <c r="AT782" s="108"/>
      <c r="AU782" s="108"/>
      <c r="AV782" s="108"/>
      <c r="AW782" s="108"/>
      <c r="AX782" s="108"/>
      <c r="AY782" s="108"/>
      <c r="AZ782" s="108"/>
      <c r="BA782" s="108"/>
      <c r="BB782" s="108"/>
      <c r="BC782" s="108"/>
      <c r="BD782" s="108"/>
      <c r="BE782" s="108"/>
      <c r="BF782" s="108"/>
      <c r="BG782" s="108"/>
      <c r="BH782" s="108"/>
      <c r="BI782" s="108"/>
      <c r="BJ782" s="108"/>
      <c r="BK782" s="109"/>
      <c r="BL782" s="108"/>
      <c r="BM782" s="108"/>
      <c r="BN782" s="108"/>
    </row>
    <row r="783" spans="1:66" ht="12" customHeight="1" x14ac:dyDescent="0.2">
      <c r="A783" s="179"/>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c r="AA783" s="108"/>
      <c r="AB783" s="108"/>
      <c r="AC783" s="108"/>
      <c r="AD783" s="108"/>
      <c r="AE783" s="108"/>
      <c r="AF783" s="108"/>
      <c r="AG783" s="108"/>
      <c r="AH783" s="108"/>
      <c r="AI783" s="108"/>
      <c r="AJ783" s="108"/>
      <c r="AK783" s="108"/>
      <c r="AL783" s="108"/>
      <c r="AM783" s="108"/>
      <c r="AN783" s="108"/>
      <c r="AO783" s="108"/>
      <c r="AP783" s="108"/>
      <c r="AQ783" s="108"/>
      <c r="AR783" s="108"/>
      <c r="AS783" s="108"/>
      <c r="AT783" s="108"/>
      <c r="AU783" s="108"/>
      <c r="AV783" s="108"/>
      <c r="AW783" s="108"/>
      <c r="AX783" s="108"/>
      <c r="AY783" s="108"/>
      <c r="AZ783" s="108"/>
      <c r="BA783" s="108"/>
      <c r="BB783" s="108"/>
      <c r="BC783" s="108"/>
      <c r="BD783" s="108"/>
      <c r="BE783" s="108"/>
      <c r="BF783" s="108"/>
      <c r="BG783" s="108"/>
      <c r="BH783" s="108"/>
      <c r="BI783" s="108"/>
      <c r="BJ783" s="108"/>
      <c r="BK783" s="109"/>
      <c r="BL783" s="108"/>
      <c r="BM783" s="108"/>
      <c r="BN783" s="108"/>
    </row>
    <row r="784" spans="1:66" ht="12" customHeight="1" x14ac:dyDescent="0.2">
      <c r="A784" s="179"/>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c r="AA784" s="108"/>
      <c r="AB784" s="108"/>
      <c r="AC784" s="108"/>
      <c r="AD784" s="108"/>
      <c r="AE784" s="108"/>
      <c r="AF784" s="108"/>
      <c r="AG784" s="108"/>
      <c r="AH784" s="108"/>
      <c r="AI784" s="108"/>
      <c r="AJ784" s="108"/>
      <c r="AK784" s="108"/>
      <c r="AL784" s="108"/>
      <c r="AM784" s="108"/>
      <c r="AN784" s="108"/>
      <c r="AO784" s="108"/>
      <c r="AP784" s="108"/>
      <c r="AQ784" s="108"/>
      <c r="AR784" s="108"/>
      <c r="AS784" s="108"/>
      <c r="AT784" s="108"/>
      <c r="AU784" s="108"/>
      <c r="AV784" s="108"/>
      <c r="AW784" s="108"/>
      <c r="AX784" s="108"/>
      <c r="AY784" s="108"/>
      <c r="AZ784" s="108"/>
      <c r="BA784" s="108"/>
      <c r="BB784" s="108"/>
      <c r="BC784" s="108"/>
      <c r="BD784" s="108"/>
      <c r="BE784" s="108"/>
      <c r="BF784" s="108"/>
      <c r="BG784" s="108"/>
      <c r="BH784" s="108"/>
      <c r="BI784" s="108"/>
      <c r="BJ784" s="108"/>
      <c r="BK784" s="109"/>
      <c r="BL784" s="108"/>
      <c r="BM784" s="108"/>
      <c r="BN784" s="108"/>
    </row>
    <row r="785" spans="1:66" ht="12" customHeight="1" x14ac:dyDescent="0.2">
      <c r="A785" s="179"/>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c r="AA785" s="108"/>
      <c r="AB785" s="108"/>
      <c r="AC785" s="108"/>
      <c r="AD785" s="108"/>
      <c r="AE785" s="108"/>
      <c r="AF785" s="108"/>
      <c r="AG785" s="108"/>
      <c r="AH785" s="108"/>
      <c r="AI785" s="108"/>
      <c r="AJ785" s="108"/>
      <c r="AK785" s="108"/>
      <c r="AL785" s="108"/>
      <c r="AM785" s="108"/>
      <c r="AN785" s="108"/>
      <c r="AO785" s="108"/>
      <c r="AP785" s="108"/>
      <c r="AQ785" s="108"/>
      <c r="AR785" s="108"/>
      <c r="AS785" s="108"/>
      <c r="AT785" s="108"/>
      <c r="AU785" s="108"/>
      <c r="AV785" s="108"/>
      <c r="AW785" s="108"/>
      <c r="AX785" s="108"/>
      <c r="AY785" s="108"/>
      <c r="AZ785" s="108"/>
      <c r="BA785" s="108"/>
      <c r="BB785" s="108"/>
      <c r="BC785" s="108"/>
      <c r="BD785" s="108"/>
      <c r="BE785" s="108"/>
      <c r="BF785" s="108"/>
      <c r="BG785" s="108"/>
      <c r="BH785" s="108"/>
      <c r="BI785" s="108"/>
      <c r="BJ785" s="108"/>
      <c r="BK785" s="109"/>
      <c r="BL785" s="108"/>
      <c r="BM785" s="108"/>
      <c r="BN785" s="108"/>
    </row>
    <row r="786" spans="1:66" ht="12" customHeight="1" x14ac:dyDescent="0.2">
      <c r="A786" s="179"/>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c r="AA786" s="108"/>
      <c r="AB786" s="108"/>
      <c r="AC786" s="108"/>
      <c r="AD786" s="108"/>
      <c r="AE786" s="108"/>
      <c r="AF786" s="108"/>
      <c r="AG786" s="108"/>
      <c r="AH786" s="108"/>
      <c r="AI786" s="108"/>
      <c r="AJ786" s="108"/>
      <c r="AK786" s="108"/>
      <c r="AL786" s="108"/>
      <c r="AM786" s="108"/>
      <c r="AN786" s="108"/>
      <c r="AO786" s="108"/>
      <c r="AP786" s="108"/>
      <c r="AQ786" s="108"/>
      <c r="AR786" s="108"/>
      <c r="AS786" s="108"/>
      <c r="AT786" s="108"/>
      <c r="AU786" s="108"/>
      <c r="AV786" s="108"/>
      <c r="AW786" s="108"/>
      <c r="AX786" s="108"/>
      <c r="AY786" s="108"/>
      <c r="AZ786" s="108"/>
      <c r="BA786" s="108"/>
      <c r="BB786" s="108"/>
      <c r="BC786" s="108"/>
      <c r="BD786" s="108"/>
      <c r="BE786" s="108"/>
      <c r="BF786" s="108"/>
      <c r="BG786" s="108"/>
      <c r="BH786" s="108"/>
      <c r="BI786" s="108"/>
      <c r="BJ786" s="108"/>
      <c r="BK786" s="109"/>
      <c r="BL786" s="108"/>
      <c r="BM786" s="108"/>
      <c r="BN786" s="108"/>
    </row>
    <row r="787" spans="1:66" ht="12" customHeight="1" x14ac:dyDescent="0.2">
      <c r="A787" s="179"/>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c r="AA787" s="108"/>
      <c r="AB787" s="108"/>
      <c r="AC787" s="108"/>
      <c r="AD787" s="108"/>
      <c r="AE787" s="108"/>
      <c r="AF787" s="108"/>
      <c r="AG787" s="108"/>
      <c r="AH787" s="108"/>
      <c r="AI787" s="108"/>
      <c r="AJ787" s="108"/>
      <c r="AK787" s="108"/>
      <c r="AL787" s="108"/>
      <c r="AM787" s="108"/>
      <c r="AN787" s="108"/>
      <c r="AO787" s="108"/>
      <c r="AP787" s="108"/>
      <c r="AQ787" s="108"/>
      <c r="AR787" s="108"/>
      <c r="AS787" s="108"/>
      <c r="AT787" s="108"/>
      <c r="AU787" s="108"/>
      <c r="AV787" s="108"/>
      <c r="AW787" s="108"/>
      <c r="AX787" s="108"/>
      <c r="AY787" s="108"/>
      <c r="AZ787" s="108"/>
      <c r="BA787" s="108"/>
      <c r="BB787" s="108"/>
      <c r="BC787" s="108"/>
      <c r="BD787" s="108"/>
      <c r="BE787" s="108"/>
      <c r="BF787" s="108"/>
      <c r="BG787" s="108"/>
      <c r="BH787" s="108"/>
      <c r="BI787" s="108"/>
      <c r="BJ787" s="108"/>
      <c r="BK787" s="109"/>
      <c r="BL787" s="108"/>
      <c r="BM787" s="108"/>
      <c r="BN787" s="108"/>
    </row>
    <row r="788" spans="1:66" ht="12" customHeight="1" x14ac:dyDescent="0.2">
      <c r="A788" s="179"/>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c r="AA788" s="108"/>
      <c r="AB788" s="108"/>
      <c r="AC788" s="108"/>
      <c r="AD788" s="108"/>
      <c r="AE788" s="108"/>
      <c r="AF788" s="108"/>
      <c r="AG788" s="108"/>
      <c r="AH788" s="108"/>
      <c r="AI788" s="108"/>
      <c r="AJ788" s="108"/>
      <c r="AK788" s="108"/>
      <c r="AL788" s="108"/>
      <c r="AM788" s="108"/>
      <c r="AN788" s="108"/>
      <c r="AO788" s="108"/>
      <c r="AP788" s="108"/>
      <c r="AQ788" s="108"/>
      <c r="AR788" s="108"/>
      <c r="AS788" s="108"/>
      <c r="AT788" s="108"/>
      <c r="AU788" s="108"/>
      <c r="AV788" s="108"/>
      <c r="AW788" s="108"/>
      <c r="AX788" s="108"/>
      <c r="AY788" s="108"/>
      <c r="AZ788" s="108"/>
      <c r="BA788" s="108"/>
      <c r="BB788" s="108"/>
      <c r="BC788" s="108"/>
      <c r="BD788" s="108"/>
      <c r="BE788" s="108"/>
      <c r="BF788" s="108"/>
      <c r="BG788" s="108"/>
      <c r="BH788" s="108"/>
      <c r="BI788" s="108"/>
      <c r="BJ788" s="108"/>
      <c r="BK788" s="109"/>
      <c r="BL788" s="108"/>
      <c r="BM788" s="108"/>
      <c r="BN788" s="108"/>
    </row>
    <row r="789" spans="1:66" ht="12" customHeight="1" x14ac:dyDescent="0.2">
      <c r="A789" s="179"/>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c r="AA789" s="108"/>
      <c r="AB789" s="108"/>
      <c r="AC789" s="108"/>
      <c r="AD789" s="108"/>
      <c r="AE789" s="108"/>
      <c r="AF789" s="108"/>
      <c r="AG789" s="108"/>
      <c r="AH789" s="108"/>
      <c r="AI789" s="108"/>
      <c r="AJ789" s="108"/>
      <c r="AK789" s="108"/>
      <c r="AL789" s="108"/>
      <c r="AM789" s="108"/>
      <c r="AN789" s="108"/>
      <c r="AO789" s="108"/>
      <c r="AP789" s="108"/>
      <c r="AQ789" s="108"/>
      <c r="AR789" s="108"/>
      <c r="AS789" s="108"/>
      <c r="AT789" s="108"/>
      <c r="AU789" s="108"/>
      <c r="AV789" s="108"/>
      <c r="AW789" s="108"/>
      <c r="AX789" s="108"/>
      <c r="AY789" s="108"/>
      <c r="AZ789" s="108"/>
      <c r="BA789" s="108"/>
      <c r="BB789" s="108"/>
      <c r="BC789" s="108"/>
      <c r="BD789" s="108"/>
      <c r="BE789" s="108"/>
      <c r="BF789" s="108"/>
      <c r="BG789" s="108"/>
      <c r="BH789" s="108"/>
      <c r="BI789" s="108"/>
      <c r="BJ789" s="108"/>
      <c r="BK789" s="109"/>
      <c r="BL789" s="108"/>
      <c r="BM789" s="108"/>
      <c r="BN789" s="108"/>
    </row>
    <row r="790" spans="1:66" ht="12" customHeight="1" x14ac:dyDescent="0.2">
      <c r="A790" s="179"/>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c r="AA790" s="108"/>
      <c r="AB790" s="108"/>
      <c r="AC790" s="108"/>
      <c r="AD790" s="108"/>
      <c r="AE790" s="108"/>
      <c r="AF790" s="108"/>
      <c r="AG790" s="108"/>
      <c r="AH790" s="108"/>
      <c r="AI790" s="108"/>
      <c r="AJ790" s="108"/>
      <c r="AK790" s="108"/>
      <c r="AL790" s="108"/>
      <c r="AM790" s="108"/>
      <c r="AN790" s="108"/>
      <c r="AO790" s="108"/>
      <c r="AP790" s="108"/>
      <c r="AQ790" s="108"/>
      <c r="AR790" s="108"/>
      <c r="AS790" s="108"/>
      <c r="AT790" s="108"/>
      <c r="AU790" s="108"/>
      <c r="AV790" s="108"/>
      <c r="AW790" s="108"/>
      <c r="AX790" s="108"/>
      <c r="AY790" s="108"/>
      <c r="AZ790" s="108"/>
      <c r="BA790" s="108"/>
      <c r="BB790" s="108"/>
      <c r="BC790" s="108"/>
      <c r="BD790" s="108"/>
      <c r="BE790" s="108"/>
      <c r="BF790" s="108"/>
      <c r="BG790" s="108"/>
      <c r="BH790" s="108"/>
      <c r="BI790" s="108"/>
      <c r="BJ790" s="108"/>
      <c r="BK790" s="109"/>
      <c r="BL790" s="108"/>
      <c r="BM790" s="108"/>
      <c r="BN790" s="108"/>
    </row>
    <row r="791" spans="1:66" ht="12" customHeight="1" x14ac:dyDescent="0.2">
      <c r="A791" s="179"/>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c r="AA791" s="108"/>
      <c r="AB791" s="108"/>
      <c r="AC791" s="108"/>
      <c r="AD791" s="108"/>
      <c r="AE791" s="108"/>
      <c r="AF791" s="108"/>
      <c r="AG791" s="108"/>
      <c r="AH791" s="108"/>
      <c r="AI791" s="108"/>
      <c r="AJ791" s="108"/>
      <c r="AK791" s="108"/>
      <c r="AL791" s="108"/>
      <c r="AM791" s="108"/>
      <c r="AN791" s="108"/>
      <c r="AO791" s="108"/>
      <c r="AP791" s="108"/>
      <c r="AQ791" s="108"/>
      <c r="AR791" s="108"/>
      <c r="AS791" s="108"/>
      <c r="AT791" s="108"/>
      <c r="AU791" s="108"/>
      <c r="AV791" s="108"/>
      <c r="AW791" s="108"/>
      <c r="AX791" s="108"/>
      <c r="AY791" s="108"/>
      <c r="AZ791" s="108"/>
      <c r="BA791" s="108"/>
      <c r="BB791" s="108"/>
      <c r="BC791" s="108"/>
      <c r="BD791" s="108"/>
      <c r="BE791" s="108"/>
      <c r="BF791" s="108"/>
      <c r="BG791" s="108"/>
      <c r="BH791" s="108"/>
      <c r="BI791" s="108"/>
      <c r="BJ791" s="108"/>
      <c r="BK791" s="109"/>
      <c r="BL791" s="108"/>
      <c r="BM791" s="108"/>
      <c r="BN791" s="108"/>
    </row>
    <row r="792" spans="1:66" ht="12" customHeight="1" x14ac:dyDescent="0.2">
      <c r="A792" s="179"/>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c r="AA792" s="108"/>
      <c r="AB792" s="108"/>
      <c r="AC792" s="108"/>
      <c r="AD792" s="108"/>
      <c r="AE792" s="108"/>
      <c r="AF792" s="108"/>
      <c r="AG792" s="108"/>
      <c r="AH792" s="108"/>
      <c r="AI792" s="108"/>
      <c r="AJ792" s="108"/>
      <c r="AK792" s="108"/>
      <c r="AL792" s="108"/>
      <c r="AM792" s="108"/>
      <c r="AN792" s="108"/>
      <c r="AO792" s="108"/>
      <c r="AP792" s="108"/>
      <c r="AQ792" s="108"/>
      <c r="AR792" s="108"/>
      <c r="AS792" s="108"/>
      <c r="AT792" s="108"/>
      <c r="AU792" s="108"/>
      <c r="AV792" s="108"/>
      <c r="AW792" s="108"/>
      <c r="AX792" s="108"/>
      <c r="AY792" s="108"/>
      <c r="AZ792" s="108"/>
      <c r="BA792" s="108"/>
      <c r="BB792" s="108"/>
      <c r="BC792" s="108"/>
      <c r="BD792" s="108"/>
      <c r="BE792" s="108"/>
      <c r="BF792" s="108"/>
      <c r="BG792" s="108"/>
      <c r="BH792" s="108"/>
      <c r="BI792" s="108"/>
      <c r="BJ792" s="108"/>
      <c r="BK792" s="109"/>
      <c r="BL792" s="108"/>
      <c r="BM792" s="108"/>
      <c r="BN792" s="108"/>
    </row>
    <row r="793" spans="1:66" ht="12" customHeight="1" x14ac:dyDescent="0.2">
      <c r="A793" s="179"/>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c r="AA793" s="108"/>
      <c r="AB793" s="108"/>
      <c r="AC793" s="108"/>
      <c r="AD793" s="108"/>
      <c r="AE793" s="108"/>
      <c r="AF793" s="108"/>
      <c r="AG793" s="108"/>
      <c r="AH793" s="108"/>
      <c r="AI793" s="108"/>
      <c r="AJ793" s="108"/>
      <c r="AK793" s="108"/>
      <c r="AL793" s="108"/>
      <c r="AM793" s="108"/>
      <c r="AN793" s="108"/>
      <c r="AO793" s="108"/>
      <c r="AP793" s="108"/>
      <c r="AQ793" s="108"/>
      <c r="AR793" s="108"/>
      <c r="AS793" s="108"/>
      <c r="AT793" s="108"/>
      <c r="AU793" s="108"/>
      <c r="AV793" s="108"/>
      <c r="AW793" s="108"/>
      <c r="AX793" s="108"/>
      <c r="AY793" s="108"/>
      <c r="AZ793" s="108"/>
      <c r="BA793" s="108"/>
      <c r="BB793" s="108"/>
      <c r="BC793" s="108"/>
      <c r="BD793" s="108"/>
      <c r="BE793" s="108"/>
      <c r="BF793" s="108"/>
      <c r="BG793" s="108"/>
      <c r="BH793" s="108"/>
      <c r="BI793" s="108"/>
      <c r="BJ793" s="108"/>
      <c r="BK793" s="109"/>
      <c r="BL793" s="108"/>
      <c r="BM793" s="108"/>
      <c r="BN793" s="108"/>
    </row>
    <row r="794" spans="1:66" ht="12" customHeight="1" x14ac:dyDescent="0.2">
      <c r="A794" s="179"/>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c r="AA794" s="108"/>
      <c r="AB794" s="108"/>
      <c r="AC794" s="108"/>
      <c r="AD794" s="108"/>
      <c r="AE794" s="108"/>
      <c r="AF794" s="108"/>
      <c r="AG794" s="108"/>
      <c r="AH794" s="108"/>
      <c r="AI794" s="108"/>
      <c r="AJ794" s="108"/>
      <c r="AK794" s="108"/>
      <c r="AL794" s="108"/>
      <c r="AM794" s="108"/>
      <c r="AN794" s="108"/>
      <c r="AO794" s="108"/>
      <c r="AP794" s="108"/>
      <c r="AQ794" s="108"/>
      <c r="AR794" s="108"/>
      <c r="AS794" s="108"/>
      <c r="AT794" s="108"/>
      <c r="AU794" s="108"/>
      <c r="AV794" s="108"/>
      <c r="AW794" s="108"/>
      <c r="AX794" s="108"/>
      <c r="AY794" s="108"/>
      <c r="AZ794" s="108"/>
      <c r="BA794" s="108"/>
      <c r="BB794" s="108"/>
      <c r="BC794" s="108"/>
      <c r="BD794" s="108"/>
      <c r="BE794" s="108"/>
      <c r="BF794" s="108"/>
      <c r="BG794" s="108"/>
      <c r="BH794" s="108"/>
      <c r="BI794" s="108"/>
      <c r="BJ794" s="108"/>
      <c r="BK794" s="109"/>
      <c r="BL794" s="108"/>
      <c r="BM794" s="108"/>
      <c r="BN794" s="108"/>
    </row>
    <row r="795" spans="1:66" ht="12" customHeight="1" x14ac:dyDescent="0.2">
      <c r="A795" s="179"/>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c r="AA795" s="108"/>
      <c r="AB795" s="108"/>
      <c r="AC795" s="108"/>
      <c r="AD795" s="108"/>
      <c r="AE795" s="108"/>
      <c r="AF795" s="108"/>
      <c r="AG795" s="108"/>
      <c r="AH795" s="108"/>
      <c r="AI795" s="108"/>
      <c r="AJ795" s="108"/>
      <c r="AK795" s="108"/>
      <c r="AL795" s="108"/>
      <c r="AM795" s="108"/>
      <c r="AN795" s="108"/>
      <c r="AO795" s="108"/>
      <c r="AP795" s="108"/>
      <c r="AQ795" s="108"/>
      <c r="AR795" s="108"/>
      <c r="AS795" s="108"/>
      <c r="AT795" s="108"/>
      <c r="AU795" s="108"/>
      <c r="AV795" s="108"/>
      <c r="AW795" s="108"/>
      <c r="AX795" s="108"/>
      <c r="AY795" s="108"/>
      <c r="AZ795" s="108"/>
      <c r="BA795" s="108"/>
      <c r="BB795" s="108"/>
      <c r="BC795" s="108"/>
      <c r="BD795" s="108"/>
      <c r="BE795" s="108"/>
      <c r="BF795" s="108"/>
      <c r="BG795" s="108"/>
      <c r="BH795" s="108"/>
      <c r="BI795" s="108"/>
      <c r="BJ795" s="108"/>
      <c r="BK795" s="109"/>
      <c r="BL795" s="108"/>
      <c r="BM795" s="108"/>
      <c r="BN795" s="108"/>
    </row>
    <row r="796" spans="1:66" ht="12" customHeight="1" x14ac:dyDescent="0.2">
      <c r="A796" s="179"/>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c r="AA796" s="108"/>
      <c r="AB796" s="108"/>
      <c r="AC796" s="108"/>
      <c r="AD796" s="108"/>
      <c r="AE796" s="108"/>
      <c r="AF796" s="108"/>
      <c r="AG796" s="108"/>
      <c r="AH796" s="108"/>
      <c r="AI796" s="108"/>
      <c r="AJ796" s="108"/>
      <c r="AK796" s="108"/>
      <c r="AL796" s="108"/>
      <c r="AM796" s="108"/>
      <c r="AN796" s="108"/>
      <c r="AO796" s="108"/>
      <c r="AP796" s="108"/>
      <c r="AQ796" s="108"/>
      <c r="AR796" s="108"/>
      <c r="AS796" s="108"/>
      <c r="AT796" s="108"/>
      <c r="AU796" s="108"/>
      <c r="AV796" s="108"/>
      <c r="AW796" s="108"/>
      <c r="AX796" s="108"/>
      <c r="AY796" s="108"/>
      <c r="AZ796" s="108"/>
      <c r="BA796" s="108"/>
      <c r="BB796" s="108"/>
      <c r="BC796" s="108"/>
      <c r="BD796" s="108"/>
      <c r="BE796" s="108"/>
      <c r="BF796" s="108"/>
      <c r="BG796" s="108"/>
      <c r="BH796" s="108"/>
      <c r="BI796" s="108"/>
      <c r="BJ796" s="108"/>
      <c r="BK796" s="109"/>
      <c r="BL796" s="108"/>
      <c r="BM796" s="108"/>
      <c r="BN796" s="108"/>
    </row>
    <row r="797" spans="1:66" ht="12" customHeight="1" x14ac:dyDescent="0.2">
      <c r="A797" s="179"/>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c r="AA797" s="108"/>
      <c r="AB797" s="108"/>
      <c r="AC797" s="108"/>
      <c r="AD797" s="108"/>
      <c r="AE797" s="108"/>
      <c r="AF797" s="108"/>
      <c r="AG797" s="108"/>
      <c r="AH797" s="108"/>
      <c r="AI797" s="108"/>
      <c r="AJ797" s="108"/>
      <c r="AK797" s="108"/>
      <c r="AL797" s="108"/>
      <c r="AM797" s="108"/>
      <c r="AN797" s="108"/>
      <c r="AO797" s="108"/>
      <c r="AP797" s="108"/>
      <c r="AQ797" s="108"/>
      <c r="AR797" s="108"/>
      <c r="AS797" s="108"/>
      <c r="AT797" s="108"/>
      <c r="AU797" s="108"/>
      <c r="AV797" s="108"/>
      <c r="AW797" s="108"/>
      <c r="AX797" s="108"/>
      <c r="AY797" s="108"/>
      <c r="AZ797" s="108"/>
      <c r="BA797" s="108"/>
      <c r="BB797" s="108"/>
      <c r="BC797" s="108"/>
      <c r="BD797" s="108"/>
      <c r="BE797" s="108"/>
      <c r="BF797" s="108"/>
      <c r="BG797" s="108"/>
      <c r="BH797" s="108"/>
      <c r="BI797" s="108"/>
      <c r="BJ797" s="108"/>
      <c r="BK797" s="109"/>
      <c r="BL797" s="108"/>
      <c r="BM797" s="108"/>
      <c r="BN797" s="108"/>
    </row>
    <row r="798" spans="1:66" ht="12" customHeight="1" x14ac:dyDescent="0.2">
      <c r="A798" s="179"/>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c r="AA798" s="108"/>
      <c r="AB798" s="108"/>
      <c r="AC798" s="108"/>
      <c r="AD798" s="108"/>
      <c r="AE798" s="108"/>
      <c r="AF798" s="108"/>
      <c r="AG798" s="108"/>
      <c r="AH798" s="108"/>
      <c r="AI798" s="108"/>
      <c r="AJ798" s="108"/>
      <c r="AK798" s="108"/>
      <c r="AL798" s="108"/>
      <c r="AM798" s="108"/>
      <c r="AN798" s="108"/>
      <c r="AO798" s="108"/>
      <c r="AP798" s="108"/>
      <c r="AQ798" s="108"/>
      <c r="AR798" s="108"/>
      <c r="AS798" s="108"/>
      <c r="AT798" s="108"/>
      <c r="AU798" s="108"/>
      <c r="AV798" s="108"/>
      <c r="AW798" s="108"/>
      <c r="AX798" s="108"/>
      <c r="AY798" s="108"/>
      <c r="AZ798" s="108"/>
      <c r="BA798" s="108"/>
      <c r="BB798" s="108"/>
      <c r="BC798" s="108"/>
      <c r="BD798" s="108"/>
      <c r="BE798" s="108"/>
      <c r="BF798" s="108"/>
      <c r="BG798" s="108"/>
      <c r="BH798" s="108"/>
      <c r="BI798" s="108"/>
      <c r="BJ798" s="108"/>
      <c r="BK798" s="109"/>
      <c r="BL798" s="108"/>
      <c r="BM798" s="108"/>
      <c r="BN798" s="108"/>
    </row>
    <row r="799" spans="1:66" ht="12" customHeight="1" x14ac:dyDescent="0.2">
      <c r="A799" s="179"/>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c r="AA799" s="108"/>
      <c r="AB799" s="108"/>
      <c r="AC799" s="108"/>
      <c r="AD799" s="108"/>
      <c r="AE799" s="108"/>
      <c r="AF799" s="108"/>
      <c r="AG799" s="108"/>
      <c r="AH799" s="108"/>
      <c r="AI799" s="108"/>
      <c r="AJ799" s="108"/>
      <c r="AK799" s="108"/>
      <c r="AL799" s="108"/>
      <c r="AM799" s="108"/>
      <c r="AN799" s="108"/>
      <c r="AO799" s="108"/>
      <c r="AP799" s="108"/>
      <c r="AQ799" s="108"/>
      <c r="AR799" s="108"/>
      <c r="AS799" s="108"/>
      <c r="AT799" s="108"/>
      <c r="AU799" s="108"/>
      <c r="AV799" s="108"/>
      <c r="AW799" s="108"/>
      <c r="AX799" s="108"/>
      <c r="AY799" s="108"/>
      <c r="AZ799" s="108"/>
      <c r="BA799" s="108"/>
      <c r="BB799" s="108"/>
      <c r="BC799" s="108"/>
      <c r="BD799" s="108"/>
      <c r="BE799" s="108"/>
      <c r="BF799" s="108"/>
      <c r="BG799" s="108"/>
      <c r="BH799" s="108"/>
      <c r="BI799" s="108"/>
      <c r="BJ799" s="108"/>
      <c r="BK799" s="109"/>
      <c r="BL799" s="108"/>
      <c r="BM799" s="108"/>
      <c r="BN799" s="108"/>
    </row>
    <row r="800" spans="1:66" ht="12" customHeight="1" x14ac:dyDescent="0.2">
      <c r="A800" s="179"/>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c r="AA800" s="108"/>
      <c r="AB800" s="108"/>
      <c r="AC800" s="108"/>
      <c r="AD800" s="108"/>
      <c r="AE800" s="108"/>
      <c r="AF800" s="108"/>
      <c r="AG800" s="108"/>
      <c r="AH800" s="108"/>
      <c r="AI800" s="108"/>
      <c r="AJ800" s="108"/>
      <c r="AK800" s="108"/>
      <c r="AL800" s="108"/>
      <c r="AM800" s="108"/>
      <c r="AN800" s="108"/>
      <c r="AO800" s="108"/>
      <c r="AP800" s="108"/>
      <c r="AQ800" s="108"/>
      <c r="AR800" s="108"/>
      <c r="AS800" s="108"/>
      <c r="AT800" s="108"/>
      <c r="AU800" s="108"/>
      <c r="AV800" s="108"/>
      <c r="AW800" s="108"/>
      <c r="AX800" s="108"/>
      <c r="AY800" s="108"/>
      <c r="AZ800" s="108"/>
      <c r="BA800" s="108"/>
      <c r="BB800" s="108"/>
      <c r="BC800" s="108"/>
      <c r="BD800" s="108"/>
      <c r="BE800" s="108"/>
      <c r="BF800" s="108"/>
      <c r="BG800" s="108"/>
      <c r="BH800" s="108"/>
      <c r="BI800" s="108"/>
      <c r="BJ800" s="108"/>
      <c r="BK800" s="109"/>
      <c r="BL800" s="108"/>
      <c r="BM800" s="108"/>
      <c r="BN800" s="108"/>
    </row>
    <row r="801" spans="1:66" ht="12" customHeight="1" x14ac:dyDescent="0.2">
      <c r="A801" s="179"/>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c r="AA801" s="108"/>
      <c r="AB801" s="108"/>
      <c r="AC801" s="108"/>
      <c r="AD801" s="108"/>
      <c r="AE801" s="108"/>
      <c r="AF801" s="108"/>
      <c r="AG801" s="108"/>
      <c r="AH801" s="108"/>
      <c r="AI801" s="108"/>
      <c r="AJ801" s="108"/>
      <c r="AK801" s="108"/>
      <c r="AL801" s="108"/>
      <c r="AM801" s="108"/>
      <c r="AN801" s="108"/>
      <c r="AO801" s="108"/>
      <c r="AP801" s="108"/>
      <c r="AQ801" s="108"/>
      <c r="AR801" s="108"/>
      <c r="AS801" s="108"/>
      <c r="AT801" s="108"/>
      <c r="AU801" s="108"/>
      <c r="AV801" s="108"/>
      <c r="AW801" s="108"/>
      <c r="AX801" s="108"/>
      <c r="AY801" s="108"/>
      <c r="AZ801" s="108"/>
      <c r="BA801" s="108"/>
      <c r="BB801" s="108"/>
      <c r="BC801" s="108"/>
      <c r="BD801" s="108"/>
      <c r="BE801" s="108"/>
      <c r="BF801" s="108"/>
      <c r="BG801" s="108"/>
      <c r="BH801" s="108"/>
      <c r="BI801" s="108"/>
      <c r="BJ801" s="108"/>
      <c r="BK801" s="109"/>
      <c r="BL801" s="108"/>
      <c r="BM801" s="108"/>
      <c r="BN801" s="108"/>
    </row>
    <row r="802" spans="1:66" ht="12" customHeight="1" x14ac:dyDescent="0.2">
      <c r="A802" s="179"/>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c r="AA802" s="108"/>
      <c r="AB802" s="108"/>
      <c r="AC802" s="108"/>
      <c r="AD802" s="108"/>
      <c r="AE802" s="108"/>
      <c r="AF802" s="108"/>
      <c r="AG802" s="108"/>
      <c r="AH802" s="108"/>
      <c r="AI802" s="108"/>
      <c r="AJ802" s="108"/>
      <c r="AK802" s="108"/>
      <c r="AL802" s="108"/>
      <c r="AM802" s="108"/>
      <c r="AN802" s="108"/>
      <c r="AO802" s="108"/>
      <c r="AP802" s="108"/>
      <c r="AQ802" s="108"/>
      <c r="AR802" s="108"/>
      <c r="AS802" s="108"/>
      <c r="AT802" s="108"/>
      <c r="AU802" s="108"/>
      <c r="AV802" s="108"/>
      <c r="AW802" s="108"/>
      <c r="AX802" s="108"/>
      <c r="AY802" s="108"/>
      <c r="AZ802" s="108"/>
      <c r="BA802" s="108"/>
      <c r="BB802" s="108"/>
      <c r="BC802" s="108"/>
      <c r="BD802" s="108"/>
      <c r="BE802" s="108"/>
      <c r="BF802" s="108"/>
      <c r="BG802" s="108"/>
      <c r="BH802" s="108"/>
      <c r="BI802" s="108"/>
      <c r="BJ802" s="108"/>
      <c r="BK802" s="109"/>
      <c r="BL802" s="108"/>
      <c r="BM802" s="108"/>
      <c r="BN802" s="108"/>
    </row>
    <row r="803" spans="1:66" ht="12" customHeight="1" x14ac:dyDescent="0.2">
      <c r="A803" s="179"/>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c r="AA803" s="108"/>
      <c r="AB803" s="108"/>
      <c r="AC803" s="108"/>
      <c r="AD803" s="108"/>
      <c r="AE803" s="108"/>
      <c r="AF803" s="108"/>
      <c r="AG803" s="108"/>
      <c r="AH803" s="108"/>
      <c r="AI803" s="108"/>
      <c r="AJ803" s="108"/>
      <c r="AK803" s="108"/>
      <c r="AL803" s="108"/>
      <c r="AM803" s="108"/>
      <c r="AN803" s="108"/>
      <c r="AO803" s="108"/>
      <c r="AP803" s="108"/>
      <c r="AQ803" s="108"/>
      <c r="AR803" s="108"/>
      <c r="AS803" s="108"/>
      <c r="AT803" s="108"/>
      <c r="AU803" s="108"/>
      <c r="AV803" s="108"/>
      <c r="AW803" s="108"/>
      <c r="AX803" s="108"/>
      <c r="AY803" s="108"/>
      <c r="AZ803" s="108"/>
      <c r="BA803" s="108"/>
      <c r="BB803" s="108"/>
      <c r="BC803" s="108"/>
      <c r="BD803" s="108"/>
      <c r="BE803" s="108"/>
      <c r="BF803" s="108"/>
      <c r="BG803" s="108"/>
      <c r="BH803" s="108"/>
      <c r="BI803" s="108"/>
      <c r="BJ803" s="108"/>
      <c r="BK803" s="109"/>
      <c r="BL803" s="108"/>
      <c r="BM803" s="108"/>
      <c r="BN803" s="108"/>
    </row>
    <row r="804" spans="1:66" ht="12" customHeight="1" x14ac:dyDescent="0.2">
      <c r="A804" s="179"/>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c r="AA804" s="108"/>
      <c r="AB804" s="108"/>
      <c r="AC804" s="108"/>
      <c r="AD804" s="108"/>
      <c r="AE804" s="108"/>
      <c r="AF804" s="108"/>
      <c r="AG804" s="108"/>
      <c r="AH804" s="108"/>
      <c r="AI804" s="108"/>
      <c r="AJ804" s="108"/>
      <c r="AK804" s="108"/>
      <c r="AL804" s="108"/>
      <c r="AM804" s="108"/>
      <c r="AN804" s="108"/>
      <c r="AO804" s="108"/>
      <c r="AP804" s="108"/>
      <c r="AQ804" s="108"/>
      <c r="AR804" s="108"/>
      <c r="AS804" s="108"/>
      <c r="AT804" s="108"/>
      <c r="AU804" s="108"/>
      <c r="AV804" s="108"/>
      <c r="AW804" s="108"/>
      <c r="AX804" s="108"/>
      <c r="AY804" s="108"/>
      <c r="AZ804" s="108"/>
      <c r="BA804" s="108"/>
      <c r="BB804" s="108"/>
      <c r="BC804" s="108"/>
      <c r="BD804" s="108"/>
      <c r="BE804" s="108"/>
      <c r="BF804" s="108"/>
      <c r="BG804" s="108"/>
      <c r="BH804" s="108"/>
      <c r="BI804" s="108"/>
      <c r="BJ804" s="108"/>
      <c r="BK804" s="109"/>
      <c r="BL804" s="108"/>
      <c r="BM804" s="108"/>
      <c r="BN804" s="108"/>
    </row>
    <row r="805" spans="1:66" ht="12" customHeight="1" x14ac:dyDescent="0.2">
      <c r="A805" s="179"/>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c r="AA805" s="108"/>
      <c r="AB805" s="108"/>
      <c r="AC805" s="108"/>
      <c r="AD805" s="108"/>
      <c r="AE805" s="108"/>
      <c r="AF805" s="108"/>
      <c r="AG805" s="108"/>
      <c r="AH805" s="108"/>
      <c r="AI805" s="108"/>
      <c r="AJ805" s="108"/>
      <c r="AK805" s="108"/>
      <c r="AL805" s="108"/>
      <c r="AM805" s="108"/>
      <c r="AN805" s="108"/>
      <c r="AO805" s="108"/>
      <c r="AP805" s="108"/>
      <c r="AQ805" s="108"/>
      <c r="AR805" s="108"/>
      <c r="AS805" s="108"/>
      <c r="AT805" s="108"/>
      <c r="AU805" s="108"/>
      <c r="AV805" s="108"/>
      <c r="AW805" s="108"/>
      <c r="AX805" s="108"/>
      <c r="AY805" s="108"/>
      <c r="AZ805" s="108"/>
      <c r="BA805" s="108"/>
      <c r="BB805" s="108"/>
      <c r="BC805" s="108"/>
      <c r="BD805" s="108"/>
      <c r="BE805" s="108"/>
      <c r="BF805" s="108"/>
      <c r="BG805" s="108"/>
      <c r="BH805" s="108"/>
      <c r="BI805" s="108"/>
      <c r="BJ805" s="108"/>
      <c r="BK805" s="109"/>
      <c r="BL805" s="108"/>
      <c r="BM805" s="108"/>
      <c r="BN805" s="108"/>
    </row>
    <row r="806" spans="1:66" ht="12" customHeight="1" x14ac:dyDescent="0.2">
      <c r="A806" s="179"/>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c r="AA806" s="108"/>
      <c r="AB806" s="108"/>
      <c r="AC806" s="108"/>
      <c r="AD806" s="108"/>
      <c r="AE806" s="108"/>
      <c r="AF806" s="108"/>
      <c r="AG806" s="108"/>
      <c r="AH806" s="108"/>
      <c r="AI806" s="108"/>
      <c r="AJ806" s="108"/>
      <c r="AK806" s="108"/>
      <c r="AL806" s="108"/>
      <c r="AM806" s="108"/>
      <c r="AN806" s="108"/>
      <c r="AO806" s="108"/>
      <c r="AP806" s="108"/>
      <c r="AQ806" s="108"/>
      <c r="AR806" s="108"/>
      <c r="AS806" s="108"/>
      <c r="AT806" s="108"/>
      <c r="AU806" s="108"/>
      <c r="AV806" s="108"/>
      <c r="AW806" s="108"/>
      <c r="AX806" s="108"/>
      <c r="AY806" s="108"/>
      <c r="AZ806" s="108"/>
      <c r="BA806" s="108"/>
      <c r="BB806" s="108"/>
      <c r="BC806" s="108"/>
      <c r="BD806" s="108"/>
      <c r="BE806" s="108"/>
      <c r="BF806" s="108"/>
      <c r="BG806" s="108"/>
      <c r="BH806" s="108"/>
      <c r="BI806" s="108"/>
      <c r="BJ806" s="108"/>
      <c r="BK806" s="109"/>
      <c r="BL806" s="108"/>
      <c r="BM806" s="108"/>
      <c r="BN806" s="108"/>
    </row>
    <row r="807" spans="1:66" ht="12" customHeight="1" x14ac:dyDescent="0.2">
      <c r="A807" s="179"/>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c r="AA807" s="108"/>
      <c r="AB807" s="108"/>
      <c r="AC807" s="108"/>
      <c r="AD807" s="108"/>
      <c r="AE807" s="108"/>
      <c r="AF807" s="108"/>
      <c r="AG807" s="108"/>
      <c r="AH807" s="108"/>
      <c r="AI807" s="108"/>
      <c r="AJ807" s="108"/>
      <c r="AK807" s="108"/>
      <c r="AL807" s="108"/>
      <c r="AM807" s="108"/>
      <c r="AN807" s="108"/>
      <c r="AO807" s="108"/>
      <c r="AP807" s="108"/>
      <c r="AQ807" s="108"/>
      <c r="AR807" s="108"/>
      <c r="AS807" s="108"/>
      <c r="AT807" s="108"/>
      <c r="AU807" s="108"/>
      <c r="AV807" s="108"/>
      <c r="AW807" s="108"/>
      <c r="AX807" s="108"/>
      <c r="AY807" s="108"/>
      <c r="AZ807" s="108"/>
      <c r="BA807" s="108"/>
      <c r="BB807" s="108"/>
      <c r="BC807" s="108"/>
      <c r="BD807" s="108"/>
      <c r="BE807" s="108"/>
      <c r="BF807" s="108"/>
      <c r="BG807" s="108"/>
      <c r="BH807" s="108"/>
      <c r="BI807" s="108"/>
      <c r="BJ807" s="108"/>
      <c r="BK807" s="109"/>
      <c r="BL807" s="108"/>
      <c r="BM807" s="108"/>
      <c r="BN807" s="108"/>
    </row>
    <row r="808" spans="1:66" ht="12" customHeight="1" x14ac:dyDescent="0.2">
      <c r="A808" s="179"/>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c r="AA808" s="108"/>
      <c r="AB808" s="108"/>
      <c r="AC808" s="108"/>
      <c r="AD808" s="108"/>
      <c r="AE808" s="108"/>
      <c r="AF808" s="108"/>
      <c r="AG808" s="108"/>
      <c r="AH808" s="108"/>
      <c r="AI808" s="108"/>
      <c r="AJ808" s="108"/>
      <c r="AK808" s="108"/>
      <c r="AL808" s="108"/>
      <c r="AM808" s="108"/>
      <c r="AN808" s="108"/>
      <c r="AO808" s="108"/>
      <c r="AP808" s="108"/>
      <c r="AQ808" s="108"/>
      <c r="AR808" s="108"/>
      <c r="AS808" s="108"/>
      <c r="AT808" s="108"/>
      <c r="AU808" s="108"/>
      <c r="AV808" s="108"/>
      <c r="AW808" s="108"/>
      <c r="AX808" s="108"/>
      <c r="AY808" s="108"/>
      <c r="AZ808" s="108"/>
      <c r="BA808" s="108"/>
      <c r="BB808" s="108"/>
      <c r="BC808" s="108"/>
      <c r="BD808" s="108"/>
      <c r="BE808" s="108"/>
      <c r="BF808" s="108"/>
      <c r="BG808" s="108"/>
      <c r="BH808" s="108"/>
      <c r="BI808" s="108"/>
      <c r="BJ808" s="108"/>
      <c r="BK808" s="109"/>
      <c r="BL808" s="108"/>
      <c r="BM808" s="108"/>
      <c r="BN808" s="108"/>
    </row>
    <row r="809" spans="1:66" ht="12" customHeight="1" x14ac:dyDescent="0.2">
      <c r="A809" s="179"/>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c r="AA809" s="108"/>
      <c r="AB809" s="108"/>
      <c r="AC809" s="108"/>
      <c r="AD809" s="108"/>
      <c r="AE809" s="108"/>
      <c r="AF809" s="108"/>
      <c r="AG809" s="108"/>
      <c r="AH809" s="108"/>
      <c r="AI809" s="108"/>
      <c r="AJ809" s="108"/>
      <c r="AK809" s="108"/>
      <c r="AL809" s="108"/>
      <c r="AM809" s="108"/>
      <c r="AN809" s="108"/>
      <c r="AO809" s="108"/>
      <c r="AP809" s="108"/>
      <c r="AQ809" s="108"/>
      <c r="AR809" s="108"/>
      <c r="AS809" s="108"/>
      <c r="AT809" s="108"/>
      <c r="AU809" s="108"/>
      <c r="AV809" s="108"/>
      <c r="AW809" s="108"/>
      <c r="AX809" s="108"/>
      <c r="AY809" s="108"/>
      <c r="AZ809" s="108"/>
      <c r="BA809" s="108"/>
      <c r="BB809" s="108"/>
      <c r="BC809" s="108"/>
      <c r="BD809" s="108"/>
      <c r="BE809" s="108"/>
      <c r="BF809" s="108"/>
      <c r="BG809" s="108"/>
      <c r="BH809" s="108"/>
      <c r="BI809" s="108"/>
      <c r="BJ809" s="108"/>
      <c r="BK809" s="109"/>
      <c r="BL809" s="108"/>
      <c r="BM809" s="108"/>
      <c r="BN809" s="108"/>
    </row>
    <row r="810" spans="1:66" ht="12" customHeight="1" x14ac:dyDescent="0.2">
      <c r="A810" s="179"/>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c r="AA810" s="108"/>
      <c r="AB810" s="108"/>
      <c r="AC810" s="108"/>
      <c r="AD810" s="108"/>
      <c r="AE810" s="108"/>
      <c r="AF810" s="108"/>
      <c r="AG810" s="108"/>
      <c r="AH810" s="108"/>
      <c r="AI810" s="108"/>
      <c r="AJ810" s="108"/>
      <c r="AK810" s="108"/>
      <c r="AL810" s="108"/>
      <c r="AM810" s="108"/>
      <c r="AN810" s="108"/>
      <c r="AO810" s="108"/>
      <c r="AP810" s="108"/>
      <c r="AQ810" s="108"/>
      <c r="AR810" s="108"/>
      <c r="AS810" s="108"/>
      <c r="AT810" s="108"/>
      <c r="AU810" s="108"/>
      <c r="AV810" s="108"/>
      <c r="AW810" s="108"/>
      <c r="AX810" s="108"/>
      <c r="AY810" s="108"/>
      <c r="AZ810" s="108"/>
      <c r="BA810" s="108"/>
      <c r="BB810" s="108"/>
      <c r="BC810" s="108"/>
      <c r="BD810" s="108"/>
      <c r="BE810" s="108"/>
      <c r="BF810" s="108"/>
      <c r="BG810" s="108"/>
      <c r="BH810" s="108"/>
      <c r="BI810" s="108"/>
      <c r="BJ810" s="108"/>
      <c r="BK810" s="109"/>
      <c r="BL810" s="108"/>
      <c r="BM810" s="108"/>
      <c r="BN810" s="108"/>
    </row>
    <row r="811" spans="1:66" ht="12" customHeight="1" x14ac:dyDescent="0.2">
      <c r="A811" s="179"/>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c r="AA811" s="108"/>
      <c r="AB811" s="108"/>
      <c r="AC811" s="108"/>
      <c r="AD811" s="108"/>
      <c r="AE811" s="108"/>
      <c r="AF811" s="108"/>
      <c r="AG811" s="108"/>
      <c r="AH811" s="108"/>
      <c r="AI811" s="108"/>
      <c r="AJ811" s="108"/>
      <c r="AK811" s="108"/>
      <c r="AL811" s="108"/>
      <c r="AM811" s="108"/>
      <c r="AN811" s="108"/>
      <c r="AO811" s="108"/>
      <c r="AP811" s="108"/>
      <c r="AQ811" s="108"/>
      <c r="AR811" s="108"/>
      <c r="AS811" s="108"/>
      <c r="AT811" s="108"/>
      <c r="AU811" s="108"/>
      <c r="AV811" s="108"/>
      <c r="AW811" s="108"/>
      <c r="AX811" s="108"/>
      <c r="AY811" s="108"/>
      <c r="AZ811" s="108"/>
      <c r="BA811" s="108"/>
      <c r="BB811" s="108"/>
      <c r="BC811" s="108"/>
      <c r="BD811" s="108"/>
      <c r="BE811" s="108"/>
      <c r="BF811" s="108"/>
      <c r="BG811" s="108"/>
      <c r="BH811" s="108"/>
      <c r="BI811" s="108"/>
      <c r="BJ811" s="108"/>
      <c r="BK811" s="109"/>
      <c r="BL811" s="108"/>
      <c r="BM811" s="108"/>
      <c r="BN811" s="108"/>
    </row>
    <row r="812" spans="1:66" ht="12" customHeight="1" x14ac:dyDescent="0.2">
      <c r="A812" s="179"/>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c r="AA812" s="108"/>
      <c r="AB812" s="108"/>
      <c r="AC812" s="108"/>
      <c r="AD812" s="108"/>
      <c r="AE812" s="108"/>
      <c r="AF812" s="108"/>
      <c r="AG812" s="108"/>
      <c r="AH812" s="108"/>
      <c r="AI812" s="108"/>
      <c r="AJ812" s="108"/>
      <c r="AK812" s="108"/>
      <c r="AL812" s="108"/>
      <c r="AM812" s="108"/>
      <c r="AN812" s="108"/>
      <c r="AO812" s="108"/>
      <c r="AP812" s="108"/>
      <c r="AQ812" s="108"/>
      <c r="AR812" s="108"/>
      <c r="AS812" s="108"/>
      <c r="AT812" s="108"/>
      <c r="AU812" s="108"/>
      <c r="AV812" s="108"/>
      <c r="AW812" s="108"/>
      <c r="AX812" s="108"/>
      <c r="AY812" s="108"/>
      <c r="AZ812" s="108"/>
      <c r="BA812" s="108"/>
      <c r="BB812" s="108"/>
      <c r="BC812" s="108"/>
      <c r="BD812" s="108"/>
      <c r="BE812" s="108"/>
      <c r="BF812" s="108"/>
      <c r="BG812" s="108"/>
      <c r="BH812" s="108"/>
      <c r="BI812" s="108"/>
      <c r="BJ812" s="108"/>
      <c r="BK812" s="109"/>
      <c r="BL812" s="108"/>
      <c r="BM812" s="108"/>
      <c r="BN812" s="108"/>
    </row>
    <row r="813" spans="1:66" ht="12" customHeight="1" x14ac:dyDescent="0.2">
      <c r="A813" s="179"/>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c r="AA813" s="108"/>
      <c r="AB813" s="108"/>
      <c r="AC813" s="108"/>
      <c r="AD813" s="108"/>
      <c r="AE813" s="108"/>
      <c r="AF813" s="108"/>
      <c r="AG813" s="108"/>
      <c r="AH813" s="108"/>
      <c r="AI813" s="108"/>
      <c r="AJ813" s="108"/>
      <c r="AK813" s="108"/>
      <c r="AL813" s="108"/>
      <c r="AM813" s="108"/>
      <c r="AN813" s="108"/>
      <c r="AO813" s="108"/>
      <c r="AP813" s="108"/>
      <c r="AQ813" s="108"/>
      <c r="AR813" s="108"/>
      <c r="AS813" s="108"/>
      <c r="AT813" s="108"/>
      <c r="AU813" s="108"/>
      <c r="AV813" s="108"/>
      <c r="AW813" s="108"/>
      <c r="AX813" s="108"/>
      <c r="AY813" s="108"/>
      <c r="AZ813" s="108"/>
      <c r="BA813" s="108"/>
      <c r="BB813" s="108"/>
      <c r="BC813" s="108"/>
      <c r="BD813" s="108"/>
      <c r="BE813" s="108"/>
      <c r="BF813" s="108"/>
      <c r="BG813" s="108"/>
      <c r="BH813" s="108"/>
      <c r="BI813" s="108"/>
      <c r="BJ813" s="108"/>
      <c r="BK813" s="109"/>
      <c r="BL813" s="108"/>
      <c r="BM813" s="108"/>
      <c r="BN813" s="108"/>
    </row>
    <row r="814" spans="1:66" ht="12" customHeight="1" x14ac:dyDescent="0.2">
      <c r="A814" s="179"/>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c r="AA814" s="108"/>
      <c r="AB814" s="108"/>
      <c r="AC814" s="108"/>
      <c r="AD814" s="108"/>
      <c r="AE814" s="108"/>
      <c r="AF814" s="108"/>
      <c r="AG814" s="108"/>
      <c r="AH814" s="108"/>
      <c r="AI814" s="108"/>
      <c r="AJ814" s="108"/>
      <c r="AK814" s="108"/>
      <c r="AL814" s="108"/>
      <c r="AM814" s="108"/>
      <c r="AN814" s="108"/>
      <c r="AO814" s="108"/>
      <c r="AP814" s="108"/>
      <c r="AQ814" s="108"/>
      <c r="AR814" s="108"/>
      <c r="AS814" s="108"/>
      <c r="AT814" s="108"/>
      <c r="AU814" s="108"/>
      <c r="AV814" s="108"/>
      <c r="AW814" s="108"/>
      <c r="AX814" s="108"/>
      <c r="AY814" s="108"/>
      <c r="AZ814" s="108"/>
      <c r="BA814" s="108"/>
      <c r="BB814" s="108"/>
      <c r="BC814" s="108"/>
      <c r="BD814" s="108"/>
      <c r="BE814" s="108"/>
      <c r="BF814" s="108"/>
      <c r="BG814" s="108"/>
      <c r="BH814" s="108"/>
      <c r="BI814" s="108"/>
      <c r="BJ814" s="108"/>
      <c r="BK814" s="109"/>
      <c r="BL814" s="108"/>
      <c r="BM814" s="108"/>
      <c r="BN814" s="108"/>
    </row>
    <row r="815" spans="1:66" ht="12" customHeight="1" x14ac:dyDescent="0.2">
      <c r="A815" s="179"/>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c r="AA815" s="108"/>
      <c r="AB815" s="108"/>
      <c r="AC815" s="108"/>
      <c r="AD815" s="108"/>
      <c r="AE815" s="108"/>
      <c r="AF815" s="108"/>
      <c r="AG815" s="108"/>
      <c r="AH815" s="108"/>
      <c r="AI815" s="108"/>
      <c r="AJ815" s="108"/>
      <c r="AK815" s="108"/>
      <c r="AL815" s="108"/>
      <c r="AM815" s="108"/>
      <c r="AN815" s="108"/>
      <c r="AO815" s="108"/>
      <c r="AP815" s="108"/>
      <c r="AQ815" s="108"/>
      <c r="AR815" s="108"/>
      <c r="AS815" s="108"/>
      <c r="AT815" s="108"/>
      <c r="AU815" s="108"/>
      <c r="AV815" s="108"/>
      <c r="AW815" s="108"/>
      <c r="AX815" s="108"/>
      <c r="AY815" s="108"/>
      <c r="AZ815" s="108"/>
      <c r="BA815" s="108"/>
      <c r="BB815" s="108"/>
      <c r="BC815" s="108"/>
      <c r="BD815" s="108"/>
      <c r="BE815" s="108"/>
      <c r="BF815" s="108"/>
      <c r="BG815" s="108"/>
      <c r="BH815" s="108"/>
      <c r="BI815" s="108"/>
      <c r="BJ815" s="108"/>
      <c r="BK815" s="109"/>
      <c r="BL815" s="108"/>
      <c r="BM815" s="108"/>
      <c r="BN815" s="108"/>
    </row>
    <row r="816" spans="1:66" ht="12" customHeight="1" x14ac:dyDescent="0.2">
      <c r="A816" s="179"/>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c r="AA816" s="108"/>
      <c r="AB816" s="108"/>
      <c r="AC816" s="108"/>
      <c r="AD816" s="108"/>
      <c r="AE816" s="108"/>
      <c r="AF816" s="108"/>
      <c r="AG816" s="108"/>
      <c r="AH816" s="108"/>
      <c r="AI816" s="108"/>
      <c r="AJ816" s="108"/>
      <c r="AK816" s="108"/>
      <c r="AL816" s="108"/>
      <c r="AM816" s="108"/>
      <c r="AN816" s="108"/>
      <c r="AO816" s="108"/>
      <c r="AP816" s="108"/>
      <c r="AQ816" s="108"/>
      <c r="AR816" s="108"/>
      <c r="AS816" s="108"/>
      <c r="AT816" s="108"/>
      <c r="AU816" s="108"/>
      <c r="AV816" s="108"/>
      <c r="AW816" s="108"/>
      <c r="AX816" s="108"/>
      <c r="AY816" s="108"/>
      <c r="AZ816" s="108"/>
      <c r="BA816" s="108"/>
      <c r="BB816" s="108"/>
      <c r="BC816" s="108"/>
      <c r="BD816" s="108"/>
      <c r="BE816" s="108"/>
      <c r="BF816" s="108"/>
      <c r="BG816" s="108"/>
      <c r="BH816" s="108"/>
      <c r="BI816" s="108"/>
      <c r="BJ816" s="108"/>
      <c r="BK816" s="109"/>
      <c r="BL816" s="108"/>
      <c r="BM816" s="108"/>
      <c r="BN816" s="108"/>
    </row>
    <row r="817" spans="1:66" ht="12" customHeight="1" x14ac:dyDescent="0.2">
      <c r="A817" s="179"/>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c r="AA817" s="108"/>
      <c r="AB817" s="108"/>
      <c r="AC817" s="108"/>
      <c r="AD817" s="108"/>
      <c r="AE817" s="108"/>
      <c r="AF817" s="108"/>
      <c r="AG817" s="108"/>
      <c r="AH817" s="108"/>
      <c r="AI817" s="108"/>
      <c r="AJ817" s="108"/>
      <c r="AK817" s="108"/>
      <c r="AL817" s="108"/>
      <c r="AM817" s="108"/>
      <c r="AN817" s="108"/>
      <c r="AO817" s="108"/>
      <c r="AP817" s="108"/>
      <c r="AQ817" s="108"/>
      <c r="AR817" s="108"/>
      <c r="AS817" s="108"/>
      <c r="AT817" s="108"/>
      <c r="AU817" s="108"/>
      <c r="AV817" s="108"/>
      <c r="AW817" s="108"/>
      <c r="AX817" s="108"/>
      <c r="AY817" s="108"/>
      <c r="AZ817" s="108"/>
      <c r="BA817" s="108"/>
      <c r="BB817" s="108"/>
      <c r="BC817" s="108"/>
      <c r="BD817" s="108"/>
      <c r="BE817" s="108"/>
      <c r="BF817" s="108"/>
      <c r="BG817" s="108"/>
      <c r="BH817" s="108"/>
      <c r="BI817" s="108"/>
      <c r="BJ817" s="108"/>
      <c r="BK817" s="109"/>
      <c r="BL817" s="108"/>
      <c r="BM817" s="108"/>
      <c r="BN817" s="108"/>
    </row>
    <row r="818" spans="1:66" ht="12" customHeight="1" x14ac:dyDescent="0.2">
      <c r="A818" s="179"/>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c r="AA818" s="108"/>
      <c r="AB818" s="108"/>
      <c r="AC818" s="108"/>
      <c r="AD818" s="108"/>
      <c r="AE818" s="108"/>
      <c r="AF818" s="108"/>
      <c r="AG818" s="108"/>
      <c r="AH818" s="108"/>
      <c r="AI818" s="108"/>
      <c r="AJ818" s="108"/>
      <c r="AK818" s="108"/>
      <c r="AL818" s="108"/>
      <c r="AM818" s="108"/>
      <c r="AN818" s="108"/>
      <c r="AO818" s="108"/>
      <c r="AP818" s="108"/>
      <c r="AQ818" s="108"/>
      <c r="AR818" s="108"/>
      <c r="AS818" s="108"/>
      <c r="AT818" s="108"/>
      <c r="AU818" s="108"/>
      <c r="AV818" s="108"/>
      <c r="AW818" s="108"/>
      <c r="AX818" s="108"/>
      <c r="AY818" s="108"/>
      <c r="AZ818" s="108"/>
      <c r="BA818" s="108"/>
      <c r="BB818" s="108"/>
      <c r="BC818" s="108"/>
      <c r="BD818" s="108"/>
      <c r="BE818" s="108"/>
      <c r="BF818" s="108"/>
      <c r="BG818" s="108"/>
      <c r="BH818" s="108"/>
      <c r="BI818" s="108"/>
      <c r="BJ818" s="108"/>
      <c r="BK818" s="109"/>
      <c r="BL818" s="108"/>
      <c r="BM818" s="108"/>
      <c r="BN818" s="108"/>
    </row>
    <row r="819" spans="1:66" ht="12" customHeight="1" x14ac:dyDescent="0.2">
      <c r="A819" s="179"/>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c r="AA819" s="108"/>
      <c r="AB819" s="108"/>
      <c r="AC819" s="108"/>
      <c r="AD819" s="108"/>
      <c r="AE819" s="108"/>
      <c r="AF819" s="108"/>
      <c r="AG819" s="108"/>
      <c r="AH819" s="108"/>
      <c r="AI819" s="108"/>
      <c r="AJ819" s="108"/>
      <c r="AK819" s="108"/>
      <c r="AL819" s="108"/>
      <c r="AM819" s="108"/>
      <c r="AN819" s="108"/>
      <c r="AO819" s="108"/>
      <c r="AP819" s="108"/>
      <c r="AQ819" s="108"/>
      <c r="AR819" s="108"/>
      <c r="AS819" s="108"/>
      <c r="AT819" s="108"/>
      <c r="AU819" s="108"/>
      <c r="AV819" s="108"/>
      <c r="AW819" s="108"/>
      <c r="AX819" s="108"/>
      <c r="AY819" s="108"/>
      <c r="AZ819" s="108"/>
      <c r="BA819" s="108"/>
      <c r="BB819" s="108"/>
      <c r="BC819" s="108"/>
      <c r="BD819" s="108"/>
      <c r="BE819" s="108"/>
      <c r="BF819" s="108"/>
      <c r="BG819" s="108"/>
      <c r="BH819" s="108"/>
      <c r="BI819" s="108"/>
      <c r="BJ819" s="108"/>
      <c r="BK819" s="109"/>
      <c r="BL819" s="108"/>
      <c r="BM819" s="108"/>
      <c r="BN819" s="108"/>
    </row>
    <row r="820" spans="1:66" ht="12" customHeight="1" x14ac:dyDescent="0.2">
      <c r="A820" s="179"/>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c r="AA820" s="108"/>
      <c r="AB820" s="108"/>
      <c r="AC820" s="108"/>
      <c r="AD820" s="108"/>
      <c r="AE820" s="108"/>
      <c r="AF820" s="108"/>
      <c r="AG820" s="108"/>
      <c r="AH820" s="108"/>
      <c r="AI820" s="108"/>
      <c r="AJ820" s="108"/>
      <c r="AK820" s="108"/>
      <c r="AL820" s="108"/>
      <c r="AM820" s="108"/>
      <c r="AN820" s="108"/>
      <c r="AO820" s="108"/>
      <c r="AP820" s="108"/>
      <c r="AQ820" s="108"/>
      <c r="AR820" s="108"/>
      <c r="AS820" s="108"/>
      <c r="AT820" s="108"/>
      <c r="AU820" s="108"/>
      <c r="AV820" s="108"/>
      <c r="AW820" s="108"/>
      <c r="AX820" s="108"/>
      <c r="AY820" s="108"/>
      <c r="AZ820" s="108"/>
      <c r="BA820" s="108"/>
      <c r="BB820" s="108"/>
      <c r="BC820" s="108"/>
      <c r="BD820" s="108"/>
      <c r="BE820" s="108"/>
      <c r="BF820" s="108"/>
      <c r="BG820" s="108"/>
      <c r="BH820" s="108"/>
      <c r="BI820" s="108"/>
      <c r="BJ820" s="108"/>
      <c r="BK820" s="109"/>
      <c r="BL820" s="108"/>
      <c r="BM820" s="108"/>
      <c r="BN820" s="108"/>
    </row>
    <row r="821" spans="1:66" ht="12" customHeight="1" x14ac:dyDescent="0.2">
      <c r="A821" s="179"/>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c r="AA821" s="108"/>
      <c r="AB821" s="108"/>
      <c r="AC821" s="108"/>
      <c r="AD821" s="108"/>
      <c r="AE821" s="108"/>
      <c r="AF821" s="108"/>
      <c r="AG821" s="108"/>
      <c r="AH821" s="108"/>
      <c r="AI821" s="108"/>
      <c r="AJ821" s="108"/>
      <c r="AK821" s="108"/>
      <c r="AL821" s="108"/>
      <c r="AM821" s="108"/>
      <c r="AN821" s="108"/>
      <c r="AO821" s="108"/>
      <c r="AP821" s="108"/>
      <c r="AQ821" s="108"/>
      <c r="AR821" s="108"/>
      <c r="AS821" s="108"/>
      <c r="AT821" s="108"/>
      <c r="AU821" s="108"/>
      <c r="AV821" s="108"/>
      <c r="AW821" s="108"/>
      <c r="AX821" s="108"/>
      <c r="AY821" s="108"/>
      <c r="AZ821" s="108"/>
      <c r="BA821" s="108"/>
      <c r="BB821" s="108"/>
      <c r="BC821" s="108"/>
      <c r="BD821" s="108"/>
      <c r="BE821" s="108"/>
      <c r="BF821" s="108"/>
      <c r="BG821" s="108"/>
      <c r="BH821" s="108"/>
      <c r="BI821" s="108"/>
      <c r="BJ821" s="108"/>
      <c r="BK821" s="109"/>
      <c r="BL821" s="108"/>
      <c r="BM821" s="108"/>
      <c r="BN821" s="108"/>
    </row>
    <row r="822" spans="1:66" ht="12" customHeight="1" x14ac:dyDescent="0.2">
      <c r="A822" s="179"/>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c r="AA822" s="108"/>
      <c r="AB822" s="108"/>
      <c r="AC822" s="108"/>
      <c r="AD822" s="108"/>
      <c r="AE822" s="108"/>
      <c r="AF822" s="108"/>
      <c r="AG822" s="108"/>
      <c r="AH822" s="108"/>
      <c r="AI822" s="108"/>
      <c r="AJ822" s="108"/>
      <c r="AK822" s="108"/>
      <c r="AL822" s="108"/>
      <c r="AM822" s="108"/>
      <c r="AN822" s="108"/>
      <c r="AO822" s="108"/>
      <c r="AP822" s="108"/>
      <c r="AQ822" s="108"/>
      <c r="AR822" s="108"/>
      <c r="AS822" s="108"/>
      <c r="AT822" s="108"/>
      <c r="AU822" s="108"/>
      <c r="AV822" s="108"/>
      <c r="AW822" s="108"/>
      <c r="AX822" s="108"/>
      <c r="AY822" s="108"/>
      <c r="AZ822" s="108"/>
      <c r="BA822" s="108"/>
      <c r="BB822" s="108"/>
      <c r="BC822" s="108"/>
      <c r="BD822" s="108"/>
      <c r="BE822" s="108"/>
      <c r="BF822" s="108"/>
      <c r="BG822" s="108"/>
      <c r="BH822" s="108"/>
      <c r="BI822" s="108"/>
      <c r="BJ822" s="108"/>
      <c r="BK822" s="109"/>
      <c r="BL822" s="108"/>
      <c r="BM822" s="108"/>
      <c r="BN822" s="108"/>
    </row>
    <row r="823" spans="1:66" ht="12" customHeight="1" x14ac:dyDescent="0.2">
      <c r="A823" s="179"/>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c r="AA823" s="108"/>
      <c r="AB823" s="108"/>
      <c r="AC823" s="108"/>
      <c r="AD823" s="108"/>
      <c r="AE823" s="108"/>
      <c r="AF823" s="108"/>
      <c r="AG823" s="108"/>
      <c r="AH823" s="108"/>
      <c r="AI823" s="108"/>
      <c r="AJ823" s="108"/>
      <c r="AK823" s="108"/>
      <c r="AL823" s="108"/>
      <c r="AM823" s="108"/>
      <c r="AN823" s="108"/>
      <c r="AO823" s="108"/>
      <c r="AP823" s="108"/>
      <c r="AQ823" s="108"/>
      <c r="AR823" s="108"/>
      <c r="AS823" s="108"/>
      <c r="AT823" s="108"/>
      <c r="AU823" s="108"/>
      <c r="AV823" s="108"/>
      <c r="AW823" s="108"/>
      <c r="AX823" s="108"/>
      <c r="AY823" s="108"/>
      <c r="AZ823" s="108"/>
      <c r="BA823" s="108"/>
      <c r="BB823" s="108"/>
      <c r="BC823" s="108"/>
      <c r="BD823" s="108"/>
      <c r="BE823" s="108"/>
      <c r="BF823" s="108"/>
      <c r="BG823" s="108"/>
      <c r="BH823" s="108"/>
      <c r="BI823" s="108"/>
      <c r="BJ823" s="108"/>
      <c r="BK823" s="109"/>
      <c r="BL823" s="108"/>
      <c r="BM823" s="108"/>
      <c r="BN823" s="108"/>
    </row>
    <row r="824" spans="1:66" ht="12" customHeight="1" x14ac:dyDescent="0.2">
      <c r="A824" s="179"/>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c r="AA824" s="108"/>
      <c r="AB824" s="108"/>
      <c r="AC824" s="108"/>
      <c r="AD824" s="108"/>
      <c r="AE824" s="108"/>
      <c r="AF824" s="108"/>
      <c r="AG824" s="108"/>
      <c r="AH824" s="108"/>
      <c r="AI824" s="108"/>
      <c r="AJ824" s="108"/>
      <c r="AK824" s="108"/>
      <c r="AL824" s="108"/>
      <c r="AM824" s="108"/>
      <c r="AN824" s="108"/>
      <c r="AO824" s="108"/>
      <c r="AP824" s="108"/>
      <c r="AQ824" s="108"/>
      <c r="AR824" s="108"/>
      <c r="AS824" s="108"/>
      <c r="AT824" s="108"/>
      <c r="AU824" s="108"/>
      <c r="AV824" s="108"/>
      <c r="AW824" s="108"/>
      <c r="AX824" s="108"/>
      <c r="AY824" s="108"/>
      <c r="AZ824" s="108"/>
      <c r="BA824" s="108"/>
      <c r="BB824" s="108"/>
      <c r="BC824" s="108"/>
      <c r="BD824" s="108"/>
      <c r="BE824" s="108"/>
      <c r="BF824" s="108"/>
      <c r="BG824" s="108"/>
      <c r="BH824" s="108"/>
      <c r="BI824" s="108"/>
      <c r="BJ824" s="108"/>
      <c r="BK824" s="109"/>
      <c r="BL824" s="108"/>
      <c r="BM824" s="108"/>
      <c r="BN824" s="108"/>
    </row>
    <row r="825" spans="1:66" ht="12" customHeight="1" x14ac:dyDescent="0.2">
      <c r="A825" s="179"/>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c r="AA825" s="108"/>
      <c r="AB825" s="108"/>
      <c r="AC825" s="108"/>
      <c r="AD825" s="108"/>
      <c r="AE825" s="108"/>
      <c r="AF825" s="108"/>
      <c r="AG825" s="108"/>
      <c r="AH825" s="108"/>
      <c r="AI825" s="108"/>
      <c r="AJ825" s="108"/>
      <c r="AK825" s="108"/>
      <c r="AL825" s="108"/>
      <c r="AM825" s="108"/>
      <c r="AN825" s="108"/>
      <c r="AO825" s="108"/>
      <c r="AP825" s="108"/>
      <c r="AQ825" s="108"/>
      <c r="AR825" s="108"/>
      <c r="AS825" s="108"/>
      <c r="AT825" s="108"/>
      <c r="AU825" s="108"/>
      <c r="AV825" s="108"/>
      <c r="AW825" s="108"/>
      <c r="AX825" s="108"/>
      <c r="AY825" s="108"/>
      <c r="AZ825" s="108"/>
      <c r="BA825" s="108"/>
      <c r="BB825" s="108"/>
      <c r="BC825" s="108"/>
      <c r="BD825" s="108"/>
      <c r="BE825" s="108"/>
      <c r="BF825" s="108"/>
      <c r="BG825" s="108"/>
      <c r="BH825" s="108"/>
      <c r="BI825" s="108"/>
      <c r="BJ825" s="108"/>
      <c r="BK825" s="109"/>
      <c r="BL825" s="108"/>
      <c r="BM825" s="108"/>
      <c r="BN825" s="108"/>
    </row>
    <row r="826" spans="1:66" ht="12" customHeight="1" x14ac:dyDescent="0.2">
      <c r="A826" s="179"/>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c r="AA826" s="108"/>
      <c r="AB826" s="108"/>
      <c r="AC826" s="108"/>
      <c r="AD826" s="108"/>
      <c r="AE826" s="108"/>
      <c r="AF826" s="108"/>
      <c r="AG826" s="108"/>
      <c r="AH826" s="108"/>
      <c r="AI826" s="108"/>
      <c r="AJ826" s="108"/>
      <c r="AK826" s="108"/>
      <c r="AL826" s="108"/>
      <c r="AM826" s="108"/>
      <c r="AN826" s="108"/>
      <c r="AO826" s="108"/>
      <c r="AP826" s="108"/>
      <c r="AQ826" s="108"/>
      <c r="AR826" s="108"/>
      <c r="AS826" s="108"/>
      <c r="AT826" s="108"/>
      <c r="AU826" s="108"/>
      <c r="AV826" s="108"/>
      <c r="AW826" s="108"/>
      <c r="AX826" s="108"/>
      <c r="AY826" s="108"/>
      <c r="AZ826" s="108"/>
      <c r="BA826" s="108"/>
      <c r="BB826" s="108"/>
      <c r="BC826" s="108"/>
      <c r="BD826" s="108"/>
      <c r="BE826" s="108"/>
      <c r="BF826" s="108"/>
      <c r="BG826" s="108"/>
      <c r="BH826" s="108"/>
      <c r="BI826" s="108"/>
      <c r="BJ826" s="108"/>
      <c r="BK826" s="109"/>
      <c r="BL826" s="108"/>
      <c r="BM826" s="108"/>
      <c r="BN826" s="108"/>
    </row>
    <row r="827" spans="1:66" ht="12" customHeight="1" x14ac:dyDescent="0.2">
      <c r="A827" s="179"/>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c r="AA827" s="108"/>
      <c r="AB827" s="108"/>
      <c r="AC827" s="108"/>
      <c r="AD827" s="108"/>
      <c r="AE827" s="108"/>
      <c r="AF827" s="108"/>
      <c r="AG827" s="108"/>
      <c r="AH827" s="108"/>
      <c r="AI827" s="108"/>
      <c r="AJ827" s="108"/>
      <c r="AK827" s="108"/>
      <c r="AL827" s="108"/>
      <c r="AM827" s="108"/>
      <c r="AN827" s="108"/>
      <c r="AO827" s="108"/>
      <c r="AP827" s="108"/>
      <c r="AQ827" s="108"/>
      <c r="AR827" s="108"/>
      <c r="AS827" s="108"/>
      <c r="AT827" s="108"/>
      <c r="AU827" s="108"/>
      <c r="AV827" s="108"/>
      <c r="AW827" s="108"/>
      <c r="AX827" s="108"/>
      <c r="AY827" s="108"/>
      <c r="AZ827" s="108"/>
      <c r="BA827" s="108"/>
      <c r="BB827" s="108"/>
      <c r="BC827" s="108"/>
      <c r="BD827" s="108"/>
      <c r="BE827" s="108"/>
      <c r="BF827" s="108"/>
      <c r="BG827" s="108"/>
      <c r="BH827" s="108"/>
      <c r="BI827" s="108"/>
      <c r="BJ827" s="108"/>
      <c r="BK827" s="109"/>
      <c r="BL827" s="108"/>
      <c r="BM827" s="108"/>
      <c r="BN827" s="108"/>
    </row>
    <row r="828" spans="1:66" ht="12" customHeight="1" x14ac:dyDescent="0.2">
      <c r="A828" s="179"/>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c r="AA828" s="108"/>
      <c r="AB828" s="108"/>
      <c r="AC828" s="108"/>
      <c r="AD828" s="108"/>
      <c r="AE828" s="108"/>
      <c r="AF828" s="108"/>
      <c r="AG828" s="108"/>
      <c r="AH828" s="108"/>
      <c r="AI828" s="108"/>
      <c r="AJ828" s="108"/>
      <c r="AK828" s="108"/>
      <c r="AL828" s="108"/>
      <c r="AM828" s="108"/>
      <c r="AN828" s="108"/>
      <c r="AO828" s="108"/>
      <c r="AP828" s="108"/>
      <c r="AQ828" s="108"/>
      <c r="AR828" s="108"/>
      <c r="AS828" s="108"/>
      <c r="AT828" s="108"/>
      <c r="AU828" s="108"/>
      <c r="AV828" s="108"/>
      <c r="AW828" s="108"/>
      <c r="AX828" s="108"/>
      <c r="AY828" s="108"/>
      <c r="AZ828" s="108"/>
      <c r="BA828" s="108"/>
      <c r="BB828" s="108"/>
      <c r="BC828" s="108"/>
      <c r="BD828" s="108"/>
      <c r="BE828" s="108"/>
      <c r="BF828" s="108"/>
      <c r="BG828" s="108"/>
      <c r="BH828" s="108"/>
      <c r="BI828" s="108"/>
      <c r="BJ828" s="108"/>
      <c r="BK828" s="109"/>
      <c r="BL828" s="108"/>
      <c r="BM828" s="108"/>
      <c r="BN828" s="108"/>
    </row>
    <row r="829" spans="1:66" ht="12" customHeight="1" x14ac:dyDescent="0.2">
      <c r="A829" s="179"/>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c r="AA829" s="108"/>
      <c r="AB829" s="108"/>
      <c r="AC829" s="108"/>
      <c r="AD829" s="108"/>
      <c r="AE829" s="108"/>
      <c r="AF829" s="108"/>
      <c r="AG829" s="108"/>
      <c r="AH829" s="108"/>
      <c r="AI829" s="108"/>
      <c r="AJ829" s="108"/>
      <c r="AK829" s="108"/>
      <c r="AL829" s="108"/>
      <c r="AM829" s="108"/>
      <c r="AN829" s="108"/>
      <c r="AO829" s="108"/>
      <c r="AP829" s="108"/>
      <c r="AQ829" s="108"/>
      <c r="AR829" s="108"/>
      <c r="AS829" s="108"/>
      <c r="AT829" s="108"/>
      <c r="AU829" s="108"/>
      <c r="AV829" s="108"/>
      <c r="AW829" s="108"/>
      <c r="AX829" s="108"/>
      <c r="AY829" s="108"/>
      <c r="AZ829" s="108"/>
      <c r="BA829" s="108"/>
      <c r="BB829" s="108"/>
      <c r="BC829" s="108"/>
      <c r="BD829" s="108"/>
      <c r="BE829" s="108"/>
      <c r="BF829" s="108"/>
      <c r="BG829" s="108"/>
      <c r="BH829" s="108"/>
      <c r="BI829" s="108"/>
      <c r="BJ829" s="108"/>
      <c r="BK829" s="109"/>
      <c r="BL829" s="108"/>
      <c r="BM829" s="108"/>
      <c r="BN829" s="108"/>
    </row>
    <row r="830" spans="1:66" ht="12" customHeight="1" x14ac:dyDescent="0.2">
      <c r="A830" s="179"/>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c r="AA830" s="108"/>
      <c r="AB830" s="108"/>
      <c r="AC830" s="108"/>
      <c r="AD830" s="108"/>
      <c r="AE830" s="108"/>
      <c r="AF830" s="108"/>
      <c r="AG830" s="108"/>
      <c r="AH830" s="108"/>
      <c r="AI830" s="108"/>
      <c r="AJ830" s="108"/>
      <c r="AK830" s="108"/>
      <c r="AL830" s="108"/>
      <c r="AM830" s="108"/>
      <c r="AN830" s="108"/>
      <c r="AO830" s="108"/>
      <c r="AP830" s="108"/>
      <c r="AQ830" s="108"/>
      <c r="AR830" s="108"/>
      <c r="AS830" s="108"/>
      <c r="AT830" s="108"/>
      <c r="AU830" s="108"/>
      <c r="AV830" s="108"/>
      <c r="AW830" s="108"/>
      <c r="AX830" s="108"/>
      <c r="AY830" s="108"/>
      <c r="AZ830" s="108"/>
      <c r="BA830" s="108"/>
      <c r="BB830" s="108"/>
      <c r="BC830" s="108"/>
      <c r="BD830" s="108"/>
      <c r="BE830" s="108"/>
      <c r="BF830" s="108"/>
      <c r="BG830" s="108"/>
      <c r="BH830" s="108"/>
      <c r="BI830" s="108"/>
      <c r="BJ830" s="108"/>
      <c r="BK830" s="109"/>
      <c r="BL830" s="108"/>
      <c r="BM830" s="108"/>
      <c r="BN830" s="108"/>
    </row>
    <row r="831" spans="1:66" ht="12" customHeight="1" x14ac:dyDescent="0.2">
      <c r="A831" s="179"/>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c r="AA831" s="108"/>
      <c r="AB831" s="108"/>
      <c r="AC831" s="108"/>
      <c r="AD831" s="108"/>
      <c r="AE831" s="108"/>
      <c r="AF831" s="108"/>
      <c r="AG831" s="108"/>
      <c r="AH831" s="108"/>
      <c r="AI831" s="108"/>
      <c r="AJ831" s="108"/>
      <c r="AK831" s="108"/>
      <c r="AL831" s="108"/>
      <c r="AM831" s="108"/>
      <c r="AN831" s="108"/>
      <c r="AO831" s="108"/>
      <c r="AP831" s="108"/>
      <c r="AQ831" s="108"/>
      <c r="AR831" s="108"/>
      <c r="AS831" s="108"/>
      <c r="AT831" s="108"/>
      <c r="AU831" s="108"/>
      <c r="AV831" s="108"/>
      <c r="AW831" s="108"/>
      <c r="AX831" s="108"/>
      <c r="AY831" s="108"/>
      <c r="AZ831" s="108"/>
      <c r="BA831" s="108"/>
      <c r="BB831" s="108"/>
      <c r="BC831" s="108"/>
      <c r="BD831" s="108"/>
      <c r="BE831" s="108"/>
      <c r="BF831" s="108"/>
      <c r="BG831" s="108"/>
      <c r="BH831" s="108"/>
      <c r="BI831" s="108"/>
      <c r="BJ831" s="108"/>
      <c r="BK831" s="109"/>
      <c r="BL831" s="108"/>
      <c r="BM831" s="108"/>
      <c r="BN831" s="108"/>
    </row>
    <row r="832" spans="1:66" ht="12" customHeight="1" x14ac:dyDescent="0.2">
      <c r="A832" s="179"/>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c r="AA832" s="108"/>
      <c r="AB832" s="108"/>
      <c r="AC832" s="108"/>
      <c r="AD832" s="108"/>
      <c r="AE832" s="108"/>
      <c r="AF832" s="108"/>
      <c r="AG832" s="108"/>
      <c r="AH832" s="108"/>
      <c r="AI832" s="108"/>
      <c r="AJ832" s="108"/>
      <c r="AK832" s="108"/>
      <c r="AL832" s="108"/>
      <c r="AM832" s="108"/>
      <c r="AN832" s="108"/>
      <c r="AO832" s="108"/>
      <c r="AP832" s="108"/>
      <c r="AQ832" s="108"/>
      <c r="AR832" s="108"/>
      <c r="AS832" s="108"/>
      <c r="AT832" s="108"/>
      <c r="AU832" s="108"/>
      <c r="AV832" s="108"/>
      <c r="AW832" s="108"/>
      <c r="AX832" s="108"/>
      <c r="AY832" s="108"/>
      <c r="AZ832" s="108"/>
      <c r="BA832" s="108"/>
      <c r="BB832" s="108"/>
      <c r="BC832" s="108"/>
      <c r="BD832" s="108"/>
      <c r="BE832" s="108"/>
      <c r="BF832" s="108"/>
      <c r="BG832" s="108"/>
      <c r="BH832" s="108"/>
      <c r="BI832" s="108"/>
      <c r="BJ832" s="108"/>
      <c r="BK832" s="109"/>
      <c r="BL832" s="108"/>
      <c r="BM832" s="108"/>
      <c r="BN832" s="108"/>
    </row>
    <row r="833" spans="1:66" ht="12" customHeight="1" x14ac:dyDescent="0.2">
      <c r="A833" s="179"/>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c r="AA833" s="108"/>
      <c r="AB833" s="108"/>
      <c r="AC833" s="108"/>
      <c r="AD833" s="108"/>
      <c r="AE833" s="108"/>
      <c r="AF833" s="108"/>
      <c r="AG833" s="108"/>
      <c r="AH833" s="108"/>
      <c r="AI833" s="108"/>
      <c r="AJ833" s="108"/>
      <c r="AK833" s="108"/>
      <c r="AL833" s="108"/>
      <c r="AM833" s="108"/>
      <c r="AN833" s="108"/>
      <c r="AO833" s="108"/>
      <c r="AP833" s="108"/>
      <c r="AQ833" s="108"/>
      <c r="AR833" s="108"/>
      <c r="AS833" s="108"/>
      <c r="AT833" s="108"/>
      <c r="AU833" s="108"/>
      <c r="AV833" s="108"/>
      <c r="AW833" s="108"/>
      <c r="AX833" s="108"/>
      <c r="AY833" s="108"/>
      <c r="AZ833" s="108"/>
      <c r="BA833" s="108"/>
      <c r="BB833" s="108"/>
      <c r="BC833" s="108"/>
      <c r="BD833" s="108"/>
      <c r="BE833" s="108"/>
      <c r="BF833" s="108"/>
      <c r="BG833" s="108"/>
      <c r="BH833" s="108"/>
      <c r="BI833" s="108"/>
      <c r="BJ833" s="108"/>
      <c r="BK833" s="109"/>
      <c r="BL833" s="108"/>
      <c r="BM833" s="108"/>
      <c r="BN833" s="108"/>
    </row>
    <row r="834" spans="1:66" ht="12" customHeight="1" x14ac:dyDescent="0.2">
      <c r="A834" s="179"/>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c r="AA834" s="108"/>
      <c r="AB834" s="108"/>
      <c r="AC834" s="108"/>
      <c r="AD834" s="108"/>
      <c r="AE834" s="108"/>
      <c r="AF834" s="108"/>
      <c r="AG834" s="108"/>
      <c r="AH834" s="108"/>
      <c r="AI834" s="108"/>
      <c r="AJ834" s="108"/>
      <c r="AK834" s="108"/>
      <c r="AL834" s="108"/>
      <c r="AM834" s="108"/>
      <c r="AN834" s="108"/>
      <c r="AO834" s="108"/>
      <c r="AP834" s="108"/>
      <c r="AQ834" s="108"/>
      <c r="AR834" s="108"/>
      <c r="AS834" s="108"/>
      <c r="AT834" s="108"/>
      <c r="AU834" s="108"/>
      <c r="AV834" s="108"/>
      <c r="AW834" s="108"/>
      <c r="AX834" s="108"/>
      <c r="AY834" s="108"/>
      <c r="AZ834" s="108"/>
      <c r="BA834" s="108"/>
      <c r="BB834" s="108"/>
      <c r="BC834" s="108"/>
      <c r="BD834" s="108"/>
      <c r="BE834" s="108"/>
      <c r="BF834" s="108"/>
      <c r="BG834" s="108"/>
      <c r="BH834" s="108"/>
      <c r="BI834" s="108"/>
      <c r="BJ834" s="108"/>
      <c r="BK834" s="109"/>
      <c r="BL834" s="108"/>
      <c r="BM834" s="108"/>
      <c r="BN834" s="108"/>
    </row>
    <row r="835" spans="1:66" ht="12" customHeight="1" x14ac:dyDescent="0.2">
      <c r="A835" s="179"/>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c r="AA835" s="108"/>
      <c r="AB835" s="108"/>
      <c r="AC835" s="108"/>
      <c r="AD835" s="108"/>
      <c r="AE835" s="108"/>
      <c r="AF835" s="108"/>
      <c r="AG835" s="108"/>
      <c r="AH835" s="108"/>
      <c r="AI835" s="108"/>
      <c r="AJ835" s="108"/>
      <c r="AK835" s="108"/>
      <c r="AL835" s="108"/>
      <c r="AM835" s="108"/>
      <c r="AN835" s="108"/>
      <c r="AO835" s="108"/>
      <c r="AP835" s="108"/>
      <c r="AQ835" s="108"/>
      <c r="AR835" s="108"/>
      <c r="AS835" s="108"/>
      <c r="AT835" s="108"/>
      <c r="AU835" s="108"/>
      <c r="AV835" s="108"/>
      <c r="AW835" s="108"/>
      <c r="AX835" s="108"/>
      <c r="AY835" s="108"/>
      <c r="AZ835" s="108"/>
      <c r="BA835" s="108"/>
      <c r="BB835" s="108"/>
      <c r="BC835" s="108"/>
      <c r="BD835" s="108"/>
      <c r="BE835" s="108"/>
      <c r="BF835" s="108"/>
      <c r="BG835" s="108"/>
      <c r="BH835" s="108"/>
      <c r="BI835" s="108"/>
      <c r="BJ835" s="108"/>
      <c r="BK835" s="109"/>
      <c r="BL835" s="108"/>
      <c r="BM835" s="108"/>
      <c r="BN835" s="108"/>
    </row>
    <row r="836" spans="1:66" ht="12" customHeight="1" x14ac:dyDescent="0.2">
      <c r="A836" s="179"/>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c r="AA836" s="108"/>
      <c r="AB836" s="108"/>
      <c r="AC836" s="108"/>
      <c r="AD836" s="108"/>
      <c r="AE836" s="108"/>
      <c r="AF836" s="108"/>
      <c r="AG836" s="108"/>
      <c r="AH836" s="108"/>
      <c r="AI836" s="108"/>
      <c r="AJ836" s="108"/>
      <c r="AK836" s="108"/>
      <c r="AL836" s="108"/>
      <c r="AM836" s="108"/>
      <c r="AN836" s="108"/>
      <c r="AO836" s="108"/>
      <c r="AP836" s="108"/>
      <c r="AQ836" s="108"/>
      <c r="AR836" s="108"/>
      <c r="AS836" s="108"/>
      <c r="AT836" s="108"/>
      <c r="AU836" s="108"/>
      <c r="AV836" s="108"/>
      <c r="AW836" s="108"/>
      <c r="AX836" s="108"/>
      <c r="AY836" s="108"/>
      <c r="AZ836" s="108"/>
      <c r="BA836" s="108"/>
      <c r="BB836" s="108"/>
      <c r="BC836" s="108"/>
      <c r="BD836" s="108"/>
      <c r="BE836" s="108"/>
      <c r="BF836" s="108"/>
      <c r="BG836" s="108"/>
      <c r="BH836" s="108"/>
      <c r="BI836" s="108"/>
      <c r="BJ836" s="108"/>
      <c r="BK836" s="109"/>
      <c r="BL836" s="108"/>
      <c r="BM836" s="108"/>
      <c r="BN836" s="108"/>
    </row>
    <row r="837" spans="1:66" ht="12" customHeight="1" x14ac:dyDescent="0.2">
      <c r="A837" s="179"/>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c r="AA837" s="108"/>
      <c r="AB837" s="108"/>
      <c r="AC837" s="108"/>
      <c r="AD837" s="108"/>
      <c r="AE837" s="108"/>
      <c r="AF837" s="108"/>
      <c r="AG837" s="108"/>
      <c r="AH837" s="108"/>
      <c r="AI837" s="108"/>
      <c r="AJ837" s="108"/>
      <c r="AK837" s="108"/>
      <c r="AL837" s="108"/>
      <c r="AM837" s="108"/>
      <c r="AN837" s="108"/>
      <c r="AO837" s="108"/>
      <c r="AP837" s="108"/>
      <c r="AQ837" s="108"/>
      <c r="AR837" s="108"/>
      <c r="AS837" s="108"/>
      <c r="AT837" s="108"/>
      <c r="AU837" s="108"/>
      <c r="AV837" s="108"/>
      <c r="AW837" s="108"/>
      <c r="AX837" s="108"/>
      <c r="AY837" s="108"/>
      <c r="AZ837" s="108"/>
      <c r="BA837" s="108"/>
      <c r="BB837" s="108"/>
      <c r="BC837" s="108"/>
      <c r="BD837" s="108"/>
      <c r="BE837" s="108"/>
      <c r="BF837" s="108"/>
      <c r="BG837" s="108"/>
      <c r="BH837" s="108"/>
      <c r="BI837" s="108"/>
      <c r="BJ837" s="108"/>
      <c r="BK837" s="109"/>
      <c r="BL837" s="108"/>
      <c r="BM837" s="108"/>
      <c r="BN837" s="108"/>
    </row>
    <row r="838" spans="1:66" ht="12" customHeight="1" x14ac:dyDescent="0.2">
      <c r="A838" s="179"/>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c r="AA838" s="108"/>
      <c r="AB838" s="108"/>
      <c r="AC838" s="108"/>
      <c r="AD838" s="108"/>
      <c r="AE838" s="108"/>
      <c r="AF838" s="108"/>
      <c r="AG838" s="108"/>
      <c r="AH838" s="108"/>
      <c r="AI838" s="108"/>
      <c r="AJ838" s="108"/>
      <c r="AK838" s="108"/>
      <c r="AL838" s="108"/>
      <c r="AM838" s="108"/>
      <c r="AN838" s="108"/>
      <c r="AO838" s="108"/>
      <c r="AP838" s="108"/>
      <c r="AQ838" s="108"/>
      <c r="AR838" s="108"/>
      <c r="AS838" s="108"/>
      <c r="AT838" s="108"/>
      <c r="AU838" s="108"/>
      <c r="AV838" s="108"/>
      <c r="AW838" s="108"/>
      <c r="AX838" s="108"/>
      <c r="AY838" s="108"/>
      <c r="AZ838" s="108"/>
      <c r="BA838" s="108"/>
      <c r="BB838" s="108"/>
      <c r="BC838" s="108"/>
      <c r="BD838" s="108"/>
      <c r="BE838" s="108"/>
      <c r="BF838" s="108"/>
      <c r="BG838" s="108"/>
      <c r="BH838" s="108"/>
      <c r="BI838" s="108"/>
      <c r="BJ838" s="108"/>
      <c r="BK838" s="109"/>
      <c r="BL838" s="108"/>
      <c r="BM838" s="108"/>
      <c r="BN838" s="108"/>
    </row>
    <row r="839" spans="1:66" ht="12" customHeight="1" x14ac:dyDescent="0.2">
      <c r="A839" s="179"/>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c r="AA839" s="108"/>
      <c r="AB839" s="108"/>
      <c r="AC839" s="108"/>
      <c r="AD839" s="108"/>
      <c r="AE839" s="108"/>
      <c r="AF839" s="108"/>
      <c r="AG839" s="108"/>
      <c r="AH839" s="108"/>
      <c r="AI839" s="108"/>
      <c r="AJ839" s="108"/>
      <c r="AK839" s="108"/>
      <c r="AL839" s="108"/>
      <c r="AM839" s="108"/>
      <c r="AN839" s="108"/>
      <c r="AO839" s="108"/>
      <c r="AP839" s="108"/>
      <c r="AQ839" s="108"/>
      <c r="AR839" s="108"/>
      <c r="AS839" s="108"/>
      <c r="AT839" s="108"/>
      <c r="AU839" s="108"/>
      <c r="AV839" s="108"/>
      <c r="AW839" s="108"/>
      <c r="AX839" s="108"/>
      <c r="AY839" s="108"/>
      <c r="AZ839" s="108"/>
      <c r="BA839" s="108"/>
      <c r="BB839" s="108"/>
      <c r="BC839" s="108"/>
      <c r="BD839" s="108"/>
      <c r="BE839" s="108"/>
      <c r="BF839" s="108"/>
      <c r="BG839" s="108"/>
      <c r="BH839" s="108"/>
      <c r="BI839" s="108"/>
      <c r="BJ839" s="108"/>
      <c r="BK839" s="109"/>
      <c r="BL839" s="108"/>
      <c r="BM839" s="108"/>
      <c r="BN839" s="108"/>
    </row>
    <row r="840" spans="1:66" ht="12" customHeight="1" x14ac:dyDescent="0.2">
      <c r="A840" s="179"/>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c r="AA840" s="108"/>
      <c r="AB840" s="108"/>
      <c r="AC840" s="108"/>
      <c r="AD840" s="108"/>
      <c r="AE840" s="108"/>
      <c r="AF840" s="108"/>
      <c r="AG840" s="108"/>
      <c r="AH840" s="108"/>
      <c r="AI840" s="108"/>
      <c r="AJ840" s="108"/>
      <c r="AK840" s="108"/>
      <c r="AL840" s="108"/>
      <c r="AM840" s="108"/>
      <c r="AN840" s="108"/>
      <c r="AO840" s="108"/>
      <c r="AP840" s="108"/>
      <c r="AQ840" s="108"/>
      <c r="AR840" s="108"/>
      <c r="AS840" s="108"/>
      <c r="AT840" s="108"/>
      <c r="AU840" s="108"/>
      <c r="AV840" s="108"/>
      <c r="AW840" s="108"/>
      <c r="AX840" s="108"/>
      <c r="AY840" s="108"/>
      <c r="AZ840" s="108"/>
      <c r="BA840" s="108"/>
      <c r="BB840" s="108"/>
      <c r="BC840" s="108"/>
      <c r="BD840" s="108"/>
      <c r="BE840" s="108"/>
      <c r="BF840" s="108"/>
      <c r="BG840" s="108"/>
      <c r="BH840" s="108"/>
      <c r="BI840" s="108"/>
      <c r="BJ840" s="108"/>
      <c r="BK840" s="109"/>
      <c r="BL840" s="108"/>
      <c r="BM840" s="108"/>
      <c r="BN840" s="108"/>
    </row>
    <row r="841" spans="1:66" ht="12" customHeight="1" x14ac:dyDescent="0.2">
      <c r="A841" s="179"/>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c r="AA841" s="108"/>
      <c r="AB841" s="108"/>
      <c r="AC841" s="108"/>
      <c r="AD841" s="108"/>
      <c r="AE841" s="108"/>
      <c r="AF841" s="108"/>
      <c r="AG841" s="108"/>
      <c r="AH841" s="108"/>
      <c r="AI841" s="108"/>
      <c r="AJ841" s="108"/>
      <c r="AK841" s="108"/>
      <c r="AL841" s="108"/>
      <c r="AM841" s="108"/>
      <c r="AN841" s="108"/>
      <c r="AO841" s="108"/>
      <c r="AP841" s="108"/>
      <c r="AQ841" s="108"/>
      <c r="AR841" s="108"/>
      <c r="AS841" s="108"/>
      <c r="AT841" s="108"/>
      <c r="AU841" s="108"/>
      <c r="AV841" s="108"/>
      <c r="AW841" s="108"/>
      <c r="AX841" s="108"/>
      <c r="AY841" s="108"/>
      <c r="AZ841" s="108"/>
      <c r="BA841" s="108"/>
      <c r="BB841" s="108"/>
      <c r="BC841" s="108"/>
      <c r="BD841" s="108"/>
      <c r="BE841" s="108"/>
      <c r="BF841" s="108"/>
      <c r="BG841" s="108"/>
      <c r="BH841" s="108"/>
      <c r="BI841" s="108"/>
      <c r="BJ841" s="108"/>
      <c r="BK841" s="109"/>
      <c r="BL841" s="108"/>
      <c r="BM841" s="108"/>
      <c r="BN841" s="108"/>
    </row>
    <row r="842" spans="1:66" ht="12" customHeight="1" x14ac:dyDescent="0.2">
      <c r="A842" s="179"/>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c r="AA842" s="108"/>
      <c r="AB842" s="108"/>
      <c r="AC842" s="108"/>
      <c r="AD842" s="108"/>
      <c r="AE842" s="108"/>
      <c r="AF842" s="108"/>
      <c r="AG842" s="108"/>
      <c r="AH842" s="108"/>
      <c r="AI842" s="108"/>
      <c r="AJ842" s="108"/>
      <c r="AK842" s="108"/>
      <c r="AL842" s="108"/>
      <c r="AM842" s="108"/>
      <c r="AN842" s="108"/>
      <c r="AO842" s="108"/>
      <c r="AP842" s="108"/>
      <c r="AQ842" s="108"/>
      <c r="AR842" s="108"/>
      <c r="AS842" s="108"/>
      <c r="AT842" s="108"/>
      <c r="AU842" s="108"/>
      <c r="AV842" s="108"/>
      <c r="AW842" s="108"/>
      <c r="AX842" s="108"/>
      <c r="AY842" s="108"/>
      <c r="AZ842" s="108"/>
      <c r="BA842" s="108"/>
      <c r="BB842" s="108"/>
      <c r="BC842" s="108"/>
      <c r="BD842" s="108"/>
      <c r="BE842" s="108"/>
      <c r="BF842" s="108"/>
      <c r="BG842" s="108"/>
      <c r="BH842" s="108"/>
      <c r="BI842" s="108"/>
      <c r="BJ842" s="108"/>
      <c r="BK842" s="109"/>
      <c r="BL842" s="108"/>
      <c r="BM842" s="108"/>
      <c r="BN842" s="108"/>
    </row>
    <row r="843" spans="1:66" ht="12" customHeight="1" x14ac:dyDescent="0.2">
      <c r="A843" s="179"/>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c r="AA843" s="108"/>
      <c r="AB843" s="108"/>
      <c r="AC843" s="108"/>
      <c r="AD843" s="108"/>
      <c r="AE843" s="108"/>
      <c r="AF843" s="108"/>
      <c r="AG843" s="108"/>
      <c r="AH843" s="108"/>
      <c r="AI843" s="108"/>
      <c r="AJ843" s="108"/>
      <c r="AK843" s="108"/>
      <c r="AL843" s="108"/>
      <c r="AM843" s="108"/>
      <c r="AN843" s="108"/>
      <c r="AO843" s="108"/>
      <c r="AP843" s="108"/>
      <c r="AQ843" s="108"/>
      <c r="AR843" s="108"/>
      <c r="AS843" s="108"/>
      <c r="AT843" s="108"/>
      <c r="AU843" s="108"/>
      <c r="AV843" s="108"/>
      <c r="AW843" s="108"/>
      <c r="AX843" s="108"/>
      <c r="AY843" s="108"/>
      <c r="AZ843" s="108"/>
      <c r="BA843" s="108"/>
      <c r="BB843" s="108"/>
      <c r="BC843" s="108"/>
      <c r="BD843" s="108"/>
      <c r="BE843" s="108"/>
      <c r="BF843" s="108"/>
      <c r="BG843" s="108"/>
      <c r="BH843" s="108"/>
      <c r="BI843" s="108"/>
      <c r="BJ843" s="108"/>
      <c r="BK843" s="109"/>
      <c r="BL843" s="108"/>
      <c r="BM843" s="108"/>
      <c r="BN843" s="108"/>
    </row>
    <row r="844" spans="1:66" ht="12" customHeight="1" x14ac:dyDescent="0.2">
      <c r="A844" s="179"/>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c r="AA844" s="108"/>
      <c r="AB844" s="108"/>
      <c r="AC844" s="108"/>
      <c r="AD844" s="108"/>
      <c r="AE844" s="108"/>
      <c r="AF844" s="108"/>
      <c r="AG844" s="108"/>
      <c r="AH844" s="108"/>
      <c r="AI844" s="108"/>
      <c r="AJ844" s="108"/>
      <c r="AK844" s="108"/>
      <c r="AL844" s="108"/>
      <c r="AM844" s="108"/>
      <c r="AN844" s="108"/>
      <c r="AO844" s="108"/>
      <c r="AP844" s="108"/>
      <c r="AQ844" s="108"/>
      <c r="AR844" s="108"/>
      <c r="AS844" s="108"/>
      <c r="AT844" s="108"/>
      <c r="AU844" s="108"/>
      <c r="AV844" s="108"/>
      <c r="AW844" s="108"/>
      <c r="AX844" s="108"/>
      <c r="AY844" s="108"/>
      <c r="AZ844" s="108"/>
      <c r="BA844" s="108"/>
      <c r="BB844" s="108"/>
      <c r="BC844" s="108"/>
      <c r="BD844" s="108"/>
      <c r="BE844" s="108"/>
      <c r="BF844" s="108"/>
      <c r="BG844" s="108"/>
      <c r="BH844" s="108"/>
      <c r="BI844" s="108"/>
      <c r="BJ844" s="108"/>
      <c r="BK844" s="109"/>
      <c r="BL844" s="108"/>
      <c r="BM844" s="108"/>
      <c r="BN844" s="108"/>
    </row>
    <row r="845" spans="1:66" ht="12" customHeight="1" x14ac:dyDescent="0.2">
      <c r="A845" s="179"/>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c r="AA845" s="108"/>
      <c r="AB845" s="108"/>
      <c r="AC845" s="108"/>
      <c r="AD845" s="108"/>
      <c r="AE845" s="108"/>
      <c r="AF845" s="108"/>
      <c r="AG845" s="108"/>
      <c r="AH845" s="108"/>
      <c r="AI845" s="108"/>
      <c r="AJ845" s="108"/>
      <c r="AK845" s="108"/>
      <c r="AL845" s="108"/>
      <c r="AM845" s="108"/>
      <c r="AN845" s="108"/>
      <c r="AO845" s="108"/>
      <c r="AP845" s="108"/>
      <c r="AQ845" s="108"/>
      <c r="AR845" s="108"/>
      <c r="AS845" s="108"/>
      <c r="AT845" s="108"/>
      <c r="AU845" s="108"/>
      <c r="AV845" s="108"/>
      <c r="AW845" s="108"/>
      <c r="AX845" s="108"/>
      <c r="AY845" s="108"/>
      <c r="AZ845" s="108"/>
      <c r="BA845" s="108"/>
      <c r="BB845" s="108"/>
      <c r="BC845" s="108"/>
      <c r="BD845" s="108"/>
      <c r="BE845" s="108"/>
      <c r="BF845" s="108"/>
      <c r="BG845" s="108"/>
      <c r="BH845" s="108"/>
      <c r="BI845" s="108"/>
      <c r="BJ845" s="108"/>
      <c r="BK845" s="109"/>
      <c r="BL845" s="108"/>
      <c r="BM845" s="108"/>
      <c r="BN845" s="108"/>
    </row>
    <row r="846" spans="1:66" ht="12" customHeight="1" x14ac:dyDescent="0.2">
      <c r="A846" s="179"/>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c r="AA846" s="108"/>
      <c r="AB846" s="108"/>
      <c r="AC846" s="108"/>
      <c r="AD846" s="108"/>
      <c r="AE846" s="108"/>
      <c r="AF846" s="108"/>
      <c r="AG846" s="108"/>
      <c r="AH846" s="108"/>
      <c r="AI846" s="108"/>
      <c r="AJ846" s="108"/>
      <c r="AK846" s="108"/>
      <c r="AL846" s="108"/>
      <c r="AM846" s="108"/>
      <c r="AN846" s="108"/>
      <c r="AO846" s="108"/>
      <c r="AP846" s="108"/>
      <c r="AQ846" s="108"/>
      <c r="AR846" s="108"/>
      <c r="AS846" s="108"/>
      <c r="AT846" s="108"/>
      <c r="AU846" s="108"/>
      <c r="AV846" s="108"/>
      <c r="AW846" s="108"/>
      <c r="AX846" s="108"/>
      <c r="AY846" s="108"/>
      <c r="AZ846" s="108"/>
      <c r="BA846" s="108"/>
      <c r="BB846" s="108"/>
      <c r="BC846" s="108"/>
      <c r="BD846" s="108"/>
      <c r="BE846" s="108"/>
      <c r="BF846" s="108"/>
      <c r="BG846" s="108"/>
      <c r="BH846" s="108"/>
      <c r="BI846" s="108"/>
      <c r="BJ846" s="108"/>
      <c r="BK846" s="109"/>
      <c r="BL846" s="108"/>
      <c r="BM846" s="108"/>
      <c r="BN846" s="108"/>
    </row>
    <row r="847" spans="1:66" ht="12" customHeight="1" x14ac:dyDescent="0.2">
      <c r="A847" s="179"/>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c r="AA847" s="108"/>
      <c r="AB847" s="108"/>
      <c r="AC847" s="108"/>
      <c r="AD847" s="108"/>
      <c r="AE847" s="108"/>
      <c r="AF847" s="108"/>
      <c r="AG847" s="108"/>
      <c r="AH847" s="108"/>
      <c r="AI847" s="108"/>
      <c r="AJ847" s="108"/>
      <c r="AK847" s="108"/>
      <c r="AL847" s="108"/>
      <c r="AM847" s="108"/>
      <c r="AN847" s="108"/>
      <c r="AO847" s="108"/>
      <c r="AP847" s="108"/>
      <c r="AQ847" s="108"/>
      <c r="AR847" s="108"/>
      <c r="AS847" s="108"/>
      <c r="AT847" s="108"/>
      <c r="AU847" s="108"/>
      <c r="AV847" s="108"/>
      <c r="AW847" s="108"/>
      <c r="AX847" s="108"/>
      <c r="AY847" s="108"/>
      <c r="AZ847" s="108"/>
      <c r="BA847" s="108"/>
      <c r="BB847" s="108"/>
      <c r="BC847" s="108"/>
      <c r="BD847" s="108"/>
      <c r="BE847" s="108"/>
      <c r="BF847" s="108"/>
      <c r="BG847" s="108"/>
      <c r="BH847" s="108"/>
      <c r="BI847" s="108"/>
      <c r="BJ847" s="108"/>
      <c r="BK847" s="109"/>
      <c r="BL847" s="108"/>
      <c r="BM847" s="108"/>
      <c r="BN847" s="108"/>
    </row>
    <row r="848" spans="1:66" ht="12" customHeight="1" x14ac:dyDescent="0.2">
      <c r="A848" s="179"/>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c r="AA848" s="108"/>
      <c r="AB848" s="108"/>
      <c r="AC848" s="108"/>
      <c r="AD848" s="108"/>
      <c r="AE848" s="108"/>
      <c r="AF848" s="108"/>
      <c r="AG848" s="108"/>
      <c r="AH848" s="108"/>
      <c r="AI848" s="108"/>
      <c r="AJ848" s="108"/>
      <c r="AK848" s="108"/>
      <c r="AL848" s="108"/>
      <c r="AM848" s="108"/>
      <c r="AN848" s="108"/>
      <c r="AO848" s="108"/>
      <c r="AP848" s="108"/>
      <c r="AQ848" s="108"/>
      <c r="AR848" s="108"/>
      <c r="AS848" s="108"/>
      <c r="AT848" s="108"/>
      <c r="AU848" s="108"/>
      <c r="AV848" s="108"/>
      <c r="AW848" s="108"/>
      <c r="AX848" s="108"/>
      <c r="AY848" s="108"/>
      <c r="AZ848" s="108"/>
      <c r="BA848" s="108"/>
      <c r="BB848" s="108"/>
      <c r="BC848" s="108"/>
      <c r="BD848" s="108"/>
      <c r="BE848" s="108"/>
      <c r="BF848" s="108"/>
      <c r="BG848" s="108"/>
      <c r="BH848" s="108"/>
      <c r="BI848" s="108"/>
      <c r="BJ848" s="108"/>
      <c r="BK848" s="109"/>
      <c r="BL848" s="108"/>
      <c r="BM848" s="108"/>
      <c r="BN848" s="108"/>
    </row>
    <row r="849" spans="1:66" ht="12" customHeight="1" x14ac:dyDescent="0.2">
      <c r="A849" s="179"/>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c r="AA849" s="108"/>
      <c r="AB849" s="108"/>
      <c r="AC849" s="108"/>
      <c r="AD849" s="108"/>
      <c r="AE849" s="108"/>
      <c r="AF849" s="108"/>
      <c r="AG849" s="108"/>
      <c r="AH849" s="108"/>
      <c r="AI849" s="108"/>
      <c r="AJ849" s="108"/>
      <c r="AK849" s="108"/>
      <c r="AL849" s="108"/>
      <c r="AM849" s="108"/>
      <c r="AN849" s="108"/>
      <c r="AO849" s="108"/>
      <c r="AP849" s="108"/>
      <c r="AQ849" s="108"/>
      <c r="AR849" s="108"/>
      <c r="AS849" s="108"/>
      <c r="AT849" s="108"/>
      <c r="AU849" s="108"/>
      <c r="AV849" s="108"/>
      <c r="AW849" s="108"/>
      <c r="AX849" s="108"/>
      <c r="AY849" s="108"/>
      <c r="AZ849" s="108"/>
      <c r="BA849" s="108"/>
      <c r="BB849" s="108"/>
      <c r="BC849" s="108"/>
      <c r="BD849" s="108"/>
      <c r="BE849" s="108"/>
      <c r="BF849" s="108"/>
      <c r="BG849" s="108"/>
      <c r="BH849" s="108"/>
      <c r="BI849" s="108"/>
      <c r="BJ849" s="108"/>
      <c r="BK849" s="109"/>
      <c r="BL849" s="108"/>
      <c r="BM849" s="108"/>
      <c r="BN849" s="108"/>
    </row>
    <row r="850" spans="1:66" ht="12" customHeight="1" x14ac:dyDescent="0.2">
      <c r="A850" s="179"/>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c r="AA850" s="108"/>
      <c r="AB850" s="108"/>
      <c r="AC850" s="108"/>
      <c r="AD850" s="108"/>
      <c r="AE850" s="108"/>
      <c r="AF850" s="108"/>
      <c r="AG850" s="108"/>
      <c r="AH850" s="108"/>
      <c r="AI850" s="108"/>
      <c r="AJ850" s="108"/>
      <c r="AK850" s="108"/>
      <c r="AL850" s="108"/>
      <c r="AM850" s="108"/>
      <c r="AN850" s="108"/>
      <c r="AO850" s="108"/>
      <c r="AP850" s="108"/>
      <c r="AQ850" s="108"/>
      <c r="AR850" s="108"/>
      <c r="AS850" s="108"/>
      <c r="AT850" s="108"/>
      <c r="AU850" s="108"/>
      <c r="AV850" s="108"/>
      <c r="AW850" s="108"/>
      <c r="AX850" s="108"/>
      <c r="AY850" s="108"/>
      <c r="AZ850" s="108"/>
      <c r="BA850" s="108"/>
      <c r="BB850" s="108"/>
      <c r="BC850" s="108"/>
      <c r="BD850" s="108"/>
      <c r="BE850" s="108"/>
      <c r="BF850" s="108"/>
      <c r="BG850" s="108"/>
      <c r="BH850" s="108"/>
      <c r="BI850" s="108"/>
      <c r="BJ850" s="108"/>
      <c r="BK850" s="109"/>
      <c r="BL850" s="108"/>
      <c r="BM850" s="108"/>
      <c r="BN850" s="108"/>
    </row>
    <row r="851" spans="1:66" ht="12" customHeight="1" x14ac:dyDescent="0.2">
      <c r="A851" s="179"/>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c r="AA851" s="108"/>
      <c r="AB851" s="108"/>
      <c r="AC851" s="108"/>
      <c r="AD851" s="108"/>
      <c r="AE851" s="108"/>
      <c r="AF851" s="108"/>
      <c r="AG851" s="108"/>
      <c r="AH851" s="108"/>
      <c r="AI851" s="108"/>
      <c r="AJ851" s="108"/>
      <c r="AK851" s="108"/>
      <c r="AL851" s="108"/>
      <c r="AM851" s="108"/>
      <c r="AN851" s="108"/>
      <c r="AO851" s="108"/>
      <c r="AP851" s="108"/>
      <c r="AQ851" s="108"/>
      <c r="AR851" s="108"/>
      <c r="AS851" s="108"/>
      <c r="AT851" s="108"/>
      <c r="AU851" s="108"/>
      <c r="AV851" s="108"/>
      <c r="AW851" s="108"/>
      <c r="AX851" s="108"/>
      <c r="AY851" s="108"/>
      <c r="AZ851" s="108"/>
      <c r="BA851" s="108"/>
      <c r="BB851" s="108"/>
      <c r="BC851" s="108"/>
      <c r="BD851" s="108"/>
      <c r="BE851" s="108"/>
      <c r="BF851" s="108"/>
      <c r="BG851" s="108"/>
      <c r="BH851" s="108"/>
      <c r="BI851" s="108"/>
      <c r="BJ851" s="108"/>
      <c r="BK851" s="109"/>
      <c r="BL851" s="108"/>
      <c r="BM851" s="108"/>
      <c r="BN851" s="108"/>
    </row>
    <row r="852" spans="1:66" ht="12" customHeight="1" x14ac:dyDescent="0.2">
      <c r="A852" s="179"/>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c r="AA852" s="108"/>
      <c r="AB852" s="108"/>
      <c r="AC852" s="108"/>
      <c r="AD852" s="108"/>
      <c r="AE852" s="108"/>
      <c r="AF852" s="108"/>
      <c r="AG852" s="108"/>
      <c r="AH852" s="108"/>
      <c r="AI852" s="108"/>
      <c r="AJ852" s="108"/>
      <c r="AK852" s="108"/>
      <c r="AL852" s="108"/>
      <c r="AM852" s="108"/>
      <c r="AN852" s="108"/>
      <c r="AO852" s="108"/>
      <c r="AP852" s="108"/>
      <c r="AQ852" s="108"/>
      <c r="AR852" s="108"/>
      <c r="AS852" s="108"/>
      <c r="AT852" s="108"/>
      <c r="AU852" s="108"/>
      <c r="AV852" s="108"/>
      <c r="AW852" s="108"/>
      <c r="AX852" s="108"/>
      <c r="AY852" s="108"/>
      <c r="AZ852" s="108"/>
      <c r="BA852" s="108"/>
      <c r="BB852" s="108"/>
      <c r="BC852" s="108"/>
      <c r="BD852" s="108"/>
      <c r="BE852" s="108"/>
      <c r="BF852" s="108"/>
      <c r="BG852" s="108"/>
      <c r="BH852" s="108"/>
      <c r="BI852" s="108"/>
      <c r="BJ852" s="108"/>
      <c r="BK852" s="109"/>
      <c r="BL852" s="108"/>
      <c r="BM852" s="108"/>
      <c r="BN852" s="108"/>
    </row>
    <row r="853" spans="1:66" ht="12" customHeight="1" x14ac:dyDescent="0.2">
      <c r="A853" s="179"/>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c r="AA853" s="108"/>
      <c r="AB853" s="108"/>
      <c r="AC853" s="108"/>
      <c r="AD853" s="108"/>
      <c r="AE853" s="108"/>
      <c r="AF853" s="108"/>
      <c r="AG853" s="108"/>
      <c r="AH853" s="108"/>
      <c r="AI853" s="108"/>
      <c r="AJ853" s="108"/>
      <c r="AK853" s="108"/>
      <c r="AL853" s="108"/>
      <c r="AM853" s="108"/>
      <c r="AN853" s="108"/>
      <c r="AO853" s="108"/>
      <c r="AP853" s="108"/>
      <c r="AQ853" s="108"/>
      <c r="AR853" s="108"/>
      <c r="AS853" s="108"/>
      <c r="AT853" s="108"/>
      <c r="AU853" s="108"/>
      <c r="AV853" s="108"/>
      <c r="AW853" s="108"/>
      <c r="AX853" s="108"/>
      <c r="AY853" s="108"/>
      <c r="AZ853" s="108"/>
      <c r="BA853" s="108"/>
      <c r="BB853" s="108"/>
      <c r="BC853" s="108"/>
      <c r="BD853" s="108"/>
      <c r="BE853" s="108"/>
      <c r="BF853" s="108"/>
      <c r="BG853" s="108"/>
      <c r="BH853" s="108"/>
      <c r="BI853" s="108"/>
      <c r="BJ853" s="108"/>
      <c r="BK853" s="109"/>
      <c r="BL853" s="108"/>
      <c r="BM853" s="108"/>
      <c r="BN853" s="108"/>
    </row>
    <row r="854" spans="1:66" ht="12" customHeight="1" x14ac:dyDescent="0.2">
      <c r="A854" s="179"/>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c r="AA854" s="108"/>
      <c r="AB854" s="108"/>
      <c r="AC854" s="108"/>
      <c r="AD854" s="108"/>
      <c r="AE854" s="108"/>
      <c r="AF854" s="108"/>
      <c r="AG854" s="108"/>
      <c r="AH854" s="108"/>
      <c r="AI854" s="108"/>
      <c r="AJ854" s="108"/>
      <c r="AK854" s="108"/>
      <c r="AL854" s="108"/>
      <c r="AM854" s="108"/>
      <c r="AN854" s="108"/>
      <c r="AO854" s="108"/>
      <c r="AP854" s="108"/>
      <c r="AQ854" s="108"/>
      <c r="AR854" s="108"/>
      <c r="AS854" s="108"/>
      <c r="AT854" s="108"/>
      <c r="AU854" s="108"/>
      <c r="AV854" s="108"/>
      <c r="AW854" s="108"/>
      <c r="AX854" s="108"/>
      <c r="AY854" s="108"/>
      <c r="AZ854" s="108"/>
      <c r="BA854" s="108"/>
      <c r="BB854" s="108"/>
      <c r="BC854" s="108"/>
      <c r="BD854" s="108"/>
      <c r="BE854" s="108"/>
      <c r="BF854" s="108"/>
      <c r="BG854" s="108"/>
      <c r="BH854" s="108"/>
      <c r="BI854" s="108"/>
      <c r="BJ854" s="108"/>
      <c r="BK854" s="109"/>
      <c r="BL854" s="108"/>
      <c r="BM854" s="108"/>
      <c r="BN854" s="108"/>
    </row>
    <row r="855" spans="1:66" ht="12" customHeight="1" x14ac:dyDescent="0.2">
      <c r="A855" s="179"/>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c r="AA855" s="108"/>
      <c r="AB855" s="108"/>
      <c r="AC855" s="108"/>
      <c r="AD855" s="108"/>
      <c r="AE855" s="108"/>
      <c r="AF855" s="108"/>
      <c r="AG855" s="108"/>
      <c r="AH855" s="108"/>
      <c r="AI855" s="108"/>
      <c r="AJ855" s="108"/>
      <c r="AK855" s="108"/>
      <c r="AL855" s="108"/>
      <c r="AM855" s="108"/>
      <c r="AN855" s="108"/>
      <c r="AO855" s="108"/>
      <c r="AP855" s="108"/>
      <c r="AQ855" s="108"/>
      <c r="AR855" s="108"/>
      <c r="AS855" s="108"/>
      <c r="AT855" s="108"/>
      <c r="AU855" s="108"/>
      <c r="AV855" s="108"/>
      <c r="AW855" s="108"/>
      <c r="AX855" s="108"/>
      <c r="AY855" s="108"/>
      <c r="AZ855" s="108"/>
      <c r="BA855" s="108"/>
      <c r="BB855" s="108"/>
      <c r="BC855" s="108"/>
      <c r="BD855" s="108"/>
      <c r="BE855" s="108"/>
      <c r="BF855" s="108"/>
      <c r="BG855" s="108"/>
      <c r="BH855" s="108"/>
      <c r="BI855" s="108"/>
      <c r="BJ855" s="108"/>
      <c r="BK855" s="109"/>
      <c r="BL855" s="108"/>
      <c r="BM855" s="108"/>
      <c r="BN855" s="108"/>
    </row>
    <row r="856" spans="1:66" ht="12" customHeight="1" x14ac:dyDescent="0.2">
      <c r="A856" s="179"/>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c r="AA856" s="108"/>
      <c r="AB856" s="108"/>
      <c r="AC856" s="108"/>
      <c r="AD856" s="108"/>
      <c r="AE856" s="108"/>
      <c r="AF856" s="108"/>
      <c r="AG856" s="108"/>
      <c r="AH856" s="108"/>
      <c r="AI856" s="108"/>
      <c r="AJ856" s="108"/>
      <c r="AK856" s="108"/>
      <c r="AL856" s="108"/>
      <c r="AM856" s="108"/>
      <c r="AN856" s="108"/>
      <c r="AO856" s="108"/>
      <c r="AP856" s="108"/>
      <c r="AQ856" s="108"/>
      <c r="AR856" s="108"/>
      <c r="AS856" s="108"/>
      <c r="AT856" s="108"/>
      <c r="AU856" s="108"/>
      <c r="AV856" s="108"/>
      <c r="AW856" s="108"/>
      <c r="AX856" s="108"/>
      <c r="AY856" s="108"/>
      <c r="AZ856" s="108"/>
      <c r="BA856" s="108"/>
      <c r="BB856" s="108"/>
      <c r="BC856" s="108"/>
      <c r="BD856" s="108"/>
      <c r="BE856" s="108"/>
      <c r="BF856" s="108"/>
      <c r="BG856" s="108"/>
      <c r="BH856" s="108"/>
      <c r="BI856" s="108"/>
      <c r="BJ856" s="108"/>
      <c r="BK856" s="109"/>
      <c r="BL856" s="108"/>
      <c r="BM856" s="108"/>
      <c r="BN856" s="108"/>
    </row>
    <row r="857" spans="1:66" ht="12" customHeight="1" x14ac:dyDescent="0.2">
      <c r="A857" s="179"/>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c r="AA857" s="108"/>
      <c r="AB857" s="108"/>
      <c r="AC857" s="108"/>
      <c r="AD857" s="108"/>
      <c r="AE857" s="108"/>
      <c r="AF857" s="108"/>
      <c r="AG857" s="108"/>
      <c r="AH857" s="108"/>
      <c r="AI857" s="108"/>
      <c r="AJ857" s="108"/>
      <c r="AK857" s="108"/>
      <c r="AL857" s="108"/>
      <c r="AM857" s="108"/>
      <c r="AN857" s="108"/>
      <c r="AO857" s="108"/>
      <c r="AP857" s="108"/>
      <c r="AQ857" s="108"/>
      <c r="AR857" s="108"/>
      <c r="AS857" s="108"/>
      <c r="AT857" s="108"/>
      <c r="AU857" s="108"/>
      <c r="AV857" s="108"/>
      <c r="AW857" s="108"/>
      <c r="AX857" s="108"/>
      <c r="AY857" s="108"/>
      <c r="AZ857" s="108"/>
      <c r="BA857" s="108"/>
      <c r="BB857" s="108"/>
      <c r="BC857" s="108"/>
      <c r="BD857" s="108"/>
      <c r="BE857" s="108"/>
      <c r="BF857" s="108"/>
      <c r="BG857" s="108"/>
      <c r="BH857" s="108"/>
      <c r="BI857" s="108"/>
      <c r="BJ857" s="108"/>
      <c r="BK857" s="109"/>
      <c r="BL857" s="108"/>
      <c r="BM857" s="108"/>
      <c r="BN857" s="108"/>
    </row>
    <row r="858" spans="1:66" ht="12" customHeight="1" x14ac:dyDescent="0.2">
      <c r="A858" s="179"/>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c r="AA858" s="108"/>
      <c r="AB858" s="108"/>
      <c r="AC858" s="108"/>
      <c r="AD858" s="108"/>
      <c r="AE858" s="108"/>
      <c r="AF858" s="108"/>
      <c r="AG858" s="108"/>
      <c r="AH858" s="108"/>
      <c r="AI858" s="108"/>
      <c r="AJ858" s="108"/>
      <c r="AK858" s="108"/>
      <c r="AL858" s="108"/>
      <c r="AM858" s="108"/>
      <c r="AN858" s="108"/>
      <c r="AO858" s="108"/>
      <c r="AP858" s="108"/>
      <c r="AQ858" s="108"/>
      <c r="AR858" s="108"/>
      <c r="AS858" s="108"/>
      <c r="AT858" s="108"/>
      <c r="AU858" s="108"/>
      <c r="AV858" s="108"/>
      <c r="AW858" s="108"/>
      <c r="AX858" s="108"/>
      <c r="AY858" s="108"/>
      <c r="AZ858" s="108"/>
      <c r="BA858" s="108"/>
      <c r="BB858" s="108"/>
      <c r="BC858" s="108"/>
      <c r="BD858" s="108"/>
      <c r="BE858" s="108"/>
      <c r="BF858" s="108"/>
      <c r="BG858" s="108"/>
      <c r="BH858" s="108"/>
      <c r="BI858" s="108"/>
      <c r="BJ858" s="108"/>
      <c r="BK858" s="109"/>
      <c r="BL858" s="108"/>
      <c r="BM858" s="108"/>
      <c r="BN858" s="108"/>
    </row>
    <row r="859" spans="1:66" ht="12" customHeight="1" x14ac:dyDescent="0.2">
      <c r="A859" s="179"/>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c r="AA859" s="108"/>
      <c r="AB859" s="108"/>
      <c r="AC859" s="108"/>
      <c r="AD859" s="108"/>
      <c r="AE859" s="108"/>
      <c r="AF859" s="108"/>
      <c r="AG859" s="108"/>
      <c r="AH859" s="108"/>
      <c r="AI859" s="108"/>
      <c r="AJ859" s="108"/>
      <c r="AK859" s="108"/>
      <c r="AL859" s="108"/>
      <c r="AM859" s="108"/>
      <c r="AN859" s="108"/>
      <c r="AO859" s="108"/>
      <c r="AP859" s="108"/>
      <c r="AQ859" s="108"/>
      <c r="AR859" s="108"/>
      <c r="AS859" s="108"/>
      <c r="AT859" s="108"/>
      <c r="AU859" s="108"/>
      <c r="AV859" s="108"/>
      <c r="AW859" s="108"/>
      <c r="AX859" s="108"/>
      <c r="AY859" s="108"/>
      <c r="AZ859" s="108"/>
      <c r="BA859" s="108"/>
      <c r="BB859" s="108"/>
      <c r="BC859" s="108"/>
      <c r="BD859" s="108"/>
      <c r="BE859" s="108"/>
      <c r="BF859" s="108"/>
      <c r="BG859" s="108"/>
      <c r="BH859" s="108"/>
      <c r="BI859" s="108"/>
      <c r="BJ859" s="108"/>
      <c r="BK859" s="109"/>
      <c r="BL859" s="108"/>
      <c r="BM859" s="108"/>
      <c r="BN859" s="108"/>
    </row>
    <row r="860" spans="1:66" ht="12" customHeight="1" x14ac:dyDescent="0.2">
      <c r="A860" s="179"/>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c r="AA860" s="108"/>
      <c r="AB860" s="108"/>
      <c r="AC860" s="108"/>
      <c r="AD860" s="108"/>
      <c r="AE860" s="108"/>
      <c r="AF860" s="108"/>
      <c r="AG860" s="108"/>
      <c r="AH860" s="108"/>
      <c r="AI860" s="108"/>
      <c r="AJ860" s="108"/>
      <c r="AK860" s="108"/>
      <c r="AL860" s="108"/>
      <c r="AM860" s="108"/>
      <c r="AN860" s="108"/>
      <c r="AO860" s="108"/>
      <c r="AP860" s="108"/>
      <c r="AQ860" s="108"/>
      <c r="AR860" s="108"/>
      <c r="AS860" s="108"/>
      <c r="AT860" s="108"/>
      <c r="AU860" s="108"/>
      <c r="AV860" s="108"/>
      <c r="AW860" s="108"/>
      <c r="AX860" s="108"/>
      <c r="AY860" s="108"/>
      <c r="AZ860" s="108"/>
      <c r="BA860" s="108"/>
      <c r="BB860" s="108"/>
      <c r="BC860" s="108"/>
      <c r="BD860" s="108"/>
      <c r="BE860" s="108"/>
      <c r="BF860" s="108"/>
      <c r="BG860" s="108"/>
      <c r="BH860" s="108"/>
      <c r="BI860" s="108"/>
      <c r="BJ860" s="108"/>
      <c r="BK860" s="109"/>
      <c r="BL860" s="108"/>
      <c r="BM860" s="108"/>
      <c r="BN860" s="108"/>
    </row>
    <row r="861" spans="1:66" ht="12" customHeight="1" x14ac:dyDescent="0.2">
      <c r="A861" s="179"/>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c r="AA861" s="108"/>
      <c r="AB861" s="108"/>
      <c r="AC861" s="108"/>
      <c r="AD861" s="108"/>
      <c r="AE861" s="108"/>
      <c r="AF861" s="108"/>
      <c r="AG861" s="108"/>
      <c r="AH861" s="108"/>
      <c r="AI861" s="108"/>
      <c r="AJ861" s="108"/>
      <c r="AK861" s="108"/>
      <c r="AL861" s="108"/>
      <c r="AM861" s="108"/>
      <c r="AN861" s="108"/>
      <c r="AO861" s="108"/>
      <c r="AP861" s="108"/>
      <c r="AQ861" s="108"/>
      <c r="AR861" s="108"/>
      <c r="AS861" s="108"/>
      <c r="AT861" s="108"/>
      <c r="AU861" s="108"/>
      <c r="AV861" s="108"/>
      <c r="AW861" s="108"/>
      <c r="AX861" s="108"/>
      <c r="AY861" s="108"/>
      <c r="AZ861" s="108"/>
      <c r="BA861" s="108"/>
      <c r="BB861" s="108"/>
      <c r="BC861" s="108"/>
      <c r="BD861" s="108"/>
      <c r="BE861" s="108"/>
      <c r="BF861" s="108"/>
      <c r="BG861" s="108"/>
      <c r="BH861" s="108"/>
      <c r="BI861" s="108"/>
      <c r="BJ861" s="108"/>
      <c r="BK861" s="109"/>
      <c r="BL861" s="108"/>
      <c r="BM861" s="108"/>
      <c r="BN861" s="108"/>
    </row>
    <row r="862" spans="1:66" ht="12" customHeight="1" x14ac:dyDescent="0.2">
      <c r="A862" s="179"/>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c r="AA862" s="108"/>
      <c r="AB862" s="108"/>
      <c r="AC862" s="108"/>
      <c r="AD862" s="108"/>
      <c r="AE862" s="108"/>
      <c r="AF862" s="108"/>
      <c r="AG862" s="108"/>
      <c r="AH862" s="108"/>
      <c r="AI862" s="108"/>
      <c r="AJ862" s="108"/>
      <c r="AK862" s="108"/>
      <c r="AL862" s="108"/>
      <c r="AM862" s="108"/>
      <c r="AN862" s="108"/>
      <c r="AO862" s="108"/>
      <c r="AP862" s="108"/>
      <c r="AQ862" s="108"/>
      <c r="AR862" s="108"/>
      <c r="AS862" s="108"/>
      <c r="AT862" s="108"/>
      <c r="AU862" s="108"/>
      <c r="AV862" s="108"/>
      <c r="AW862" s="108"/>
      <c r="AX862" s="108"/>
      <c r="AY862" s="108"/>
      <c r="AZ862" s="108"/>
      <c r="BA862" s="108"/>
      <c r="BB862" s="108"/>
      <c r="BC862" s="108"/>
      <c r="BD862" s="108"/>
      <c r="BE862" s="108"/>
      <c r="BF862" s="108"/>
      <c r="BG862" s="108"/>
      <c r="BH862" s="108"/>
      <c r="BI862" s="108"/>
      <c r="BJ862" s="108"/>
      <c r="BK862" s="109"/>
      <c r="BL862" s="108"/>
      <c r="BM862" s="108"/>
      <c r="BN862" s="108"/>
    </row>
    <row r="863" spans="1:66" ht="12" customHeight="1" x14ac:dyDescent="0.2">
      <c r="A863" s="179"/>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c r="AA863" s="108"/>
      <c r="AB863" s="108"/>
      <c r="AC863" s="108"/>
      <c r="AD863" s="108"/>
      <c r="AE863" s="108"/>
      <c r="AF863" s="108"/>
      <c r="AG863" s="108"/>
      <c r="AH863" s="108"/>
      <c r="AI863" s="108"/>
      <c r="AJ863" s="108"/>
      <c r="AK863" s="108"/>
      <c r="AL863" s="108"/>
      <c r="AM863" s="108"/>
      <c r="AN863" s="108"/>
      <c r="AO863" s="108"/>
      <c r="AP863" s="108"/>
      <c r="AQ863" s="108"/>
      <c r="AR863" s="108"/>
      <c r="AS863" s="108"/>
      <c r="AT863" s="108"/>
      <c r="AU863" s="108"/>
      <c r="AV863" s="108"/>
      <c r="AW863" s="108"/>
      <c r="AX863" s="108"/>
      <c r="AY863" s="108"/>
      <c r="AZ863" s="108"/>
      <c r="BA863" s="108"/>
      <c r="BB863" s="108"/>
      <c r="BC863" s="108"/>
      <c r="BD863" s="108"/>
      <c r="BE863" s="108"/>
      <c r="BF863" s="108"/>
      <c r="BG863" s="108"/>
      <c r="BH863" s="108"/>
      <c r="BI863" s="108"/>
      <c r="BJ863" s="108"/>
      <c r="BK863" s="109"/>
      <c r="BL863" s="108"/>
      <c r="BM863" s="108"/>
      <c r="BN863" s="108"/>
    </row>
    <row r="864" spans="1:66" ht="12" customHeight="1" x14ac:dyDescent="0.2">
      <c r="A864" s="179"/>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c r="AA864" s="108"/>
      <c r="AB864" s="108"/>
      <c r="AC864" s="108"/>
      <c r="AD864" s="108"/>
      <c r="AE864" s="108"/>
      <c r="AF864" s="108"/>
      <c r="AG864" s="108"/>
      <c r="AH864" s="108"/>
      <c r="AI864" s="108"/>
      <c r="AJ864" s="108"/>
      <c r="AK864" s="108"/>
      <c r="AL864" s="108"/>
      <c r="AM864" s="108"/>
      <c r="AN864" s="108"/>
      <c r="AO864" s="108"/>
      <c r="AP864" s="108"/>
      <c r="AQ864" s="108"/>
      <c r="AR864" s="108"/>
      <c r="AS864" s="108"/>
      <c r="AT864" s="108"/>
      <c r="AU864" s="108"/>
      <c r="AV864" s="108"/>
      <c r="AW864" s="108"/>
      <c r="AX864" s="108"/>
      <c r="AY864" s="108"/>
      <c r="AZ864" s="108"/>
      <c r="BA864" s="108"/>
      <c r="BB864" s="108"/>
      <c r="BC864" s="108"/>
      <c r="BD864" s="108"/>
      <c r="BE864" s="108"/>
      <c r="BF864" s="108"/>
      <c r="BG864" s="108"/>
      <c r="BH864" s="108"/>
      <c r="BI864" s="108"/>
      <c r="BJ864" s="108"/>
      <c r="BK864" s="109"/>
      <c r="BL864" s="108"/>
      <c r="BM864" s="108"/>
      <c r="BN864" s="108"/>
    </row>
    <row r="865" spans="1:66" ht="12" customHeight="1" x14ac:dyDescent="0.2">
      <c r="A865" s="179"/>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c r="AA865" s="108"/>
      <c r="AB865" s="108"/>
      <c r="AC865" s="108"/>
      <c r="AD865" s="108"/>
      <c r="AE865" s="108"/>
      <c r="AF865" s="108"/>
      <c r="AG865" s="108"/>
      <c r="AH865" s="108"/>
      <c r="AI865" s="108"/>
      <c r="AJ865" s="108"/>
      <c r="AK865" s="108"/>
      <c r="AL865" s="108"/>
      <c r="AM865" s="108"/>
      <c r="AN865" s="108"/>
      <c r="AO865" s="108"/>
      <c r="AP865" s="108"/>
      <c r="AQ865" s="108"/>
      <c r="AR865" s="108"/>
      <c r="AS865" s="108"/>
      <c r="AT865" s="108"/>
      <c r="AU865" s="108"/>
      <c r="AV865" s="108"/>
      <c r="AW865" s="108"/>
      <c r="AX865" s="108"/>
      <c r="AY865" s="108"/>
      <c r="AZ865" s="108"/>
      <c r="BA865" s="108"/>
      <c r="BB865" s="108"/>
      <c r="BC865" s="108"/>
      <c r="BD865" s="108"/>
      <c r="BE865" s="108"/>
      <c r="BF865" s="108"/>
      <c r="BG865" s="108"/>
      <c r="BH865" s="108"/>
      <c r="BI865" s="108"/>
      <c r="BJ865" s="108"/>
      <c r="BK865" s="109"/>
      <c r="BL865" s="108"/>
      <c r="BM865" s="108"/>
      <c r="BN865" s="108"/>
    </row>
    <row r="866" spans="1:66" ht="12" customHeight="1" x14ac:dyDescent="0.2">
      <c r="A866" s="179"/>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c r="AA866" s="108"/>
      <c r="AB866" s="108"/>
      <c r="AC866" s="108"/>
      <c r="AD866" s="108"/>
      <c r="AE866" s="108"/>
      <c r="AF866" s="108"/>
      <c r="AG866" s="108"/>
      <c r="AH866" s="108"/>
      <c r="AI866" s="108"/>
      <c r="AJ866" s="108"/>
      <c r="AK866" s="108"/>
      <c r="AL866" s="108"/>
      <c r="AM866" s="108"/>
      <c r="AN866" s="108"/>
      <c r="AO866" s="108"/>
      <c r="AP866" s="108"/>
      <c r="AQ866" s="108"/>
      <c r="AR866" s="108"/>
      <c r="AS866" s="108"/>
      <c r="AT866" s="108"/>
      <c r="AU866" s="108"/>
      <c r="AV866" s="108"/>
      <c r="AW866" s="108"/>
      <c r="AX866" s="108"/>
      <c r="AY866" s="108"/>
      <c r="AZ866" s="108"/>
      <c r="BA866" s="108"/>
      <c r="BB866" s="108"/>
      <c r="BC866" s="108"/>
      <c r="BD866" s="108"/>
      <c r="BE866" s="108"/>
      <c r="BF866" s="108"/>
      <c r="BG866" s="108"/>
      <c r="BH866" s="108"/>
      <c r="BI866" s="108"/>
      <c r="BJ866" s="108"/>
      <c r="BK866" s="109"/>
      <c r="BL866" s="108"/>
      <c r="BM866" s="108"/>
      <c r="BN866" s="108"/>
    </row>
    <row r="867" spans="1:66" ht="12" customHeight="1" x14ac:dyDescent="0.2">
      <c r="A867" s="179"/>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c r="AA867" s="108"/>
      <c r="AB867" s="108"/>
      <c r="AC867" s="108"/>
      <c r="AD867" s="108"/>
      <c r="AE867" s="108"/>
      <c r="AF867" s="108"/>
      <c r="AG867" s="108"/>
      <c r="AH867" s="108"/>
      <c r="AI867" s="108"/>
      <c r="AJ867" s="108"/>
      <c r="AK867" s="108"/>
      <c r="AL867" s="108"/>
      <c r="AM867" s="108"/>
      <c r="AN867" s="108"/>
      <c r="AO867" s="108"/>
      <c r="AP867" s="108"/>
      <c r="AQ867" s="108"/>
      <c r="AR867" s="108"/>
      <c r="AS867" s="108"/>
      <c r="AT867" s="108"/>
      <c r="AU867" s="108"/>
      <c r="AV867" s="108"/>
      <c r="AW867" s="108"/>
      <c r="AX867" s="108"/>
      <c r="AY867" s="108"/>
      <c r="AZ867" s="108"/>
      <c r="BA867" s="108"/>
      <c r="BB867" s="108"/>
      <c r="BC867" s="108"/>
      <c r="BD867" s="108"/>
      <c r="BE867" s="108"/>
      <c r="BF867" s="108"/>
      <c r="BG867" s="108"/>
      <c r="BH867" s="108"/>
      <c r="BI867" s="108"/>
      <c r="BJ867" s="108"/>
      <c r="BK867" s="109"/>
      <c r="BL867" s="108"/>
      <c r="BM867" s="108"/>
      <c r="BN867" s="108"/>
    </row>
    <row r="868" spans="1:66" ht="12" customHeight="1" x14ac:dyDescent="0.2">
      <c r="A868" s="179"/>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c r="AA868" s="108"/>
      <c r="AB868" s="108"/>
      <c r="AC868" s="108"/>
      <c r="AD868" s="108"/>
      <c r="AE868" s="108"/>
      <c r="AF868" s="108"/>
      <c r="AG868" s="108"/>
      <c r="AH868" s="108"/>
      <c r="AI868" s="108"/>
      <c r="AJ868" s="108"/>
      <c r="AK868" s="108"/>
      <c r="AL868" s="108"/>
      <c r="AM868" s="108"/>
      <c r="AN868" s="108"/>
      <c r="AO868" s="108"/>
      <c r="AP868" s="108"/>
      <c r="AQ868" s="108"/>
      <c r="AR868" s="108"/>
      <c r="AS868" s="108"/>
      <c r="AT868" s="108"/>
      <c r="AU868" s="108"/>
      <c r="AV868" s="108"/>
      <c r="AW868" s="108"/>
      <c r="AX868" s="108"/>
      <c r="AY868" s="108"/>
      <c r="AZ868" s="108"/>
      <c r="BA868" s="108"/>
      <c r="BB868" s="108"/>
      <c r="BC868" s="108"/>
      <c r="BD868" s="108"/>
      <c r="BE868" s="108"/>
      <c r="BF868" s="108"/>
      <c r="BG868" s="108"/>
      <c r="BH868" s="108"/>
      <c r="BI868" s="108"/>
      <c r="BJ868" s="108"/>
      <c r="BK868" s="109"/>
      <c r="BL868" s="108"/>
      <c r="BM868" s="108"/>
      <c r="BN868" s="108"/>
    </row>
    <row r="869" spans="1:66" ht="12" customHeight="1" x14ac:dyDescent="0.2">
      <c r="A869" s="179"/>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c r="AA869" s="108"/>
      <c r="AB869" s="108"/>
      <c r="AC869" s="108"/>
      <c r="AD869" s="108"/>
      <c r="AE869" s="108"/>
      <c r="AF869" s="108"/>
      <c r="AG869" s="108"/>
      <c r="AH869" s="108"/>
      <c r="AI869" s="108"/>
      <c r="AJ869" s="108"/>
      <c r="AK869" s="108"/>
      <c r="AL869" s="108"/>
      <c r="AM869" s="108"/>
      <c r="AN869" s="108"/>
      <c r="AO869" s="108"/>
      <c r="AP869" s="108"/>
      <c r="AQ869" s="108"/>
      <c r="AR869" s="108"/>
      <c r="AS869" s="108"/>
      <c r="AT869" s="108"/>
      <c r="AU869" s="108"/>
      <c r="AV869" s="108"/>
      <c r="AW869" s="108"/>
      <c r="AX869" s="108"/>
      <c r="AY869" s="108"/>
      <c r="AZ869" s="108"/>
      <c r="BA869" s="108"/>
      <c r="BB869" s="108"/>
      <c r="BC869" s="108"/>
      <c r="BD869" s="108"/>
      <c r="BE869" s="108"/>
      <c r="BF869" s="108"/>
      <c r="BG869" s="108"/>
      <c r="BH869" s="108"/>
      <c r="BI869" s="108"/>
      <c r="BJ869" s="108"/>
      <c r="BK869" s="109"/>
      <c r="BL869" s="108"/>
      <c r="BM869" s="108"/>
      <c r="BN869" s="108"/>
    </row>
    <row r="870" spans="1:66" ht="12" customHeight="1" x14ac:dyDescent="0.2">
      <c r="A870" s="179"/>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c r="AA870" s="108"/>
      <c r="AB870" s="108"/>
      <c r="AC870" s="108"/>
      <c r="AD870" s="108"/>
      <c r="AE870" s="108"/>
      <c r="AF870" s="108"/>
      <c r="AG870" s="108"/>
      <c r="AH870" s="108"/>
      <c r="AI870" s="108"/>
      <c r="AJ870" s="108"/>
      <c r="AK870" s="108"/>
      <c r="AL870" s="108"/>
      <c r="AM870" s="108"/>
      <c r="AN870" s="108"/>
      <c r="AO870" s="108"/>
      <c r="AP870" s="108"/>
      <c r="AQ870" s="108"/>
      <c r="AR870" s="108"/>
      <c r="AS870" s="108"/>
      <c r="AT870" s="108"/>
      <c r="AU870" s="108"/>
      <c r="AV870" s="108"/>
      <c r="AW870" s="108"/>
      <c r="AX870" s="108"/>
      <c r="AY870" s="108"/>
      <c r="AZ870" s="108"/>
      <c r="BA870" s="108"/>
      <c r="BB870" s="108"/>
      <c r="BC870" s="108"/>
      <c r="BD870" s="108"/>
      <c r="BE870" s="108"/>
      <c r="BF870" s="108"/>
      <c r="BG870" s="108"/>
      <c r="BH870" s="108"/>
      <c r="BI870" s="108"/>
      <c r="BJ870" s="108"/>
      <c r="BK870" s="109"/>
      <c r="BL870" s="108"/>
      <c r="BM870" s="108"/>
      <c r="BN870" s="108"/>
    </row>
    <row r="871" spans="1:66" ht="12" customHeight="1" x14ac:dyDescent="0.2">
      <c r="A871" s="179"/>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c r="AA871" s="108"/>
      <c r="AB871" s="108"/>
      <c r="AC871" s="108"/>
      <c r="AD871" s="108"/>
      <c r="AE871" s="108"/>
      <c r="AF871" s="108"/>
      <c r="AG871" s="108"/>
      <c r="AH871" s="108"/>
      <c r="AI871" s="108"/>
      <c r="AJ871" s="108"/>
      <c r="AK871" s="108"/>
      <c r="AL871" s="108"/>
      <c r="AM871" s="108"/>
      <c r="AN871" s="108"/>
      <c r="AO871" s="108"/>
      <c r="AP871" s="108"/>
      <c r="AQ871" s="108"/>
      <c r="AR871" s="108"/>
      <c r="AS871" s="108"/>
      <c r="AT871" s="108"/>
      <c r="AU871" s="108"/>
      <c r="AV871" s="108"/>
      <c r="AW871" s="108"/>
      <c r="AX871" s="108"/>
      <c r="AY871" s="108"/>
      <c r="AZ871" s="108"/>
      <c r="BA871" s="108"/>
      <c r="BB871" s="108"/>
      <c r="BC871" s="108"/>
      <c r="BD871" s="108"/>
      <c r="BE871" s="108"/>
      <c r="BF871" s="108"/>
      <c r="BG871" s="108"/>
      <c r="BH871" s="108"/>
      <c r="BI871" s="108"/>
      <c r="BJ871" s="108"/>
      <c r="BK871" s="109"/>
      <c r="BL871" s="108"/>
      <c r="BM871" s="108"/>
      <c r="BN871" s="108"/>
    </row>
    <row r="872" spans="1:66" ht="12" customHeight="1" x14ac:dyDescent="0.2">
      <c r="A872" s="179"/>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c r="AA872" s="108"/>
      <c r="AB872" s="108"/>
      <c r="AC872" s="108"/>
      <c r="AD872" s="108"/>
      <c r="AE872" s="108"/>
      <c r="AF872" s="108"/>
      <c r="AG872" s="108"/>
      <c r="AH872" s="108"/>
      <c r="AI872" s="108"/>
      <c r="AJ872" s="108"/>
      <c r="AK872" s="108"/>
      <c r="AL872" s="108"/>
      <c r="AM872" s="108"/>
      <c r="AN872" s="108"/>
      <c r="AO872" s="108"/>
      <c r="AP872" s="108"/>
      <c r="AQ872" s="108"/>
      <c r="AR872" s="108"/>
      <c r="AS872" s="108"/>
      <c r="AT872" s="108"/>
      <c r="AU872" s="108"/>
      <c r="AV872" s="108"/>
      <c r="AW872" s="108"/>
      <c r="AX872" s="108"/>
      <c r="AY872" s="108"/>
      <c r="AZ872" s="108"/>
      <c r="BA872" s="108"/>
      <c r="BB872" s="108"/>
      <c r="BC872" s="108"/>
      <c r="BD872" s="108"/>
      <c r="BE872" s="108"/>
      <c r="BF872" s="108"/>
      <c r="BG872" s="108"/>
      <c r="BH872" s="108"/>
      <c r="BI872" s="108"/>
      <c r="BJ872" s="108"/>
      <c r="BK872" s="109"/>
      <c r="BL872" s="108"/>
      <c r="BM872" s="108"/>
      <c r="BN872" s="108"/>
    </row>
    <row r="873" spans="1:66" ht="12" customHeight="1" x14ac:dyDescent="0.2">
      <c r="A873" s="179"/>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c r="AA873" s="108"/>
      <c r="AB873" s="108"/>
      <c r="AC873" s="108"/>
      <c r="AD873" s="108"/>
      <c r="AE873" s="108"/>
      <c r="AF873" s="108"/>
      <c r="AG873" s="108"/>
      <c r="AH873" s="108"/>
      <c r="AI873" s="108"/>
      <c r="AJ873" s="108"/>
      <c r="AK873" s="108"/>
      <c r="AL873" s="108"/>
      <c r="AM873" s="108"/>
      <c r="AN873" s="108"/>
      <c r="AO873" s="108"/>
      <c r="AP873" s="108"/>
      <c r="AQ873" s="108"/>
      <c r="AR873" s="108"/>
      <c r="AS873" s="108"/>
      <c r="AT873" s="108"/>
      <c r="AU873" s="108"/>
      <c r="AV873" s="108"/>
      <c r="AW873" s="108"/>
      <c r="AX873" s="108"/>
      <c r="AY873" s="108"/>
      <c r="AZ873" s="108"/>
      <c r="BA873" s="108"/>
      <c r="BB873" s="108"/>
      <c r="BC873" s="108"/>
      <c r="BD873" s="108"/>
      <c r="BE873" s="108"/>
      <c r="BF873" s="108"/>
      <c r="BG873" s="108"/>
      <c r="BH873" s="108"/>
      <c r="BI873" s="108"/>
      <c r="BJ873" s="108"/>
      <c r="BK873" s="109"/>
      <c r="BL873" s="108"/>
      <c r="BM873" s="108"/>
      <c r="BN873" s="108"/>
    </row>
    <row r="874" spans="1:66" ht="12" customHeight="1" x14ac:dyDescent="0.2">
      <c r="A874" s="179"/>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c r="AA874" s="108"/>
      <c r="AB874" s="108"/>
      <c r="AC874" s="108"/>
      <c r="AD874" s="108"/>
      <c r="AE874" s="108"/>
      <c r="AF874" s="108"/>
      <c r="AG874" s="108"/>
      <c r="AH874" s="108"/>
      <c r="AI874" s="108"/>
      <c r="AJ874" s="108"/>
      <c r="AK874" s="108"/>
      <c r="AL874" s="108"/>
      <c r="AM874" s="108"/>
      <c r="AN874" s="108"/>
      <c r="AO874" s="108"/>
      <c r="AP874" s="108"/>
      <c r="AQ874" s="108"/>
      <c r="AR874" s="108"/>
      <c r="AS874" s="108"/>
      <c r="AT874" s="108"/>
      <c r="AU874" s="108"/>
      <c r="AV874" s="108"/>
      <c r="AW874" s="108"/>
      <c r="AX874" s="108"/>
      <c r="AY874" s="108"/>
      <c r="AZ874" s="108"/>
      <c r="BA874" s="108"/>
      <c r="BB874" s="108"/>
      <c r="BC874" s="108"/>
      <c r="BD874" s="108"/>
      <c r="BE874" s="108"/>
      <c r="BF874" s="108"/>
      <c r="BG874" s="108"/>
      <c r="BH874" s="108"/>
      <c r="BI874" s="108"/>
      <c r="BJ874" s="108"/>
      <c r="BK874" s="109"/>
      <c r="BL874" s="108"/>
      <c r="BM874" s="108"/>
      <c r="BN874" s="108"/>
    </row>
    <row r="875" spans="1:66" ht="12" customHeight="1" x14ac:dyDescent="0.2">
      <c r="A875" s="179"/>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c r="AA875" s="108"/>
      <c r="AB875" s="108"/>
      <c r="AC875" s="108"/>
      <c r="AD875" s="108"/>
      <c r="AE875" s="108"/>
      <c r="AF875" s="108"/>
      <c r="AG875" s="108"/>
      <c r="AH875" s="108"/>
      <c r="AI875" s="108"/>
      <c r="AJ875" s="108"/>
      <c r="AK875" s="108"/>
      <c r="AL875" s="108"/>
      <c r="AM875" s="108"/>
      <c r="AN875" s="108"/>
      <c r="AO875" s="108"/>
      <c r="AP875" s="108"/>
      <c r="AQ875" s="108"/>
      <c r="AR875" s="108"/>
      <c r="AS875" s="108"/>
      <c r="AT875" s="108"/>
      <c r="AU875" s="108"/>
      <c r="AV875" s="108"/>
      <c r="AW875" s="108"/>
      <c r="AX875" s="108"/>
      <c r="AY875" s="108"/>
      <c r="AZ875" s="108"/>
      <c r="BA875" s="108"/>
      <c r="BB875" s="108"/>
      <c r="BC875" s="108"/>
      <c r="BD875" s="108"/>
      <c r="BE875" s="108"/>
      <c r="BF875" s="108"/>
      <c r="BG875" s="108"/>
      <c r="BH875" s="108"/>
      <c r="BI875" s="108"/>
      <c r="BJ875" s="108"/>
      <c r="BK875" s="109"/>
      <c r="BL875" s="108"/>
      <c r="BM875" s="108"/>
      <c r="BN875" s="108"/>
    </row>
    <row r="876" spans="1:66" ht="12" customHeight="1" x14ac:dyDescent="0.2">
      <c r="A876" s="179"/>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c r="AA876" s="108"/>
      <c r="AB876" s="108"/>
      <c r="AC876" s="108"/>
      <c r="AD876" s="108"/>
      <c r="AE876" s="108"/>
      <c r="AF876" s="108"/>
      <c r="AG876" s="108"/>
      <c r="AH876" s="108"/>
      <c r="AI876" s="108"/>
      <c r="AJ876" s="108"/>
      <c r="AK876" s="108"/>
      <c r="AL876" s="108"/>
      <c r="AM876" s="108"/>
      <c r="AN876" s="108"/>
      <c r="AO876" s="108"/>
      <c r="AP876" s="108"/>
      <c r="AQ876" s="108"/>
      <c r="AR876" s="108"/>
      <c r="AS876" s="108"/>
      <c r="AT876" s="108"/>
      <c r="AU876" s="108"/>
      <c r="AV876" s="108"/>
      <c r="AW876" s="108"/>
      <c r="AX876" s="108"/>
      <c r="AY876" s="108"/>
      <c r="AZ876" s="108"/>
      <c r="BA876" s="108"/>
      <c r="BB876" s="108"/>
      <c r="BC876" s="108"/>
      <c r="BD876" s="108"/>
      <c r="BE876" s="108"/>
      <c r="BF876" s="108"/>
      <c r="BG876" s="108"/>
      <c r="BH876" s="108"/>
      <c r="BI876" s="108"/>
      <c r="BJ876" s="108"/>
      <c r="BK876" s="109"/>
      <c r="BL876" s="108"/>
      <c r="BM876" s="108"/>
      <c r="BN876" s="108"/>
    </row>
    <row r="877" spans="1:66" ht="12" customHeight="1" x14ac:dyDescent="0.2">
      <c r="A877" s="179"/>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c r="AA877" s="108"/>
      <c r="AB877" s="108"/>
      <c r="AC877" s="108"/>
      <c r="AD877" s="108"/>
      <c r="AE877" s="108"/>
      <c r="AF877" s="108"/>
      <c r="AG877" s="108"/>
      <c r="AH877" s="108"/>
      <c r="AI877" s="108"/>
      <c r="AJ877" s="108"/>
      <c r="AK877" s="108"/>
      <c r="AL877" s="108"/>
      <c r="AM877" s="108"/>
      <c r="AN877" s="108"/>
      <c r="AO877" s="108"/>
      <c r="AP877" s="108"/>
      <c r="AQ877" s="108"/>
      <c r="AR877" s="108"/>
      <c r="AS877" s="108"/>
      <c r="AT877" s="108"/>
      <c r="AU877" s="108"/>
      <c r="AV877" s="108"/>
      <c r="AW877" s="108"/>
      <c r="AX877" s="108"/>
      <c r="AY877" s="108"/>
      <c r="AZ877" s="108"/>
      <c r="BA877" s="108"/>
      <c r="BB877" s="108"/>
      <c r="BC877" s="108"/>
      <c r="BD877" s="108"/>
      <c r="BE877" s="108"/>
      <c r="BF877" s="108"/>
      <c r="BG877" s="108"/>
      <c r="BH877" s="108"/>
      <c r="BI877" s="108"/>
      <c r="BJ877" s="108"/>
      <c r="BK877" s="109"/>
      <c r="BL877" s="108"/>
      <c r="BM877" s="108"/>
      <c r="BN877" s="108"/>
    </row>
    <row r="878" spans="1:66" ht="12" customHeight="1" x14ac:dyDescent="0.2">
      <c r="A878" s="179"/>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c r="AA878" s="108"/>
      <c r="AB878" s="108"/>
      <c r="AC878" s="108"/>
      <c r="AD878" s="108"/>
      <c r="AE878" s="108"/>
      <c r="AF878" s="108"/>
      <c r="AG878" s="108"/>
      <c r="AH878" s="108"/>
      <c r="AI878" s="108"/>
      <c r="AJ878" s="108"/>
      <c r="AK878" s="108"/>
      <c r="AL878" s="108"/>
      <c r="AM878" s="108"/>
      <c r="AN878" s="108"/>
      <c r="AO878" s="108"/>
      <c r="AP878" s="108"/>
      <c r="AQ878" s="108"/>
      <c r="AR878" s="108"/>
      <c r="AS878" s="108"/>
      <c r="AT878" s="108"/>
      <c r="AU878" s="108"/>
      <c r="AV878" s="108"/>
      <c r="AW878" s="108"/>
      <c r="AX878" s="108"/>
      <c r="AY878" s="108"/>
      <c r="AZ878" s="108"/>
      <c r="BA878" s="108"/>
      <c r="BB878" s="108"/>
      <c r="BC878" s="108"/>
      <c r="BD878" s="108"/>
      <c r="BE878" s="108"/>
      <c r="BF878" s="108"/>
      <c r="BG878" s="108"/>
      <c r="BH878" s="108"/>
      <c r="BI878" s="108"/>
      <c r="BJ878" s="108"/>
      <c r="BK878" s="109"/>
      <c r="BL878" s="108"/>
      <c r="BM878" s="108"/>
      <c r="BN878" s="108"/>
    </row>
    <row r="879" spans="1:66" ht="12" customHeight="1" x14ac:dyDescent="0.2">
      <c r="A879" s="179"/>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c r="AA879" s="108"/>
      <c r="AB879" s="108"/>
      <c r="AC879" s="108"/>
      <c r="AD879" s="108"/>
      <c r="AE879" s="108"/>
      <c r="AF879" s="108"/>
      <c r="AG879" s="108"/>
      <c r="AH879" s="108"/>
      <c r="AI879" s="108"/>
      <c r="AJ879" s="108"/>
      <c r="AK879" s="108"/>
      <c r="AL879" s="108"/>
      <c r="AM879" s="108"/>
      <c r="AN879" s="108"/>
      <c r="AO879" s="108"/>
      <c r="AP879" s="108"/>
      <c r="AQ879" s="108"/>
      <c r="AR879" s="108"/>
      <c r="AS879" s="108"/>
      <c r="AT879" s="108"/>
      <c r="AU879" s="108"/>
      <c r="AV879" s="108"/>
      <c r="AW879" s="108"/>
      <c r="AX879" s="108"/>
      <c r="AY879" s="108"/>
      <c r="AZ879" s="108"/>
      <c r="BA879" s="108"/>
      <c r="BB879" s="108"/>
      <c r="BC879" s="108"/>
      <c r="BD879" s="108"/>
      <c r="BE879" s="108"/>
      <c r="BF879" s="108"/>
      <c r="BG879" s="108"/>
      <c r="BH879" s="108"/>
      <c r="BI879" s="108"/>
      <c r="BJ879" s="108"/>
      <c r="BK879" s="109"/>
      <c r="BL879" s="108"/>
      <c r="BM879" s="108"/>
      <c r="BN879" s="108"/>
    </row>
    <row r="880" spans="1:66" ht="12" customHeight="1" x14ac:dyDescent="0.2">
      <c r="A880" s="179"/>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c r="AA880" s="108"/>
      <c r="AB880" s="108"/>
      <c r="AC880" s="108"/>
      <c r="AD880" s="108"/>
      <c r="AE880" s="108"/>
      <c r="AF880" s="108"/>
      <c r="AG880" s="108"/>
      <c r="AH880" s="108"/>
      <c r="AI880" s="108"/>
      <c r="AJ880" s="108"/>
      <c r="AK880" s="108"/>
      <c r="AL880" s="108"/>
      <c r="AM880" s="108"/>
      <c r="AN880" s="108"/>
      <c r="AO880" s="108"/>
      <c r="AP880" s="108"/>
      <c r="AQ880" s="108"/>
      <c r="AR880" s="108"/>
      <c r="AS880" s="108"/>
      <c r="AT880" s="108"/>
      <c r="AU880" s="108"/>
      <c r="AV880" s="108"/>
      <c r="AW880" s="108"/>
      <c r="AX880" s="108"/>
      <c r="AY880" s="108"/>
      <c r="AZ880" s="108"/>
      <c r="BA880" s="108"/>
      <c r="BB880" s="108"/>
      <c r="BC880" s="108"/>
      <c r="BD880" s="108"/>
      <c r="BE880" s="108"/>
      <c r="BF880" s="108"/>
      <c r="BG880" s="108"/>
      <c r="BH880" s="108"/>
      <c r="BI880" s="108"/>
      <c r="BJ880" s="108"/>
      <c r="BK880" s="109"/>
      <c r="BL880" s="108"/>
      <c r="BM880" s="108"/>
      <c r="BN880" s="108"/>
    </row>
    <row r="881" spans="1:66" ht="12" customHeight="1" x14ac:dyDescent="0.2">
      <c r="A881" s="179"/>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c r="AA881" s="108"/>
      <c r="AB881" s="108"/>
      <c r="AC881" s="108"/>
      <c r="AD881" s="108"/>
      <c r="AE881" s="108"/>
      <c r="AF881" s="108"/>
      <c r="AG881" s="108"/>
      <c r="AH881" s="108"/>
      <c r="AI881" s="108"/>
      <c r="AJ881" s="108"/>
      <c r="AK881" s="108"/>
      <c r="AL881" s="108"/>
      <c r="AM881" s="108"/>
      <c r="AN881" s="108"/>
      <c r="AO881" s="108"/>
      <c r="AP881" s="108"/>
      <c r="AQ881" s="108"/>
      <c r="AR881" s="108"/>
      <c r="AS881" s="108"/>
      <c r="AT881" s="108"/>
      <c r="AU881" s="108"/>
      <c r="AV881" s="108"/>
      <c r="AW881" s="108"/>
      <c r="AX881" s="108"/>
      <c r="AY881" s="108"/>
      <c r="AZ881" s="108"/>
      <c r="BA881" s="108"/>
      <c r="BB881" s="108"/>
      <c r="BC881" s="108"/>
      <c r="BD881" s="108"/>
      <c r="BE881" s="108"/>
      <c r="BF881" s="108"/>
      <c r="BG881" s="108"/>
      <c r="BH881" s="108"/>
      <c r="BI881" s="108"/>
      <c r="BJ881" s="108"/>
      <c r="BK881" s="109"/>
      <c r="BL881" s="108"/>
      <c r="BM881" s="108"/>
      <c r="BN881" s="108"/>
    </row>
    <row r="882" spans="1:66" ht="12" customHeight="1" x14ac:dyDescent="0.2">
      <c r="A882" s="179"/>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c r="AA882" s="108"/>
      <c r="AB882" s="108"/>
      <c r="AC882" s="108"/>
      <c r="AD882" s="108"/>
      <c r="AE882" s="108"/>
      <c r="AF882" s="108"/>
      <c r="AG882" s="108"/>
      <c r="AH882" s="108"/>
      <c r="AI882" s="108"/>
      <c r="AJ882" s="108"/>
      <c r="AK882" s="108"/>
      <c r="AL882" s="108"/>
      <c r="AM882" s="108"/>
      <c r="AN882" s="108"/>
      <c r="AO882" s="108"/>
      <c r="AP882" s="108"/>
      <c r="AQ882" s="108"/>
      <c r="AR882" s="108"/>
      <c r="AS882" s="108"/>
      <c r="AT882" s="108"/>
      <c r="AU882" s="108"/>
      <c r="AV882" s="108"/>
      <c r="AW882" s="108"/>
      <c r="AX882" s="108"/>
      <c r="AY882" s="108"/>
      <c r="AZ882" s="108"/>
      <c r="BA882" s="108"/>
      <c r="BB882" s="108"/>
      <c r="BC882" s="108"/>
      <c r="BD882" s="108"/>
      <c r="BE882" s="108"/>
      <c r="BF882" s="108"/>
      <c r="BG882" s="108"/>
      <c r="BH882" s="108"/>
      <c r="BI882" s="108"/>
      <c r="BJ882" s="108"/>
      <c r="BK882" s="109"/>
      <c r="BL882" s="108"/>
      <c r="BM882" s="108"/>
      <c r="BN882" s="108"/>
    </row>
    <row r="883" spans="1:66" ht="12" customHeight="1" x14ac:dyDescent="0.2">
      <c r="A883" s="179"/>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c r="AA883" s="108"/>
      <c r="AB883" s="108"/>
      <c r="AC883" s="108"/>
      <c r="AD883" s="108"/>
      <c r="AE883" s="108"/>
      <c r="AF883" s="108"/>
      <c r="AG883" s="108"/>
      <c r="AH883" s="108"/>
      <c r="AI883" s="108"/>
      <c r="AJ883" s="108"/>
      <c r="AK883" s="108"/>
      <c r="AL883" s="108"/>
      <c r="AM883" s="108"/>
      <c r="AN883" s="108"/>
      <c r="AO883" s="108"/>
      <c r="AP883" s="108"/>
      <c r="AQ883" s="108"/>
      <c r="AR883" s="108"/>
      <c r="AS883" s="108"/>
      <c r="AT883" s="108"/>
      <c r="AU883" s="108"/>
      <c r="AV883" s="108"/>
      <c r="AW883" s="108"/>
      <c r="AX883" s="108"/>
      <c r="AY883" s="108"/>
      <c r="AZ883" s="108"/>
      <c r="BA883" s="108"/>
      <c r="BB883" s="108"/>
      <c r="BC883" s="108"/>
      <c r="BD883" s="108"/>
      <c r="BE883" s="108"/>
      <c r="BF883" s="108"/>
      <c r="BG883" s="108"/>
      <c r="BH883" s="108"/>
      <c r="BI883" s="108"/>
      <c r="BJ883" s="108"/>
      <c r="BK883" s="109"/>
      <c r="BL883" s="108"/>
      <c r="BM883" s="108"/>
      <c r="BN883" s="108"/>
    </row>
    <row r="884" spans="1:66" ht="12" customHeight="1" x14ac:dyDescent="0.2">
      <c r="A884" s="179"/>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c r="AA884" s="108"/>
      <c r="AB884" s="108"/>
      <c r="AC884" s="108"/>
      <c r="AD884" s="108"/>
      <c r="AE884" s="108"/>
      <c r="AF884" s="108"/>
      <c r="AG884" s="108"/>
      <c r="AH884" s="108"/>
      <c r="AI884" s="108"/>
      <c r="AJ884" s="108"/>
      <c r="AK884" s="108"/>
      <c r="AL884" s="108"/>
      <c r="AM884" s="108"/>
      <c r="AN884" s="108"/>
      <c r="AO884" s="108"/>
      <c r="AP884" s="108"/>
      <c r="AQ884" s="108"/>
      <c r="AR884" s="108"/>
      <c r="AS884" s="108"/>
      <c r="AT884" s="108"/>
      <c r="AU884" s="108"/>
      <c r="AV884" s="108"/>
      <c r="AW884" s="108"/>
      <c r="AX884" s="108"/>
      <c r="AY884" s="108"/>
      <c r="AZ884" s="108"/>
      <c r="BA884" s="108"/>
      <c r="BB884" s="108"/>
      <c r="BC884" s="108"/>
      <c r="BD884" s="108"/>
      <c r="BE884" s="108"/>
      <c r="BF884" s="108"/>
      <c r="BG884" s="108"/>
      <c r="BH884" s="108"/>
      <c r="BI884" s="108"/>
      <c r="BJ884" s="108"/>
      <c r="BK884" s="109"/>
      <c r="BL884" s="108"/>
      <c r="BM884" s="108"/>
      <c r="BN884" s="108"/>
    </row>
    <row r="885" spans="1:66" ht="12" customHeight="1" x14ac:dyDescent="0.2">
      <c r="A885" s="179"/>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c r="AA885" s="108"/>
      <c r="AB885" s="108"/>
      <c r="AC885" s="108"/>
      <c r="AD885" s="108"/>
      <c r="AE885" s="108"/>
      <c r="AF885" s="108"/>
      <c r="AG885" s="108"/>
      <c r="AH885" s="108"/>
      <c r="AI885" s="108"/>
      <c r="AJ885" s="108"/>
      <c r="AK885" s="108"/>
      <c r="AL885" s="108"/>
      <c r="AM885" s="108"/>
      <c r="AN885" s="108"/>
      <c r="AO885" s="108"/>
      <c r="AP885" s="108"/>
      <c r="AQ885" s="108"/>
      <c r="AR885" s="108"/>
      <c r="AS885" s="108"/>
      <c r="AT885" s="108"/>
      <c r="AU885" s="108"/>
      <c r="AV885" s="108"/>
      <c r="AW885" s="108"/>
      <c r="AX885" s="108"/>
      <c r="AY885" s="108"/>
      <c r="AZ885" s="108"/>
      <c r="BA885" s="108"/>
      <c r="BB885" s="108"/>
      <c r="BC885" s="108"/>
      <c r="BD885" s="108"/>
      <c r="BE885" s="108"/>
      <c r="BF885" s="108"/>
      <c r="BG885" s="108"/>
      <c r="BH885" s="108"/>
      <c r="BI885" s="108"/>
      <c r="BJ885" s="108"/>
      <c r="BK885" s="109"/>
      <c r="BL885" s="108"/>
      <c r="BM885" s="108"/>
      <c r="BN885" s="108"/>
    </row>
    <row r="886" spans="1:66" ht="12" customHeight="1" x14ac:dyDescent="0.2">
      <c r="A886" s="179"/>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c r="AA886" s="108"/>
      <c r="AB886" s="108"/>
      <c r="AC886" s="108"/>
      <c r="AD886" s="108"/>
      <c r="AE886" s="108"/>
      <c r="AF886" s="108"/>
      <c r="AG886" s="108"/>
      <c r="AH886" s="108"/>
      <c r="AI886" s="108"/>
      <c r="AJ886" s="108"/>
      <c r="AK886" s="108"/>
      <c r="AL886" s="108"/>
      <c r="AM886" s="108"/>
      <c r="AN886" s="108"/>
      <c r="AO886" s="108"/>
      <c r="AP886" s="108"/>
      <c r="AQ886" s="108"/>
      <c r="AR886" s="108"/>
      <c r="AS886" s="108"/>
      <c r="AT886" s="108"/>
      <c r="AU886" s="108"/>
      <c r="AV886" s="108"/>
      <c r="AW886" s="108"/>
      <c r="AX886" s="108"/>
      <c r="AY886" s="108"/>
      <c r="AZ886" s="108"/>
      <c r="BA886" s="108"/>
      <c r="BB886" s="108"/>
      <c r="BC886" s="108"/>
      <c r="BD886" s="108"/>
      <c r="BE886" s="108"/>
      <c r="BF886" s="108"/>
      <c r="BG886" s="108"/>
      <c r="BH886" s="108"/>
      <c r="BI886" s="108"/>
      <c r="BJ886" s="108"/>
      <c r="BK886" s="109"/>
      <c r="BL886" s="108"/>
      <c r="BM886" s="108"/>
      <c r="BN886" s="108"/>
    </row>
    <row r="887" spans="1:66" ht="12" customHeight="1" x14ac:dyDescent="0.2">
      <c r="A887" s="179"/>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c r="AA887" s="108"/>
      <c r="AB887" s="108"/>
      <c r="AC887" s="108"/>
      <c r="AD887" s="108"/>
      <c r="AE887" s="108"/>
      <c r="AF887" s="108"/>
      <c r="AG887" s="108"/>
      <c r="AH887" s="108"/>
      <c r="AI887" s="108"/>
      <c r="AJ887" s="108"/>
      <c r="AK887" s="108"/>
      <c r="AL887" s="108"/>
      <c r="AM887" s="108"/>
      <c r="AN887" s="108"/>
      <c r="AO887" s="108"/>
      <c r="AP887" s="108"/>
      <c r="AQ887" s="108"/>
      <c r="AR887" s="108"/>
      <c r="AS887" s="108"/>
      <c r="AT887" s="108"/>
      <c r="AU887" s="108"/>
      <c r="AV887" s="108"/>
      <c r="AW887" s="108"/>
      <c r="AX887" s="108"/>
      <c r="AY887" s="108"/>
      <c r="AZ887" s="108"/>
      <c r="BA887" s="108"/>
      <c r="BB887" s="108"/>
      <c r="BC887" s="108"/>
      <c r="BD887" s="108"/>
      <c r="BE887" s="108"/>
      <c r="BF887" s="108"/>
      <c r="BG887" s="108"/>
      <c r="BH887" s="108"/>
      <c r="BI887" s="108"/>
      <c r="BJ887" s="108"/>
      <c r="BK887" s="109"/>
      <c r="BL887" s="108"/>
      <c r="BM887" s="108"/>
      <c r="BN887" s="108"/>
    </row>
    <row r="888" spans="1:66" ht="12" customHeight="1" x14ac:dyDescent="0.2">
      <c r="A888" s="179"/>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c r="AA888" s="108"/>
      <c r="AB888" s="108"/>
      <c r="AC888" s="108"/>
      <c r="AD888" s="108"/>
      <c r="AE888" s="108"/>
      <c r="AF888" s="108"/>
      <c r="AG888" s="108"/>
      <c r="AH888" s="108"/>
      <c r="AI888" s="108"/>
      <c r="AJ888" s="108"/>
      <c r="AK888" s="108"/>
      <c r="AL888" s="108"/>
      <c r="AM888" s="108"/>
      <c r="AN888" s="108"/>
      <c r="AO888" s="108"/>
      <c r="AP888" s="108"/>
      <c r="AQ888" s="108"/>
      <c r="AR888" s="108"/>
      <c r="AS888" s="108"/>
      <c r="AT888" s="108"/>
      <c r="AU888" s="108"/>
      <c r="AV888" s="108"/>
      <c r="AW888" s="108"/>
      <c r="AX888" s="108"/>
      <c r="AY888" s="108"/>
      <c r="AZ888" s="108"/>
      <c r="BA888" s="108"/>
      <c r="BB888" s="108"/>
      <c r="BC888" s="108"/>
      <c r="BD888" s="108"/>
      <c r="BE888" s="108"/>
      <c r="BF888" s="108"/>
      <c r="BG888" s="108"/>
      <c r="BH888" s="108"/>
      <c r="BI888" s="108"/>
      <c r="BJ888" s="108"/>
      <c r="BK888" s="109"/>
      <c r="BL888" s="108"/>
      <c r="BM888" s="108"/>
      <c r="BN888" s="108"/>
    </row>
    <row r="889" spans="1:66" ht="12" customHeight="1" x14ac:dyDescent="0.2">
      <c r="A889" s="179"/>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c r="AA889" s="108"/>
      <c r="AB889" s="108"/>
      <c r="AC889" s="108"/>
      <c r="AD889" s="108"/>
      <c r="AE889" s="108"/>
      <c r="AF889" s="108"/>
      <c r="AG889" s="108"/>
      <c r="AH889" s="108"/>
      <c r="AI889" s="108"/>
      <c r="AJ889" s="108"/>
      <c r="AK889" s="108"/>
      <c r="AL889" s="108"/>
      <c r="AM889" s="108"/>
      <c r="AN889" s="108"/>
      <c r="AO889" s="108"/>
      <c r="AP889" s="108"/>
      <c r="AQ889" s="108"/>
      <c r="AR889" s="108"/>
      <c r="AS889" s="108"/>
      <c r="AT889" s="108"/>
      <c r="AU889" s="108"/>
      <c r="AV889" s="108"/>
      <c r="AW889" s="108"/>
      <c r="AX889" s="108"/>
      <c r="AY889" s="108"/>
      <c r="AZ889" s="108"/>
      <c r="BA889" s="108"/>
      <c r="BB889" s="108"/>
      <c r="BC889" s="108"/>
      <c r="BD889" s="108"/>
      <c r="BE889" s="108"/>
      <c r="BF889" s="108"/>
      <c r="BG889" s="108"/>
      <c r="BH889" s="108"/>
      <c r="BI889" s="108"/>
      <c r="BJ889" s="108"/>
      <c r="BK889" s="109"/>
      <c r="BL889" s="108"/>
      <c r="BM889" s="108"/>
      <c r="BN889" s="108"/>
    </row>
    <row r="890" spans="1:66" ht="12" customHeight="1" x14ac:dyDescent="0.2">
      <c r="A890" s="179"/>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c r="AA890" s="108"/>
      <c r="AB890" s="108"/>
      <c r="AC890" s="108"/>
      <c r="AD890" s="108"/>
      <c r="AE890" s="108"/>
      <c r="AF890" s="108"/>
      <c r="AG890" s="108"/>
      <c r="AH890" s="108"/>
      <c r="AI890" s="108"/>
      <c r="AJ890" s="108"/>
      <c r="AK890" s="108"/>
      <c r="AL890" s="108"/>
      <c r="AM890" s="108"/>
      <c r="AN890" s="108"/>
      <c r="AO890" s="108"/>
      <c r="AP890" s="108"/>
      <c r="AQ890" s="108"/>
      <c r="AR890" s="108"/>
      <c r="AS890" s="108"/>
      <c r="AT890" s="108"/>
      <c r="AU890" s="108"/>
      <c r="AV890" s="108"/>
      <c r="AW890" s="108"/>
      <c r="AX890" s="108"/>
      <c r="AY890" s="108"/>
      <c r="AZ890" s="108"/>
      <c r="BA890" s="108"/>
      <c r="BB890" s="108"/>
      <c r="BC890" s="108"/>
      <c r="BD890" s="108"/>
      <c r="BE890" s="108"/>
      <c r="BF890" s="108"/>
      <c r="BG890" s="108"/>
      <c r="BH890" s="108"/>
      <c r="BI890" s="108"/>
      <c r="BJ890" s="108"/>
      <c r="BK890" s="109"/>
      <c r="BL890" s="108"/>
      <c r="BM890" s="108"/>
      <c r="BN890" s="108"/>
    </row>
    <row r="891" spans="1:66" ht="12" customHeight="1" x14ac:dyDescent="0.2">
      <c r="A891" s="179"/>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c r="AA891" s="108"/>
      <c r="AB891" s="108"/>
      <c r="AC891" s="108"/>
      <c r="AD891" s="108"/>
      <c r="AE891" s="108"/>
      <c r="AF891" s="108"/>
      <c r="AG891" s="108"/>
      <c r="AH891" s="108"/>
      <c r="AI891" s="108"/>
      <c r="AJ891" s="108"/>
      <c r="AK891" s="108"/>
      <c r="AL891" s="108"/>
      <c r="AM891" s="108"/>
      <c r="AN891" s="108"/>
      <c r="AO891" s="108"/>
      <c r="AP891" s="108"/>
      <c r="AQ891" s="108"/>
      <c r="AR891" s="108"/>
      <c r="AS891" s="108"/>
      <c r="AT891" s="108"/>
      <c r="AU891" s="108"/>
      <c r="AV891" s="108"/>
      <c r="AW891" s="108"/>
      <c r="AX891" s="108"/>
      <c r="AY891" s="108"/>
      <c r="AZ891" s="108"/>
      <c r="BA891" s="108"/>
      <c r="BB891" s="108"/>
      <c r="BC891" s="108"/>
      <c r="BD891" s="108"/>
      <c r="BE891" s="108"/>
      <c r="BF891" s="108"/>
      <c r="BG891" s="108"/>
      <c r="BH891" s="108"/>
      <c r="BI891" s="108"/>
      <c r="BJ891" s="108"/>
      <c r="BK891" s="109"/>
      <c r="BL891" s="108"/>
      <c r="BM891" s="108"/>
      <c r="BN891" s="108"/>
    </row>
    <row r="892" spans="1:66" ht="12" customHeight="1" x14ac:dyDescent="0.2">
      <c r="A892" s="179"/>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c r="AA892" s="108"/>
      <c r="AB892" s="108"/>
      <c r="AC892" s="108"/>
      <c r="AD892" s="108"/>
      <c r="AE892" s="108"/>
      <c r="AF892" s="108"/>
      <c r="AG892" s="108"/>
      <c r="AH892" s="108"/>
      <c r="AI892" s="108"/>
      <c r="AJ892" s="108"/>
      <c r="AK892" s="108"/>
      <c r="AL892" s="108"/>
      <c r="AM892" s="108"/>
      <c r="AN892" s="108"/>
      <c r="AO892" s="108"/>
      <c r="AP892" s="108"/>
      <c r="AQ892" s="108"/>
      <c r="AR892" s="108"/>
      <c r="AS892" s="108"/>
      <c r="AT892" s="108"/>
      <c r="AU892" s="108"/>
      <c r="AV892" s="108"/>
      <c r="AW892" s="108"/>
      <c r="AX892" s="108"/>
      <c r="AY892" s="108"/>
      <c r="AZ892" s="108"/>
      <c r="BA892" s="108"/>
      <c r="BB892" s="108"/>
      <c r="BC892" s="108"/>
      <c r="BD892" s="108"/>
      <c r="BE892" s="108"/>
      <c r="BF892" s="108"/>
      <c r="BG892" s="108"/>
      <c r="BH892" s="108"/>
      <c r="BI892" s="108"/>
      <c r="BJ892" s="108"/>
      <c r="BK892" s="109"/>
      <c r="BL892" s="108"/>
      <c r="BM892" s="108"/>
      <c r="BN892" s="108"/>
    </row>
    <row r="893" spans="1:66" ht="12" customHeight="1" x14ac:dyDescent="0.2">
      <c r="A893" s="179"/>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c r="AA893" s="108"/>
      <c r="AB893" s="108"/>
      <c r="AC893" s="108"/>
      <c r="AD893" s="108"/>
      <c r="AE893" s="108"/>
      <c r="AF893" s="108"/>
      <c r="AG893" s="108"/>
      <c r="AH893" s="108"/>
      <c r="AI893" s="108"/>
      <c r="AJ893" s="108"/>
      <c r="AK893" s="108"/>
      <c r="AL893" s="108"/>
      <c r="AM893" s="108"/>
      <c r="AN893" s="108"/>
      <c r="AO893" s="108"/>
      <c r="AP893" s="108"/>
      <c r="AQ893" s="108"/>
      <c r="AR893" s="108"/>
      <c r="AS893" s="108"/>
      <c r="AT893" s="108"/>
      <c r="AU893" s="108"/>
      <c r="AV893" s="108"/>
      <c r="AW893" s="108"/>
      <c r="AX893" s="108"/>
      <c r="AY893" s="108"/>
      <c r="AZ893" s="108"/>
      <c r="BA893" s="108"/>
      <c r="BB893" s="108"/>
      <c r="BC893" s="108"/>
      <c r="BD893" s="108"/>
      <c r="BE893" s="108"/>
      <c r="BF893" s="108"/>
      <c r="BG893" s="108"/>
      <c r="BH893" s="108"/>
      <c r="BI893" s="108"/>
      <c r="BJ893" s="108"/>
      <c r="BK893" s="109"/>
      <c r="BL893" s="108"/>
      <c r="BM893" s="108"/>
      <c r="BN893" s="108"/>
    </row>
    <row r="894" spans="1:66" ht="12" customHeight="1" x14ac:dyDescent="0.2">
      <c r="A894" s="179"/>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c r="AA894" s="108"/>
      <c r="AB894" s="108"/>
      <c r="AC894" s="108"/>
      <c r="AD894" s="108"/>
      <c r="AE894" s="108"/>
      <c r="AF894" s="108"/>
      <c r="AG894" s="108"/>
      <c r="AH894" s="108"/>
      <c r="AI894" s="108"/>
      <c r="AJ894" s="108"/>
      <c r="AK894" s="108"/>
      <c r="AL894" s="108"/>
      <c r="AM894" s="108"/>
      <c r="AN894" s="108"/>
      <c r="AO894" s="108"/>
      <c r="AP894" s="108"/>
      <c r="AQ894" s="108"/>
      <c r="AR894" s="108"/>
      <c r="AS894" s="108"/>
      <c r="AT894" s="108"/>
      <c r="AU894" s="108"/>
      <c r="AV894" s="108"/>
      <c r="AW894" s="108"/>
      <c r="AX894" s="108"/>
      <c r="AY894" s="108"/>
      <c r="AZ894" s="108"/>
      <c r="BA894" s="108"/>
      <c r="BB894" s="108"/>
      <c r="BC894" s="108"/>
      <c r="BD894" s="108"/>
      <c r="BE894" s="108"/>
      <c r="BF894" s="108"/>
      <c r="BG894" s="108"/>
      <c r="BH894" s="108"/>
      <c r="BI894" s="108"/>
      <c r="BJ894" s="108"/>
      <c r="BK894" s="109"/>
      <c r="BL894" s="108"/>
      <c r="BM894" s="108"/>
      <c r="BN894" s="108"/>
    </row>
    <row r="895" spans="1:66" ht="12" customHeight="1" x14ac:dyDescent="0.2">
      <c r="A895" s="179"/>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c r="AA895" s="108"/>
      <c r="AB895" s="108"/>
      <c r="AC895" s="108"/>
      <c r="AD895" s="108"/>
      <c r="AE895" s="108"/>
      <c r="AF895" s="108"/>
      <c r="AG895" s="108"/>
      <c r="AH895" s="108"/>
      <c r="AI895" s="108"/>
      <c r="AJ895" s="108"/>
      <c r="AK895" s="108"/>
      <c r="AL895" s="108"/>
      <c r="AM895" s="108"/>
      <c r="AN895" s="108"/>
      <c r="AO895" s="108"/>
      <c r="AP895" s="108"/>
      <c r="AQ895" s="108"/>
      <c r="AR895" s="108"/>
      <c r="AS895" s="108"/>
      <c r="AT895" s="108"/>
      <c r="AU895" s="108"/>
      <c r="AV895" s="108"/>
      <c r="AW895" s="108"/>
      <c r="AX895" s="108"/>
      <c r="AY895" s="108"/>
      <c r="AZ895" s="108"/>
      <c r="BA895" s="108"/>
      <c r="BB895" s="108"/>
      <c r="BC895" s="108"/>
      <c r="BD895" s="108"/>
      <c r="BE895" s="108"/>
      <c r="BF895" s="108"/>
      <c r="BG895" s="108"/>
      <c r="BH895" s="108"/>
      <c r="BI895" s="108"/>
      <c r="BJ895" s="108"/>
      <c r="BK895" s="109"/>
      <c r="BL895" s="108"/>
      <c r="BM895" s="108"/>
      <c r="BN895" s="108"/>
    </row>
    <row r="896" spans="1:66" ht="12" customHeight="1" x14ac:dyDescent="0.2">
      <c r="A896" s="179"/>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c r="AA896" s="108"/>
      <c r="AB896" s="108"/>
      <c r="AC896" s="108"/>
      <c r="AD896" s="108"/>
      <c r="AE896" s="108"/>
      <c r="AF896" s="108"/>
      <c r="AG896" s="108"/>
      <c r="AH896" s="108"/>
      <c r="AI896" s="108"/>
      <c r="AJ896" s="108"/>
      <c r="AK896" s="108"/>
      <c r="AL896" s="108"/>
      <c r="AM896" s="108"/>
      <c r="AN896" s="108"/>
      <c r="AO896" s="108"/>
      <c r="AP896" s="108"/>
      <c r="AQ896" s="108"/>
      <c r="AR896" s="108"/>
      <c r="AS896" s="108"/>
      <c r="AT896" s="108"/>
      <c r="AU896" s="108"/>
      <c r="AV896" s="108"/>
      <c r="AW896" s="108"/>
      <c r="AX896" s="108"/>
      <c r="AY896" s="108"/>
      <c r="AZ896" s="108"/>
      <c r="BA896" s="108"/>
      <c r="BB896" s="108"/>
      <c r="BC896" s="108"/>
      <c r="BD896" s="108"/>
      <c r="BE896" s="108"/>
      <c r="BF896" s="108"/>
      <c r="BG896" s="108"/>
      <c r="BH896" s="108"/>
      <c r="BI896" s="108"/>
      <c r="BJ896" s="108"/>
      <c r="BK896" s="109"/>
      <c r="BL896" s="108"/>
      <c r="BM896" s="108"/>
      <c r="BN896" s="108"/>
    </row>
    <row r="897" spans="1:66" ht="12" customHeight="1" x14ac:dyDescent="0.2">
      <c r="A897" s="179"/>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c r="AA897" s="108"/>
      <c r="AB897" s="108"/>
      <c r="AC897" s="108"/>
      <c r="AD897" s="108"/>
      <c r="AE897" s="108"/>
      <c r="AF897" s="108"/>
      <c r="AG897" s="108"/>
      <c r="AH897" s="108"/>
      <c r="AI897" s="108"/>
      <c r="AJ897" s="108"/>
      <c r="AK897" s="108"/>
      <c r="AL897" s="108"/>
      <c r="AM897" s="108"/>
      <c r="AN897" s="108"/>
      <c r="AO897" s="108"/>
      <c r="AP897" s="108"/>
      <c r="AQ897" s="108"/>
      <c r="AR897" s="108"/>
      <c r="AS897" s="108"/>
      <c r="AT897" s="108"/>
      <c r="AU897" s="108"/>
      <c r="AV897" s="108"/>
      <c r="AW897" s="108"/>
      <c r="AX897" s="108"/>
      <c r="AY897" s="108"/>
      <c r="AZ897" s="108"/>
      <c r="BA897" s="108"/>
      <c r="BB897" s="108"/>
      <c r="BC897" s="108"/>
      <c r="BD897" s="108"/>
      <c r="BE897" s="108"/>
      <c r="BF897" s="108"/>
      <c r="BG897" s="108"/>
      <c r="BH897" s="108"/>
      <c r="BI897" s="108"/>
      <c r="BJ897" s="108"/>
      <c r="BK897" s="109"/>
      <c r="BL897" s="108"/>
      <c r="BM897" s="108"/>
      <c r="BN897" s="108"/>
    </row>
    <row r="898" spans="1:66" ht="12" customHeight="1" x14ac:dyDescent="0.2">
      <c r="A898" s="179"/>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c r="AA898" s="108"/>
      <c r="AB898" s="108"/>
      <c r="AC898" s="108"/>
      <c r="AD898" s="108"/>
      <c r="AE898" s="108"/>
      <c r="AF898" s="108"/>
      <c r="AG898" s="108"/>
      <c r="AH898" s="108"/>
      <c r="AI898" s="108"/>
      <c r="AJ898" s="108"/>
      <c r="AK898" s="108"/>
      <c r="AL898" s="108"/>
      <c r="AM898" s="108"/>
      <c r="AN898" s="108"/>
      <c r="AO898" s="108"/>
      <c r="AP898" s="108"/>
      <c r="AQ898" s="108"/>
      <c r="AR898" s="108"/>
      <c r="AS898" s="108"/>
      <c r="AT898" s="108"/>
      <c r="AU898" s="108"/>
      <c r="AV898" s="108"/>
      <c r="AW898" s="108"/>
      <c r="AX898" s="108"/>
      <c r="AY898" s="108"/>
      <c r="AZ898" s="108"/>
      <c r="BA898" s="108"/>
      <c r="BB898" s="108"/>
      <c r="BC898" s="108"/>
      <c r="BD898" s="108"/>
      <c r="BE898" s="108"/>
      <c r="BF898" s="108"/>
      <c r="BG898" s="108"/>
      <c r="BH898" s="108"/>
      <c r="BI898" s="108"/>
      <c r="BJ898" s="108"/>
      <c r="BK898" s="109"/>
      <c r="BL898" s="108"/>
      <c r="BM898" s="108"/>
      <c r="BN898" s="108"/>
    </row>
    <row r="899" spans="1:66" ht="12" customHeight="1" x14ac:dyDescent="0.2">
      <c r="A899" s="179"/>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c r="AA899" s="108"/>
      <c r="AB899" s="108"/>
      <c r="AC899" s="108"/>
      <c r="AD899" s="108"/>
      <c r="AE899" s="108"/>
      <c r="AF899" s="108"/>
      <c r="AG899" s="108"/>
      <c r="AH899" s="108"/>
      <c r="AI899" s="108"/>
      <c r="AJ899" s="108"/>
      <c r="AK899" s="108"/>
      <c r="AL899" s="108"/>
      <c r="AM899" s="108"/>
      <c r="AN899" s="108"/>
      <c r="AO899" s="108"/>
      <c r="AP899" s="108"/>
      <c r="AQ899" s="108"/>
      <c r="AR899" s="108"/>
      <c r="AS899" s="108"/>
      <c r="AT899" s="108"/>
      <c r="AU899" s="108"/>
      <c r="AV899" s="108"/>
      <c r="AW899" s="108"/>
      <c r="AX899" s="108"/>
      <c r="AY899" s="108"/>
      <c r="AZ899" s="108"/>
      <c r="BA899" s="108"/>
      <c r="BB899" s="108"/>
      <c r="BC899" s="108"/>
      <c r="BD899" s="108"/>
      <c r="BE899" s="108"/>
      <c r="BF899" s="108"/>
      <c r="BG899" s="108"/>
      <c r="BH899" s="108"/>
      <c r="BI899" s="108"/>
      <c r="BJ899" s="108"/>
      <c r="BK899" s="109"/>
      <c r="BL899" s="108"/>
      <c r="BM899" s="108"/>
      <c r="BN899" s="108"/>
    </row>
    <row r="900" spans="1:66" ht="12" customHeight="1" x14ac:dyDescent="0.2">
      <c r="A900" s="179"/>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c r="AA900" s="108"/>
      <c r="AB900" s="108"/>
      <c r="AC900" s="108"/>
      <c r="AD900" s="108"/>
      <c r="AE900" s="108"/>
      <c r="AF900" s="108"/>
      <c r="AG900" s="108"/>
      <c r="AH900" s="108"/>
      <c r="AI900" s="108"/>
      <c r="AJ900" s="108"/>
      <c r="AK900" s="108"/>
      <c r="AL900" s="108"/>
      <c r="AM900" s="108"/>
      <c r="AN900" s="108"/>
      <c r="AO900" s="108"/>
      <c r="AP900" s="108"/>
      <c r="AQ900" s="108"/>
      <c r="AR900" s="108"/>
      <c r="AS900" s="108"/>
      <c r="AT900" s="108"/>
      <c r="AU900" s="108"/>
      <c r="AV900" s="108"/>
      <c r="AW900" s="108"/>
      <c r="AX900" s="108"/>
      <c r="AY900" s="108"/>
      <c r="AZ900" s="108"/>
      <c r="BA900" s="108"/>
      <c r="BB900" s="108"/>
      <c r="BC900" s="108"/>
      <c r="BD900" s="108"/>
      <c r="BE900" s="108"/>
      <c r="BF900" s="108"/>
      <c r="BG900" s="108"/>
      <c r="BH900" s="108"/>
      <c r="BI900" s="108"/>
      <c r="BJ900" s="108"/>
      <c r="BK900" s="109"/>
      <c r="BL900" s="108"/>
      <c r="BM900" s="108"/>
      <c r="BN900" s="108"/>
    </row>
    <row r="901" spans="1:66" ht="12" customHeight="1" x14ac:dyDescent="0.2">
      <c r="A901" s="179"/>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c r="AA901" s="108"/>
      <c r="AB901" s="108"/>
      <c r="AC901" s="108"/>
      <c r="AD901" s="108"/>
      <c r="AE901" s="108"/>
      <c r="AF901" s="108"/>
      <c r="AG901" s="108"/>
      <c r="AH901" s="108"/>
      <c r="AI901" s="108"/>
      <c r="AJ901" s="108"/>
      <c r="AK901" s="108"/>
      <c r="AL901" s="108"/>
      <c r="AM901" s="108"/>
      <c r="AN901" s="108"/>
      <c r="AO901" s="108"/>
      <c r="AP901" s="108"/>
      <c r="AQ901" s="108"/>
      <c r="AR901" s="108"/>
      <c r="AS901" s="108"/>
      <c r="AT901" s="108"/>
      <c r="AU901" s="108"/>
      <c r="AV901" s="108"/>
      <c r="AW901" s="108"/>
      <c r="AX901" s="108"/>
      <c r="AY901" s="108"/>
      <c r="AZ901" s="108"/>
      <c r="BA901" s="108"/>
      <c r="BB901" s="108"/>
      <c r="BC901" s="108"/>
      <c r="BD901" s="108"/>
      <c r="BE901" s="108"/>
      <c r="BF901" s="108"/>
      <c r="BG901" s="108"/>
      <c r="BH901" s="108"/>
      <c r="BI901" s="108"/>
      <c r="BJ901" s="108"/>
      <c r="BK901" s="109"/>
      <c r="BL901" s="108"/>
      <c r="BM901" s="108"/>
      <c r="BN901" s="108"/>
    </row>
    <row r="902" spans="1:66" ht="12" customHeight="1" x14ac:dyDescent="0.2">
      <c r="A902" s="179"/>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c r="AA902" s="108"/>
      <c r="AB902" s="108"/>
      <c r="AC902" s="108"/>
      <c r="AD902" s="108"/>
      <c r="AE902" s="108"/>
      <c r="AF902" s="108"/>
      <c r="AG902" s="108"/>
      <c r="AH902" s="108"/>
      <c r="AI902" s="108"/>
      <c r="AJ902" s="108"/>
      <c r="AK902" s="108"/>
      <c r="AL902" s="108"/>
      <c r="AM902" s="108"/>
      <c r="AN902" s="108"/>
      <c r="AO902" s="108"/>
      <c r="AP902" s="108"/>
      <c r="AQ902" s="108"/>
      <c r="AR902" s="108"/>
      <c r="AS902" s="108"/>
      <c r="AT902" s="108"/>
      <c r="AU902" s="108"/>
      <c r="AV902" s="108"/>
      <c r="AW902" s="108"/>
      <c r="AX902" s="108"/>
      <c r="AY902" s="108"/>
      <c r="AZ902" s="108"/>
      <c r="BA902" s="108"/>
      <c r="BB902" s="108"/>
      <c r="BC902" s="108"/>
      <c r="BD902" s="108"/>
      <c r="BE902" s="108"/>
      <c r="BF902" s="108"/>
      <c r="BG902" s="108"/>
      <c r="BH902" s="108"/>
      <c r="BI902" s="108"/>
      <c r="BJ902" s="108"/>
      <c r="BK902" s="109"/>
      <c r="BL902" s="108"/>
      <c r="BM902" s="108"/>
      <c r="BN902" s="108"/>
    </row>
    <row r="903" spans="1:66" ht="12" customHeight="1" x14ac:dyDescent="0.2">
      <c r="A903" s="179"/>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c r="AA903" s="108"/>
      <c r="AB903" s="108"/>
      <c r="AC903" s="108"/>
      <c r="AD903" s="108"/>
      <c r="AE903" s="108"/>
      <c r="AF903" s="108"/>
      <c r="AG903" s="108"/>
      <c r="AH903" s="108"/>
      <c r="AI903" s="108"/>
      <c r="AJ903" s="108"/>
      <c r="AK903" s="108"/>
      <c r="AL903" s="108"/>
      <c r="AM903" s="108"/>
      <c r="AN903" s="108"/>
      <c r="AO903" s="108"/>
      <c r="AP903" s="108"/>
      <c r="AQ903" s="108"/>
      <c r="AR903" s="108"/>
      <c r="AS903" s="108"/>
      <c r="AT903" s="108"/>
      <c r="AU903" s="108"/>
      <c r="AV903" s="108"/>
      <c r="AW903" s="108"/>
      <c r="AX903" s="108"/>
      <c r="AY903" s="108"/>
      <c r="AZ903" s="108"/>
      <c r="BA903" s="108"/>
      <c r="BB903" s="108"/>
      <c r="BC903" s="108"/>
      <c r="BD903" s="108"/>
      <c r="BE903" s="108"/>
      <c r="BF903" s="108"/>
      <c r="BG903" s="108"/>
      <c r="BH903" s="108"/>
      <c r="BI903" s="108"/>
      <c r="BJ903" s="108"/>
      <c r="BK903" s="109"/>
      <c r="BL903" s="108"/>
      <c r="BM903" s="108"/>
      <c r="BN903" s="108"/>
    </row>
    <row r="904" spans="1:66" ht="12" customHeight="1" x14ac:dyDescent="0.2">
      <c r="A904" s="179"/>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c r="AA904" s="108"/>
      <c r="AB904" s="108"/>
      <c r="AC904" s="108"/>
      <c r="AD904" s="108"/>
      <c r="AE904" s="108"/>
      <c r="AF904" s="108"/>
      <c r="AG904" s="108"/>
      <c r="AH904" s="108"/>
      <c r="AI904" s="108"/>
      <c r="AJ904" s="108"/>
      <c r="AK904" s="108"/>
      <c r="AL904" s="108"/>
      <c r="AM904" s="108"/>
      <c r="AN904" s="108"/>
      <c r="AO904" s="108"/>
      <c r="AP904" s="108"/>
      <c r="AQ904" s="108"/>
      <c r="AR904" s="108"/>
      <c r="AS904" s="108"/>
      <c r="AT904" s="108"/>
      <c r="AU904" s="108"/>
      <c r="AV904" s="108"/>
      <c r="AW904" s="108"/>
      <c r="AX904" s="108"/>
      <c r="AY904" s="108"/>
      <c r="AZ904" s="108"/>
      <c r="BA904" s="108"/>
      <c r="BB904" s="108"/>
      <c r="BC904" s="108"/>
      <c r="BD904" s="108"/>
      <c r="BE904" s="108"/>
      <c r="BF904" s="108"/>
      <c r="BG904" s="108"/>
      <c r="BH904" s="108"/>
      <c r="BI904" s="108"/>
      <c r="BJ904" s="108"/>
      <c r="BK904" s="109"/>
      <c r="BL904" s="108"/>
      <c r="BM904" s="108"/>
      <c r="BN904" s="108"/>
    </row>
    <row r="905" spans="1:66" ht="12" customHeight="1" x14ac:dyDescent="0.2">
      <c r="A905" s="179"/>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c r="AA905" s="108"/>
      <c r="AB905" s="108"/>
      <c r="AC905" s="108"/>
      <c r="AD905" s="108"/>
      <c r="AE905" s="108"/>
      <c r="AF905" s="108"/>
      <c r="AG905" s="108"/>
      <c r="AH905" s="108"/>
      <c r="AI905" s="108"/>
      <c r="AJ905" s="108"/>
      <c r="AK905" s="108"/>
      <c r="AL905" s="108"/>
      <c r="AM905" s="108"/>
      <c r="AN905" s="108"/>
      <c r="AO905" s="108"/>
      <c r="AP905" s="108"/>
      <c r="AQ905" s="108"/>
      <c r="AR905" s="108"/>
      <c r="AS905" s="108"/>
      <c r="AT905" s="108"/>
      <c r="AU905" s="108"/>
      <c r="AV905" s="108"/>
      <c r="AW905" s="108"/>
      <c r="AX905" s="108"/>
      <c r="AY905" s="108"/>
      <c r="AZ905" s="108"/>
      <c r="BA905" s="108"/>
      <c r="BB905" s="108"/>
      <c r="BC905" s="108"/>
      <c r="BD905" s="108"/>
      <c r="BE905" s="108"/>
      <c r="BF905" s="108"/>
      <c r="BG905" s="108"/>
      <c r="BH905" s="108"/>
      <c r="BI905" s="108"/>
      <c r="BJ905" s="108"/>
      <c r="BK905" s="109"/>
      <c r="BL905" s="108"/>
      <c r="BM905" s="108"/>
      <c r="BN905" s="108"/>
    </row>
    <row r="906" spans="1:66" ht="12" customHeight="1" x14ac:dyDescent="0.2">
      <c r="A906" s="179"/>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c r="AA906" s="108"/>
      <c r="AB906" s="108"/>
      <c r="AC906" s="108"/>
      <c r="AD906" s="108"/>
      <c r="AE906" s="108"/>
      <c r="AF906" s="108"/>
      <c r="AG906" s="108"/>
      <c r="AH906" s="108"/>
      <c r="AI906" s="108"/>
      <c r="AJ906" s="108"/>
      <c r="AK906" s="108"/>
      <c r="AL906" s="108"/>
      <c r="AM906" s="108"/>
      <c r="AN906" s="108"/>
      <c r="AO906" s="108"/>
      <c r="AP906" s="108"/>
      <c r="AQ906" s="108"/>
      <c r="AR906" s="108"/>
      <c r="AS906" s="108"/>
      <c r="AT906" s="108"/>
      <c r="AU906" s="108"/>
      <c r="AV906" s="108"/>
      <c r="AW906" s="108"/>
      <c r="AX906" s="108"/>
      <c r="AY906" s="108"/>
      <c r="AZ906" s="108"/>
      <c r="BA906" s="108"/>
      <c r="BB906" s="108"/>
      <c r="BC906" s="108"/>
      <c r="BD906" s="108"/>
      <c r="BE906" s="108"/>
      <c r="BF906" s="108"/>
      <c r="BG906" s="108"/>
      <c r="BH906" s="108"/>
      <c r="BI906" s="108"/>
      <c r="BJ906" s="108"/>
      <c r="BK906" s="109"/>
      <c r="BL906" s="108"/>
      <c r="BM906" s="108"/>
      <c r="BN906" s="108"/>
    </row>
    <row r="907" spans="1:66" ht="12" customHeight="1" x14ac:dyDescent="0.2">
      <c r="A907" s="179"/>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c r="AA907" s="108"/>
      <c r="AB907" s="108"/>
      <c r="AC907" s="108"/>
      <c r="AD907" s="108"/>
      <c r="AE907" s="108"/>
      <c r="AF907" s="108"/>
      <c r="AG907" s="108"/>
      <c r="AH907" s="108"/>
      <c r="AI907" s="108"/>
      <c r="AJ907" s="108"/>
      <c r="AK907" s="108"/>
      <c r="AL907" s="108"/>
      <c r="AM907" s="108"/>
      <c r="AN907" s="108"/>
      <c r="AO907" s="108"/>
      <c r="AP907" s="108"/>
      <c r="AQ907" s="108"/>
      <c r="AR907" s="108"/>
      <c r="AS907" s="108"/>
      <c r="AT907" s="108"/>
      <c r="AU907" s="108"/>
      <c r="AV907" s="108"/>
      <c r="AW907" s="108"/>
      <c r="AX907" s="108"/>
      <c r="AY907" s="108"/>
      <c r="AZ907" s="108"/>
      <c r="BA907" s="108"/>
      <c r="BB907" s="108"/>
      <c r="BC907" s="108"/>
      <c r="BD907" s="108"/>
      <c r="BE907" s="108"/>
      <c r="BF907" s="108"/>
      <c r="BG907" s="108"/>
      <c r="BH907" s="108"/>
      <c r="BI907" s="108"/>
      <c r="BJ907" s="108"/>
      <c r="BK907" s="109"/>
      <c r="BL907" s="108"/>
      <c r="BM907" s="108"/>
      <c r="BN907" s="108"/>
    </row>
    <row r="908" spans="1:66" ht="12" customHeight="1" x14ac:dyDescent="0.2">
      <c r="A908" s="179"/>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c r="AA908" s="108"/>
      <c r="AB908" s="108"/>
      <c r="AC908" s="108"/>
      <c r="AD908" s="108"/>
      <c r="AE908" s="108"/>
      <c r="AF908" s="108"/>
      <c r="AG908" s="108"/>
      <c r="AH908" s="108"/>
      <c r="AI908" s="108"/>
      <c r="AJ908" s="108"/>
      <c r="AK908" s="108"/>
      <c r="AL908" s="108"/>
      <c r="AM908" s="108"/>
      <c r="AN908" s="108"/>
      <c r="AO908" s="108"/>
      <c r="AP908" s="108"/>
      <c r="AQ908" s="108"/>
      <c r="AR908" s="108"/>
      <c r="AS908" s="108"/>
      <c r="AT908" s="108"/>
      <c r="AU908" s="108"/>
      <c r="AV908" s="108"/>
      <c r="AW908" s="108"/>
      <c r="AX908" s="108"/>
      <c r="AY908" s="108"/>
      <c r="AZ908" s="108"/>
      <c r="BA908" s="108"/>
      <c r="BB908" s="108"/>
      <c r="BC908" s="108"/>
      <c r="BD908" s="108"/>
      <c r="BE908" s="108"/>
      <c r="BF908" s="108"/>
      <c r="BG908" s="108"/>
      <c r="BH908" s="108"/>
      <c r="BI908" s="108"/>
      <c r="BJ908" s="108"/>
      <c r="BK908" s="109"/>
      <c r="BL908" s="108"/>
      <c r="BM908" s="108"/>
      <c r="BN908" s="108"/>
    </row>
    <row r="909" spans="1:66" ht="12" customHeight="1" x14ac:dyDescent="0.2">
      <c r="A909" s="179"/>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c r="AA909" s="108"/>
      <c r="AB909" s="108"/>
      <c r="AC909" s="108"/>
      <c r="AD909" s="108"/>
      <c r="AE909" s="108"/>
      <c r="AF909" s="108"/>
      <c r="AG909" s="108"/>
      <c r="AH909" s="108"/>
      <c r="AI909" s="108"/>
      <c r="AJ909" s="108"/>
      <c r="AK909" s="108"/>
      <c r="AL909" s="108"/>
      <c r="AM909" s="108"/>
      <c r="AN909" s="108"/>
      <c r="AO909" s="108"/>
      <c r="AP909" s="108"/>
      <c r="AQ909" s="108"/>
      <c r="AR909" s="108"/>
      <c r="AS909" s="108"/>
      <c r="AT909" s="108"/>
      <c r="AU909" s="108"/>
      <c r="AV909" s="108"/>
      <c r="AW909" s="108"/>
      <c r="AX909" s="108"/>
      <c r="AY909" s="108"/>
      <c r="AZ909" s="108"/>
      <c r="BA909" s="108"/>
      <c r="BB909" s="108"/>
      <c r="BC909" s="108"/>
      <c r="BD909" s="108"/>
      <c r="BE909" s="108"/>
      <c r="BF909" s="108"/>
      <c r="BG909" s="108"/>
      <c r="BH909" s="108"/>
      <c r="BI909" s="108"/>
      <c r="BJ909" s="108"/>
      <c r="BK909" s="109"/>
      <c r="BL909" s="108"/>
      <c r="BM909" s="108"/>
      <c r="BN909" s="108"/>
    </row>
    <row r="910" spans="1:66" ht="12" customHeight="1" x14ac:dyDescent="0.2">
      <c r="A910" s="179"/>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c r="AA910" s="108"/>
      <c r="AB910" s="108"/>
      <c r="AC910" s="108"/>
      <c r="AD910" s="108"/>
      <c r="AE910" s="108"/>
      <c r="AF910" s="108"/>
      <c r="AG910" s="108"/>
      <c r="AH910" s="108"/>
      <c r="AI910" s="108"/>
      <c r="AJ910" s="108"/>
      <c r="AK910" s="108"/>
      <c r="AL910" s="108"/>
      <c r="AM910" s="108"/>
      <c r="AN910" s="108"/>
      <c r="AO910" s="108"/>
      <c r="AP910" s="108"/>
      <c r="AQ910" s="108"/>
      <c r="AR910" s="108"/>
      <c r="AS910" s="108"/>
      <c r="AT910" s="108"/>
      <c r="AU910" s="108"/>
      <c r="AV910" s="108"/>
      <c r="AW910" s="108"/>
      <c r="AX910" s="108"/>
      <c r="AY910" s="108"/>
      <c r="AZ910" s="108"/>
      <c r="BA910" s="108"/>
      <c r="BB910" s="108"/>
      <c r="BC910" s="108"/>
      <c r="BD910" s="108"/>
      <c r="BE910" s="108"/>
      <c r="BF910" s="108"/>
      <c r="BG910" s="108"/>
      <c r="BH910" s="108"/>
      <c r="BI910" s="108"/>
      <c r="BJ910" s="108"/>
      <c r="BK910" s="109"/>
      <c r="BL910" s="108"/>
      <c r="BM910" s="108"/>
      <c r="BN910" s="108"/>
    </row>
    <row r="911" spans="1:66" ht="12" customHeight="1" x14ac:dyDescent="0.2">
      <c r="A911" s="179"/>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c r="AA911" s="108"/>
      <c r="AB911" s="108"/>
      <c r="AC911" s="108"/>
      <c r="AD911" s="108"/>
      <c r="AE911" s="108"/>
      <c r="AF911" s="108"/>
      <c r="AG911" s="108"/>
      <c r="AH911" s="108"/>
      <c r="AI911" s="108"/>
      <c r="AJ911" s="108"/>
      <c r="AK911" s="108"/>
      <c r="AL911" s="108"/>
      <c r="AM911" s="108"/>
      <c r="AN911" s="108"/>
      <c r="AO911" s="108"/>
      <c r="AP911" s="108"/>
      <c r="AQ911" s="108"/>
      <c r="AR911" s="108"/>
      <c r="AS911" s="108"/>
      <c r="AT911" s="108"/>
      <c r="AU911" s="108"/>
      <c r="AV911" s="108"/>
      <c r="AW911" s="108"/>
      <c r="AX911" s="108"/>
      <c r="AY911" s="108"/>
      <c r="AZ911" s="108"/>
      <c r="BA911" s="108"/>
      <c r="BB911" s="108"/>
      <c r="BC911" s="108"/>
      <c r="BD911" s="108"/>
      <c r="BE911" s="108"/>
      <c r="BF911" s="108"/>
      <c r="BG911" s="108"/>
      <c r="BH911" s="108"/>
      <c r="BI911" s="108"/>
      <c r="BJ911" s="108"/>
      <c r="BK911" s="109"/>
      <c r="BL911" s="108"/>
      <c r="BM911" s="108"/>
      <c r="BN911" s="108"/>
    </row>
    <row r="912" spans="1:66" ht="12" customHeight="1" x14ac:dyDescent="0.2">
      <c r="A912" s="179"/>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c r="AA912" s="108"/>
      <c r="AB912" s="108"/>
      <c r="AC912" s="108"/>
      <c r="AD912" s="108"/>
      <c r="AE912" s="108"/>
      <c r="AF912" s="108"/>
      <c r="AG912" s="108"/>
      <c r="AH912" s="108"/>
      <c r="AI912" s="108"/>
      <c r="AJ912" s="108"/>
      <c r="AK912" s="108"/>
      <c r="AL912" s="108"/>
      <c r="AM912" s="108"/>
      <c r="AN912" s="108"/>
      <c r="AO912" s="108"/>
      <c r="AP912" s="108"/>
      <c r="AQ912" s="108"/>
      <c r="AR912" s="108"/>
      <c r="AS912" s="108"/>
      <c r="AT912" s="108"/>
      <c r="AU912" s="108"/>
      <c r="AV912" s="108"/>
      <c r="AW912" s="108"/>
      <c r="AX912" s="108"/>
      <c r="AY912" s="108"/>
      <c r="AZ912" s="108"/>
      <c r="BA912" s="108"/>
      <c r="BB912" s="108"/>
      <c r="BC912" s="108"/>
      <c r="BD912" s="108"/>
      <c r="BE912" s="108"/>
      <c r="BF912" s="108"/>
      <c r="BG912" s="108"/>
      <c r="BH912" s="108"/>
      <c r="BI912" s="108"/>
      <c r="BJ912" s="108"/>
      <c r="BK912" s="109"/>
      <c r="BL912" s="108"/>
      <c r="BM912" s="108"/>
      <c r="BN912" s="108"/>
    </row>
    <row r="913" spans="1:66" ht="12" customHeight="1" x14ac:dyDescent="0.2">
      <c r="A913" s="179"/>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c r="AA913" s="108"/>
      <c r="AB913" s="108"/>
      <c r="AC913" s="108"/>
      <c r="AD913" s="108"/>
      <c r="AE913" s="108"/>
      <c r="AF913" s="108"/>
      <c r="AG913" s="108"/>
      <c r="AH913" s="108"/>
      <c r="AI913" s="108"/>
      <c r="AJ913" s="108"/>
      <c r="AK913" s="108"/>
      <c r="AL913" s="108"/>
      <c r="AM913" s="108"/>
      <c r="AN913" s="108"/>
      <c r="AO913" s="108"/>
      <c r="AP913" s="108"/>
      <c r="AQ913" s="108"/>
      <c r="AR913" s="108"/>
      <c r="AS913" s="108"/>
      <c r="AT913" s="108"/>
      <c r="AU913" s="108"/>
      <c r="AV913" s="108"/>
      <c r="AW913" s="108"/>
      <c r="AX913" s="108"/>
      <c r="AY913" s="108"/>
      <c r="AZ913" s="108"/>
      <c r="BA913" s="108"/>
      <c r="BB913" s="108"/>
      <c r="BC913" s="108"/>
      <c r="BD913" s="108"/>
      <c r="BE913" s="108"/>
      <c r="BF913" s="108"/>
      <c r="BG913" s="108"/>
      <c r="BH913" s="108"/>
      <c r="BI913" s="108"/>
      <c r="BJ913" s="108"/>
      <c r="BK913" s="109"/>
      <c r="BL913" s="108"/>
      <c r="BM913" s="108"/>
      <c r="BN913" s="108"/>
    </row>
    <row r="914" spans="1:66" ht="12" customHeight="1" x14ac:dyDescent="0.2">
      <c r="A914" s="179"/>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c r="AA914" s="108"/>
      <c r="AB914" s="108"/>
      <c r="AC914" s="108"/>
      <c r="AD914" s="108"/>
      <c r="AE914" s="108"/>
      <c r="AF914" s="108"/>
      <c r="AG914" s="108"/>
      <c r="AH914" s="108"/>
      <c r="AI914" s="108"/>
      <c r="AJ914" s="108"/>
      <c r="AK914" s="108"/>
      <c r="AL914" s="108"/>
      <c r="AM914" s="108"/>
      <c r="AN914" s="108"/>
      <c r="AO914" s="108"/>
      <c r="AP914" s="108"/>
      <c r="AQ914" s="108"/>
      <c r="AR914" s="108"/>
      <c r="AS914" s="108"/>
      <c r="AT914" s="108"/>
      <c r="AU914" s="108"/>
      <c r="AV914" s="108"/>
      <c r="AW914" s="108"/>
      <c r="AX914" s="108"/>
      <c r="AY914" s="108"/>
      <c r="AZ914" s="108"/>
      <c r="BA914" s="108"/>
      <c r="BB914" s="108"/>
      <c r="BC914" s="108"/>
      <c r="BD914" s="108"/>
      <c r="BE914" s="108"/>
      <c r="BF914" s="108"/>
      <c r="BG914" s="108"/>
      <c r="BH914" s="108"/>
      <c r="BI914" s="108"/>
      <c r="BJ914" s="108"/>
      <c r="BK914" s="109"/>
      <c r="BL914" s="108"/>
      <c r="BM914" s="108"/>
      <c r="BN914" s="108"/>
    </row>
    <row r="915" spans="1:66" ht="12" customHeight="1" x14ac:dyDescent="0.2">
      <c r="A915" s="179"/>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c r="AA915" s="108"/>
      <c r="AB915" s="108"/>
      <c r="AC915" s="108"/>
      <c r="AD915" s="108"/>
      <c r="AE915" s="108"/>
      <c r="AF915" s="108"/>
      <c r="AG915" s="108"/>
      <c r="AH915" s="108"/>
      <c r="AI915" s="108"/>
      <c r="AJ915" s="108"/>
      <c r="AK915" s="108"/>
      <c r="AL915" s="108"/>
      <c r="AM915" s="108"/>
      <c r="AN915" s="108"/>
      <c r="AO915" s="108"/>
      <c r="AP915" s="108"/>
      <c r="AQ915" s="108"/>
      <c r="AR915" s="108"/>
      <c r="AS915" s="108"/>
      <c r="AT915" s="108"/>
      <c r="AU915" s="108"/>
      <c r="AV915" s="108"/>
      <c r="AW915" s="108"/>
      <c r="AX915" s="108"/>
      <c r="AY915" s="108"/>
      <c r="AZ915" s="108"/>
      <c r="BA915" s="108"/>
      <c r="BB915" s="108"/>
      <c r="BC915" s="108"/>
      <c r="BD915" s="108"/>
      <c r="BE915" s="108"/>
      <c r="BF915" s="108"/>
      <c r="BG915" s="108"/>
      <c r="BH915" s="108"/>
      <c r="BI915" s="108"/>
      <c r="BJ915" s="108"/>
      <c r="BK915" s="109"/>
      <c r="BL915" s="108"/>
      <c r="BM915" s="108"/>
      <c r="BN915" s="108"/>
    </row>
    <row r="916" spans="1:66" ht="12" customHeight="1" x14ac:dyDescent="0.2">
      <c r="A916" s="179"/>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c r="AA916" s="108"/>
      <c r="AB916" s="108"/>
      <c r="AC916" s="108"/>
      <c r="AD916" s="108"/>
      <c r="AE916" s="108"/>
      <c r="AF916" s="108"/>
      <c r="AG916" s="108"/>
      <c r="AH916" s="108"/>
      <c r="AI916" s="108"/>
      <c r="AJ916" s="108"/>
      <c r="AK916" s="108"/>
      <c r="AL916" s="108"/>
      <c r="AM916" s="108"/>
      <c r="AN916" s="108"/>
      <c r="AO916" s="108"/>
      <c r="AP916" s="108"/>
      <c r="AQ916" s="108"/>
      <c r="AR916" s="108"/>
      <c r="AS916" s="108"/>
      <c r="AT916" s="108"/>
      <c r="AU916" s="108"/>
      <c r="AV916" s="108"/>
      <c r="AW916" s="108"/>
      <c r="AX916" s="108"/>
      <c r="AY916" s="108"/>
      <c r="AZ916" s="108"/>
      <c r="BA916" s="108"/>
      <c r="BB916" s="108"/>
      <c r="BC916" s="108"/>
      <c r="BD916" s="108"/>
      <c r="BE916" s="108"/>
      <c r="BF916" s="108"/>
      <c r="BG916" s="108"/>
      <c r="BH916" s="108"/>
      <c r="BI916" s="108"/>
      <c r="BJ916" s="108"/>
      <c r="BK916" s="109"/>
      <c r="BL916" s="108"/>
      <c r="BM916" s="108"/>
      <c r="BN916" s="108"/>
    </row>
    <row r="917" spans="1:66" ht="12" customHeight="1" x14ac:dyDescent="0.2">
      <c r="A917" s="179"/>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c r="AA917" s="108"/>
      <c r="AB917" s="108"/>
      <c r="AC917" s="108"/>
      <c r="AD917" s="108"/>
      <c r="AE917" s="108"/>
      <c r="AF917" s="108"/>
      <c r="AG917" s="108"/>
      <c r="AH917" s="108"/>
      <c r="AI917" s="108"/>
      <c r="AJ917" s="108"/>
      <c r="AK917" s="108"/>
      <c r="AL917" s="108"/>
      <c r="AM917" s="108"/>
      <c r="AN917" s="108"/>
      <c r="AO917" s="108"/>
      <c r="AP917" s="108"/>
      <c r="AQ917" s="108"/>
      <c r="AR917" s="108"/>
      <c r="AS917" s="108"/>
      <c r="AT917" s="108"/>
      <c r="AU917" s="108"/>
      <c r="AV917" s="108"/>
      <c r="AW917" s="108"/>
      <c r="AX917" s="108"/>
      <c r="AY917" s="108"/>
      <c r="AZ917" s="108"/>
      <c r="BA917" s="108"/>
      <c r="BB917" s="108"/>
      <c r="BC917" s="108"/>
      <c r="BD917" s="108"/>
      <c r="BE917" s="108"/>
      <c r="BF917" s="108"/>
      <c r="BG917" s="108"/>
      <c r="BH917" s="108"/>
      <c r="BI917" s="108"/>
      <c r="BJ917" s="108"/>
      <c r="BK917" s="109"/>
      <c r="BL917" s="108"/>
      <c r="BM917" s="108"/>
      <c r="BN917" s="108"/>
    </row>
    <row r="918" spans="1:66" ht="12" customHeight="1" x14ac:dyDescent="0.2">
      <c r="A918" s="179"/>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c r="AA918" s="108"/>
      <c r="AB918" s="108"/>
      <c r="AC918" s="108"/>
      <c r="AD918" s="108"/>
      <c r="AE918" s="108"/>
      <c r="AF918" s="108"/>
      <c r="AG918" s="108"/>
      <c r="AH918" s="108"/>
      <c r="AI918" s="108"/>
      <c r="AJ918" s="108"/>
      <c r="AK918" s="108"/>
      <c r="AL918" s="108"/>
      <c r="AM918" s="108"/>
      <c r="AN918" s="108"/>
      <c r="AO918" s="108"/>
      <c r="AP918" s="108"/>
      <c r="AQ918" s="108"/>
      <c r="AR918" s="108"/>
      <c r="AS918" s="108"/>
      <c r="AT918" s="108"/>
      <c r="AU918" s="108"/>
      <c r="AV918" s="108"/>
      <c r="AW918" s="108"/>
      <c r="AX918" s="108"/>
      <c r="AY918" s="108"/>
      <c r="AZ918" s="108"/>
      <c r="BA918" s="108"/>
      <c r="BB918" s="108"/>
      <c r="BC918" s="108"/>
      <c r="BD918" s="108"/>
      <c r="BE918" s="108"/>
      <c r="BF918" s="108"/>
      <c r="BG918" s="108"/>
      <c r="BH918" s="108"/>
      <c r="BI918" s="108"/>
      <c r="BJ918" s="108"/>
      <c r="BK918" s="109"/>
      <c r="BL918" s="108"/>
      <c r="BM918" s="108"/>
      <c r="BN918" s="108"/>
    </row>
    <row r="919" spans="1:66" ht="12" customHeight="1" x14ac:dyDescent="0.2">
      <c r="A919" s="179"/>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c r="AA919" s="108"/>
      <c r="AB919" s="108"/>
      <c r="AC919" s="108"/>
      <c r="AD919" s="108"/>
      <c r="AE919" s="108"/>
      <c r="AF919" s="108"/>
      <c r="AG919" s="108"/>
      <c r="AH919" s="108"/>
      <c r="AI919" s="108"/>
      <c r="AJ919" s="108"/>
      <c r="AK919" s="108"/>
      <c r="AL919" s="108"/>
      <c r="AM919" s="108"/>
      <c r="AN919" s="108"/>
      <c r="AO919" s="108"/>
      <c r="AP919" s="108"/>
      <c r="AQ919" s="108"/>
      <c r="AR919" s="108"/>
      <c r="AS919" s="108"/>
      <c r="AT919" s="108"/>
      <c r="AU919" s="108"/>
      <c r="AV919" s="108"/>
      <c r="AW919" s="108"/>
      <c r="AX919" s="108"/>
      <c r="AY919" s="108"/>
      <c r="AZ919" s="108"/>
      <c r="BA919" s="108"/>
      <c r="BB919" s="108"/>
      <c r="BC919" s="108"/>
      <c r="BD919" s="108"/>
      <c r="BE919" s="108"/>
      <c r="BF919" s="108"/>
      <c r="BG919" s="108"/>
      <c r="BH919" s="108"/>
      <c r="BI919" s="108"/>
      <c r="BJ919" s="108"/>
      <c r="BK919" s="109"/>
      <c r="BL919" s="108"/>
      <c r="BM919" s="108"/>
      <c r="BN919" s="108"/>
    </row>
    <row r="920" spans="1:66" ht="12" customHeight="1" x14ac:dyDescent="0.2">
      <c r="A920" s="179"/>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c r="AA920" s="108"/>
      <c r="AB920" s="108"/>
      <c r="AC920" s="108"/>
      <c r="AD920" s="108"/>
      <c r="AE920" s="108"/>
      <c r="AF920" s="108"/>
      <c r="AG920" s="108"/>
      <c r="AH920" s="108"/>
      <c r="AI920" s="108"/>
      <c r="AJ920" s="108"/>
      <c r="AK920" s="108"/>
      <c r="AL920" s="108"/>
      <c r="AM920" s="108"/>
      <c r="AN920" s="108"/>
      <c r="AO920" s="108"/>
      <c r="AP920" s="108"/>
      <c r="AQ920" s="108"/>
      <c r="AR920" s="108"/>
      <c r="AS920" s="108"/>
      <c r="AT920" s="108"/>
      <c r="AU920" s="108"/>
      <c r="AV920" s="108"/>
      <c r="AW920" s="108"/>
      <c r="AX920" s="108"/>
      <c r="AY920" s="108"/>
      <c r="AZ920" s="108"/>
      <c r="BA920" s="108"/>
      <c r="BB920" s="108"/>
      <c r="BC920" s="108"/>
      <c r="BD920" s="108"/>
      <c r="BE920" s="108"/>
      <c r="BF920" s="108"/>
      <c r="BG920" s="108"/>
      <c r="BH920" s="108"/>
      <c r="BI920" s="108"/>
      <c r="BJ920" s="108"/>
      <c r="BK920" s="109"/>
      <c r="BL920" s="108"/>
      <c r="BM920" s="108"/>
      <c r="BN920" s="108"/>
    </row>
    <row r="921" spans="1:66" ht="12" customHeight="1" x14ac:dyDescent="0.2">
      <c r="A921" s="179"/>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c r="AA921" s="108"/>
      <c r="AB921" s="108"/>
      <c r="AC921" s="108"/>
      <c r="AD921" s="108"/>
      <c r="AE921" s="108"/>
      <c r="AF921" s="108"/>
      <c r="AG921" s="108"/>
      <c r="AH921" s="108"/>
      <c r="AI921" s="108"/>
      <c r="AJ921" s="108"/>
      <c r="AK921" s="108"/>
      <c r="AL921" s="108"/>
      <c r="AM921" s="108"/>
      <c r="AN921" s="108"/>
      <c r="AO921" s="108"/>
      <c r="AP921" s="108"/>
      <c r="AQ921" s="108"/>
      <c r="AR921" s="108"/>
      <c r="AS921" s="108"/>
      <c r="AT921" s="108"/>
      <c r="AU921" s="108"/>
      <c r="AV921" s="108"/>
      <c r="AW921" s="108"/>
      <c r="AX921" s="108"/>
      <c r="AY921" s="108"/>
      <c r="AZ921" s="108"/>
      <c r="BA921" s="108"/>
      <c r="BB921" s="108"/>
      <c r="BC921" s="108"/>
      <c r="BD921" s="108"/>
      <c r="BE921" s="108"/>
      <c r="BF921" s="108"/>
      <c r="BG921" s="108"/>
      <c r="BH921" s="108"/>
      <c r="BI921" s="108"/>
      <c r="BJ921" s="108"/>
      <c r="BK921" s="109"/>
      <c r="BL921" s="108"/>
      <c r="BM921" s="108"/>
      <c r="BN921" s="108"/>
    </row>
    <row r="922" spans="1:66" ht="12" customHeight="1" x14ac:dyDescent="0.2">
      <c r="A922" s="179"/>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c r="AA922" s="108"/>
      <c r="AB922" s="108"/>
      <c r="AC922" s="108"/>
      <c r="AD922" s="108"/>
      <c r="AE922" s="108"/>
      <c r="AF922" s="108"/>
      <c r="AG922" s="108"/>
      <c r="AH922" s="108"/>
      <c r="AI922" s="108"/>
      <c r="AJ922" s="108"/>
      <c r="AK922" s="108"/>
      <c r="AL922" s="108"/>
      <c r="AM922" s="108"/>
      <c r="AN922" s="108"/>
      <c r="AO922" s="108"/>
      <c r="AP922" s="108"/>
      <c r="AQ922" s="108"/>
      <c r="AR922" s="108"/>
      <c r="AS922" s="108"/>
      <c r="AT922" s="108"/>
      <c r="AU922" s="108"/>
      <c r="AV922" s="108"/>
      <c r="AW922" s="108"/>
      <c r="AX922" s="108"/>
      <c r="AY922" s="108"/>
      <c r="AZ922" s="108"/>
      <c r="BA922" s="108"/>
      <c r="BB922" s="108"/>
      <c r="BC922" s="108"/>
      <c r="BD922" s="108"/>
      <c r="BE922" s="108"/>
      <c r="BF922" s="108"/>
      <c r="BG922" s="108"/>
      <c r="BH922" s="108"/>
      <c r="BI922" s="108"/>
      <c r="BJ922" s="108"/>
      <c r="BK922" s="109"/>
      <c r="BL922" s="108"/>
      <c r="BM922" s="108"/>
      <c r="BN922" s="108"/>
    </row>
    <row r="923" spans="1:66" ht="12" customHeight="1" x14ac:dyDescent="0.2">
      <c r="A923" s="179"/>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c r="AA923" s="108"/>
      <c r="AB923" s="108"/>
      <c r="AC923" s="108"/>
      <c r="AD923" s="108"/>
      <c r="AE923" s="108"/>
      <c r="AF923" s="108"/>
      <c r="AG923" s="108"/>
      <c r="AH923" s="108"/>
      <c r="AI923" s="108"/>
      <c r="AJ923" s="108"/>
      <c r="AK923" s="108"/>
      <c r="AL923" s="108"/>
      <c r="AM923" s="108"/>
      <c r="AN923" s="108"/>
      <c r="AO923" s="108"/>
      <c r="AP923" s="108"/>
      <c r="AQ923" s="108"/>
      <c r="AR923" s="108"/>
      <c r="AS923" s="108"/>
      <c r="AT923" s="108"/>
      <c r="AU923" s="108"/>
      <c r="AV923" s="108"/>
      <c r="AW923" s="108"/>
      <c r="AX923" s="108"/>
      <c r="AY923" s="108"/>
      <c r="AZ923" s="108"/>
      <c r="BA923" s="108"/>
      <c r="BB923" s="108"/>
      <c r="BC923" s="108"/>
      <c r="BD923" s="108"/>
      <c r="BE923" s="108"/>
      <c r="BF923" s="108"/>
      <c r="BG923" s="108"/>
      <c r="BH923" s="108"/>
      <c r="BI923" s="108"/>
      <c r="BJ923" s="108"/>
      <c r="BK923" s="109"/>
      <c r="BL923" s="108"/>
      <c r="BM923" s="108"/>
      <c r="BN923" s="108"/>
    </row>
    <row r="924" spans="1:66" ht="12" customHeight="1" x14ac:dyDescent="0.2">
      <c r="A924" s="179"/>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c r="AA924" s="108"/>
      <c r="AB924" s="108"/>
      <c r="AC924" s="108"/>
      <c r="AD924" s="108"/>
      <c r="AE924" s="108"/>
      <c r="AF924" s="108"/>
      <c r="AG924" s="108"/>
      <c r="AH924" s="108"/>
      <c r="AI924" s="108"/>
      <c r="AJ924" s="108"/>
      <c r="AK924" s="108"/>
      <c r="AL924" s="108"/>
      <c r="AM924" s="108"/>
      <c r="AN924" s="108"/>
      <c r="AO924" s="108"/>
      <c r="AP924" s="108"/>
      <c r="AQ924" s="108"/>
      <c r="AR924" s="108"/>
      <c r="AS924" s="108"/>
      <c r="AT924" s="108"/>
      <c r="AU924" s="108"/>
      <c r="AV924" s="108"/>
      <c r="AW924" s="108"/>
      <c r="AX924" s="108"/>
      <c r="AY924" s="108"/>
      <c r="AZ924" s="108"/>
      <c r="BA924" s="108"/>
      <c r="BB924" s="108"/>
      <c r="BC924" s="108"/>
      <c r="BD924" s="108"/>
      <c r="BE924" s="108"/>
      <c r="BF924" s="108"/>
      <c r="BG924" s="108"/>
      <c r="BH924" s="108"/>
      <c r="BI924" s="108"/>
      <c r="BJ924" s="108"/>
      <c r="BK924" s="109"/>
      <c r="BL924" s="108"/>
      <c r="BM924" s="108"/>
      <c r="BN924" s="108"/>
    </row>
    <row r="925" spans="1:66" ht="12" customHeight="1" x14ac:dyDescent="0.2">
      <c r="A925" s="179"/>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c r="AA925" s="108"/>
      <c r="AB925" s="108"/>
      <c r="AC925" s="108"/>
      <c r="AD925" s="108"/>
      <c r="AE925" s="108"/>
      <c r="AF925" s="108"/>
      <c r="AG925" s="108"/>
      <c r="AH925" s="108"/>
      <c r="AI925" s="108"/>
      <c r="AJ925" s="108"/>
      <c r="AK925" s="108"/>
      <c r="AL925" s="108"/>
      <c r="AM925" s="108"/>
      <c r="AN925" s="108"/>
      <c r="AO925" s="108"/>
      <c r="AP925" s="108"/>
      <c r="AQ925" s="108"/>
      <c r="AR925" s="108"/>
      <c r="AS925" s="108"/>
      <c r="AT925" s="108"/>
      <c r="AU925" s="108"/>
      <c r="AV925" s="108"/>
      <c r="AW925" s="108"/>
      <c r="AX925" s="108"/>
      <c r="AY925" s="108"/>
      <c r="AZ925" s="108"/>
      <c r="BA925" s="108"/>
      <c r="BB925" s="108"/>
      <c r="BC925" s="108"/>
      <c r="BD925" s="108"/>
      <c r="BE925" s="108"/>
      <c r="BF925" s="108"/>
      <c r="BG925" s="108"/>
      <c r="BH925" s="108"/>
      <c r="BI925" s="108"/>
      <c r="BJ925" s="108"/>
      <c r="BK925" s="109"/>
      <c r="BL925" s="108"/>
      <c r="BM925" s="108"/>
      <c r="BN925" s="108"/>
    </row>
    <row r="926" spans="1:66" ht="12" customHeight="1" x14ac:dyDescent="0.2">
      <c r="A926" s="179"/>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c r="AA926" s="108"/>
      <c r="AB926" s="108"/>
      <c r="AC926" s="108"/>
      <c r="AD926" s="108"/>
      <c r="AE926" s="108"/>
      <c r="AF926" s="108"/>
      <c r="AG926" s="108"/>
      <c r="AH926" s="108"/>
      <c r="AI926" s="108"/>
      <c r="AJ926" s="108"/>
      <c r="AK926" s="108"/>
      <c r="AL926" s="108"/>
      <c r="AM926" s="108"/>
      <c r="AN926" s="108"/>
      <c r="AO926" s="108"/>
      <c r="AP926" s="108"/>
      <c r="AQ926" s="108"/>
      <c r="AR926" s="108"/>
      <c r="AS926" s="108"/>
      <c r="AT926" s="108"/>
      <c r="AU926" s="108"/>
      <c r="AV926" s="108"/>
      <c r="AW926" s="108"/>
      <c r="AX926" s="108"/>
      <c r="AY926" s="108"/>
      <c r="AZ926" s="108"/>
      <c r="BA926" s="108"/>
      <c r="BB926" s="108"/>
      <c r="BC926" s="108"/>
      <c r="BD926" s="108"/>
      <c r="BE926" s="108"/>
      <c r="BF926" s="108"/>
      <c r="BG926" s="108"/>
      <c r="BH926" s="108"/>
      <c r="BI926" s="108"/>
      <c r="BJ926" s="108"/>
      <c r="BK926" s="109"/>
      <c r="BL926" s="108"/>
      <c r="BM926" s="108"/>
      <c r="BN926" s="108"/>
    </row>
    <row r="927" spans="1:66" ht="12" customHeight="1" x14ac:dyDescent="0.2">
      <c r="A927" s="179"/>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c r="AA927" s="108"/>
      <c r="AB927" s="108"/>
      <c r="AC927" s="108"/>
      <c r="AD927" s="108"/>
      <c r="AE927" s="108"/>
      <c r="AF927" s="108"/>
      <c r="AG927" s="108"/>
      <c r="AH927" s="108"/>
      <c r="AI927" s="108"/>
      <c r="AJ927" s="108"/>
      <c r="AK927" s="108"/>
      <c r="AL927" s="108"/>
      <c r="AM927" s="108"/>
      <c r="AN927" s="108"/>
      <c r="AO927" s="108"/>
      <c r="AP927" s="108"/>
      <c r="AQ927" s="108"/>
      <c r="AR927" s="108"/>
      <c r="AS927" s="108"/>
      <c r="AT927" s="108"/>
      <c r="AU927" s="108"/>
      <c r="AV927" s="108"/>
      <c r="AW927" s="108"/>
      <c r="AX927" s="108"/>
      <c r="AY927" s="108"/>
      <c r="AZ927" s="108"/>
      <c r="BA927" s="108"/>
      <c r="BB927" s="108"/>
      <c r="BC927" s="108"/>
      <c r="BD927" s="108"/>
      <c r="BE927" s="108"/>
      <c r="BF927" s="108"/>
      <c r="BG927" s="108"/>
      <c r="BH927" s="108"/>
      <c r="BI927" s="108"/>
      <c r="BJ927" s="108"/>
      <c r="BK927" s="109"/>
      <c r="BL927" s="108"/>
      <c r="BM927" s="108"/>
      <c r="BN927" s="108"/>
    </row>
    <row r="928" spans="1:66" ht="12" customHeight="1" x14ac:dyDescent="0.2">
      <c r="A928" s="179"/>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c r="AA928" s="108"/>
      <c r="AB928" s="108"/>
      <c r="AC928" s="108"/>
      <c r="AD928" s="108"/>
      <c r="AE928" s="108"/>
      <c r="AF928" s="108"/>
      <c r="AG928" s="108"/>
      <c r="AH928" s="108"/>
      <c r="AI928" s="108"/>
      <c r="AJ928" s="108"/>
      <c r="AK928" s="108"/>
      <c r="AL928" s="108"/>
      <c r="AM928" s="108"/>
      <c r="AN928" s="108"/>
      <c r="AO928" s="108"/>
      <c r="AP928" s="108"/>
      <c r="AQ928" s="108"/>
      <c r="AR928" s="108"/>
      <c r="AS928" s="108"/>
      <c r="AT928" s="108"/>
      <c r="AU928" s="108"/>
      <c r="AV928" s="108"/>
      <c r="AW928" s="108"/>
      <c r="AX928" s="108"/>
      <c r="AY928" s="108"/>
      <c r="AZ928" s="108"/>
      <c r="BA928" s="108"/>
      <c r="BB928" s="108"/>
      <c r="BC928" s="108"/>
      <c r="BD928" s="108"/>
      <c r="BE928" s="108"/>
      <c r="BF928" s="108"/>
      <c r="BG928" s="108"/>
      <c r="BH928" s="108"/>
      <c r="BI928" s="108"/>
      <c r="BJ928" s="108"/>
      <c r="BK928" s="109"/>
      <c r="BL928" s="108"/>
      <c r="BM928" s="108"/>
      <c r="BN928" s="108"/>
    </row>
    <row r="929" spans="1:66" ht="12" customHeight="1" x14ac:dyDescent="0.2">
      <c r="A929" s="179"/>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c r="AA929" s="108"/>
      <c r="AB929" s="108"/>
      <c r="AC929" s="108"/>
      <c r="AD929" s="108"/>
      <c r="AE929" s="108"/>
      <c r="AF929" s="108"/>
      <c r="AG929" s="108"/>
      <c r="AH929" s="108"/>
      <c r="AI929" s="108"/>
      <c r="AJ929" s="108"/>
      <c r="AK929" s="108"/>
      <c r="AL929" s="108"/>
      <c r="AM929" s="108"/>
      <c r="AN929" s="108"/>
      <c r="AO929" s="108"/>
      <c r="AP929" s="108"/>
      <c r="AQ929" s="108"/>
      <c r="AR929" s="108"/>
      <c r="AS929" s="108"/>
      <c r="AT929" s="108"/>
      <c r="AU929" s="108"/>
      <c r="AV929" s="108"/>
      <c r="AW929" s="108"/>
      <c r="AX929" s="108"/>
      <c r="AY929" s="108"/>
      <c r="AZ929" s="108"/>
      <c r="BA929" s="108"/>
      <c r="BB929" s="108"/>
      <c r="BC929" s="108"/>
      <c r="BD929" s="108"/>
      <c r="BE929" s="108"/>
      <c r="BF929" s="108"/>
      <c r="BG929" s="108"/>
      <c r="BH929" s="108"/>
      <c r="BI929" s="108"/>
      <c r="BJ929" s="108"/>
      <c r="BK929" s="109"/>
      <c r="BL929" s="108"/>
      <c r="BM929" s="108"/>
      <c r="BN929" s="108"/>
    </row>
    <row r="930" spans="1:66" ht="12" customHeight="1" x14ac:dyDescent="0.2">
      <c r="A930" s="179"/>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c r="AA930" s="108"/>
      <c r="AB930" s="108"/>
      <c r="AC930" s="108"/>
      <c r="AD930" s="108"/>
      <c r="AE930" s="108"/>
      <c r="AF930" s="108"/>
      <c r="AG930" s="108"/>
      <c r="AH930" s="108"/>
      <c r="AI930" s="108"/>
      <c r="AJ930" s="108"/>
      <c r="AK930" s="108"/>
      <c r="AL930" s="108"/>
      <c r="AM930" s="108"/>
      <c r="AN930" s="108"/>
      <c r="AO930" s="108"/>
      <c r="AP930" s="108"/>
      <c r="AQ930" s="108"/>
      <c r="AR930" s="108"/>
      <c r="AS930" s="108"/>
      <c r="AT930" s="108"/>
      <c r="AU930" s="108"/>
      <c r="AV930" s="108"/>
      <c r="AW930" s="108"/>
      <c r="AX930" s="108"/>
      <c r="AY930" s="108"/>
      <c r="AZ930" s="108"/>
      <c r="BA930" s="108"/>
      <c r="BB930" s="108"/>
      <c r="BC930" s="108"/>
      <c r="BD930" s="108"/>
      <c r="BE930" s="108"/>
      <c r="BF930" s="108"/>
      <c r="BG930" s="108"/>
      <c r="BH930" s="108"/>
      <c r="BI930" s="108"/>
      <c r="BJ930" s="108"/>
      <c r="BK930" s="109"/>
      <c r="BL930" s="108"/>
      <c r="BM930" s="108"/>
      <c r="BN930" s="108"/>
    </row>
    <row r="931" spans="1:66" ht="12" customHeight="1" x14ac:dyDescent="0.2">
      <c r="A931" s="179"/>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c r="AA931" s="108"/>
      <c r="AB931" s="108"/>
      <c r="AC931" s="108"/>
      <c r="AD931" s="108"/>
      <c r="AE931" s="108"/>
      <c r="AF931" s="108"/>
      <c r="AG931" s="108"/>
      <c r="AH931" s="108"/>
      <c r="AI931" s="108"/>
      <c r="AJ931" s="108"/>
      <c r="AK931" s="108"/>
      <c r="AL931" s="108"/>
      <c r="AM931" s="108"/>
      <c r="AN931" s="108"/>
      <c r="AO931" s="108"/>
      <c r="AP931" s="108"/>
      <c r="AQ931" s="108"/>
      <c r="AR931" s="108"/>
      <c r="AS931" s="108"/>
      <c r="AT931" s="108"/>
      <c r="AU931" s="108"/>
      <c r="AV931" s="108"/>
      <c r="AW931" s="108"/>
      <c r="AX931" s="108"/>
      <c r="AY931" s="108"/>
      <c r="AZ931" s="108"/>
      <c r="BA931" s="108"/>
      <c r="BB931" s="108"/>
      <c r="BC931" s="108"/>
      <c r="BD931" s="108"/>
      <c r="BE931" s="108"/>
      <c r="BF931" s="108"/>
      <c r="BG931" s="108"/>
      <c r="BH931" s="108"/>
      <c r="BI931" s="108"/>
      <c r="BJ931" s="108"/>
      <c r="BK931" s="109"/>
      <c r="BL931" s="108"/>
      <c r="BM931" s="108"/>
      <c r="BN931" s="108"/>
    </row>
    <row r="932" spans="1:66" ht="12" customHeight="1" x14ac:dyDescent="0.2">
      <c r="A932" s="179"/>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c r="AA932" s="108"/>
      <c r="AB932" s="108"/>
      <c r="AC932" s="108"/>
      <c r="AD932" s="108"/>
      <c r="AE932" s="108"/>
      <c r="AF932" s="108"/>
      <c r="AG932" s="108"/>
      <c r="AH932" s="108"/>
      <c r="AI932" s="108"/>
      <c r="AJ932" s="108"/>
      <c r="AK932" s="108"/>
      <c r="AL932" s="108"/>
      <c r="AM932" s="108"/>
      <c r="AN932" s="108"/>
      <c r="AO932" s="108"/>
      <c r="AP932" s="108"/>
      <c r="AQ932" s="108"/>
      <c r="AR932" s="108"/>
      <c r="AS932" s="108"/>
      <c r="AT932" s="108"/>
      <c r="AU932" s="108"/>
      <c r="AV932" s="108"/>
      <c r="AW932" s="108"/>
      <c r="AX932" s="108"/>
      <c r="AY932" s="108"/>
      <c r="AZ932" s="108"/>
      <c r="BA932" s="108"/>
      <c r="BB932" s="108"/>
      <c r="BC932" s="108"/>
      <c r="BD932" s="108"/>
      <c r="BE932" s="108"/>
      <c r="BF932" s="108"/>
      <c r="BG932" s="108"/>
      <c r="BH932" s="108"/>
      <c r="BI932" s="108"/>
      <c r="BJ932" s="108"/>
      <c r="BK932" s="109"/>
      <c r="BL932" s="108"/>
      <c r="BM932" s="108"/>
      <c r="BN932" s="108"/>
    </row>
    <row r="933" spans="1:66" ht="12" customHeight="1" x14ac:dyDescent="0.2">
      <c r="A933" s="179"/>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c r="AA933" s="108"/>
      <c r="AB933" s="108"/>
      <c r="AC933" s="108"/>
      <c r="AD933" s="108"/>
      <c r="AE933" s="108"/>
      <c r="AF933" s="108"/>
      <c r="AG933" s="108"/>
      <c r="AH933" s="108"/>
      <c r="AI933" s="108"/>
      <c r="AJ933" s="108"/>
      <c r="AK933" s="108"/>
      <c r="AL933" s="108"/>
      <c r="AM933" s="108"/>
      <c r="AN933" s="108"/>
      <c r="AO933" s="108"/>
      <c r="AP933" s="108"/>
      <c r="AQ933" s="108"/>
      <c r="AR933" s="108"/>
      <c r="AS933" s="108"/>
      <c r="AT933" s="108"/>
      <c r="AU933" s="108"/>
      <c r="AV933" s="108"/>
      <c r="AW933" s="108"/>
      <c r="AX933" s="108"/>
      <c r="AY933" s="108"/>
      <c r="AZ933" s="108"/>
      <c r="BA933" s="108"/>
      <c r="BB933" s="108"/>
      <c r="BC933" s="108"/>
      <c r="BD933" s="108"/>
      <c r="BE933" s="108"/>
      <c r="BF933" s="108"/>
      <c r="BG933" s="108"/>
      <c r="BH933" s="108"/>
      <c r="BI933" s="108"/>
      <c r="BJ933" s="108"/>
      <c r="BK933" s="109"/>
      <c r="BL933" s="108"/>
      <c r="BM933" s="108"/>
      <c r="BN933" s="108"/>
    </row>
    <row r="934" spans="1:66" ht="12" customHeight="1" x14ac:dyDescent="0.2">
      <c r="A934" s="179"/>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c r="AA934" s="108"/>
      <c r="AB934" s="108"/>
      <c r="AC934" s="108"/>
      <c r="AD934" s="108"/>
      <c r="AE934" s="108"/>
      <c r="AF934" s="108"/>
      <c r="AG934" s="108"/>
      <c r="AH934" s="108"/>
      <c r="AI934" s="108"/>
      <c r="AJ934" s="108"/>
      <c r="AK934" s="108"/>
      <c r="AL934" s="108"/>
      <c r="AM934" s="108"/>
      <c r="AN934" s="108"/>
      <c r="AO934" s="108"/>
      <c r="AP934" s="108"/>
      <c r="AQ934" s="108"/>
      <c r="AR934" s="108"/>
      <c r="AS934" s="108"/>
      <c r="AT934" s="108"/>
      <c r="AU934" s="108"/>
      <c r="AV934" s="108"/>
      <c r="AW934" s="108"/>
      <c r="AX934" s="108"/>
      <c r="AY934" s="108"/>
      <c r="AZ934" s="108"/>
      <c r="BA934" s="108"/>
      <c r="BB934" s="108"/>
      <c r="BC934" s="108"/>
      <c r="BD934" s="108"/>
      <c r="BE934" s="108"/>
      <c r="BF934" s="108"/>
      <c r="BG934" s="108"/>
      <c r="BH934" s="108"/>
      <c r="BI934" s="108"/>
      <c r="BJ934" s="108"/>
      <c r="BK934" s="109"/>
      <c r="BL934" s="108"/>
      <c r="BM934" s="108"/>
      <c r="BN934" s="108"/>
    </row>
    <row r="935" spans="1:66" ht="12" customHeight="1" x14ac:dyDescent="0.2">
      <c r="A935" s="179"/>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c r="AA935" s="108"/>
      <c r="AB935" s="108"/>
      <c r="AC935" s="108"/>
      <c r="AD935" s="108"/>
      <c r="AE935" s="108"/>
      <c r="AF935" s="108"/>
      <c r="AG935" s="108"/>
      <c r="AH935" s="108"/>
      <c r="AI935" s="108"/>
      <c r="AJ935" s="108"/>
      <c r="AK935" s="108"/>
      <c r="AL935" s="108"/>
      <c r="AM935" s="108"/>
      <c r="AN935" s="108"/>
      <c r="AO935" s="108"/>
      <c r="AP935" s="108"/>
      <c r="AQ935" s="108"/>
      <c r="AR935" s="108"/>
      <c r="AS935" s="108"/>
      <c r="AT935" s="108"/>
      <c r="AU935" s="108"/>
      <c r="AV935" s="108"/>
      <c r="AW935" s="108"/>
      <c r="AX935" s="108"/>
      <c r="AY935" s="108"/>
      <c r="AZ935" s="108"/>
      <c r="BA935" s="108"/>
      <c r="BB935" s="108"/>
      <c r="BC935" s="108"/>
      <c r="BD935" s="108"/>
      <c r="BE935" s="108"/>
      <c r="BF935" s="108"/>
      <c r="BG935" s="108"/>
      <c r="BH935" s="108"/>
      <c r="BI935" s="108"/>
      <c r="BJ935" s="108"/>
      <c r="BK935" s="109"/>
      <c r="BL935" s="108"/>
      <c r="BM935" s="108"/>
      <c r="BN935" s="108"/>
    </row>
    <row r="936" spans="1:66" ht="12" customHeight="1" x14ac:dyDescent="0.2">
      <c r="A936" s="179"/>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c r="AA936" s="108"/>
      <c r="AB936" s="108"/>
      <c r="AC936" s="108"/>
      <c r="AD936" s="108"/>
      <c r="AE936" s="108"/>
      <c r="AF936" s="108"/>
      <c r="AG936" s="108"/>
      <c r="AH936" s="108"/>
      <c r="AI936" s="108"/>
      <c r="AJ936" s="108"/>
      <c r="AK936" s="108"/>
      <c r="AL936" s="108"/>
      <c r="AM936" s="108"/>
      <c r="AN936" s="108"/>
      <c r="AO936" s="108"/>
      <c r="AP936" s="108"/>
      <c r="AQ936" s="108"/>
      <c r="AR936" s="108"/>
      <c r="AS936" s="108"/>
      <c r="AT936" s="108"/>
      <c r="AU936" s="108"/>
      <c r="AV936" s="108"/>
      <c r="AW936" s="108"/>
      <c r="AX936" s="108"/>
      <c r="AY936" s="108"/>
      <c r="AZ936" s="108"/>
      <c r="BA936" s="108"/>
      <c r="BB936" s="108"/>
      <c r="BC936" s="108"/>
      <c r="BD936" s="108"/>
      <c r="BE936" s="108"/>
      <c r="BF936" s="108"/>
      <c r="BG936" s="108"/>
      <c r="BH936" s="108"/>
      <c r="BI936" s="108"/>
      <c r="BJ936" s="108"/>
      <c r="BK936" s="109"/>
      <c r="BL936" s="108"/>
      <c r="BM936" s="108"/>
      <c r="BN936" s="108"/>
    </row>
    <row r="937" spans="1:66" ht="12" customHeight="1" x14ac:dyDescent="0.2">
      <c r="A937" s="179"/>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c r="AA937" s="108"/>
      <c r="AB937" s="108"/>
      <c r="AC937" s="108"/>
      <c r="AD937" s="108"/>
      <c r="AE937" s="108"/>
      <c r="AF937" s="108"/>
      <c r="AG937" s="108"/>
      <c r="AH937" s="108"/>
      <c r="AI937" s="108"/>
      <c r="AJ937" s="108"/>
      <c r="AK937" s="108"/>
      <c r="AL937" s="108"/>
      <c r="AM937" s="108"/>
      <c r="AN937" s="108"/>
      <c r="AO937" s="108"/>
      <c r="AP937" s="108"/>
      <c r="AQ937" s="108"/>
      <c r="AR937" s="108"/>
      <c r="AS937" s="108"/>
      <c r="AT937" s="108"/>
      <c r="AU937" s="108"/>
      <c r="AV937" s="108"/>
      <c r="AW937" s="108"/>
      <c r="AX937" s="108"/>
      <c r="AY937" s="108"/>
      <c r="AZ937" s="108"/>
      <c r="BA937" s="108"/>
      <c r="BB937" s="108"/>
      <c r="BC937" s="108"/>
      <c r="BD937" s="108"/>
      <c r="BE937" s="108"/>
      <c r="BF937" s="108"/>
      <c r="BG937" s="108"/>
      <c r="BH937" s="108"/>
      <c r="BI937" s="108"/>
      <c r="BJ937" s="108"/>
      <c r="BK937" s="109"/>
      <c r="BL937" s="108"/>
      <c r="BM937" s="108"/>
      <c r="BN937" s="108"/>
    </row>
    <row r="938" spans="1:66" ht="12" customHeight="1" x14ac:dyDescent="0.2">
      <c r="A938" s="179"/>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c r="AA938" s="108"/>
      <c r="AB938" s="108"/>
      <c r="AC938" s="108"/>
      <c r="AD938" s="108"/>
      <c r="AE938" s="108"/>
      <c r="AF938" s="108"/>
      <c r="AG938" s="108"/>
      <c r="AH938" s="108"/>
      <c r="AI938" s="108"/>
      <c r="AJ938" s="108"/>
      <c r="AK938" s="108"/>
      <c r="AL938" s="108"/>
      <c r="AM938" s="108"/>
      <c r="AN938" s="108"/>
      <c r="AO938" s="108"/>
      <c r="AP938" s="108"/>
      <c r="AQ938" s="108"/>
      <c r="AR938" s="108"/>
      <c r="AS938" s="108"/>
      <c r="AT938" s="108"/>
      <c r="AU938" s="108"/>
      <c r="AV938" s="108"/>
      <c r="AW938" s="108"/>
      <c r="AX938" s="108"/>
      <c r="AY938" s="108"/>
      <c r="AZ938" s="108"/>
      <c r="BA938" s="108"/>
      <c r="BB938" s="108"/>
      <c r="BC938" s="108"/>
      <c r="BD938" s="108"/>
      <c r="BE938" s="108"/>
      <c r="BF938" s="108"/>
      <c r="BG938" s="108"/>
      <c r="BH938" s="108"/>
      <c r="BI938" s="108"/>
      <c r="BJ938" s="108"/>
      <c r="BK938" s="109"/>
      <c r="BL938" s="108"/>
      <c r="BM938" s="108"/>
      <c r="BN938" s="108"/>
    </row>
    <row r="939" spans="1:66" ht="12" customHeight="1" x14ac:dyDescent="0.2">
      <c r="A939" s="179"/>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c r="AA939" s="108"/>
      <c r="AB939" s="108"/>
      <c r="AC939" s="108"/>
      <c r="AD939" s="108"/>
      <c r="AE939" s="108"/>
      <c r="AF939" s="108"/>
      <c r="AG939" s="108"/>
      <c r="AH939" s="108"/>
      <c r="AI939" s="108"/>
      <c r="AJ939" s="108"/>
      <c r="AK939" s="108"/>
      <c r="AL939" s="108"/>
      <c r="AM939" s="108"/>
      <c r="AN939" s="108"/>
      <c r="AO939" s="108"/>
      <c r="AP939" s="108"/>
      <c r="AQ939" s="108"/>
      <c r="AR939" s="108"/>
      <c r="AS939" s="108"/>
      <c r="AT939" s="108"/>
      <c r="AU939" s="108"/>
      <c r="AV939" s="108"/>
      <c r="AW939" s="108"/>
      <c r="AX939" s="108"/>
      <c r="AY939" s="108"/>
      <c r="AZ939" s="108"/>
      <c r="BA939" s="108"/>
      <c r="BB939" s="108"/>
      <c r="BC939" s="108"/>
      <c r="BD939" s="108"/>
      <c r="BE939" s="108"/>
      <c r="BF939" s="108"/>
      <c r="BG939" s="108"/>
      <c r="BH939" s="108"/>
      <c r="BI939" s="108"/>
      <c r="BJ939" s="108"/>
      <c r="BK939" s="109"/>
      <c r="BL939" s="108"/>
      <c r="BM939" s="108"/>
      <c r="BN939" s="108"/>
    </row>
    <row r="940" spans="1:66" ht="12" customHeight="1" x14ac:dyDescent="0.2">
      <c r="A940" s="179"/>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c r="AA940" s="108"/>
      <c r="AB940" s="108"/>
      <c r="AC940" s="108"/>
      <c r="AD940" s="108"/>
      <c r="AE940" s="108"/>
      <c r="AF940" s="108"/>
      <c r="AG940" s="108"/>
      <c r="AH940" s="108"/>
      <c r="AI940" s="108"/>
      <c r="AJ940" s="108"/>
      <c r="AK940" s="108"/>
      <c r="AL940" s="108"/>
      <c r="AM940" s="108"/>
      <c r="AN940" s="108"/>
      <c r="AO940" s="108"/>
      <c r="AP940" s="108"/>
      <c r="AQ940" s="108"/>
      <c r="AR940" s="108"/>
      <c r="AS940" s="108"/>
      <c r="AT940" s="108"/>
      <c r="AU940" s="108"/>
      <c r="AV940" s="108"/>
      <c r="AW940" s="108"/>
      <c r="AX940" s="108"/>
      <c r="AY940" s="108"/>
      <c r="AZ940" s="108"/>
      <c r="BA940" s="108"/>
      <c r="BB940" s="108"/>
      <c r="BC940" s="108"/>
      <c r="BD940" s="108"/>
      <c r="BE940" s="108"/>
      <c r="BF940" s="108"/>
      <c r="BG940" s="108"/>
      <c r="BH940" s="108"/>
      <c r="BI940" s="108"/>
      <c r="BJ940" s="108"/>
      <c r="BK940" s="109"/>
      <c r="BL940" s="108"/>
      <c r="BM940" s="108"/>
      <c r="BN940" s="108"/>
    </row>
    <row r="941" spans="1:66" ht="12" customHeight="1" x14ac:dyDescent="0.2">
      <c r="A941" s="179"/>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c r="AA941" s="108"/>
      <c r="AB941" s="108"/>
      <c r="AC941" s="108"/>
      <c r="AD941" s="108"/>
      <c r="AE941" s="108"/>
      <c r="AF941" s="108"/>
      <c r="AG941" s="108"/>
      <c r="AH941" s="108"/>
      <c r="AI941" s="108"/>
      <c r="AJ941" s="108"/>
      <c r="AK941" s="108"/>
      <c r="AL941" s="108"/>
      <c r="AM941" s="108"/>
      <c r="AN941" s="108"/>
      <c r="AO941" s="108"/>
      <c r="AP941" s="108"/>
      <c r="AQ941" s="108"/>
      <c r="AR941" s="108"/>
      <c r="AS941" s="108"/>
      <c r="AT941" s="108"/>
      <c r="AU941" s="108"/>
      <c r="AV941" s="108"/>
      <c r="AW941" s="108"/>
      <c r="AX941" s="108"/>
      <c r="AY941" s="108"/>
      <c r="AZ941" s="108"/>
      <c r="BA941" s="108"/>
      <c r="BB941" s="108"/>
      <c r="BC941" s="108"/>
      <c r="BD941" s="108"/>
      <c r="BE941" s="108"/>
      <c r="BF941" s="108"/>
      <c r="BG941" s="108"/>
      <c r="BH941" s="108"/>
      <c r="BI941" s="108"/>
      <c r="BJ941" s="108"/>
      <c r="BK941" s="109"/>
      <c r="BL941" s="108"/>
      <c r="BM941" s="108"/>
      <c r="BN941" s="108"/>
    </row>
    <row r="942" spans="1:66" ht="12" customHeight="1" x14ac:dyDescent="0.2">
      <c r="A942" s="179"/>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c r="AA942" s="108"/>
      <c r="AB942" s="108"/>
      <c r="AC942" s="108"/>
      <c r="AD942" s="108"/>
      <c r="AE942" s="108"/>
      <c r="AF942" s="108"/>
      <c r="AG942" s="108"/>
      <c r="AH942" s="108"/>
      <c r="AI942" s="108"/>
      <c r="AJ942" s="108"/>
      <c r="AK942" s="108"/>
      <c r="AL942" s="108"/>
      <c r="AM942" s="108"/>
      <c r="AN942" s="108"/>
      <c r="AO942" s="108"/>
      <c r="AP942" s="108"/>
      <c r="AQ942" s="108"/>
      <c r="AR942" s="108"/>
      <c r="AS942" s="108"/>
      <c r="AT942" s="108"/>
      <c r="AU942" s="108"/>
      <c r="AV942" s="108"/>
      <c r="AW942" s="108"/>
      <c r="AX942" s="108"/>
      <c r="AY942" s="108"/>
      <c r="AZ942" s="108"/>
      <c r="BA942" s="108"/>
      <c r="BB942" s="108"/>
      <c r="BC942" s="108"/>
      <c r="BD942" s="108"/>
      <c r="BE942" s="108"/>
      <c r="BF942" s="108"/>
      <c r="BG942" s="108"/>
      <c r="BH942" s="108"/>
      <c r="BI942" s="108"/>
      <c r="BJ942" s="108"/>
      <c r="BK942" s="109"/>
      <c r="BL942" s="108"/>
      <c r="BM942" s="108"/>
      <c r="BN942" s="108"/>
    </row>
    <row r="943" spans="1:66" ht="12" customHeight="1" x14ac:dyDescent="0.2">
      <c r="A943" s="179"/>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c r="AA943" s="108"/>
      <c r="AB943" s="108"/>
      <c r="AC943" s="108"/>
      <c r="AD943" s="108"/>
      <c r="AE943" s="108"/>
      <c r="AF943" s="108"/>
      <c r="AG943" s="108"/>
      <c r="AH943" s="108"/>
      <c r="AI943" s="108"/>
      <c r="AJ943" s="108"/>
      <c r="AK943" s="108"/>
      <c r="AL943" s="108"/>
      <c r="AM943" s="108"/>
      <c r="AN943" s="108"/>
      <c r="AO943" s="108"/>
      <c r="AP943" s="108"/>
      <c r="AQ943" s="108"/>
      <c r="AR943" s="108"/>
      <c r="AS943" s="108"/>
      <c r="AT943" s="108"/>
      <c r="AU943" s="108"/>
      <c r="AV943" s="108"/>
      <c r="AW943" s="108"/>
      <c r="AX943" s="108"/>
      <c r="AY943" s="108"/>
      <c r="AZ943" s="108"/>
      <c r="BA943" s="108"/>
      <c r="BB943" s="108"/>
      <c r="BC943" s="108"/>
      <c r="BD943" s="108"/>
      <c r="BE943" s="108"/>
      <c r="BF943" s="108"/>
      <c r="BG943" s="108"/>
      <c r="BH943" s="108"/>
      <c r="BI943" s="108"/>
      <c r="BJ943" s="108"/>
      <c r="BK943" s="109"/>
      <c r="BL943" s="108"/>
      <c r="BM943" s="108"/>
      <c r="BN943" s="108"/>
    </row>
    <row r="944" spans="1:66" ht="12" customHeight="1" x14ac:dyDescent="0.2">
      <c r="A944" s="179"/>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c r="AA944" s="108"/>
      <c r="AB944" s="108"/>
      <c r="AC944" s="108"/>
      <c r="AD944" s="108"/>
      <c r="AE944" s="108"/>
      <c r="AF944" s="108"/>
      <c r="AG944" s="108"/>
      <c r="AH944" s="108"/>
      <c r="AI944" s="108"/>
      <c r="AJ944" s="108"/>
      <c r="AK944" s="108"/>
      <c r="AL944" s="108"/>
      <c r="AM944" s="108"/>
      <c r="AN944" s="108"/>
      <c r="AO944" s="108"/>
      <c r="AP944" s="108"/>
      <c r="AQ944" s="108"/>
      <c r="AR944" s="108"/>
      <c r="AS944" s="108"/>
      <c r="AT944" s="108"/>
      <c r="AU944" s="108"/>
      <c r="AV944" s="108"/>
      <c r="AW944" s="108"/>
      <c r="AX944" s="108"/>
      <c r="AY944" s="108"/>
      <c r="AZ944" s="108"/>
      <c r="BA944" s="108"/>
      <c r="BB944" s="108"/>
      <c r="BC944" s="108"/>
      <c r="BD944" s="108"/>
      <c r="BE944" s="108"/>
      <c r="BF944" s="108"/>
      <c r="BG944" s="108"/>
      <c r="BH944" s="108"/>
      <c r="BI944" s="108"/>
      <c r="BJ944" s="108"/>
      <c r="BK944" s="109"/>
      <c r="BL944" s="108"/>
      <c r="BM944" s="108"/>
      <c r="BN944" s="108"/>
    </row>
    <row r="945" spans="1:66" ht="12" customHeight="1" x14ac:dyDescent="0.2">
      <c r="A945" s="179"/>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c r="AA945" s="108"/>
      <c r="AB945" s="108"/>
      <c r="AC945" s="108"/>
      <c r="AD945" s="108"/>
      <c r="AE945" s="108"/>
      <c r="AF945" s="108"/>
      <c r="AG945" s="108"/>
      <c r="AH945" s="108"/>
      <c r="AI945" s="108"/>
      <c r="AJ945" s="108"/>
      <c r="AK945" s="108"/>
      <c r="AL945" s="108"/>
      <c r="AM945" s="108"/>
      <c r="AN945" s="108"/>
      <c r="AO945" s="108"/>
      <c r="AP945" s="108"/>
      <c r="AQ945" s="108"/>
      <c r="AR945" s="108"/>
      <c r="AS945" s="108"/>
      <c r="AT945" s="108"/>
      <c r="AU945" s="108"/>
      <c r="AV945" s="108"/>
      <c r="AW945" s="108"/>
      <c r="AX945" s="108"/>
      <c r="AY945" s="108"/>
      <c r="AZ945" s="108"/>
      <c r="BA945" s="108"/>
      <c r="BB945" s="108"/>
      <c r="BC945" s="108"/>
      <c r="BD945" s="108"/>
      <c r="BE945" s="108"/>
      <c r="BF945" s="108"/>
      <c r="BG945" s="108"/>
      <c r="BH945" s="108"/>
      <c r="BI945" s="108"/>
      <c r="BJ945" s="108"/>
      <c r="BK945" s="109"/>
      <c r="BL945" s="108"/>
      <c r="BM945" s="108"/>
      <c r="BN945" s="108"/>
    </row>
    <row r="946" spans="1:66" ht="12" customHeight="1" x14ac:dyDescent="0.2">
      <c r="A946" s="179"/>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c r="AA946" s="108"/>
      <c r="AB946" s="108"/>
      <c r="AC946" s="108"/>
      <c r="AD946" s="108"/>
      <c r="AE946" s="108"/>
      <c r="AF946" s="108"/>
      <c r="AG946" s="108"/>
      <c r="AH946" s="108"/>
      <c r="AI946" s="108"/>
      <c r="AJ946" s="108"/>
      <c r="AK946" s="108"/>
      <c r="AL946" s="108"/>
      <c r="AM946" s="108"/>
      <c r="AN946" s="108"/>
      <c r="AO946" s="108"/>
      <c r="AP946" s="108"/>
      <c r="AQ946" s="108"/>
      <c r="AR946" s="108"/>
      <c r="AS946" s="108"/>
      <c r="AT946" s="108"/>
      <c r="AU946" s="108"/>
      <c r="AV946" s="108"/>
      <c r="AW946" s="108"/>
      <c r="AX946" s="108"/>
      <c r="AY946" s="108"/>
      <c r="AZ946" s="108"/>
      <c r="BA946" s="108"/>
      <c r="BB946" s="108"/>
      <c r="BC946" s="108"/>
      <c r="BD946" s="108"/>
      <c r="BE946" s="108"/>
      <c r="BF946" s="108"/>
      <c r="BG946" s="108"/>
      <c r="BH946" s="108"/>
      <c r="BI946" s="108"/>
      <c r="BJ946" s="108"/>
      <c r="BK946" s="109"/>
      <c r="BL946" s="108"/>
      <c r="BM946" s="108"/>
      <c r="BN946" s="108"/>
    </row>
    <row r="947" spans="1:66" ht="12" customHeight="1" x14ac:dyDescent="0.2">
      <c r="A947" s="179"/>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c r="AA947" s="108"/>
      <c r="AB947" s="108"/>
      <c r="AC947" s="108"/>
      <c r="AD947" s="108"/>
      <c r="AE947" s="108"/>
      <c r="AF947" s="108"/>
      <c r="AG947" s="108"/>
      <c r="AH947" s="108"/>
      <c r="AI947" s="108"/>
      <c r="AJ947" s="108"/>
      <c r="AK947" s="108"/>
      <c r="AL947" s="108"/>
      <c r="AM947" s="108"/>
      <c r="AN947" s="108"/>
      <c r="AO947" s="108"/>
      <c r="AP947" s="108"/>
      <c r="AQ947" s="108"/>
      <c r="AR947" s="108"/>
      <c r="AS947" s="108"/>
      <c r="AT947" s="108"/>
      <c r="AU947" s="108"/>
      <c r="AV947" s="108"/>
      <c r="AW947" s="108"/>
      <c r="AX947" s="108"/>
      <c r="AY947" s="108"/>
      <c r="AZ947" s="108"/>
      <c r="BA947" s="108"/>
      <c r="BB947" s="108"/>
      <c r="BC947" s="108"/>
      <c r="BD947" s="108"/>
      <c r="BE947" s="108"/>
      <c r="BF947" s="108"/>
      <c r="BG947" s="108"/>
      <c r="BH947" s="108"/>
      <c r="BI947" s="108"/>
      <c r="BJ947" s="108"/>
      <c r="BK947" s="109"/>
      <c r="BL947" s="108"/>
      <c r="BM947" s="108"/>
      <c r="BN947" s="108"/>
    </row>
    <row r="948" spans="1:66" ht="12" customHeight="1" x14ac:dyDescent="0.2">
      <c r="A948" s="179"/>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c r="AA948" s="108"/>
      <c r="AB948" s="108"/>
      <c r="AC948" s="108"/>
      <c r="AD948" s="108"/>
      <c r="AE948" s="108"/>
      <c r="AF948" s="108"/>
      <c r="AG948" s="108"/>
      <c r="AH948" s="108"/>
      <c r="AI948" s="108"/>
      <c r="AJ948" s="108"/>
      <c r="AK948" s="108"/>
      <c r="AL948" s="108"/>
      <c r="AM948" s="108"/>
      <c r="AN948" s="108"/>
      <c r="AO948" s="108"/>
      <c r="AP948" s="108"/>
      <c r="AQ948" s="108"/>
      <c r="AR948" s="108"/>
      <c r="AS948" s="108"/>
      <c r="AT948" s="108"/>
      <c r="AU948" s="108"/>
      <c r="AV948" s="108"/>
      <c r="AW948" s="108"/>
      <c r="AX948" s="108"/>
      <c r="AY948" s="108"/>
      <c r="AZ948" s="108"/>
      <c r="BA948" s="108"/>
      <c r="BB948" s="108"/>
      <c r="BC948" s="108"/>
      <c r="BD948" s="108"/>
      <c r="BE948" s="108"/>
      <c r="BF948" s="108"/>
      <c r="BG948" s="108"/>
      <c r="BH948" s="108"/>
      <c r="BI948" s="108"/>
      <c r="BJ948" s="108"/>
      <c r="BK948" s="109"/>
      <c r="BL948" s="108"/>
      <c r="BM948" s="108"/>
      <c r="BN948" s="108"/>
    </row>
    <row r="949" spans="1:66" ht="12" customHeight="1" x14ac:dyDescent="0.2">
      <c r="A949" s="179"/>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c r="AA949" s="108"/>
      <c r="AB949" s="108"/>
      <c r="AC949" s="108"/>
      <c r="AD949" s="108"/>
      <c r="AE949" s="108"/>
      <c r="AF949" s="108"/>
      <c r="AG949" s="108"/>
      <c r="AH949" s="108"/>
      <c r="AI949" s="108"/>
      <c r="AJ949" s="108"/>
      <c r="AK949" s="108"/>
      <c r="AL949" s="108"/>
      <c r="AM949" s="108"/>
      <c r="AN949" s="108"/>
      <c r="AO949" s="108"/>
      <c r="AP949" s="108"/>
      <c r="AQ949" s="108"/>
      <c r="AR949" s="108"/>
      <c r="AS949" s="108"/>
      <c r="AT949" s="108"/>
      <c r="AU949" s="108"/>
      <c r="AV949" s="108"/>
      <c r="AW949" s="108"/>
      <c r="AX949" s="108"/>
      <c r="AY949" s="108"/>
      <c r="AZ949" s="108"/>
      <c r="BA949" s="108"/>
      <c r="BB949" s="108"/>
      <c r="BC949" s="108"/>
      <c r="BD949" s="108"/>
      <c r="BE949" s="108"/>
      <c r="BF949" s="108"/>
      <c r="BG949" s="108"/>
      <c r="BH949" s="108"/>
      <c r="BI949" s="108"/>
      <c r="BJ949" s="108"/>
      <c r="BK949" s="109"/>
      <c r="BL949" s="108"/>
      <c r="BM949" s="108"/>
      <c r="BN949" s="108"/>
    </row>
    <row r="950" spans="1:66" ht="12" customHeight="1" x14ac:dyDescent="0.2">
      <c r="A950" s="179"/>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c r="AA950" s="108"/>
      <c r="AB950" s="108"/>
      <c r="AC950" s="108"/>
      <c r="AD950" s="108"/>
      <c r="AE950" s="108"/>
      <c r="AF950" s="108"/>
      <c r="AG950" s="108"/>
      <c r="AH950" s="108"/>
      <c r="AI950" s="108"/>
      <c r="AJ950" s="108"/>
      <c r="AK950" s="108"/>
      <c r="AL950" s="108"/>
      <c r="AM950" s="108"/>
      <c r="AN950" s="108"/>
      <c r="AO950" s="108"/>
      <c r="AP950" s="108"/>
      <c r="AQ950" s="108"/>
      <c r="AR950" s="108"/>
      <c r="AS950" s="108"/>
      <c r="AT950" s="108"/>
      <c r="AU950" s="108"/>
      <c r="AV950" s="108"/>
      <c r="AW950" s="108"/>
      <c r="AX950" s="108"/>
      <c r="AY950" s="108"/>
      <c r="AZ950" s="108"/>
      <c r="BA950" s="108"/>
      <c r="BB950" s="108"/>
      <c r="BC950" s="108"/>
      <c r="BD950" s="108"/>
      <c r="BE950" s="108"/>
      <c r="BF950" s="108"/>
      <c r="BG950" s="108"/>
      <c r="BH950" s="108"/>
      <c r="BI950" s="108"/>
      <c r="BJ950" s="108"/>
      <c r="BK950" s="109"/>
      <c r="BL950" s="108"/>
      <c r="BM950" s="108"/>
      <c r="BN950" s="108"/>
    </row>
    <row r="951" spans="1:66" ht="12" customHeight="1" x14ac:dyDescent="0.2">
      <c r="A951" s="179"/>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c r="AA951" s="108"/>
      <c r="AB951" s="108"/>
      <c r="AC951" s="108"/>
      <c r="AD951" s="108"/>
      <c r="AE951" s="108"/>
      <c r="AF951" s="108"/>
      <c r="AG951" s="108"/>
      <c r="AH951" s="108"/>
      <c r="AI951" s="108"/>
      <c r="AJ951" s="108"/>
      <c r="AK951" s="108"/>
      <c r="AL951" s="108"/>
      <c r="AM951" s="108"/>
      <c r="AN951" s="108"/>
      <c r="AO951" s="108"/>
      <c r="AP951" s="108"/>
      <c r="AQ951" s="108"/>
      <c r="AR951" s="108"/>
      <c r="AS951" s="108"/>
      <c r="AT951" s="108"/>
      <c r="AU951" s="108"/>
      <c r="AV951" s="108"/>
      <c r="AW951" s="108"/>
      <c r="AX951" s="108"/>
      <c r="AY951" s="108"/>
      <c r="AZ951" s="108"/>
      <c r="BA951" s="108"/>
      <c r="BB951" s="108"/>
      <c r="BC951" s="108"/>
      <c r="BD951" s="108"/>
      <c r="BE951" s="108"/>
      <c r="BF951" s="108"/>
      <c r="BG951" s="108"/>
      <c r="BH951" s="108"/>
      <c r="BI951" s="108"/>
      <c r="BJ951" s="108"/>
      <c r="BK951" s="109"/>
      <c r="BL951" s="108"/>
      <c r="BM951" s="108"/>
      <c r="BN951" s="108"/>
    </row>
    <row r="952" spans="1:66" ht="12" customHeight="1" x14ac:dyDescent="0.2">
      <c r="A952" s="179"/>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c r="AA952" s="108"/>
      <c r="AB952" s="108"/>
      <c r="AC952" s="108"/>
      <c r="AD952" s="108"/>
      <c r="AE952" s="108"/>
      <c r="AF952" s="108"/>
      <c r="AG952" s="108"/>
      <c r="AH952" s="108"/>
      <c r="AI952" s="108"/>
      <c r="AJ952" s="108"/>
      <c r="AK952" s="108"/>
      <c r="AL952" s="108"/>
      <c r="AM952" s="108"/>
      <c r="AN952" s="108"/>
      <c r="AO952" s="108"/>
      <c r="AP952" s="108"/>
      <c r="AQ952" s="108"/>
      <c r="AR952" s="108"/>
      <c r="AS952" s="108"/>
      <c r="AT952" s="108"/>
      <c r="AU952" s="108"/>
      <c r="AV952" s="108"/>
      <c r="AW952" s="108"/>
      <c r="AX952" s="108"/>
      <c r="AY952" s="108"/>
      <c r="AZ952" s="108"/>
      <c r="BA952" s="108"/>
      <c r="BB952" s="108"/>
      <c r="BC952" s="108"/>
      <c r="BD952" s="108"/>
      <c r="BE952" s="108"/>
      <c r="BF952" s="108"/>
      <c r="BG952" s="108"/>
      <c r="BH952" s="108"/>
      <c r="BI952" s="108"/>
      <c r="BJ952" s="108"/>
      <c r="BK952" s="109"/>
      <c r="BL952" s="108"/>
      <c r="BM952" s="108"/>
      <c r="BN952" s="108"/>
    </row>
    <row r="953" spans="1:66" ht="12" customHeight="1" x14ac:dyDescent="0.2">
      <c r="A953" s="179"/>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c r="AA953" s="108"/>
      <c r="AB953" s="108"/>
      <c r="AC953" s="108"/>
      <c r="AD953" s="108"/>
      <c r="AE953" s="108"/>
      <c r="AF953" s="108"/>
      <c r="AG953" s="108"/>
      <c r="AH953" s="108"/>
      <c r="AI953" s="108"/>
      <c r="AJ953" s="108"/>
      <c r="AK953" s="108"/>
      <c r="AL953" s="108"/>
      <c r="AM953" s="108"/>
      <c r="AN953" s="108"/>
      <c r="AO953" s="108"/>
      <c r="AP953" s="108"/>
      <c r="AQ953" s="108"/>
      <c r="AR953" s="108"/>
      <c r="AS953" s="108"/>
      <c r="AT953" s="108"/>
      <c r="AU953" s="108"/>
      <c r="AV953" s="108"/>
      <c r="AW953" s="108"/>
      <c r="AX953" s="108"/>
      <c r="AY953" s="108"/>
      <c r="AZ953" s="108"/>
      <c r="BA953" s="108"/>
      <c r="BB953" s="108"/>
      <c r="BC953" s="108"/>
      <c r="BD953" s="108"/>
      <c r="BE953" s="108"/>
      <c r="BF953" s="108"/>
      <c r="BG953" s="108"/>
      <c r="BH953" s="108"/>
      <c r="BI953" s="108"/>
      <c r="BJ953" s="108"/>
      <c r="BK953" s="109"/>
      <c r="BL953" s="108"/>
      <c r="BM953" s="108"/>
      <c r="BN953" s="108"/>
    </row>
    <row r="954" spans="1:66" ht="12" customHeight="1" x14ac:dyDescent="0.2">
      <c r="A954" s="179"/>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c r="AA954" s="108"/>
      <c r="AB954" s="108"/>
      <c r="AC954" s="108"/>
      <c r="AD954" s="108"/>
      <c r="AE954" s="108"/>
      <c r="AF954" s="108"/>
      <c r="AG954" s="108"/>
      <c r="AH954" s="108"/>
      <c r="AI954" s="108"/>
      <c r="AJ954" s="108"/>
      <c r="AK954" s="108"/>
      <c r="AL954" s="108"/>
      <c r="AM954" s="108"/>
      <c r="AN954" s="108"/>
      <c r="AO954" s="108"/>
      <c r="AP954" s="108"/>
      <c r="AQ954" s="108"/>
      <c r="AR954" s="108"/>
      <c r="AS954" s="108"/>
      <c r="AT954" s="108"/>
      <c r="AU954" s="108"/>
      <c r="AV954" s="108"/>
      <c r="AW954" s="108"/>
      <c r="AX954" s="108"/>
      <c r="AY954" s="108"/>
      <c r="AZ954" s="108"/>
      <c r="BA954" s="108"/>
      <c r="BB954" s="108"/>
      <c r="BC954" s="108"/>
      <c r="BD954" s="108"/>
      <c r="BE954" s="108"/>
      <c r="BF954" s="108"/>
      <c r="BG954" s="108"/>
      <c r="BH954" s="108"/>
      <c r="BI954" s="108"/>
      <c r="BJ954" s="108"/>
      <c r="BK954" s="109"/>
      <c r="BL954" s="108"/>
      <c r="BM954" s="108"/>
      <c r="BN954" s="108"/>
    </row>
    <row r="955" spans="1:66" ht="12" customHeight="1" x14ac:dyDescent="0.2">
      <c r="A955" s="179"/>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c r="AA955" s="108"/>
      <c r="AB955" s="108"/>
      <c r="AC955" s="108"/>
      <c r="AD955" s="108"/>
      <c r="AE955" s="108"/>
      <c r="AF955" s="108"/>
      <c r="AG955" s="108"/>
      <c r="AH955" s="108"/>
      <c r="AI955" s="108"/>
      <c r="AJ955" s="108"/>
      <c r="AK955" s="108"/>
      <c r="AL955" s="108"/>
      <c r="AM955" s="108"/>
      <c r="AN955" s="108"/>
      <c r="AO955" s="108"/>
      <c r="AP955" s="108"/>
      <c r="AQ955" s="108"/>
      <c r="AR955" s="108"/>
      <c r="AS955" s="108"/>
      <c r="AT955" s="108"/>
      <c r="AU955" s="108"/>
      <c r="AV955" s="108"/>
      <c r="AW955" s="108"/>
      <c r="AX955" s="108"/>
      <c r="AY955" s="108"/>
      <c r="AZ955" s="108"/>
      <c r="BA955" s="108"/>
      <c r="BB955" s="108"/>
      <c r="BC955" s="108"/>
      <c r="BD955" s="108"/>
      <c r="BE955" s="108"/>
      <c r="BF955" s="108"/>
      <c r="BG955" s="108"/>
      <c r="BH955" s="108"/>
      <c r="BI955" s="108"/>
      <c r="BJ955" s="108"/>
      <c r="BK955" s="109"/>
      <c r="BL955" s="108"/>
      <c r="BM955" s="108"/>
      <c r="BN955" s="108"/>
    </row>
    <row r="956" spans="1:66" ht="12" customHeight="1" x14ac:dyDescent="0.2">
      <c r="A956" s="179"/>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c r="AA956" s="108"/>
      <c r="AB956" s="108"/>
      <c r="AC956" s="108"/>
      <c r="AD956" s="108"/>
      <c r="AE956" s="108"/>
      <c r="AF956" s="108"/>
      <c r="AG956" s="108"/>
      <c r="AH956" s="108"/>
      <c r="AI956" s="108"/>
      <c r="AJ956" s="108"/>
      <c r="AK956" s="108"/>
      <c r="AL956" s="108"/>
      <c r="AM956" s="108"/>
      <c r="AN956" s="108"/>
      <c r="AO956" s="108"/>
      <c r="AP956" s="108"/>
      <c r="AQ956" s="108"/>
      <c r="AR956" s="108"/>
      <c r="AS956" s="108"/>
      <c r="AT956" s="108"/>
      <c r="AU956" s="108"/>
      <c r="AV956" s="108"/>
      <c r="AW956" s="108"/>
      <c r="AX956" s="108"/>
      <c r="AY956" s="108"/>
      <c r="AZ956" s="108"/>
      <c r="BA956" s="108"/>
      <c r="BB956" s="108"/>
      <c r="BC956" s="108"/>
      <c r="BD956" s="108"/>
      <c r="BE956" s="108"/>
      <c r="BF956" s="108"/>
      <c r="BG956" s="108"/>
      <c r="BH956" s="108"/>
      <c r="BI956" s="108"/>
      <c r="BJ956" s="108"/>
      <c r="BK956" s="109"/>
      <c r="BL956" s="108"/>
      <c r="BM956" s="108"/>
      <c r="BN956" s="108"/>
    </row>
    <row r="957" spans="1:66" ht="12" customHeight="1" x14ac:dyDescent="0.2">
      <c r="A957" s="179"/>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c r="AA957" s="108"/>
      <c r="AB957" s="108"/>
      <c r="AC957" s="108"/>
      <c r="AD957" s="108"/>
      <c r="AE957" s="108"/>
      <c r="AF957" s="108"/>
      <c r="AG957" s="108"/>
      <c r="AH957" s="108"/>
      <c r="AI957" s="108"/>
      <c r="AJ957" s="108"/>
      <c r="AK957" s="108"/>
      <c r="AL957" s="108"/>
      <c r="AM957" s="108"/>
      <c r="AN957" s="108"/>
      <c r="AO957" s="108"/>
      <c r="AP957" s="108"/>
      <c r="AQ957" s="108"/>
      <c r="AR957" s="108"/>
      <c r="AS957" s="108"/>
      <c r="AT957" s="108"/>
      <c r="AU957" s="108"/>
      <c r="AV957" s="108"/>
      <c r="AW957" s="108"/>
      <c r="AX957" s="108"/>
      <c r="AY957" s="108"/>
      <c r="AZ957" s="108"/>
      <c r="BA957" s="108"/>
      <c r="BB957" s="108"/>
      <c r="BC957" s="108"/>
      <c r="BD957" s="108"/>
      <c r="BE957" s="108"/>
      <c r="BF957" s="108"/>
      <c r="BG957" s="108"/>
      <c r="BH957" s="108"/>
      <c r="BI957" s="108"/>
      <c r="BJ957" s="108"/>
      <c r="BK957" s="109"/>
      <c r="BL957" s="108"/>
      <c r="BM957" s="108"/>
      <c r="BN957" s="108"/>
    </row>
    <row r="958" spans="1:66" ht="12" customHeight="1" x14ac:dyDescent="0.2">
      <c r="A958" s="179"/>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c r="AA958" s="108"/>
      <c r="AB958" s="108"/>
      <c r="AC958" s="108"/>
      <c r="AD958" s="108"/>
      <c r="AE958" s="108"/>
      <c r="AF958" s="108"/>
      <c r="AG958" s="108"/>
      <c r="AH958" s="108"/>
      <c r="AI958" s="108"/>
      <c r="AJ958" s="108"/>
      <c r="AK958" s="108"/>
      <c r="AL958" s="108"/>
      <c r="AM958" s="108"/>
      <c r="AN958" s="108"/>
      <c r="AO958" s="108"/>
      <c r="AP958" s="108"/>
      <c r="AQ958" s="108"/>
      <c r="AR958" s="108"/>
      <c r="AS958" s="108"/>
      <c r="AT958" s="108"/>
      <c r="AU958" s="108"/>
      <c r="AV958" s="108"/>
      <c r="AW958" s="108"/>
      <c r="AX958" s="108"/>
      <c r="AY958" s="108"/>
      <c r="AZ958" s="108"/>
      <c r="BA958" s="108"/>
      <c r="BB958" s="108"/>
      <c r="BC958" s="108"/>
      <c r="BD958" s="108"/>
      <c r="BE958" s="108"/>
      <c r="BF958" s="108"/>
      <c r="BG958" s="108"/>
      <c r="BH958" s="108"/>
      <c r="BI958" s="108"/>
      <c r="BJ958" s="108"/>
      <c r="BK958" s="109"/>
      <c r="BL958" s="108"/>
      <c r="BM958" s="108"/>
      <c r="BN958" s="108"/>
    </row>
    <row r="959" spans="1:66" ht="12" customHeight="1" x14ac:dyDescent="0.2">
      <c r="A959" s="179"/>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c r="AA959" s="108"/>
      <c r="AB959" s="108"/>
      <c r="AC959" s="108"/>
      <c r="AD959" s="108"/>
      <c r="AE959" s="108"/>
      <c r="AF959" s="108"/>
      <c r="AG959" s="108"/>
      <c r="AH959" s="108"/>
      <c r="AI959" s="108"/>
      <c r="AJ959" s="108"/>
      <c r="AK959" s="108"/>
      <c r="AL959" s="108"/>
      <c r="AM959" s="108"/>
      <c r="AN959" s="108"/>
      <c r="AO959" s="108"/>
      <c r="AP959" s="108"/>
      <c r="AQ959" s="108"/>
      <c r="AR959" s="108"/>
      <c r="AS959" s="108"/>
      <c r="AT959" s="108"/>
      <c r="AU959" s="108"/>
      <c r="AV959" s="108"/>
      <c r="AW959" s="108"/>
      <c r="AX959" s="108"/>
      <c r="AY959" s="108"/>
      <c r="AZ959" s="108"/>
      <c r="BA959" s="108"/>
      <c r="BB959" s="108"/>
      <c r="BC959" s="108"/>
      <c r="BD959" s="108"/>
      <c r="BE959" s="108"/>
      <c r="BF959" s="108"/>
      <c r="BG959" s="108"/>
      <c r="BH959" s="108"/>
      <c r="BI959" s="108"/>
      <c r="BJ959" s="108"/>
      <c r="BK959" s="109"/>
      <c r="BL959" s="108"/>
      <c r="BM959" s="108"/>
      <c r="BN959" s="108"/>
    </row>
    <row r="960" spans="1:66" ht="12" customHeight="1" x14ac:dyDescent="0.2">
      <c r="A960" s="179"/>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c r="AA960" s="108"/>
      <c r="AB960" s="108"/>
      <c r="AC960" s="108"/>
      <c r="AD960" s="108"/>
      <c r="AE960" s="108"/>
      <c r="AF960" s="108"/>
      <c r="AG960" s="108"/>
      <c r="AH960" s="108"/>
      <c r="AI960" s="108"/>
      <c r="AJ960" s="108"/>
      <c r="AK960" s="108"/>
      <c r="AL960" s="108"/>
      <c r="AM960" s="108"/>
      <c r="AN960" s="108"/>
      <c r="AO960" s="108"/>
      <c r="AP960" s="108"/>
      <c r="AQ960" s="108"/>
      <c r="AR960" s="108"/>
      <c r="AS960" s="108"/>
      <c r="AT960" s="108"/>
      <c r="AU960" s="108"/>
      <c r="AV960" s="108"/>
      <c r="AW960" s="108"/>
      <c r="AX960" s="108"/>
      <c r="AY960" s="108"/>
      <c r="AZ960" s="108"/>
      <c r="BA960" s="108"/>
      <c r="BB960" s="108"/>
      <c r="BC960" s="108"/>
      <c r="BD960" s="108"/>
      <c r="BE960" s="108"/>
      <c r="BF960" s="108"/>
      <c r="BG960" s="108"/>
      <c r="BH960" s="108"/>
      <c r="BI960" s="108"/>
      <c r="BJ960" s="108"/>
      <c r="BK960" s="109"/>
      <c r="BL960" s="108"/>
      <c r="BM960" s="108"/>
      <c r="BN960" s="108"/>
    </row>
    <row r="961" spans="1:66" ht="12" customHeight="1" x14ac:dyDescent="0.2">
      <c r="A961" s="179"/>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c r="AA961" s="108"/>
      <c r="AB961" s="108"/>
      <c r="AC961" s="108"/>
      <c r="AD961" s="108"/>
      <c r="AE961" s="108"/>
      <c r="AF961" s="108"/>
      <c r="AG961" s="108"/>
      <c r="AH961" s="108"/>
      <c r="AI961" s="108"/>
      <c r="AJ961" s="108"/>
      <c r="AK961" s="108"/>
      <c r="AL961" s="108"/>
      <c r="AM961" s="108"/>
      <c r="AN961" s="108"/>
      <c r="AO961" s="108"/>
      <c r="AP961" s="108"/>
      <c r="AQ961" s="108"/>
      <c r="AR961" s="108"/>
      <c r="AS961" s="108"/>
      <c r="AT961" s="108"/>
      <c r="AU961" s="108"/>
      <c r="AV961" s="108"/>
      <c r="AW961" s="108"/>
      <c r="AX961" s="108"/>
      <c r="AY961" s="108"/>
      <c r="AZ961" s="108"/>
      <c r="BA961" s="108"/>
      <c r="BB961" s="108"/>
      <c r="BC961" s="108"/>
      <c r="BD961" s="108"/>
      <c r="BE961" s="108"/>
      <c r="BF961" s="108"/>
      <c r="BG961" s="108"/>
      <c r="BH961" s="108"/>
      <c r="BI961" s="108"/>
      <c r="BJ961" s="108"/>
      <c r="BK961" s="109"/>
      <c r="BL961" s="108"/>
      <c r="BM961" s="108"/>
      <c r="BN961" s="108"/>
    </row>
    <row r="962" spans="1:66" ht="12" customHeight="1" x14ac:dyDescent="0.2">
      <c r="A962" s="179"/>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c r="AA962" s="108"/>
      <c r="AB962" s="108"/>
      <c r="AC962" s="108"/>
      <c r="AD962" s="108"/>
      <c r="AE962" s="108"/>
      <c r="AF962" s="108"/>
      <c r="AG962" s="108"/>
      <c r="AH962" s="108"/>
      <c r="AI962" s="108"/>
      <c r="AJ962" s="108"/>
      <c r="AK962" s="108"/>
      <c r="AL962" s="108"/>
      <c r="AM962" s="108"/>
      <c r="AN962" s="108"/>
      <c r="AO962" s="108"/>
      <c r="AP962" s="108"/>
      <c r="AQ962" s="108"/>
      <c r="AR962" s="108"/>
      <c r="AS962" s="108"/>
      <c r="AT962" s="108"/>
      <c r="AU962" s="108"/>
      <c r="AV962" s="108"/>
      <c r="AW962" s="108"/>
      <c r="AX962" s="108"/>
      <c r="AY962" s="108"/>
      <c r="AZ962" s="108"/>
      <c r="BA962" s="108"/>
      <c r="BB962" s="108"/>
      <c r="BC962" s="108"/>
      <c r="BD962" s="108"/>
      <c r="BE962" s="108"/>
      <c r="BF962" s="108"/>
      <c r="BG962" s="108"/>
      <c r="BH962" s="108"/>
      <c r="BI962" s="108"/>
      <c r="BJ962" s="108"/>
      <c r="BK962" s="109"/>
      <c r="BL962" s="108"/>
      <c r="BM962" s="108"/>
      <c r="BN962" s="108"/>
    </row>
    <row r="963" spans="1:66" ht="12" customHeight="1" x14ac:dyDescent="0.2">
      <c r="A963" s="179"/>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c r="AA963" s="108"/>
      <c r="AB963" s="108"/>
      <c r="AC963" s="108"/>
      <c r="AD963" s="108"/>
      <c r="AE963" s="108"/>
      <c r="AF963" s="108"/>
      <c r="AG963" s="108"/>
      <c r="AH963" s="108"/>
      <c r="AI963" s="108"/>
      <c r="AJ963" s="108"/>
      <c r="AK963" s="108"/>
      <c r="AL963" s="108"/>
      <c r="AM963" s="108"/>
      <c r="AN963" s="108"/>
      <c r="AO963" s="108"/>
      <c r="AP963" s="108"/>
      <c r="AQ963" s="108"/>
      <c r="AR963" s="108"/>
      <c r="AS963" s="108"/>
      <c r="AT963" s="108"/>
      <c r="AU963" s="108"/>
      <c r="AV963" s="108"/>
      <c r="AW963" s="108"/>
      <c r="AX963" s="108"/>
      <c r="AY963" s="108"/>
      <c r="AZ963" s="108"/>
      <c r="BA963" s="108"/>
      <c r="BB963" s="108"/>
      <c r="BC963" s="108"/>
      <c r="BD963" s="108"/>
      <c r="BE963" s="108"/>
      <c r="BF963" s="108"/>
      <c r="BG963" s="108"/>
      <c r="BH963" s="108"/>
      <c r="BI963" s="108"/>
      <c r="BJ963" s="108"/>
      <c r="BK963" s="109"/>
      <c r="BL963" s="108"/>
      <c r="BM963" s="108"/>
      <c r="BN963" s="108"/>
    </row>
    <row r="964" spans="1:66" ht="12" customHeight="1" x14ac:dyDescent="0.2">
      <c r="A964" s="179"/>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c r="AA964" s="108"/>
      <c r="AB964" s="108"/>
      <c r="AC964" s="108"/>
      <c r="AD964" s="108"/>
      <c r="AE964" s="108"/>
      <c r="AF964" s="108"/>
      <c r="AG964" s="108"/>
      <c r="AH964" s="108"/>
      <c r="AI964" s="108"/>
      <c r="AJ964" s="108"/>
      <c r="AK964" s="108"/>
      <c r="AL964" s="108"/>
      <c r="AM964" s="108"/>
      <c r="AN964" s="108"/>
      <c r="AO964" s="108"/>
      <c r="AP964" s="108"/>
      <c r="AQ964" s="108"/>
      <c r="AR964" s="108"/>
      <c r="AS964" s="108"/>
      <c r="AT964" s="108"/>
      <c r="AU964" s="108"/>
      <c r="AV964" s="108"/>
      <c r="AW964" s="108"/>
      <c r="AX964" s="108"/>
      <c r="AY964" s="108"/>
      <c r="AZ964" s="108"/>
      <c r="BA964" s="108"/>
      <c r="BB964" s="108"/>
      <c r="BC964" s="108"/>
      <c r="BD964" s="108"/>
      <c r="BE964" s="108"/>
      <c r="BF964" s="108"/>
      <c r="BG964" s="108"/>
      <c r="BH964" s="108"/>
      <c r="BI964" s="108"/>
      <c r="BJ964" s="108"/>
      <c r="BK964" s="109"/>
      <c r="BL964" s="108"/>
      <c r="BM964" s="108"/>
      <c r="BN964" s="108"/>
    </row>
    <row r="965" spans="1:66" ht="12" customHeight="1" x14ac:dyDescent="0.2">
      <c r="A965" s="179"/>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c r="AA965" s="108"/>
      <c r="AB965" s="108"/>
      <c r="AC965" s="108"/>
      <c r="AD965" s="108"/>
      <c r="AE965" s="108"/>
      <c r="AF965" s="108"/>
      <c r="AG965" s="108"/>
      <c r="AH965" s="108"/>
      <c r="AI965" s="108"/>
      <c r="AJ965" s="108"/>
      <c r="AK965" s="108"/>
      <c r="AL965" s="108"/>
      <c r="AM965" s="108"/>
      <c r="AN965" s="108"/>
      <c r="AO965" s="108"/>
      <c r="AP965" s="108"/>
      <c r="AQ965" s="108"/>
      <c r="AR965" s="108"/>
      <c r="AS965" s="108"/>
      <c r="AT965" s="108"/>
      <c r="AU965" s="108"/>
      <c r="AV965" s="108"/>
      <c r="AW965" s="108"/>
      <c r="AX965" s="108"/>
      <c r="AY965" s="108"/>
      <c r="AZ965" s="108"/>
      <c r="BA965" s="108"/>
      <c r="BB965" s="108"/>
      <c r="BC965" s="108"/>
      <c r="BD965" s="108"/>
      <c r="BE965" s="108"/>
      <c r="BF965" s="108"/>
      <c r="BG965" s="108"/>
      <c r="BH965" s="108"/>
      <c r="BI965" s="108"/>
      <c r="BJ965" s="108"/>
      <c r="BK965" s="109"/>
      <c r="BL965" s="108"/>
      <c r="BM965" s="108"/>
      <c r="BN965" s="108"/>
    </row>
    <row r="966" spans="1:66" ht="12" customHeight="1" x14ac:dyDescent="0.2">
      <c r="A966" s="179"/>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c r="AA966" s="108"/>
      <c r="AB966" s="108"/>
      <c r="AC966" s="108"/>
      <c r="AD966" s="108"/>
      <c r="AE966" s="108"/>
      <c r="AF966" s="108"/>
      <c r="AG966" s="108"/>
      <c r="AH966" s="108"/>
      <c r="AI966" s="108"/>
      <c r="AJ966" s="108"/>
      <c r="AK966" s="108"/>
      <c r="AL966" s="108"/>
      <c r="AM966" s="108"/>
      <c r="AN966" s="108"/>
      <c r="AO966" s="108"/>
      <c r="AP966" s="108"/>
      <c r="AQ966" s="108"/>
      <c r="AR966" s="108"/>
      <c r="AS966" s="108"/>
      <c r="AT966" s="108"/>
      <c r="AU966" s="108"/>
      <c r="AV966" s="108"/>
      <c r="AW966" s="108"/>
      <c r="AX966" s="108"/>
      <c r="AY966" s="108"/>
      <c r="AZ966" s="108"/>
      <c r="BA966" s="108"/>
      <c r="BB966" s="108"/>
      <c r="BC966" s="108"/>
      <c r="BD966" s="108"/>
      <c r="BE966" s="108"/>
      <c r="BF966" s="108"/>
      <c r="BG966" s="108"/>
      <c r="BH966" s="108"/>
      <c r="BI966" s="108"/>
      <c r="BJ966" s="108"/>
      <c r="BK966" s="109"/>
      <c r="BL966" s="108"/>
      <c r="BM966" s="108"/>
      <c r="BN966" s="108"/>
    </row>
    <row r="967" spans="1:66" ht="12" customHeight="1" x14ac:dyDescent="0.2">
      <c r="A967" s="179"/>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c r="AA967" s="108"/>
      <c r="AB967" s="108"/>
      <c r="AC967" s="108"/>
      <c r="AD967" s="108"/>
      <c r="AE967" s="108"/>
      <c r="AF967" s="108"/>
      <c r="AG967" s="108"/>
      <c r="AH967" s="108"/>
      <c r="AI967" s="108"/>
      <c r="AJ967" s="108"/>
      <c r="AK967" s="108"/>
      <c r="AL967" s="108"/>
      <c r="AM967" s="108"/>
      <c r="AN967" s="108"/>
      <c r="AO967" s="108"/>
      <c r="AP967" s="108"/>
      <c r="AQ967" s="108"/>
      <c r="AR967" s="108"/>
      <c r="AS967" s="108"/>
      <c r="AT967" s="108"/>
      <c r="AU967" s="108"/>
      <c r="AV967" s="108"/>
      <c r="AW967" s="108"/>
      <c r="AX967" s="108"/>
      <c r="AY967" s="108"/>
      <c r="AZ967" s="108"/>
      <c r="BA967" s="108"/>
      <c r="BB967" s="108"/>
      <c r="BC967" s="108"/>
      <c r="BD967" s="108"/>
      <c r="BE967" s="108"/>
      <c r="BF967" s="108"/>
      <c r="BG967" s="108"/>
      <c r="BH967" s="108"/>
      <c r="BI967" s="108"/>
      <c r="BJ967" s="108"/>
      <c r="BK967" s="109"/>
      <c r="BL967" s="108"/>
      <c r="BM967" s="108"/>
      <c r="BN967" s="108"/>
    </row>
    <row r="968" spans="1:66" ht="12" customHeight="1" x14ac:dyDescent="0.2">
      <c r="A968" s="179"/>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c r="AA968" s="108"/>
      <c r="AB968" s="108"/>
      <c r="AC968" s="108"/>
      <c r="AD968" s="108"/>
      <c r="AE968" s="108"/>
      <c r="AF968" s="108"/>
      <c r="AG968" s="108"/>
      <c r="AH968" s="108"/>
      <c r="AI968" s="108"/>
      <c r="AJ968" s="108"/>
      <c r="AK968" s="108"/>
      <c r="AL968" s="108"/>
      <c r="AM968" s="108"/>
      <c r="AN968" s="108"/>
      <c r="AO968" s="108"/>
      <c r="AP968" s="108"/>
      <c r="AQ968" s="108"/>
      <c r="AR968" s="108"/>
      <c r="AS968" s="108"/>
      <c r="AT968" s="108"/>
      <c r="AU968" s="108"/>
      <c r="AV968" s="108"/>
      <c r="AW968" s="108"/>
      <c r="AX968" s="108"/>
      <c r="AY968" s="108"/>
      <c r="AZ968" s="108"/>
      <c r="BA968" s="108"/>
      <c r="BB968" s="108"/>
      <c r="BC968" s="108"/>
      <c r="BD968" s="108"/>
      <c r="BE968" s="108"/>
      <c r="BF968" s="108"/>
      <c r="BG968" s="108"/>
      <c r="BH968" s="108"/>
      <c r="BI968" s="108"/>
      <c r="BJ968" s="108"/>
      <c r="BK968" s="109"/>
      <c r="BL968" s="108"/>
      <c r="BM968" s="108"/>
      <c r="BN968" s="108"/>
    </row>
    <row r="969" spans="1:66" ht="12" customHeight="1" x14ac:dyDescent="0.2">
      <c r="A969" s="179"/>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c r="AA969" s="108"/>
      <c r="AB969" s="108"/>
      <c r="AC969" s="108"/>
      <c r="AD969" s="108"/>
      <c r="AE969" s="108"/>
      <c r="AF969" s="108"/>
      <c r="AG969" s="108"/>
      <c r="AH969" s="108"/>
      <c r="AI969" s="108"/>
      <c r="AJ969" s="108"/>
      <c r="AK969" s="108"/>
      <c r="AL969" s="108"/>
      <c r="AM969" s="108"/>
      <c r="AN969" s="108"/>
      <c r="AO969" s="108"/>
      <c r="AP969" s="108"/>
      <c r="AQ969" s="108"/>
      <c r="AR969" s="108"/>
      <c r="AS969" s="108"/>
      <c r="AT969" s="108"/>
      <c r="AU969" s="108"/>
      <c r="AV969" s="108"/>
      <c r="AW969" s="108"/>
      <c r="AX969" s="108"/>
      <c r="AY969" s="108"/>
      <c r="AZ969" s="108"/>
      <c r="BA969" s="108"/>
      <c r="BB969" s="108"/>
      <c r="BC969" s="108"/>
      <c r="BD969" s="108"/>
      <c r="BE969" s="108"/>
      <c r="BF969" s="108"/>
      <c r="BG969" s="108"/>
      <c r="BH969" s="108"/>
      <c r="BI969" s="108"/>
      <c r="BJ969" s="108"/>
      <c r="BK969" s="109"/>
      <c r="BL969" s="108"/>
      <c r="BM969" s="108"/>
      <c r="BN969" s="108"/>
    </row>
    <row r="970" spans="1:66" ht="12" customHeight="1" x14ac:dyDescent="0.2">
      <c r="A970" s="179"/>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c r="AA970" s="108"/>
      <c r="AB970" s="108"/>
      <c r="AC970" s="108"/>
      <c r="AD970" s="108"/>
      <c r="AE970" s="108"/>
      <c r="AF970" s="108"/>
      <c r="AG970" s="108"/>
      <c r="AH970" s="108"/>
      <c r="AI970" s="108"/>
      <c r="AJ970" s="108"/>
      <c r="AK970" s="108"/>
      <c r="AL970" s="108"/>
      <c r="AM970" s="108"/>
      <c r="AN970" s="108"/>
      <c r="AO970" s="108"/>
      <c r="AP970" s="108"/>
      <c r="AQ970" s="108"/>
      <c r="AR970" s="108"/>
      <c r="AS970" s="108"/>
      <c r="AT970" s="108"/>
      <c r="AU970" s="108"/>
      <c r="AV970" s="108"/>
      <c r="AW970" s="108"/>
      <c r="AX970" s="108"/>
      <c r="AY970" s="108"/>
      <c r="AZ970" s="108"/>
      <c r="BA970" s="108"/>
      <c r="BB970" s="108"/>
      <c r="BC970" s="108"/>
      <c r="BD970" s="108"/>
      <c r="BE970" s="108"/>
      <c r="BF970" s="108"/>
      <c r="BG970" s="108"/>
      <c r="BH970" s="108"/>
      <c r="BI970" s="108"/>
      <c r="BJ970" s="108"/>
      <c r="BK970" s="109"/>
      <c r="BL970" s="108"/>
      <c r="BM970" s="108"/>
      <c r="BN970" s="108"/>
    </row>
    <row r="971" spans="1:66" ht="12" customHeight="1" x14ac:dyDescent="0.2">
      <c r="A971" s="179"/>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c r="AA971" s="108"/>
      <c r="AB971" s="108"/>
      <c r="AC971" s="108"/>
      <c r="AD971" s="108"/>
      <c r="AE971" s="108"/>
      <c r="AF971" s="108"/>
      <c r="AG971" s="108"/>
      <c r="AH971" s="108"/>
      <c r="AI971" s="108"/>
      <c r="AJ971" s="108"/>
      <c r="AK971" s="108"/>
      <c r="AL971" s="108"/>
      <c r="AM971" s="108"/>
      <c r="AN971" s="108"/>
      <c r="AO971" s="108"/>
      <c r="AP971" s="108"/>
      <c r="AQ971" s="108"/>
      <c r="AR971" s="108"/>
      <c r="AS971" s="108"/>
      <c r="AT971" s="108"/>
      <c r="AU971" s="108"/>
      <c r="AV971" s="108"/>
      <c r="AW971" s="108"/>
      <c r="AX971" s="108"/>
      <c r="AY971" s="108"/>
      <c r="AZ971" s="108"/>
      <c r="BA971" s="108"/>
      <c r="BB971" s="108"/>
      <c r="BC971" s="108"/>
      <c r="BD971" s="108"/>
      <c r="BE971" s="108"/>
      <c r="BF971" s="108"/>
      <c r="BG971" s="108"/>
      <c r="BH971" s="108"/>
      <c r="BI971" s="108"/>
      <c r="BJ971" s="108"/>
      <c r="BK971" s="109"/>
      <c r="BL971" s="108"/>
      <c r="BM971" s="108"/>
      <c r="BN971" s="108"/>
    </row>
    <row r="972" spans="1:66" ht="12" customHeight="1" x14ac:dyDescent="0.2">
      <c r="A972" s="179"/>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c r="AA972" s="108"/>
      <c r="AB972" s="108"/>
      <c r="AC972" s="108"/>
      <c r="AD972" s="108"/>
      <c r="AE972" s="108"/>
      <c r="AF972" s="108"/>
      <c r="AG972" s="108"/>
      <c r="AH972" s="108"/>
      <c r="AI972" s="108"/>
      <c r="AJ972" s="108"/>
      <c r="AK972" s="108"/>
      <c r="AL972" s="108"/>
      <c r="AM972" s="108"/>
      <c r="AN972" s="108"/>
      <c r="AO972" s="108"/>
      <c r="AP972" s="108"/>
      <c r="AQ972" s="108"/>
      <c r="AR972" s="108"/>
      <c r="AS972" s="108"/>
      <c r="AT972" s="108"/>
      <c r="AU972" s="108"/>
      <c r="AV972" s="108"/>
      <c r="AW972" s="108"/>
      <c r="AX972" s="108"/>
      <c r="AY972" s="108"/>
      <c r="AZ972" s="108"/>
      <c r="BA972" s="108"/>
      <c r="BB972" s="108"/>
      <c r="BC972" s="108"/>
      <c r="BD972" s="108"/>
      <c r="BE972" s="108"/>
      <c r="BF972" s="108"/>
      <c r="BG972" s="108"/>
      <c r="BH972" s="108"/>
      <c r="BI972" s="108"/>
      <c r="BJ972" s="108"/>
      <c r="BK972" s="109"/>
      <c r="BL972" s="108"/>
      <c r="BM972" s="108"/>
      <c r="BN972" s="108"/>
    </row>
    <row r="973" spans="1:66" ht="12" customHeight="1" x14ac:dyDescent="0.2">
      <c r="A973" s="179"/>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c r="AA973" s="108"/>
      <c r="AB973" s="108"/>
      <c r="AC973" s="108"/>
      <c r="AD973" s="108"/>
      <c r="AE973" s="108"/>
      <c r="AF973" s="108"/>
      <c r="AG973" s="108"/>
      <c r="AH973" s="108"/>
      <c r="AI973" s="108"/>
      <c r="AJ973" s="108"/>
      <c r="AK973" s="108"/>
      <c r="AL973" s="108"/>
      <c r="AM973" s="108"/>
      <c r="AN973" s="108"/>
      <c r="AO973" s="108"/>
      <c r="AP973" s="108"/>
      <c r="AQ973" s="108"/>
      <c r="AR973" s="108"/>
      <c r="AS973" s="108"/>
      <c r="AT973" s="108"/>
      <c r="AU973" s="108"/>
      <c r="AV973" s="108"/>
      <c r="AW973" s="108"/>
      <c r="AX973" s="108"/>
      <c r="AY973" s="108"/>
      <c r="AZ973" s="108"/>
      <c r="BA973" s="108"/>
      <c r="BB973" s="108"/>
      <c r="BC973" s="108"/>
      <c r="BD973" s="108"/>
      <c r="BE973" s="108"/>
      <c r="BF973" s="108"/>
      <c r="BG973" s="108"/>
      <c r="BH973" s="108"/>
      <c r="BI973" s="108"/>
      <c r="BJ973" s="108"/>
      <c r="BK973" s="109"/>
      <c r="BL973" s="108"/>
      <c r="BM973" s="108"/>
      <c r="BN973" s="108"/>
    </row>
    <row r="974" spans="1:66" ht="12" customHeight="1" x14ac:dyDescent="0.2">
      <c r="A974" s="179"/>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c r="AA974" s="108"/>
      <c r="AB974" s="108"/>
      <c r="AC974" s="108"/>
      <c r="AD974" s="108"/>
      <c r="AE974" s="108"/>
      <c r="AF974" s="108"/>
      <c r="AG974" s="108"/>
      <c r="AH974" s="108"/>
      <c r="AI974" s="108"/>
      <c r="AJ974" s="108"/>
      <c r="AK974" s="108"/>
      <c r="AL974" s="108"/>
      <c r="AM974" s="108"/>
      <c r="AN974" s="108"/>
      <c r="AO974" s="108"/>
      <c r="AP974" s="108"/>
      <c r="AQ974" s="108"/>
      <c r="AR974" s="108"/>
      <c r="AS974" s="108"/>
      <c r="AT974" s="108"/>
      <c r="AU974" s="108"/>
      <c r="AV974" s="108"/>
      <c r="AW974" s="108"/>
      <c r="AX974" s="108"/>
      <c r="AY974" s="108"/>
      <c r="AZ974" s="108"/>
      <c r="BA974" s="108"/>
      <c r="BB974" s="108"/>
      <c r="BC974" s="108"/>
      <c r="BD974" s="108"/>
      <c r="BE974" s="108"/>
      <c r="BF974" s="108"/>
      <c r="BG974" s="108"/>
      <c r="BH974" s="108"/>
      <c r="BI974" s="108"/>
      <c r="BJ974" s="108"/>
      <c r="BK974" s="109"/>
      <c r="BL974" s="108"/>
      <c r="BM974" s="108"/>
      <c r="BN974" s="108"/>
    </row>
    <row r="975" spans="1:66" ht="12" customHeight="1" x14ac:dyDescent="0.2">
      <c r="A975" s="179"/>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c r="AA975" s="108"/>
      <c r="AB975" s="108"/>
      <c r="AC975" s="108"/>
      <c r="AD975" s="108"/>
      <c r="AE975" s="108"/>
      <c r="AF975" s="108"/>
      <c r="AG975" s="108"/>
      <c r="AH975" s="108"/>
      <c r="AI975" s="108"/>
      <c r="AJ975" s="108"/>
      <c r="AK975" s="108"/>
      <c r="AL975" s="108"/>
      <c r="AM975" s="108"/>
      <c r="AN975" s="108"/>
      <c r="AO975" s="108"/>
      <c r="AP975" s="108"/>
      <c r="AQ975" s="108"/>
      <c r="AR975" s="108"/>
      <c r="AS975" s="108"/>
      <c r="AT975" s="108"/>
      <c r="AU975" s="108"/>
      <c r="AV975" s="108"/>
      <c r="AW975" s="108"/>
      <c r="AX975" s="108"/>
      <c r="AY975" s="108"/>
      <c r="AZ975" s="108"/>
      <c r="BA975" s="108"/>
      <c r="BB975" s="108"/>
      <c r="BC975" s="108"/>
      <c r="BD975" s="108"/>
      <c r="BE975" s="108"/>
      <c r="BF975" s="108"/>
      <c r="BG975" s="108"/>
      <c r="BH975" s="108"/>
      <c r="BI975" s="108"/>
      <c r="BJ975" s="108"/>
      <c r="BK975" s="109"/>
      <c r="BL975" s="108"/>
      <c r="BM975" s="108"/>
      <c r="BN975" s="108"/>
    </row>
    <row r="976" spans="1:66" ht="12" customHeight="1" x14ac:dyDescent="0.2">
      <c r="A976" s="179"/>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c r="AA976" s="108"/>
      <c r="AB976" s="108"/>
      <c r="AC976" s="108"/>
      <c r="AD976" s="108"/>
      <c r="AE976" s="108"/>
      <c r="AF976" s="108"/>
      <c r="AG976" s="108"/>
      <c r="AH976" s="108"/>
      <c r="AI976" s="108"/>
      <c r="AJ976" s="108"/>
      <c r="AK976" s="108"/>
      <c r="AL976" s="108"/>
      <c r="AM976" s="108"/>
      <c r="AN976" s="108"/>
      <c r="AO976" s="108"/>
      <c r="AP976" s="108"/>
      <c r="AQ976" s="108"/>
      <c r="AR976" s="108"/>
      <c r="AS976" s="108"/>
      <c r="AT976" s="108"/>
      <c r="AU976" s="108"/>
      <c r="AV976" s="108"/>
      <c r="AW976" s="108"/>
      <c r="AX976" s="108"/>
      <c r="AY976" s="108"/>
      <c r="AZ976" s="108"/>
      <c r="BA976" s="108"/>
      <c r="BB976" s="108"/>
      <c r="BC976" s="108"/>
      <c r="BD976" s="108"/>
      <c r="BE976" s="108"/>
      <c r="BF976" s="108"/>
      <c r="BG976" s="108"/>
      <c r="BH976" s="108"/>
      <c r="BI976" s="108"/>
      <c r="BJ976" s="108"/>
      <c r="BK976" s="109"/>
      <c r="BL976" s="108"/>
      <c r="BM976" s="108"/>
      <c r="BN976" s="108"/>
    </row>
    <row r="977" spans="1:66" ht="12" customHeight="1" x14ac:dyDescent="0.2">
      <c r="A977" s="179"/>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c r="AA977" s="108"/>
      <c r="AB977" s="108"/>
      <c r="AC977" s="108"/>
      <c r="AD977" s="108"/>
      <c r="AE977" s="108"/>
      <c r="AF977" s="108"/>
      <c r="AG977" s="108"/>
      <c r="AH977" s="108"/>
      <c r="AI977" s="108"/>
      <c r="AJ977" s="108"/>
      <c r="AK977" s="108"/>
      <c r="AL977" s="108"/>
      <c r="AM977" s="108"/>
      <c r="AN977" s="108"/>
      <c r="AO977" s="108"/>
      <c r="AP977" s="108"/>
      <c r="AQ977" s="108"/>
      <c r="AR977" s="108"/>
      <c r="AS977" s="108"/>
      <c r="AT977" s="108"/>
      <c r="AU977" s="108"/>
      <c r="AV977" s="108"/>
      <c r="AW977" s="108"/>
      <c r="AX977" s="108"/>
      <c r="AY977" s="108"/>
      <c r="AZ977" s="108"/>
      <c r="BA977" s="108"/>
      <c r="BB977" s="108"/>
      <c r="BC977" s="108"/>
      <c r="BD977" s="108"/>
      <c r="BE977" s="108"/>
      <c r="BF977" s="108"/>
      <c r="BG977" s="108"/>
      <c r="BH977" s="108"/>
      <c r="BI977" s="108"/>
      <c r="BJ977" s="108"/>
      <c r="BK977" s="109"/>
      <c r="BL977" s="108"/>
      <c r="BM977" s="108"/>
      <c r="BN977" s="108"/>
    </row>
    <row r="978" spans="1:66" ht="12" customHeight="1" x14ac:dyDescent="0.2">
      <c r="A978" s="179"/>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c r="AA978" s="108"/>
      <c r="AB978" s="108"/>
      <c r="AC978" s="108"/>
      <c r="AD978" s="108"/>
      <c r="AE978" s="108"/>
      <c r="AF978" s="108"/>
      <c r="AG978" s="108"/>
      <c r="AH978" s="108"/>
      <c r="AI978" s="108"/>
      <c r="AJ978" s="108"/>
      <c r="AK978" s="108"/>
      <c r="AL978" s="108"/>
      <c r="AM978" s="108"/>
      <c r="AN978" s="108"/>
      <c r="AO978" s="108"/>
      <c r="AP978" s="108"/>
      <c r="AQ978" s="108"/>
      <c r="AR978" s="108"/>
      <c r="AS978" s="108"/>
      <c r="AT978" s="108"/>
      <c r="AU978" s="108"/>
      <c r="AV978" s="108"/>
      <c r="AW978" s="108"/>
      <c r="AX978" s="108"/>
      <c r="AY978" s="108"/>
      <c r="AZ978" s="108"/>
      <c r="BA978" s="108"/>
      <c r="BB978" s="108"/>
      <c r="BC978" s="108"/>
      <c r="BD978" s="108"/>
      <c r="BE978" s="108"/>
      <c r="BF978" s="108"/>
      <c r="BG978" s="108"/>
      <c r="BH978" s="108"/>
      <c r="BI978" s="108"/>
      <c r="BJ978" s="108"/>
      <c r="BK978" s="109"/>
      <c r="BL978" s="108"/>
      <c r="BM978" s="108"/>
      <c r="BN978" s="108"/>
    </row>
    <row r="979" spans="1:66" ht="12" customHeight="1" x14ac:dyDescent="0.2">
      <c r="A979" s="179"/>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c r="AA979" s="108"/>
      <c r="AB979" s="108"/>
      <c r="AC979" s="108"/>
      <c r="AD979" s="108"/>
      <c r="AE979" s="108"/>
      <c r="AF979" s="108"/>
      <c r="AG979" s="108"/>
      <c r="AH979" s="108"/>
      <c r="AI979" s="108"/>
      <c r="AJ979" s="108"/>
      <c r="AK979" s="108"/>
      <c r="AL979" s="108"/>
      <c r="AM979" s="108"/>
      <c r="AN979" s="108"/>
      <c r="AO979" s="108"/>
      <c r="AP979" s="108"/>
      <c r="AQ979" s="108"/>
      <c r="AR979" s="108"/>
      <c r="AS979" s="108"/>
      <c r="AT979" s="108"/>
      <c r="AU979" s="108"/>
      <c r="AV979" s="108"/>
      <c r="AW979" s="108"/>
      <c r="AX979" s="108"/>
      <c r="AY979" s="108"/>
      <c r="AZ979" s="108"/>
      <c r="BA979" s="108"/>
      <c r="BB979" s="108"/>
      <c r="BC979" s="108"/>
      <c r="BD979" s="108"/>
      <c r="BE979" s="108"/>
      <c r="BF979" s="108"/>
      <c r="BG979" s="108"/>
      <c r="BH979" s="108"/>
      <c r="BI979" s="108"/>
      <c r="BJ979" s="108"/>
      <c r="BK979" s="109"/>
      <c r="BL979" s="108"/>
      <c r="BM979" s="108"/>
      <c r="BN979" s="108"/>
    </row>
    <row r="980" spans="1:66" ht="12" customHeight="1" x14ac:dyDescent="0.2">
      <c r="A980" s="179"/>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c r="AA980" s="108"/>
      <c r="AB980" s="108"/>
      <c r="AC980" s="108"/>
      <c r="AD980" s="108"/>
      <c r="AE980" s="108"/>
      <c r="AF980" s="108"/>
      <c r="AG980" s="108"/>
      <c r="AH980" s="108"/>
      <c r="AI980" s="108"/>
      <c r="AJ980" s="108"/>
      <c r="AK980" s="108"/>
      <c r="AL980" s="108"/>
      <c r="AM980" s="108"/>
      <c r="AN980" s="108"/>
      <c r="AO980" s="108"/>
      <c r="AP980" s="108"/>
      <c r="AQ980" s="108"/>
      <c r="AR980" s="108"/>
      <c r="AS980" s="108"/>
      <c r="AT980" s="108"/>
      <c r="AU980" s="108"/>
      <c r="AV980" s="108"/>
      <c r="AW980" s="108"/>
      <c r="AX980" s="108"/>
      <c r="AY980" s="108"/>
      <c r="AZ980" s="108"/>
      <c r="BA980" s="108"/>
      <c r="BB980" s="108"/>
      <c r="BC980" s="108"/>
      <c r="BD980" s="108"/>
      <c r="BE980" s="108"/>
      <c r="BF980" s="108"/>
      <c r="BG980" s="108"/>
      <c r="BH980" s="108"/>
      <c r="BI980" s="108"/>
      <c r="BJ980" s="108"/>
      <c r="BK980" s="109"/>
      <c r="BL980" s="108"/>
      <c r="BM980" s="108"/>
      <c r="BN980" s="108"/>
    </row>
    <row r="981" spans="1:66" ht="12" customHeight="1" x14ac:dyDescent="0.2">
      <c r="A981" s="179"/>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c r="AA981" s="108"/>
      <c r="AB981" s="108"/>
      <c r="AC981" s="108"/>
      <c r="AD981" s="108"/>
      <c r="AE981" s="108"/>
      <c r="AF981" s="108"/>
      <c r="AG981" s="108"/>
      <c r="AH981" s="108"/>
      <c r="AI981" s="108"/>
      <c r="AJ981" s="108"/>
      <c r="AK981" s="108"/>
      <c r="AL981" s="108"/>
      <c r="AM981" s="108"/>
      <c r="AN981" s="108"/>
      <c r="AO981" s="108"/>
      <c r="AP981" s="108"/>
      <c r="AQ981" s="108"/>
      <c r="AR981" s="108"/>
      <c r="AS981" s="108"/>
      <c r="AT981" s="108"/>
      <c r="AU981" s="108"/>
      <c r="AV981" s="108"/>
      <c r="AW981" s="108"/>
      <c r="AX981" s="108"/>
      <c r="AY981" s="108"/>
      <c r="AZ981" s="108"/>
      <c r="BA981" s="108"/>
      <c r="BB981" s="108"/>
      <c r="BC981" s="108"/>
      <c r="BD981" s="108"/>
      <c r="BE981" s="108"/>
      <c r="BF981" s="108"/>
      <c r="BG981" s="108"/>
      <c r="BH981" s="108"/>
      <c r="BI981" s="108"/>
      <c r="BJ981" s="108"/>
      <c r="BK981" s="109"/>
      <c r="BL981" s="108"/>
      <c r="BM981" s="108"/>
      <c r="BN981" s="108"/>
    </row>
    <row r="982" spans="1:66" ht="12" customHeight="1" x14ac:dyDescent="0.2">
      <c r="A982" s="179"/>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c r="AA982" s="108"/>
      <c r="AB982" s="108"/>
      <c r="AC982" s="108"/>
      <c r="AD982" s="108"/>
      <c r="AE982" s="108"/>
      <c r="AF982" s="108"/>
      <c r="AG982" s="108"/>
      <c r="AH982" s="108"/>
      <c r="AI982" s="108"/>
      <c r="AJ982" s="108"/>
      <c r="AK982" s="108"/>
      <c r="AL982" s="108"/>
      <c r="AM982" s="108"/>
      <c r="AN982" s="108"/>
      <c r="AO982" s="108"/>
      <c r="AP982" s="108"/>
      <c r="AQ982" s="108"/>
      <c r="AR982" s="108"/>
      <c r="AS982" s="108"/>
      <c r="AT982" s="108"/>
      <c r="AU982" s="108"/>
      <c r="AV982" s="108"/>
      <c r="AW982" s="108"/>
      <c r="AX982" s="108"/>
      <c r="AY982" s="108"/>
      <c r="AZ982" s="108"/>
      <c r="BA982" s="108"/>
      <c r="BB982" s="108"/>
      <c r="BC982" s="108"/>
      <c r="BD982" s="108"/>
      <c r="BE982" s="108"/>
      <c r="BF982" s="108"/>
      <c r="BG982" s="108"/>
      <c r="BH982" s="108"/>
      <c r="BI982" s="108"/>
      <c r="BJ982" s="108"/>
      <c r="BK982" s="109"/>
      <c r="BL982" s="108"/>
      <c r="BM982" s="108"/>
      <c r="BN982" s="108"/>
    </row>
    <row r="983" spans="1:66" ht="12" customHeight="1" x14ac:dyDescent="0.2">
      <c r="A983" s="179"/>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c r="AA983" s="108"/>
      <c r="AB983" s="108"/>
      <c r="AC983" s="108"/>
      <c r="AD983" s="108"/>
      <c r="AE983" s="108"/>
      <c r="AF983" s="108"/>
      <c r="AG983" s="108"/>
      <c r="AH983" s="108"/>
      <c r="AI983" s="108"/>
      <c r="AJ983" s="108"/>
      <c r="AK983" s="108"/>
      <c r="AL983" s="108"/>
      <c r="AM983" s="108"/>
      <c r="AN983" s="108"/>
      <c r="AO983" s="108"/>
      <c r="AP983" s="108"/>
      <c r="AQ983" s="108"/>
      <c r="AR983" s="108"/>
      <c r="AS983" s="108"/>
      <c r="AT983" s="108"/>
      <c r="AU983" s="108"/>
      <c r="AV983" s="108"/>
      <c r="AW983" s="108"/>
      <c r="AX983" s="108"/>
      <c r="AY983" s="108"/>
      <c r="AZ983" s="108"/>
      <c r="BA983" s="108"/>
      <c r="BB983" s="108"/>
      <c r="BC983" s="108"/>
      <c r="BD983" s="108"/>
      <c r="BE983" s="108"/>
      <c r="BF983" s="108"/>
      <c r="BG983" s="108"/>
      <c r="BH983" s="108"/>
      <c r="BI983" s="108"/>
      <c r="BJ983" s="108"/>
      <c r="BK983" s="109"/>
      <c r="BL983" s="108"/>
      <c r="BM983" s="108"/>
      <c r="BN983" s="108"/>
    </row>
    <row r="984" spans="1:66" ht="12" customHeight="1" x14ac:dyDescent="0.2">
      <c r="A984" s="179"/>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c r="AA984" s="108"/>
      <c r="AB984" s="108"/>
      <c r="AC984" s="108"/>
      <c r="AD984" s="108"/>
      <c r="AE984" s="108"/>
      <c r="AF984" s="108"/>
      <c r="AG984" s="108"/>
      <c r="AH984" s="108"/>
      <c r="AI984" s="108"/>
      <c r="AJ984" s="108"/>
      <c r="AK984" s="108"/>
      <c r="AL984" s="108"/>
      <c r="AM984" s="108"/>
      <c r="AN984" s="108"/>
      <c r="AO984" s="108"/>
      <c r="AP984" s="108"/>
      <c r="AQ984" s="108"/>
      <c r="AR984" s="108"/>
      <c r="AS984" s="108"/>
      <c r="AT984" s="108"/>
      <c r="AU984" s="108"/>
      <c r="AV984" s="108"/>
      <c r="AW984" s="108"/>
      <c r="AX984" s="108"/>
      <c r="AY984" s="108"/>
      <c r="AZ984" s="108"/>
      <c r="BA984" s="108"/>
      <c r="BB984" s="108"/>
      <c r="BC984" s="108"/>
      <c r="BD984" s="108"/>
      <c r="BE984" s="108"/>
      <c r="BF984" s="108"/>
      <c r="BG984" s="108"/>
      <c r="BH984" s="108"/>
      <c r="BI984" s="108"/>
      <c r="BJ984" s="108"/>
      <c r="BK984" s="109"/>
      <c r="BL984" s="108"/>
      <c r="BM984" s="108"/>
      <c r="BN984" s="108"/>
    </row>
    <row r="985" spans="1:66" ht="12" customHeight="1" x14ac:dyDescent="0.2">
      <c r="A985" s="179"/>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c r="AA985" s="108"/>
      <c r="AB985" s="108"/>
      <c r="AC985" s="108"/>
      <c r="AD985" s="108"/>
      <c r="AE985" s="108"/>
      <c r="AF985" s="108"/>
      <c r="AG985" s="108"/>
      <c r="AH985" s="108"/>
      <c r="AI985" s="108"/>
      <c r="AJ985" s="108"/>
      <c r="AK985" s="108"/>
      <c r="AL985" s="108"/>
      <c r="AM985" s="108"/>
      <c r="AN985" s="108"/>
      <c r="AO985" s="108"/>
      <c r="AP985" s="108"/>
      <c r="AQ985" s="108"/>
      <c r="AR985" s="108"/>
      <c r="AS985" s="108"/>
      <c r="AT985" s="108"/>
      <c r="AU985" s="108"/>
      <c r="AV985" s="108"/>
      <c r="AW985" s="108"/>
      <c r="AX985" s="108"/>
      <c r="AY985" s="108"/>
      <c r="AZ985" s="108"/>
      <c r="BA985" s="108"/>
      <c r="BB985" s="108"/>
      <c r="BC985" s="108"/>
      <c r="BD985" s="108"/>
      <c r="BE985" s="108"/>
      <c r="BF985" s="108"/>
      <c r="BG985" s="108"/>
      <c r="BH985" s="108"/>
      <c r="BI985" s="108"/>
      <c r="BJ985" s="108"/>
      <c r="BK985" s="109"/>
      <c r="BL985" s="108"/>
      <c r="BM985" s="108"/>
      <c r="BN985" s="108"/>
    </row>
    <row r="986" spans="1:66" ht="12" customHeight="1" x14ac:dyDescent="0.2">
      <c r="A986" s="179"/>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c r="AA986" s="108"/>
      <c r="AB986" s="108"/>
      <c r="AC986" s="108"/>
      <c r="AD986" s="108"/>
      <c r="AE986" s="108"/>
      <c r="AF986" s="108"/>
      <c r="AG986" s="108"/>
      <c r="AH986" s="108"/>
      <c r="AI986" s="108"/>
      <c r="AJ986" s="108"/>
      <c r="AK986" s="108"/>
      <c r="AL986" s="108"/>
      <c r="AM986" s="108"/>
      <c r="AN986" s="108"/>
      <c r="AO986" s="108"/>
      <c r="AP986" s="108"/>
      <c r="AQ986" s="108"/>
      <c r="AR986" s="108"/>
      <c r="AS986" s="108"/>
      <c r="AT986" s="108"/>
      <c r="AU986" s="108"/>
      <c r="AV986" s="108"/>
      <c r="AW986" s="108"/>
      <c r="AX986" s="108"/>
      <c r="AY986" s="108"/>
      <c r="AZ986" s="108"/>
      <c r="BA986" s="108"/>
      <c r="BB986" s="108"/>
      <c r="BC986" s="108"/>
      <c r="BD986" s="108"/>
      <c r="BE986" s="108"/>
      <c r="BF986" s="108"/>
      <c r="BG986" s="108"/>
      <c r="BH986" s="108"/>
      <c r="BI986" s="108"/>
      <c r="BJ986" s="108"/>
      <c r="BK986" s="109"/>
      <c r="BL986" s="108"/>
      <c r="BM986" s="108"/>
      <c r="BN986" s="108"/>
    </row>
    <row r="987" spans="1:66" ht="12" customHeight="1" x14ac:dyDescent="0.2">
      <c r="A987" s="179"/>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c r="AA987" s="108"/>
      <c r="AB987" s="108"/>
      <c r="AC987" s="108"/>
      <c r="AD987" s="108"/>
      <c r="AE987" s="108"/>
      <c r="AF987" s="108"/>
      <c r="AG987" s="108"/>
      <c r="AH987" s="108"/>
      <c r="AI987" s="108"/>
      <c r="AJ987" s="108"/>
      <c r="AK987" s="108"/>
      <c r="AL987" s="108"/>
      <c r="AM987" s="108"/>
      <c r="AN987" s="108"/>
      <c r="AO987" s="108"/>
      <c r="AP987" s="108"/>
      <c r="AQ987" s="108"/>
      <c r="AR987" s="108"/>
      <c r="AS987" s="108"/>
      <c r="AT987" s="108"/>
      <c r="AU987" s="108"/>
      <c r="AV987" s="108"/>
      <c r="AW987" s="108"/>
      <c r="AX987" s="108"/>
      <c r="AY987" s="108"/>
      <c r="AZ987" s="108"/>
      <c r="BA987" s="108"/>
      <c r="BB987" s="108"/>
      <c r="BC987" s="108"/>
      <c r="BD987" s="108"/>
      <c r="BE987" s="108"/>
      <c r="BF987" s="108"/>
      <c r="BG987" s="108"/>
      <c r="BH987" s="108"/>
      <c r="BI987" s="108"/>
      <c r="BJ987" s="108"/>
      <c r="BK987" s="109"/>
      <c r="BL987" s="108"/>
      <c r="BM987" s="108"/>
      <c r="BN987" s="108"/>
    </row>
    <row r="988" spans="1:66" ht="12" customHeight="1" x14ac:dyDescent="0.2">
      <c r="A988" s="179"/>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c r="AA988" s="108"/>
      <c r="AB988" s="108"/>
      <c r="AC988" s="108"/>
      <c r="AD988" s="108"/>
      <c r="AE988" s="108"/>
      <c r="AF988" s="108"/>
      <c r="AG988" s="108"/>
      <c r="AH988" s="108"/>
      <c r="AI988" s="108"/>
      <c r="AJ988" s="108"/>
      <c r="AK988" s="108"/>
      <c r="AL988" s="108"/>
      <c r="AM988" s="108"/>
      <c r="AN988" s="108"/>
      <c r="AO988" s="108"/>
      <c r="AP988" s="108"/>
      <c r="AQ988" s="108"/>
      <c r="AR988" s="108"/>
      <c r="AS988" s="108"/>
      <c r="AT988" s="108"/>
      <c r="AU988" s="108"/>
      <c r="AV988" s="108"/>
      <c r="AW988" s="108"/>
      <c r="AX988" s="108"/>
      <c r="AY988" s="108"/>
      <c r="AZ988" s="108"/>
      <c r="BA988" s="108"/>
      <c r="BB988" s="108"/>
      <c r="BC988" s="108"/>
      <c r="BD988" s="108"/>
      <c r="BE988" s="108"/>
      <c r="BF988" s="108"/>
      <c r="BG988" s="108"/>
      <c r="BH988" s="108"/>
      <c r="BI988" s="108"/>
      <c r="BJ988" s="108"/>
      <c r="BK988" s="109"/>
      <c r="BL988" s="108"/>
      <c r="BM988" s="108"/>
      <c r="BN988" s="108"/>
    </row>
    <row r="989" spans="1:66" ht="12" customHeight="1" x14ac:dyDescent="0.2">
      <c r="A989" s="179"/>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c r="AA989" s="108"/>
      <c r="AB989" s="108"/>
      <c r="AC989" s="108"/>
      <c r="AD989" s="108"/>
      <c r="AE989" s="108"/>
      <c r="AF989" s="108"/>
      <c r="AG989" s="108"/>
      <c r="AH989" s="108"/>
      <c r="AI989" s="108"/>
      <c r="AJ989" s="108"/>
      <c r="AK989" s="108"/>
      <c r="AL989" s="108"/>
      <c r="AM989" s="108"/>
      <c r="AN989" s="108"/>
      <c r="AO989" s="108"/>
      <c r="AP989" s="108"/>
      <c r="AQ989" s="108"/>
      <c r="AR989" s="108"/>
      <c r="AS989" s="108"/>
      <c r="AT989" s="108"/>
      <c r="AU989" s="108"/>
      <c r="AV989" s="108"/>
      <c r="AW989" s="108"/>
      <c r="AX989" s="108"/>
      <c r="AY989" s="108"/>
      <c r="AZ989" s="108"/>
      <c r="BA989" s="108"/>
      <c r="BB989" s="108"/>
      <c r="BC989" s="108"/>
      <c r="BD989" s="108"/>
      <c r="BE989" s="108"/>
      <c r="BF989" s="108"/>
      <c r="BG989" s="108"/>
      <c r="BH989" s="108"/>
      <c r="BI989" s="108"/>
      <c r="BJ989" s="108"/>
      <c r="BK989" s="109"/>
      <c r="BL989" s="108"/>
      <c r="BM989" s="108"/>
      <c r="BN989" s="108"/>
    </row>
    <row r="990" spans="1:66" ht="12" customHeight="1" x14ac:dyDescent="0.2">
      <c r="A990" s="179"/>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c r="AA990" s="108"/>
      <c r="AB990" s="108"/>
      <c r="AC990" s="108"/>
      <c r="AD990" s="108"/>
      <c r="AE990" s="108"/>
      <c r="AF990" s="108"/>
      <c r="AG990" s="108"/>
      <c r="AH990" s="108"/>
      <c r="AI990" s="108"/>
      <c r="AJ990" s="108"/>
      <c r="AK990" s="108"/>
      <c r="AL990" s="108"/>
      <c r="AM990" s="108"/>
      <c r="AN990" s="108"/>
      <c r="AO990" s="108"/>
      <c r="AP990" s="108"/>
      <c r="AQ990" s="108"/>
      <c r="AR990" s="108"/>
      <c r="AS990" s="108"/>
      <c r="AT990" s="108"/>
      <c r="AU990" s="108"/>
      <c r="AV990" s="108"/>
      <c r="AW990" s="108"/>
      <c r="AX990" s="108"/>
      <c r="AY990" s="108"/>
      <c r="AZ990" s="108"/>
      <c r="BA990" s="108"/>
      <c r="BB990" s="108"/>
      <c r="BC990" s="108"/>
      <c r="BD990" s="108"/>
      <c r="BE990" s="108"/>
      <c r="BF990" s="108"/>
      <c r="BG990" s="108"/>
      <c r="BH990" s="108"/>
      <c r="BI990" s="108"/>
      <c r="BJ990" s="108"/>
      <c r="BK990" s="109"/>
      <c r="BL990" s="108"/>
      <c r="BM990" s="108"/>
      <c r="BN990" s="108"/>
    </row>
    <row r="991" spans="1:66" ht="12" customHeight="1" x14ac:dyDescent="0.2">
      <c r="A991" s="179"/>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c r="AA991" s="108"/>
      <c r="AB991" s="108"/>
      <c r="AC991" s="108"/>
      <c r="AD991" s="108"/>
      <c r="AE991" s="108"/>
      <c r="AF991" s="108"/>
      <c r="AG991" s="108"/>
      <c r="AH991" s="108"/>
      <c r="AI991" s="108"/>
      <c r="AJ991" s="108"/>
      <c r="AK991" s="108"/>
      <c r="AL991" s="108"/>
      <c r="AM991" s="108"/>
      <c r="AN991" s="108"/>
      <c r="AO991" s="108"/>
      <c r="AP991" s="108"/>
      <c r="AQ991" s="108"/>
      <c r="AR991" s="108"/>
      <c r="AS991" s="108"/>
      <c r="AT991" s="108"/>
      <c r="AU991" s="108"/>
      <c r="AV991" s="108"/>
      <c r="AW991" s="108"/>
      <c r="AX991" s="108"/>
      <c r="AY991" s="108"/>
      <c r="AZ991" s="108"/>
      <c r="BA991" s="108"/>
      <c r="BB991" s="108"/>
      <c r="BC991" s="108"/>
      <c r="BD991" s="108"/>
      <c r="BE991" s="108"/>
      <c r="BF991" s="108"/>
      <c r="BG991" s="108"/>
      <c r="BH991" s="108"/>
      <c r="BI991" s="108"/>
      <c r="BJ991" s="108"/>
      <c r="BK991" s="109"/>
      <c r="BL991" s="108"/>
      <c r="BM991" s="108"/>
      <c r="BN991" s="108"/>
    </row>
    <row r="992" spans="1:66" ht="12" customHeight="1" x14ac:dyDescent="0.2">
      <c r="A992" s="179"/>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c r="AA992" s="108"/>
      <c r="AB992" s="108"/>
      <c r="AC992" s="108"/>
      <c r="AD992" s="108"/>
      <c r="AE992" s="108"/>
      <c r="AF992" s="108"/>
      <c r="AG992" s="108"/>
      <c r="AH992" s="108"/>
      <c r="AI992" s="108"/>
      <c r="AJ992" s="108"/>
      <c r="AK992" s="108"/>
      <c r="AL992" s="108"/>
      <c r="AM992" s="108"/>
      <c r="AN992" s="108"/>
      <c r="AO992" s="108"/>
      <c r="AP992" s="108"/>
      <c r="AQ992" s="108"/>
      <c r="AR992" s="108"/>
      <c r="AS992" s="108"/>
      <c r="AT992" s="108"/>
      <c r="AU992" s="108"/>
      <c r="AV992" s="108"/>
      <c r="AW992" s="108"/>
      <c r="AX992" s="108"/>
      <c r="AY992" s="108"/>
      <c r="AZ992" s="108"/>
      <c r="BA992" s="108"/>
      <c r="BB992" s="108"/>
      <c r="BC992" s="108"/>
      <c r="BD992" s="108"/>
      <c r="BE992" s="108"/>
      <c r="BF992" s="108"/>
      <c r="BG992" s="108"/>
      <c r="BH992" s="108"/>
      <c r="BI992" s="108"/>
      <c r="BJ992" s="108"/>
      <c r="BK992" s="109"/>
      <c r="BL992" s="108"/>
      <c r="BM992" s="108"/>
      <c r="BN992" s="108"/>
    </row>
    <row r="993" spans="1:66" ht="12" customHeight="1" x14ac:dyDescent="0.2">
      <c r="A993" s="179"/>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c r="AA993" s="108"/>
      <c r="AB993" s="108"/>
      <c r="AC993" s="108"/>
      <c r="AD993" s="108"/>
      <c r="AE993" s="108"/>
      <c r="AF993" s="108"/>
      <c r="AG993" s="108"/>
      <c r="AH993" s="108"/>
      <c r="AI993" s="108"/>
      <c r="AJ993" s="108"/>
      <c r="AK993" s="108"/>
      <c r="AL993" s="108"/>
      <c r="AM993" s="108"/>
      <c r="AN993" s="108"/>
      <c r="AO993" s="108"/>
      <c r="AP993" s="108"/>
      <c r="AQ993" s="108"/>
      <c r="AR993" s="108"/>
      <c r="AS993" s="108"/>
      <c r="AT993" s="108"/>
      <c r="AU993" s="108"/>
      <c r="AV993" s="108"/>
      <c r="AW993" s="108"/>
      <c r="AX993" s="108"/>
      <c r="AY993" s="108"/>
      <c r="AZ993" s="108"/>
      <c r="BA993" s="108"/>
      <c r="BB993" s="108"/>
      <c r="BC993" s="108"/>
      <c r="BD993" s="108"/>
      <c r="BE993" s="108"/>
      <c r="BF993" s="108"/>
      <c r="BG993" s="108"/>
      <c r="BH993" s="108"/>
      <c r="BI993" s="108"/>
      <c r="BJ993" s="108"/>
      <c r="BK993" s="109"/>
      <c r="BL993" s="108"/>
      <c r="BM993" s="108"/>
      <c r="BN993" s="108"/>
    </row>
    <row r="994" spans="1:66" ht="12" customHeight="1" x14ac:dyDescent="0.2">
      <c r="A994" s="179"/>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c r="AA994" s="108"/>
      <c r="AB994" s="108"/>
      <c r="AC994" s="108"/>
      <c r="AD994" s="108"/>
      <c r="AE994" s="108"/>
      <c r="AF994" s="108"/>
      <c r="AG994" s="108"/>
      <c r="AH994" s="108"/>
      <c r="AI994" s="108"/>
      <c r="AJ994" s="108"/>
      <c r="AK994" s="108"/>
      <c r="AL994" s="108"/>
      <c r="AM994" s="108"/>
      <c r="AN994" s="108"/>
      <c r="AO994" s="108"/>
      <c r="AP994" s="108"/>
      <c r="AQ994" s="108"/>
      <c r="AR994" s="108"/>
      <c r="AS994" s="108"/>
      <c r="AT994" s="108"/>
      <c r="AU994" s="108"/>
      <c r="AV994" s="108"/>
      <c r="AW994" s="108"/>
      <c r="AX994" s="108"/>
      <c r="AY994" s="108"/>
      <c r="AZ994" s="108"/>
      <c r="BA994" s="108"/>
      <c r="BB994" s="108"/>
      <c r="BC994" s="108"/>
      <c r="BD994" s="108"/>
      <c r="BE994" s="108"/>
      <c r="BF994" s="108"/>
      <c r="BG994" s="108"/>
      <c r="BH994" s="108"/>
      <c r="BI994" s="108"/>
      <c r="BJ994" s="108"/>
      <c r="BK994" s="109"/>
      <c r="BL994" s="108"/>
      <c r="BM994" s="108"/>
      <c r="BN994" s="108"/>
    </row>
    <row r="995" spans="1:66" ht="12" customHeight="1" x14ac:dyDescent="0.2">
      <c r="A995" s="179"/>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c r="AA995" s="108"/>
      <c r="AB995" s="108"/>
      <c r="AC995" s="108"/>
      <c r="AD995" s="108"/>
      <c r="AE995" s="108"/>
      <c r="AF995" s="108"/>
      <c r="AG995" s="108"/>
      <c r="AH995" s="108"/>
      <c r="AI995" s="108"/>
      <c r="AJ995" s="108"/>
      <c r="AK995" s="108"/>
      <c r="AL995" s="108"/>
      <c r="AM995" s="108"/>
      <c r="AN995" s="108"/>
      <c r="AO995" s="108"/>
      <c r="AP995" s="108"/>
      <c r="AQ995" s="108"/>
      <c r="AR995" s="108"/>
      <c r="AS995" s="108"/>
      <c r="AT995" s="108"/>
      <c r="AU995" s="108"/>
      <c r="AV995" s="108"/>
      <c r="AW995" s="108"/>
      <c r="AX995" s="108"/>
      <c r="AY995" s="108"/>
      <c r="AZ995" s="108"/>
      <c r="BA995" s="108"/>
      <c r="BB995" s="108"/>
      <c r="BC995" s="108"/>
      <c r="BD995" s="108"/>
      <c r="BE995" s="108"/>
      <c r="BF995" s="108"/>
      <c r="BG995" s="108"/>
      <c r="BH995" s="108"/>
      <c r="BI995" s="108"/>
      <c r="BJ995" s="108"/>
      <c r="BK995" s="109"/>
      <c r="BL995" s="108"/>
      <c r="BM995" s="108"/>
      <c r="BN995" s="108"/>
    </row>
    <row r="996" spans="1:66" ht="12" customHeight="1" x14ac:dyDescent="0.2">
      <c r="A996" s="179"/>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c r="AA996" s="108"/>
      <c r="AB996" s="108"/>
      <c r="AC996" s="108"/>
      <c r="AD996" s="108"/>
      <c r="AE996" s="108"/>
      <c r="AF996" s="108"/>
      <c r="AG996" s="108"/>
      <c r="AH996" s="108"/>
      <c r="AI996" s="108"/>
      <c r="AJ996" s="108"/>
      <c r="AK996" s="108"/>
      <c r="AL996" s="108"/>
      <c r="AM996" s="108"/>
      <c r="AN996" s="108"/>
      <c r="AO996" s="108"/>
      <c r="AP996" s="108"/>
      <c r="AQ996" s="108"/>
      <c r="AR996" s="108"/>
      <c r="AS996" s="108"/>
      <c r="AT996" s="108"/>
      <c r="AU996" s="108"/>
      <c r="AV996" s="108"/>
      <c r="AW996" s="108"/>
      <c r="AX996" s="108"/>
      <c r="AY996" s="108"/>
      <c r="AZ996" s="108"/>
      <c r="BA996" s="108"/>
      <c r="BB996" s="108"/>
      <c r="BC996" s="108"/>
      <c r="BD996" s="108"/>
      <c r="BE996" s="108"/>
      <c r="BF996" s="108"/>
      <c r="BG996" s="108"/>
      <c r="BH996" s="108"/>
      <c r="BI996" s="108"/>
      <c r="BJ996" s="108"/>
      <c r="BK996" s="109"/>
      <c r="BL996" s="108"/>
      <c r="BM996" s="108"/>
      <c r="BN996" s="108"/>
    </row>
    <row r="997" spans="1:66" ht="12" customHeight="1" x14ac:dyDescent="0.2">
      <c r="A997" s="179"/>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c r="AA997" s="108"/>
      <c r="AB997" s="108"/>
      <c r="AC997" s="108"/>
      <c r="AD997" s="108"/>
      <c r="AE997" s="108"/>
      <c r="AF997" s="108"/>
      <c r="AG997" s="108"/>
      <c r="AH997" s="108"/>
      <c r="AI997" s="108"/>
      <c r="AJ997" s="108"/>
      <c r="AK997" s="108"/>
      <c r="AL997" s="108"/>
      <c r="AM997" s="108"/>
      <c r="AN997" s="108"/>
      <c r="AO997" s="108"/>
      <c r="AP997" s="108"/>
      <c r="AQ997" s="108"/>
      <c r="AR997" s="108"/>
      <c r="AS997" s="108"/>
      <c r="AT997" s="108"/>
      <c r="AU997" s="108"/>
      <c r="AV997" s="108"/>
      <c r="AW997" s="108"/>
      <c r="AX997" s="108"/>
      <c r="AY997" s="108"/>
      <c r="AZ997" s="108"/>
      <c r="BA997" s="108"/>
      <c r="BB997" s="108"/>
      <c r="BC997" s="108"/>
      <c r="BD997" s="108"/>
      <c r="BE997" s="108"/>
      <c r="BF997" s="108"/>
      <c r="BG997" s="108"/>
      <c r="BH997" s="108"/>
      <c r="BI997" s="108"/>
      <c r="BJ997" s="108"/>
      <c r="BK997" s="109"/>
      <c r="BL997" s="108"/>
      <c r="BM997" s="108"/>
      <c r="BN997" s="108"/>
    </row>
    <row r="998" spans="1:66" ht="12" customHeight="1" x14ac:dyDescent="0.2">
      <c r="A998" s="179"/>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c r="AA998" s="108"/>
      <c r="AB998" s="108"/>
      <c r="AC998" s="108"/>
      <c r="AD998" s="108"/>
      <c r="AE998" s="108"/>
      <c r="AF998" s="108"/>
      <c r="AG998" s="108"/>
      <c r="AH998" s="108"/>
      <c r="AI998" s="108"/>
      <c r="AJ998" s="108"/>
      <c r="AK998" s="108"/>
      <c r="AL998" s="108"/>
      <c r="AM998" s="108"/>
      <c r="AN998" s="108"/>
      <c r="AO998" s="108"/>
      <c r="AP998" s="108"/>
      <c r="AQ998" s="108"/>
      <c r="AR998" s="108"/>
      <c r="AS998" s="108"/>
      <c r="AT998" s="108"/>
      <c r="AU998" s="108"/>
      <c r="AV998" s="108"/>
      <c r="AW998" s="108"/>
      <c r="AX998" s="108"/>
      <c r="AY998" s="108"/>
      <c r="AZ998" s="108"/>
      <c r="BA998" s="108"/>
      <c r="BB998" s="108"/>
      <c r="BC998" s="108"/>
      <c r="BD998" s="108"/>
      <c r="BE998" s="108"/>
      <c r="BF998" s="108"/>
      <c r="BG998" s="108"/>
      <c r="BH998" s="108"/>
      <c r="BI998" s="108"/>
      <c r="BJ998" s="108"/>
      <c r="BK998" s="109"/>
      <c r="BL998" s="108"/>
      <c r="BM998" s="108"/>
      <c r="BN998" s="108"/>
    </row>
    <row r="999" spans="1:66" ht="12" customHeight="1" x14ac:dyDescent="0.2">
      <c r="A999" s="179"/>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c r="AA999" s="108"/>
      <c r="AB999" s="108"/>
      <c r="AC999" s="108"/>
      <c r="AD999" s="108"/>
      <c r="AE999" s="108"/>
      <c r="AF999" s="108"/>
      <c r="AG999" s="108"/>
      <c r="AH999" s="108"/>
      <c r="AI999" s="108"/>
      <c r="AJ999" s="108"/>
      <c r="AK999" s="108"/>
      <c r="AL999" s="108"/>
      <c r="AM999" s="108"/>
      <c r="AN999" s="108"/>
      <c r="AO999" s="108"/>
      <c r="AP999" s="108"/>
      <c r="AQ999" s="108"/>
      <c r="AR999" s="108"/>
      <c r="AS999" s="108"/>
      <c r="AT999" s="108"/>
      <c r="AU999" s="108"/>
      <c r="AV999" s="108"/>
      <c r="AW999" s="108"/>
      <c r="AX999" s="108"/>
      <c r="AY999" s="108"/>
      <c r="AZ999" s="108"/>
      <c r="BA999" s="108"/>
      <c r="BB999" s="108"/>
      <c r="BC999" s="108"/>
      <c r="BD999" s="108"/>
      <c r="BE999" s="108"/>
      <c r="BF999" s="108"/>
      <c r="BG999" s="108"/>
      <c r="BH999" s="108"/>
      <c r="BI999" s="108"/>
      <c r="BJ999" s="108"/>
      <c r="BK999" s="109"/>
      <c r="BL999" s="108"/>
      <c r="BM999" s="108"/>
      <c r="BN999" s="108"/>
    </row>
    <row r="1000" spans="1:66" ht="12" customHeight="1" x14ac:dyDescent="0.2">
      <c r="A1000" s="179"/>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c r="AA1000" s="108"/>
      <c r="AB1000" s="108"/>
      <c r="AC1000" s="108"/>
      <c r="AD1000" s="108"/>
      <c r="AE1000" s="108"/>
      <c r="AF1000" s="108"/>
      <c r="AG1000" s="108"/>
      <c r="AH1000" s="108"/>
      <c r="AI1000" s="108"/>
      <c r="AJ1000" s="108"/>
      <c r="AK1000" s="108"/>
      <c r="AL1000" s="108"/>
      <c r="AM1000" s="108"/>
      <c r="AN1000" s="108"/>
      <c r="AO1000" s="108"/>
      <c r="AP1000" s="108"/>
      <c r="AQ1000" s="108"/>
      <c r="AR1000" s="108"/>
      <c r="AS1000" s="108"/>
      <c r="AT1000" s="108"/>
      <c r="AU1000" s="108"/>
      <c r="AV1000" s="108"/>
      <c r="AW1000" s="108"/>
      <c r="AX1000" s="108"/>
      <c r="AY1000" s="108"/>
      <c r="AZ1000" s="108"/>
      <c r="BA1000" s="108"/>
      <c r="BB1000" s="108"/>
      <c r="BC1000" s="108"/>
      <c r="BD1000" s="108"/>
      <c r="BE1000" s="108"/>
      <c r="BF1000" s="108"/>
      <c r="BG1000" s="108"/>
      <c r="BH1000" s="108"/>
      <c r="BI1000" s="108"/>
      <c r="BJ1000" s="108"/>
      <c r="BK1000" s="109"/>
      <c r="BL1000" s="108"/>
      <c r="BM1000" s="108"/>
      <c r="BN1000" s="108"/>
    </row>
  </sheetData>
  <pageMargins left="0.7" right="0.7" top="0.75" bottom="0.75" header="0" footer="0"/>
  <pageSetup paperSize="9"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3E54D-22F1-8F49-9416-1AAFB0DF37CF}">
  <dimension ref="A1:BP1000"/>
  <sheetViews>
    <sheetView showGridLines="0" zoomScale="210" zoomScaleNormal="210" workbookViewId="0">
      <pane xSplit="1" ySplit="1" topLeftCell="AE2" activePane="bottomRight" state="frozen"/>
      <selection pane="topRight" activeCell="B1" sqref="B1"/>
      <selection pane="bottomLeft" activeCell="A2" sqref="A2"/>
      <selection pane="bottomRight" activeCell="AI32" sqref="AI32"/>
    </sheetView>
  </sheetViews>
  <sheetFormatPr baseColWidth="10" defaultColWidth="14.5" defaultRowHeight="15" customHeight="1" x14ac:dyDescent="0.2"/>
  <cols>
    <col min="1" max="1" width="20.1640625" style="99" customWidth="1"/>
    <col min="2" max="2" width="12" style="99" customWidth="1"/>
    <col min="3" max="3" width="11.33203125" style="99" customWidth="1"/>
    <col min="4" max="4" width="11" style="99" customWidth="1"/>
    <col min="5" max="5" width="11.33203125" style="99" customWidth="1"/>
    <col min="6" max="7" width="12.5" style="99" customWidth="1"/>
    <col min="8" max="8" width="11.5" style="99" customWidth="1"/>
    <col min="9" max="10" width="11.33203125" style="99" customWidth="1"/>
    <col min="11" max="13" width="11" style="99" customWidth="1"/>
    <col min="14" max="16" width="11.5" style="99" customWidth="1"/>
    <col min="17" max="17" width="12.33203125" style="99" customWidth="1"/>
    <col min="18" max="18" width="14.5" style="99" customWidth="1"/>
    <col min="19" max="21" width="11.33203125" style="99" customWidth="1"/>
    <col min="22" max="22" width="13.83203125" style="99" customWidth="1"/>
    <col min="23" max="25" width="10.5" style="99" customWidth="1"/>
    <col min="26" max="27" width="10.6640625" style="99" customWidth="1"/>
    <col min="28" max="28" width="12" style="99" customWidth="1"/>
    <col min="29" max="29" width="11.33203125" style="99" customWidth="1"/>
    <col min="30" max="30" width="12" style="99" customWidth="1"/>
    <col min="31" max="31" width="14.5" style="99" customWidth="1"/>
    <col min="32" max="35" width="10.5" style="99" customWidth="1"/>
    <col min="36" max="36" width="13.6640625" style="99" customWidth="1"/>
    <col min="37" max="37" width="13" style="99" customWidth="1"/>
    <col min="38" max="40" width="11" style="99" customWidth="1"/>
    <col min="41" max="42" width="10.5" style="99" customWidth="1"/>
    <col min="43" max="44" width="11.33203125" style="99" customWidth="1"/>
    <col min="45" max="45" width="12.33203125" style="99" customWidth="1"/>
    <col min="46" max="46" width="14.5" style="99" customWidth="1"/>
    <col min="47" max="48" width="11.33203125" style="99" customWidth="1"/>
    <col min="49" max="49" width="13.5" style="99" customWidth="1"/>
    <col min="50" max="51" width="11.5" style="99" customWidth="1"/>
    <col min="52" max="53" width="11.33203125" style="99" customWidth="1"/>
    <col min="54" max="54" width="11.5" style="99" customWidth="1"/>
    <col min="55" max="55" width="12.33203125" style="99" customWidth="1"/>
    <col min="56" max="56" width="14.5" style="99" customWidth="1"/>
    <col min="57" max="57" width="13.33203125" style="99" bestFit="1" customWidth="1"/>
    <col min="58" max="58" width="21.6640625" style="99" customWidth="1"/>
    <col min="59" max="59" width="21" style="99" customWidth="1"/>
    <col min="60" max="61" width="11.1640625" style="99" customWidth="1"/>
    <col min="62" max="62" width="10" style="99" customWidth="1"/>
    <col min="63" max="63" width="10.5" style="99" customWidth="1"/>
    <col min="64" max="68" width="11.5" style="99" customWidth="1"/>
    <col min="69" max="16384" width="14.5" style="99"/>
  </cols>
  <sheetData>
    <row r="1" spans="1:68" ht="12" customHeight="1" thickBot="1" x14ac:dyDescent="0.25">
      <c r="A1" s="96" t="s">
        <v>0</v>
      </c>
      <c r="B1" s="97">
        <v>45717</v>
      </c>
      <c r="C1" s="97">
        <f>+B1+1</f>
        <v>45718</v>
      </c>
      <c r="D1" s="97" t="s">
        <v>99</v>
      </c>
      <c r="E1" s="97">
        <f>+C1+1</f>
        <v>45719</v>
      </c>
      <c r="F1" s="97">
        <f t="shared" ref="F1:K1" si="0">+E1+1</f>
        <v>45720</v>
      </c>
      <c r="G1" s="97">
        <f t="shared" si="0"/>
        <v>45721</v>
      </c>
      <c r="H1" s="97">
        <f t="shared" si="0"/>
        <v>45722</v>
      </c>
      <c r="I1" s="97">
        <f t="shared" si="0"/>
        <v>45723</v>
      </c>
      <c r="J1" s="97">
        <f t="shared" si="0"/>
        <v>45724</v>
      </c>
      <c r="K1" s="97">
        <f t="shared" si="0"/>
        <v>45725</v>
      </c>
      <c r="L1" s="97" t="s">
        <v>100</v>
      </c>
      <c r="M1" s="97">
        <f>+K1+1</f>
        <v>45726</v>
      </c>
      <c r="N1" s="97">
        <f t="shared" ref="N1:S1" si="1">+M1+1</f>
        <v>45727</v>
      </c>
      <c r="O1" s="97">
        <f t="shared" si="1"/>
        <v>45728</v>
      </c>
      <c r="P1" s="97">
        <f t="shared" si="1"/>
        <v>45729</v>
      </c>
      <c r="Q1" s="97">
        <f t="shared" si="1"/>
        <v>45730</v>
      </c>
      <c r="R1" s="97">
        <f t="shared" si="1"/>
        <v>45731</v>
      </c>
      <c r="S1" s="98">
        <f t="shared" si="1"/>
        <v>45732</v>
      </c>
      <c r="T1" s="97" t="s">
        <v>101</v>
      </c>
      <c r="U1" s="98">
        <f>+S1+1</f>
        <v>45733</v>
      </c>
      <c r="V1" s="98">
        <f t="shared" ref="V1:AB1" si="2">+U1+1</f>
        <v>45734</v>
      </c>
      <c r="W1" s="98">
        <f t="shared" si="2"/>
        <v>45735</v>
      </c>
      <c r="X1" s="98">
        <f t="shared" si="2"/>
        <v>45736</v>
      </c>
      <c r="Y1" s="98">
        <f t="shared" si="2"/>
        <v>45737</v>
      </c>
      <c r="Z1" s="98">
        <f t="shared" si="2"/>
        <v>45738</v>
      </c>
      <c r="AA1" s="97">
        <f t="shared" si="2"/>
        <v>45739</v>
      </c>
      <c r="AB1" s="97">
        <f t="shared" si="2"/>
        <v>45740</v>
      </c>
      <c r="AC1" s="97" t="s">
        <v>102</v>
      </c>
      <c r="AD1" s="97">
        <f>+AB1+1</f>
        <v>45741</v>
      </c>
      <c r="AE1" s="97">
        <f>+AD1+1</f>
        <v>45742</v>
      </c>
      <c r="AF1" s="97">
        <f>+AE1+1</f>
        <v>45743</v>
      </c>
      <c r="AG1" s="97">
        <f>+AF1+1</f>
        <v>45744</v>
      </c>
      <c r="AH1" s="97">
        <f>+AG1+1</f>
        <v>45745</v>
      </c>
      <c r="AI1" s="97">
        <f>+AH1+1</f>
        <v>45746</v>
      </c>
      <c r="AJ1" s="97" t="s">
        <v>133</v>
      </c>
      <c r="BG1" s="100" t="s">
        <v>38</v>
      </c>
      <c r="BH1" s="101"/>
      <c r="BI1" s="102"/>
      <c r="BJ1" s="102"/>
      <c r="BK1" s="102"/>
      <c r="BL1" s="103"/>
      <c r="BM1" s="102"/>
      <c r="BN1" s="102"/>
      <c r="BO1" s="102"/>
      <c r="BP1" s="102"/>
    </row>
    <row r="2" spans="1:68" ht="12" customHeight="1" x14ac:dyDescent="0.2">
      <c r="A2" s="104" t="s">
        <v>49</v>
      </c>
      <c r="B2" s="105">
        <v>346.75809090909092</v>
      </c>
      <c r="C2" s="105">
        <v>346.75809090909092</v>
      </c>
      <c r="D2" s="106">
        <f>+SUM(B2:C2)</f>
        <v>693.51618181818185</v>
      </c>
      <c r="E2" s="105">
        <v>346.75809090909092</v>
      </c>
      <c r="F2" s="105">
        <v>346.75809090909092</v>
      </c>
      <c r="G2" s="105">
        <v>346.75809090909092</v>
      </c>
      <c r="H2" s="105">
        <v>346.75809090909092</v>
      </c>
      <c r="I2" s="105">
        <v>346.75809090909092</v>
      </c>
      <c r="J2" s="105">
        <v>346.75809090909092</v>
      </c>
      <c r="K2" s="105">
        <v>346.75809090909092</v>
      </c>
      <c r="L2" s="106">
        <f>+D2+SUM(E2:K2)</f>
        <v>3120.8228181818181</v>
      </c>
      <c r="M2" s="105">
        <v>346.75809090909092</v>
      </c>
      <c r="N2" s="105">
        <v>346.75809090909092</v>
      </c>
      <c r="O2" s="105">
        <v>360</v>
      </c>
      <c r="P2" s="105">
        <v>360</v>
      </c>
      <c r="Q2" s="105">
        <v>360</v>
      </c>
      <c r="R2" s="105">
        <v>360</v>
      </c>
      <c r="S2" s="105">
        <v>360</v>
      </c>
      <c r="T2" s="106">
        <f>+L2+SUM(M2:S2)</f>
        <v>5614.3389999999999</v>
      </c>
      <c r="U2" s="105">
        <v>360</v>
      </c>
      <c r="V2" s="105">
        <v>360</v>
      </c>
      <c r="W2" s="105">
        <v>360</v>
      </c>
      <c r="X2" s="105">
        <v>360</v>
      </c>
      <c r="Y2" s="105">
        <v>360</v>
      </c>
      <c r="Z2" s="105">
        <v>360</v>
      </c>
      <c r="AA2" s="105">
        <v>360</v>
      </c>
      <c r="AB2" s="105">
        <v>360</v>
      </c>
      <c r="AC2" s="106">
        <f>+T2+SUM(U2:AB2)</f>
        <v>8494.3389999999999</v>
      </c>
      <c r="AD2" s="105">
        <v>360</v>
      </c>
      <c r="AE2" s="105">
        <v>360</v>
      </c>
      <c r="AF2" s="105">
        <v>360</v>
      </c>
      <c r="AG2" s="105">
        <v>360</v>
      </c>
      <c r="AH2" s="105">
        <v>360</v>
      </c>
      <c r="AI2" s="105">
        <v>360</v>
      </c>
      <c r="AJ2" s="106">
        <f>+AC2+SUM(AD2:AI2)</f>
        <v>10654.339</v>
      </c>
      <c r="BG2" s="107">
        <v>9790</v>
      </c>
      <c r="BH2" s="101"/>
      <c r="BI2" s="108"/>
      <c r="BJ2" s="108"/>
      <c r="BK2" s="108"/>
      <c r="BL2" s="109"/>
      <c r="BM2" s="108"/>
      <c r="BN2" s="108"/>
      <c r="BO2" s="108"/>
      <c r="BP2" s="108"/>
    </row>
    <row r="3" spans="1:68" ht="12" customHeight="1" x14ac:dyDescent="0.2">
      <c r="A3" s="110" t="s">
        <v>50</v>
      </c>
      <c r="B3" s="111">
        <v>355.95100000000002</v>
      </c>
      <c r="C3" s="111">
        <v>359.38600000000002</v>
      </c>
      <c r="D3" s="112">
        <f>+SUM(B3:C3)</f>
        <v>715.33699999999999</v>
      </c>
      <c r="E3" s="111">
        <v>353.15899999999999</v>
      </c>
      <c r="F3" s="111">
        <v>355.09699999999998</v>
      </c>
      <c r="G3" s="111">
        <v>337.63900000000001</v>
      </c>
      <c r="H3" s="111">
        <v>358.69900000000001</v>
      </c>
      <c r="I3" s="111">
        <v>334.065</v>
      </c>
      <c r="J3" s="111">
        <v>363.06299999999999</v>
      </c>
      <c r="K3" s="111">
        <v>357.83800000000002</v>
      </c>
      <c r="L3" s="112">
        <f>+D3+SUM(E3:K3)</f>
        <v>3174.8970000000004</v>
      </c>
      <c r="M3" s="111">
        <v>317.69799999999998</v>
      </c>
      <c r="N3" s="111">
        <v>321.80399999999997</v>
      </c>
      <c r="O3" s="111">
        <v>343.59199999999998</v>
      </c>
      <c r="P3" s="111">
        <v>323.92200000000003</v>
      </c>
      <c r="Q3" s="111">
        <v>311.94799999999998</v>
      </c>
      <c r="R3" s="111">
        <v>331.46499999999997</v>
      </c>
      <c r="S3" s="111">
        <v>337.16500000000002</v>
      </c>
      <c r="T3" s="112">
        <f>+L3+SUM(M3:S3)</f>
        <v>5462.491</v>
      </c>
      <c r="U3" s="111">
        <f>+DOWNSTREAM!T3</f>
        <v>0</v>
      </c>
      <c r="V3" s="111">
        <f>+DOWNSTREAM!U3</f>
        <v>0</v>
      </c>
      <c r="W3" s="111">
        <f>+DOWNSTREAM!V3</f>
        <v>0</v>
      </c>
      <c r="X3" s="111">
        <f>+DOWNSTREAM!W3</f>
        <v>0</v>
      </c>
      <c r="Y3" s="111">
        <f>+DOWNSTREAM!X3</f>
        <v>0</v>
      </c>
      <c r="Z3" s="111">
        <f>+DOWNSTREAM!Z3</f>
        <v>0</v>
      </c>
      <c r="AA3" s="111">
        <f>+DOWNSTREAM!AA3</f>
        <v>0</v>
      </c>
      <c r="AB3" s="111">
        <f>+DOWNSTREAM!AB3</f>
        <v>0</v>
      </c>
      <c r="AC3" s="112">
        <f>+T3+SUM(U3:AB3)</f>
        <v>5462.491</v>
      </c>
      <c r="AD3" s="111">
        <f>+DOWNSTREAM!AC3</f>
        <v>0</v>
      </c>
      <c r="AE3" s="111">
        <f>+DOWNSTREAM!AD3</f>
        <v>0</v>
      </c>
      <c r="AF3" s="111">
        <f>+DOWNSTREAM!AE3</f>
        <v>0</v>
      </c>
      <c r="AG3" s="111">
        <f>+DOWNSTREAM!AF3</f>
        <v>0</v>
      </c>
      <c r="AH3" s="111">
        <f>+DOWNSTREAM!AH3</f>
        <v>0</v>
      </c>
      <c r="AI3" s="111">
        <f>+DOWNSTREAM!AI3</f>
        <v>0</v>
      </c>
      <c r="AJ3" s="112">
        <f>+AC3+SUM(AD3:AI3)</f>
        <v>5462.491</v>
      </c>
      <c r="BG3" s="107"/>
      <c r="BH3" s="101"/>
      <c r="BI3" s="108"/>
      <c r="BJ3" s="108"/>
      <c r="BK3" s="108"/>
      <c r="BL3" s="109"/>
      <c r="BM3" s="108"/>
      <c r="BN3" s="108"/>
      <c r="BO3" s="108"/>
      <c r="BP3" s="108"/>
    </row>
    <row r="4" spans="1:68" ht="16" thickBot="1" x14ac:dyDescent="0.25">
      <c r="A4" s="113" t="s">
        <v>3</v>
      </c>
      <c r="B4" s="114">
        <f>IFERROR(B3/B2,0)</f>
        <v>1.026511015407912</v>
      </c>
      <c r="C4" s="114">
        <f>IFERROR(C3/C2,0)</f>
        <v>1.0364170567954238</v>
      </c>
      <c r="D4" s="115">
        <f>IFERROR(D3/D2,0)</f>
        <v>1.0314640361016678</v>
      </c>
      <c r="E4" s="114">
        <f>IFERROR(E3/E2,0)</f>
        <v>1.0184592926847875</v>
      </c>
      <c r="F4" s="114">
        <f t="shared" ref="F4:AJ4" si="3">IFERROR(F3/F2,0)</f>
        <v>1.0240482033715408</v>
      </c>
      <c r="G4" s="114">
        <f t="shared" si="3"/>
        <v>0.97370186551326454</v>
      </c>
      <c r="H4" s="114">
        <f t="shared" si="3"/>
        <v>1.0344358485179215</v>
      </c>
      <c r="I4" s="114">
        <f t="shared" si="3"/>
        <v>0.96339496830250271</v>
      </c>
      <c r="J4" s="114">
        <f t="shared" si="3"/>
        <v>1.0470209910550687</v>
      </c>
      <c r="K4" s="114">
        <f t="shared" si="3"/>
        <v>1.0319528494976455</v>
      </c>
      <c r="L4" s="115">
        <f t="shared" si="3"/>
        <v>1.0173268990162299</v>
      </c>
      <c r="M4" s="114">
        <f t="shared" si="3"/>
        <v>0.91619491607851311</v>
      </c>
      <c r="N4" s="114">
        <f t="shared" si="3"/>
        <v>0.9280360240660307</v>
      </c>
      <c r="O4" s="114">
        <f t="shared" si="3"/>
        <v>0.95442222222222217</v>
      </c>
      <c r="P4" s="114">
        <f t="shared" si="3"/>
        <v>0.89978333333333338</v>
      </c>
      <c r="Q4" s="114">
        <f t="shared" si="3"/>
        <v>0.86652222222222219</v>
      </c>
      <c r="R4" s="114">
        <f t="shared" si="3"/>
        <v>0.92073611111111109</v>
      </c>
      <c r="S4" s="114">
        <f t="shared" si="3"/>
        <v>0.93656944444444445</v>
      </c>
      <c r="T4" s="115">
        <f t="shared" si="3"/>
        <v>0.97295353914325444</v>
      </c>
      <c r="U4" s="114">
        <f t="shared" si="3"/>
        <v>0</v>
      </c>
      <c r="V4" s="114">
        <f t="shared" si="3"/>
        <v>0</v>
      </c>
      <c r="W4" s="114">
        <f t="shared" si="3"/>
        <v>0</v>
      </c>
      <c r="X4" s="114">
        <f t="shared" si="3"/>
        <v>0</v>
      </c>
      <c r="Y4" s="114">
        <f t="shared" si="3"/>
        <v>0</v>
      </c>
      <c r="Z4" s="114">
        <f t="shared" si="3"/>
        <v>0</v>
      </c>
      <c r="AA4" s="114">
        <f t="shared" si="3"/>
        <v>0</v>
      </c>
      <c r="AB4" s="114">
        <f>IFERROR(AB3/AB2,0)</f>
        <v>0</v>
      </c>
      <c r="AC4" s="115">
        <f t="shared" si="3"/>
        <v>0.64307428747545869</v>
      </c>
      <c r="AD4" s="114">
        <f t="shared" si="3"/>
        <v>0</v>
      </c>
      <c r="AE4" s="114">
        <f t="shared" si="3"/>
        <v>0</v>
      </c>
      <c r="AF4" s="114">
        <f t="shared" si="3"/>
        <v>0</v>
      </c>
      <c r="AG4" s="114">
        <f t="shared" si="3"/>
        <v>0</v>
      </c>
      <c r="AH4" s="114">
        <f t="shared" si="3"/>
        <v>0</v>
      </c>
      <c r="AI4" s="114">
        <f t="shared" si="3"/>
        <v>0</v>
      </c>
      <c r="AJ4" s="115">
        <f t="shared" si="3"/>
        <v>0.51270106948915362</v>
      </c>
      <c r="BG4" s="107"/>
      <c r="BH4" s="101"/>
      <c r="BI4" s="108"/>
      <c r="BJ4" s="108"/>
      <c r="BK4" s="108"/>
      <c r="BL4" s="109"/>
      <c r="BM4" s="108"/>
      <c r="BN4" s="108"/>
      <c r="BO4" s="108"/>
      <c r="BP4" s="108"/>
    </row>
    <row r="5" spans="1:68" ht="16" hidden="1" thickBot="1" x14ac:dyDescent="0.25">
      <c r="A5" s="110" t="s">
        <v>51</v>
      </c>
      <c r="B5" s="116"/>
      <c r="C5" s="116"/>
      <c r="D5" s="117"/>
      <c r="E5" s="116"/>
      <c r="F5" s="116"/>
      <c r="G5" s="116"/>
      <c r="H5" s="116"/>
      <c r="I5" s="116"/>
      <c r="J5" s="116"/>
      <c r="K5" s="116"/>
      <c r="L5" s="117"/>
      <c r="M5" s="116"/>
      <c r="N5" s="116"/>
      <c r="O5" s="116"/>
      <c r="P5" s="116"/>
      <c r="Q5" s="116"/>
      <c r="R5" s="116"/>
      <c r="S5" s="116"/>
      <c r="T5" s="117"/>
      <c r="U5" s="116"/>
      <c r="V5" s="116"/>
      <c r="W5" s="116"/>
      <c r="X5" s="116"/>
      <c r="Y5" s="116"/>
      <c r="Z5" s="116"/>
      <c r="AA5" s="116"/>
      <c r="AB5" s="116"/>
      <c r="AC5" s="117"/>
      <c r="AD5" s="116"/>
      <c r="AE5" s="116"/>
      <c r="AF5" s="116"/>
      <c r="AG5" s="116"/>
      <c r="AH5" s="116"/>
      <c r="AI5" s="116"/>
      <c r="AJ5" s="117"/>
      <c r="BG5" s="107"/>
      <c r="BH5" s="101"/>
      <c r="BI5" s="108"/>
      <c r="BJ5" s="108"/>
      <c r="BK5" s="108"/>
      <c r="BL5" s="109"/>
      <c r="BM5" s="108"/>
      <c r="BN5" s="108"/>
      <c r="BO5" s="108"/>
      <c r="BP5" s="108"/>
    </row>
    <row r="6" spans="1:68" ht="16" hidden="1" thickBot="1" x14ac:dyDescent="0.25">
      <c r="A6" s="110" t="s">
        <v>52</v>
      </c>
      <c r="B6" s="118"/>
      <c r="C6" s="118"/>
      <c r="D6" s="119"/>
      <c r="E6" s="118"/>
      <c r="F6" s="118"/>
      <c r="G6" s="118"/>
      <c r="H6" s="118"/>
      <c r="I6" s="118"/>
      <c r="J6" s="118"/>
      <c r="K6" s="118"/>
      <c r="L6" s="119"/>
      <c r="M6" s="118"/>
      <c r="N6" s="118"/>
      <c r="O6" s="118"/>
      <c r="P6" s="118"/>
      <c r="Q6" s="118"/>
      <c r="R6" s="118"/>
      <c r="S6" s="118"/>
      <c r="T6" s="119"/>
      <c r="U6" s="118"/>
      <c r="V6" s="118"/>
      <c r="W6" s="118"/>
      <c r="X6" s="118"/>
      <c r="Y6" s="118"/>
      <c r="Z6" s="118"/>
      <c r="AA6" s="118"/>
      <c r="AB6" s="118"/>
      <c r="AC6" s="119"/>
      <c r="AD6" s="118"/>
      <c r="AE6" s="118"/>
      <c r="AF6" s="118"/>
      <c r="AG6" s="118"/>
      <c r="AH6" s="118"/>
      <c r="AI6" s="118"/>
      <c r="AJ6" s="119"/>
      <c r="BG6" s="107"/>
      <c r="BH6" s="101"/>
      <c r="BI6" s="108"/>
      <c r="BJ6" s="108"/>
      <c r="BK6" s="108"/>
      <c r="BL6" s="109"/>
      <c r="BM6" s="108"/>
      <c r="BN6" s="108"/>
      <c r="BO6" s="108"/>
      <c r="BP6" s="108"/>
    </row>
    <row r="7" spans="1:68" ht="16" hidden="1" thickBot="1" x14ac:dyDescent="0.25">
      <c r="A7" s="110" t="s">
        <v>53</v>
      </c>
      <c r="B7" s="120"/>
      <c r="C7" s="120"/>
      <c r="D7" s="119"/>
      <c r="E7" s="120"/>
      <c r="F7" s="120"/>
      <c r="G7" s="120"/>
      <c r="H7" s="120"/>
      <c r="I7" s="120"/>
      <c r="J7" s="120"/>
      <c r="K7" s="120"/>
      <c r="L7" s="119"/>
      <c r="M7" s="120"/>
      <c r="N7" s="120"/>
      <c r="O7" s="120"/>
      <c r="P7" s="120"/>
      <c r="Q7" s="120"/>
      <c r="R7" s="120"/>
      <c r="S7" s="120"/>
      <c r="T7" s="119"/>
      <c r="U7" s="120"/>
      <c r="V7" s="120"/>
      <c r="W7" s="120"/>
      <c r="X7" s="120"/>
      <c r="Y7" s="120"/>
      <c r="Z7" s="120"/>
      <c r="AA7" s="120"/>
      <c r="AB7" s="120"/>
      <c r="AC7" s="119"/>
      <c r="AD7" s="120"/>
      <c r="AE7" s="120"/>
      <c r="AF7" s="120"/>
      <c r="AG7" s="120"/>
      <c r="AH7" s="120"/>
      <c r="AI7" s="120"/>
      <c r="AJ7" s="119"/>
      <c r="BG7" s="107"/>
      <c r="BH7" s="101"/>
      <c r="BI7" s="108"/>
      <c r="BJ7" s="108"/>
      <c r="BK7" s="108"/>
      <c r="BL7" s="109"/>
      <c r="BM7" s="108"/>
      <c r="BN7" s="108"/>
      <c r="BO7" s="108"/>
      <c r="BP7" s="108"/>
    </row>
    <row r="8" spans="1:68" ht="16" hidden="1" thickBot="1" x14ac:dyDescent="0.25">
      <c r="A8" s="110" t="s">
        <v>54</v>
      </c>
      <c r="B8" s="120"/>
      <c r="C8" s="120"/>
      <c r="D8" s="119"/>
      <c r="E8" s="120"/>
      <c r="F8" s="120"/>
      <c r="G8" s="120"/>
      <c r="H8" s="120"/>
      <c r="I8" s="120"/>
      <c r="J8" s="120"/>
      <c r="K8" s="120"/>
      <c r="L8" s="119"/>
      <c r="M8" s="120"/>
      <c r="N8" s="120"/>
      <c r="O8" s="120"/>
      <c r="P8" s="120"/>
      <c r="Q8" s="120"/>
      <c r="R8" s="120"/>
      <c r="S8" s="120"/>
      <c r="T8" s="119"/>
      <c r="U8" s="120"/>
      <c r="V8" s="120"/>
      <c r="W8" s="120"/>
      <c r="X8" s="120"/>
      <c r="Y8" s="120"/>
      <c r="Z8" s="120"/>
      <c r="AA8" s="120"/>
      <c r="AB8" s="120"/>
      <c r="AC8" s="119"/>
      <c r="AD8" s="120"/>
      <c r="AE8" s="120"/>
      <c r="AF8" s="120"/>
      <c r="AG8" s="120"/>
      <c r="AH8" s="120"/>
      <c r="AI8" s="120"/>
      <c r="AJ8" s="119"/>
      <c r="BG8" s="107"/>
      <c r="BH8" s="101"/>
      <c r="BI8" s="108"/>
      <c r="BJ8" s="108"/>
      <c r="BK8" s="108"/>
      <c r="BL8" s="109"/>
      <c r="BM8" s="108"/>
      <c r="BN8" s="108"/>
      <c r="BO8" s="108"/>
      <c r="BP8" s="108"/>
    </row>
    <row r="9" spans="1:68" ht="16" hidden="1" thickBot="1" x14ac:dyDescent="0.25">
      <c r="A9" s="121" t="s">
        <v>55</v>
      </c>
      <c r="B9" s="122"/>
      <c r="C9" s="122"/>
      <c r="D9" s="123"/>
      <c r="E9" s="122"/>
      <c r="F9" s="122"/>
      <c r="G9" s="122"/>
      <c r="H9" s="122"/>
      <c r="I9" s="122"/>
      <c r="J9" s="122"/>
      <c r="K9" s="122"/>
      <c r="L9" s="123"/>
      <c r="M9" s="122"/>
      <c r="N9" s="122"/>
      <c r="O9" s="122"/>
      <c r="P9" s="122"/>
      <c r="Q9" s="122"/>
      <c r="R9" s="122"/>
      <c r="S9" s="122"/>
      <c r="T9" s="123"/>
      <c r="U9" s="122"/>
      <c r="V9" s="122"/>
      <c r="W9" s="122"/>
      <c r="X9" s="122"/>
      <c r="Y9" s="122"/>
      <c r="Z9" s="122"/>
      <c r="AA9" s="122"/>
      <c r="AB9" s="122"/>
      <c r="AC9" s="123"/>
      <c r="AD9" s="122"/>
      <c r="AE9" s="122"/>
      <c r="AF9" s="122"/>
      <c r="AG9" s="122"/>
      <c r="AH9" s="122"/>
      <c r="AI9" s="122"/>
      <c r="AJ9" s="123"/>
      <c r="BG9" s="107"/>
      <c r="BH9" s="101"/>
      <c r="BI9" s="108"/>
      <c r="BJ9" s="108"/>
      <c r="BK9" s="108"/>
      <c r="BL9" s="109"/>
      <c r="BM9" s="108"/>
      <c r="BN9" s="108"/>
      <c r="BO9" s="108"/>
      <c r="BP9" s="108"/>
    </row>
    <row r="10" spans="1:68" x14ac:dyDescent="0.2">
      <c r="A10" s="124" t="s">
        <v>56</v>
      </c>
      <c r="B10" s="105">
        <v>22.32</v>
      </c>
      <c r="C10" s="105">
        <v>22.32</v>
      </c>
      <c r="D10" s="112">
        <f>+SUM(B10:C10)</f>
        <v>44.64</v>
      </c>
      <c r="E10" s="105">
        <v>22.32</v>
      </c>
      <c r="F10" s="105">
        <v>22.32</v>
      </c>
      <c r="G10" s="105">
        <v>22.32</v>
      </c>
      <c r="H10" s="105">
        <v>22.32</v>
      </c>
      <c r="I10" s="105">
        <v>22.32</v>
      </c>
      <c r="J10" s="105">
        <v>22.32</v>
      </c>
      <c r="K10" s="105">
        <v>22.32</v>
      </c>
      <c r="L10" s="112">
        <f>+D10+SUM(E10:K10)</f>
        <v>200.88</v>
      </c>
      <c r="M10" s="105">
        <v>22.32</v>
      </c>
      <c r="N10" s="105">
        <v>22.32</v>
      </c>
      <c r="O10" s="105">
        <v>37</v>
      </c>
      <c r="P10" s="105">
        <v>37</v>
      </c>
      <c r="Q10" s="105">
        <v>37</v>
      </c>
      <c r="R10" s="105">
        <v>37</v>
      </c>
      <c r="S10" s="105">
        <v>37</v>
      </c>
      <c r="T10" s="112">
        <f>+L10+SUM(M10:S10)</f>
        <v>430.52</v>
      </c>
      <c r="U10" s="105">
        <v>10</v>
      </c>
      <c r="V10" s="105">
        <v>30</v>
      </c>
      <c r="W10" s="105">
        <v>30</v>
      </c>
      <c r="X10" s="105">
        <v>30</v>
      </c>
      <c r="Y10" s="105">
        <v>30</v>
      </c>
      <c r="Z10" s="105">
        <v>10</v>
      </c>
      <c r="AA10" s="105">
        <v>10</v>
      </c>
      <c r="AB10" s="105">
        <v>36</v>
      </c>
      <c r="AC10" s="112">
        <f>+T10+SUM(U10:AB10)</f>
        <v>616.52</v>
      </c>
      <c r="AD10" s="105">
        <v>36</v>
      </c>
      <c r="AE10" s="105">
        <v>36</v>
      </c>
      <c r="AF10" s="105">
        <v>36</v>
      </c>
      <c r="AG10" s="105">
        <v>20</v>
      </c>
      <c r="AH10" s="105">
        <v>10</v>
      </c>
      <c r="AI10" s="105">
        <v>30</v>
      </c>
      <c r="AJ10" s="112">
        <f>+AC10+SUM(AD10:AI10)</f>
        <v>784.52</v>
      </c>
      <c r="BG10" s="107">
        <v>370</v>
      </c>
      <c r="BH10" s="101"/>
      <c r="BI10" s="108"/>
      <c r="BJ10" s="108"/>
      <c r="BK10" s="108"/>
      <c r="BL10" s="109"/>
      <c r="BM10" s="108"/>
      <c r="BN10" s="108"/>
      <c r="BO10" s="108"/>
      <c r="BP10" s="108"/>
    </row>
    <row r="11" spans="1:68" ht="12" customHeight="1" x14ac:dyDescent="0.2">
      <c r="A11" s="125" t="s">
        <v>57</v>
      </c>
      <c r="B11" s="111">
        <v>29.77</v>
      </c>
      <c r="C11" s="111">
        <v>31.6</v>
      </c>
      <c r="D11" s="112">
        <f>+SUM(B11:C11)</f>
        <v>61.370000000000005</v>
      </c>
      <c r="E11" s="111">
        <v>27.8</v>
      </c>
      <c r="F11" s="111">
        <v>0</v>
      </c>
      <c r="G11" s="111">
        <v>0</v>
      </c>
      <c r="H11" s="111">
        <v>19.399999999999999</v>
      </c>
      <c r="I11" s="111">
        <v>23.33</v>
      </c>
      <c r="J11" s="111">
        <v>31.666</v>
      </c>
      <c r="K11" s="111">
        <v>32</v>
      </c>
      <c r="L11" s="112">
        <f>+D11+SUM(E11:K11)</f>
        <v>195.566</v>
      </c>
      <c r="M11" s="275">
        <v>18.966000000000001</v>
      </c>
      <c r="N11" s="111">
        <v>30.988</v>
      </c>
      <c r="O11" s="111">
        <v>33.430999999999997</v>
      </c>
      <c r="P11" s="111">
        <v>36.491999999999997</v>
      </c>
      <c r="Q11" s="111">
        <v>37.35</v>
      </c>
      <c r="R11" s="275">
        <v>38.420999999999999</v>
      </c>
      <c r="S11" s="111">
        <v>37.914000000000001</v>
      </c>
      <c r="T11" s="112">
        <f>+L11+SUM(M11:S11)</f>
        <v>429.12799999999993</v>
      </c>
      <c r="U11" s="111">
        <f>+DOWNSTREAM!T11</f>
        <v>0</v>
      </c>
      <c r="V11" s="111">
        <f>+DOWNSTREAM!U11</f>
        <v>0</v>
      </c>
      <c r="W11" s="111">
        <f>+DOWNSTREAM!V11</f>
        <v>0</v>
      </c>
      <c r="X11" s="111">
        <f>+DOWNSTREAM!W11</f>
        <v>0</v>
      </c>
      <c r="Y11" s="111">
        <f>+DOWNSTREAM!X11</f>
        <v>0</v>
      </c>
      <c r="Z11" s="111">
        <f>+DOWNSTREAM!Z11</f>
        <v>0</v>
      </c>
      <c r="AA11" s="111">
        <f>+DOWNSTREAM!AA11</f>
        <v>0</v>
      </c>
      <c r="AB11" s="111">
        <f>+DOWNSTREAM!AB11</f>
        <v>0</v>
      </c>
      <c r="AC11" s="112">
        <f>+T11+SUM(U11:AB11)</f>
        <v>429.12799999999993</v>
      </c>
      <c r="AD11" s="111">
        <f>+DOWNSTREAM!AC11</f>
        <v>0</v>
      </c>
      <c r="AE11" s="111">
        <f>+DOWNSTREAM!AD11</f>
        <v>0</v>
      </c>
      <c r="AF11" s="111">
        <f>+DOWNSTREAM!AE11</f>
        <v>0</v>
      </c>
      <c r="AG11" s="111">
        <f>+DOWNSTREAM!AF11</f>
        <v>0</v>
      </c>
      <c r="AH11" s="111">
        <f>+DOWNSTREAM!AH11</f>
        <v>0</v>
      </c>
      <c r="AI11" s="111">
        <f>+DOWNSTREAM!AI11</f>
        <v>0</v>
      </c>
      <c r="AJ11" s="112">
        <f>+AC11+SUM(AD11:AI11)</f>
        <v>429.12799999999993</v>
      </c>
      <c r="BG11" s="107"/>
      <c r="BH11" s="101"/>
      <c r="BI11" s="108"/>
      <c r="BJ11" s="108"/>
      <c r="BK11" s="108"/>
      <c r="BL11" s="109"/>
      <c r="BM11" s="108"/>
      <c r="BN11" s="108"/>
      <c r="BO11" s="108"/>
      <c r="BP11" s="108"/>
    </row>
    <row r="12" spans="1:68" ht="16" thickBot="1" x14ac:dyDescent="0.25">
      <c r="A12" s="126" t="s">
        <v>3</v>
      </c>
      <c r="B12" s="114">
        <f>IFERROR(+B11/B10,0)</f>
        <v>1.3337813620071683</v>
      </c>
      <c r="C12" s="114">
        <f>IFERROR(+C11/C10,0)</f>
        <v>1.4157706093189966</v>
      </c>
      <c r="D12" s="115">
        <f>IFERROR(+D11/D10,0)</f>
        <v>1.3747759856630826</v>
      </c>
      <c r="E12" s="114">
        <f>IFERROR(+E11/E10,0)</f>
        <v>1.2455197132616487</v>
      </c>
      <c r="F12" s="114">
        <f t="shared" ref="F12:AJ12" si="4">IFERROR(+F11/F10,0)</f>
        <v>0</v>
      </c>
      <c r="G12" s="114">
        <f t="shared" si="4"/>
        <v>0</v>
      </c>
      <c r="H12" s="114">
        <f t="shared" si="4"/>
        <v>0.8691756272401433</v>
      </c>
      <c r="I12" s="114">
        <f t="shared" si="4"/>
        <v>1.0452508960573477</v>
      </c>
      <c r="J12" s="114">
        <f t="shared" si="4"/>
        <v>1.4187275985663081</v>
      </c>
      <c r="K12" s="114">
        <f t="shared" si="4"/>
        <v>1.4336917562724014</v>
      </c>
      <c r="L12" s="115">
        <f t="shared" si="4"/>
        <v>0.97354639585822389</v>
      </c>
      <c r="M12" s="114">
        <f t="shared" si="4"/>
        <v>0.84973118279569892</v>
      </c>
      <c r="N12" s="114">
        <f t="shared" si="4"/>
        <v>1.3883512544802867</v>
      </c>
      <c r="O12" s="114">
        <f t="shared" si="4"/>
        <v>0.90354054054054045</v>
      </c>
      <c r="P12" s="114">
        <f t="shared" si="4"/>
        <v>0.98627027027027014</v>
      </c>
      <c r="Q12" s="114">
        <f t="shared" si="4"/>
        <v>1.0094594594594595</v>
      </c>
      <c r="R12" s="114">
        <f t="shared" si="4"/>
        <v>1.0384054054054055</v>
      </c>
      <c r="S12" s="114">
        <f t="shared" si="4"/>
        <v>1.0247027027027027</v>
      </c>
      <c r="T12" s="115">
        <f t="shared" si="4"/>
        <v>0.99676670073399598</v>
      </c>
      <c r="U12" s="114">
        <f t="shared" si="4"/>
        <v>0</v>
      </c>
      <c r="V12" s="114">
        <f t="shared" si="4"/>
        <v>0</v>
      </c>
      <c r="W12" s="114">
        <f t="shared" si="4"/>
        <v>0</v>
      </c>
      <c r="X12" s="114">
        <f t="shared" si="4"/>
        <v>0</v>
      </c>
      <c r="Y12" s="114">
        <f t="shared" si="4"/>
        <v>0</v>
      </c>
      <c r="Z12" s="114">
        <f t="shared" si="4"/>
        <v>0</v>
      </c>
      <c r="AA12" s="114">
        <f t="shared" si="4"/>
        <v>0</v>
      </c>
      <c r="AB12" s="114">
        <f>IFERROR(+AB11/AB10,0)</f>
        <v>0</v>
      </c>
      <c r="AC12" s="115">
        <f t="shared" si="4"/>
        <v>0.69604878998248221</v>
      </c>
      <c r="AD12" s="114">
        <f t="shared" si="4"/>
        <v>0</v>
      </c>
      <c r="AE12" s="114">
        <f t="shared" si="4"/>
        <v>0</v>
      </c>
      <c r="AF12" s="114">
        <f t="shared" si="4"/>
        <v>0</v>
      </c>
      <c r="AG12" s="114">
        <f t="shared" si="4"/>
        <v>0</v>
      </c>
      <c r="AH12" s="114">
        <f t="shared" si="4"/>
        <v>0</v>
      </c>
      <c r="AI12" s="114">
        <f t="shared" si="4"/>
        <v>0</v>
      </c>
      <c r="AJ12" s="115">
        <f t="shared" si="4"/>
        <v>0.54699434048845141</v>
      </c>
      <c r="BG12" s="107"/>
      <c r="BH12" s="101"/>
      <c r="BI12" s="108"/>
      <c r="BJ12" s="108"/>
      <c r="BK12" s="108"/>
      <c r="BL12" s="109"/>
      <c r="BM12" s="108"/>
      <c r="BN12" s="108"/>
      <c r="BO12" s="108"/>
      <c r="BP12" s="108"/>
    </row>
    <row r="13" spans="1:68" ht="16" hidden="1" thickBot="1" x14ac:dyDescent="0.25">
      <c r="A13" s="125" t="s">
        <v>58</v>
      </c>
      <c r="B13" s="116"/>
      <c r="C13" s="116"/>
      <c r="D13" s="117"/>
      <c r="E13" s="116"/>
      <c r="F13" s="116"/>
      <c r="G13" s="116"/>
      <c r="H13" s="116"/>
      <c r="I13" s="116"/>
      <c r="J13" s="116"/>
      <c r="K13" s="116"/>
      <c r="L13" s="117"/>
      <c r="M13" s="116"/>
      <c r="N13" s="116"/>
      <c r="O13" s="116"/>
      <c r="P13" s="116"/>
      <c r="Q13" s="116"/>
      <c r="R13" s="116"/>
      <c r="S13" s="116"/>
      <c r="T13" s="117"/>
      <c r="U13" s="116"/>
      <c r="V13" s="116"/>
      <c r="W13" s="116"/>
      <c r="X13" s="116"/>
      <c r="Y13" s="116"/>
      <c r="Z13" s="116"/>
      <c r="AA13" s="116"/>
      <c r="AB13" s="116"/>
      <c r="AC13" s="117"/>
      <c r="AD13" s="116"/>
      <c r="AE13" s="116"/>
      <c r="AF13" s="116"/>
      <c r="AG13" s="116"/>
      <c r="AH13" s="116"/>
      <c r="AI13" s="116"/>
      <c r="AJ13" s="117"/>
      <c r="BG13" s="107"/>
      <c r="BH13" s="101"/>
      <c r="BI13" s="108"/>
      <c r="BJ13" s="108"/>
      <c r="BK13" s="108"/>
      <c r="BL13" s="109"/>
      <c r="BM13" s="108"/>
      <c r="BN13" s="108"/>
      <c r="BO13" s="108"/>
      <c r="BP13" s="108"/>
    </row>
    <row r="14" spans="1:68" ht="16" hidden="1" thickBot="1" x14ac:dyDescent="0.25">
      <c r="A14" s="125" t="s">
        <v>53</v>
      </c>
      <c r="B14" s="120"/>
      <c r="C14" s="120"/>
      <c r="D14" s="127"/>
      <c r="E14" s="120"/>
      <c r="F14" s="120"/>
      <c r="G14" s="120"/>
      <c r="H14" s="120"/>
      <c r="I14" s="120"/>
      <c r="J14" s="120"/>
      <c r="K14" s="120"/>
      <c r="L14" s="127"/>
      <c r="M14" s="120"/>
      <c r="N14" s="120"/>
      <c r="O14" s="120"/>
      <c r="P14" s="120"/>
      <c r="Q14" s="120"/>
      <c r="R14" s="120"/>
      <c r="S14" s="120"/>
      <c r="T14" s="127"/>
      <c r="U14" s="120"/>
      <c r="V14" s="120"/>
      <c r="W14" s="120"/>
      <c r="X14" s="120"/>
      <c r="Y14" s="120"/>
      <c r="Z14" s="120"/>
      <c r="AA14" s="120"/>
      <c r="AB14" s="120"/>
      <c r="AC14" s="127"/>
      <c r="AD14" s="120"/>
      <c r="AE14" s="120"/>
      <c r="AF14" s="120"/>
      <c r="AG14" s="120"/>
      <c r="AH14" s="120"/>
      <c r="AI14" s="120"/>
      <c r="AJ14" s="127"/>
      <c r="BG14" s="107"/>
      <c r="BH14" s="101"/>
      <c r="BI14" s="108"/>
      <c r="BJ14" s="108"/>
      <c r="BK14" s="108"/>
      <c r="BL14" s="109"/>
      <c r="BM14" s="108"/>
      <c r="BN14" s="108"/>
      <c r="BO14" s="108"/>
      <c r="BP14" s="108"/>
    </row>
    <row r="15" spans="1:68" ht="16" hidden="1" thickBot="1" x14ac:dyDescent="0.25">
      <c r="A15" s="125" t="s">
        <v>54</v>
      </c>
      <c r="B15" s="120"/>
      <c r="C15" s="120"/>
      <c r="D15" s="127"/>
      <c r="E15" s="120"/>
      <c r="F15" s="120"/>
      <c r="G15" s="120"/>
      <c r="H15" s="120"/>
      <c r="I15" s="120"/>
      <c r="J15" s="120"/>
      <c r="K15" s="120"/>
      <c r="L15" s="127"/>
      <c r="M15" s="120"/>
      <c r="N15" s="120"/>
      <c r="O15" s="120"/>
      <c r="P15" s="120"/>
      <c r="Q15" s="120"/>
      <c r="R15" s="120"/>
      <c r="S15" s="120"/>
      <c r="T15" s="127"/>
      <c r="U15" s="120"/>
      <c r="V15" s="120"/>
      <c r="W15" s="120"/>
      <c r="X15" s="120"/>
      <c r="Y15" s="120"/>
      <c r="Z15" s="120"/>
      <c r="AA15" s="120"/>
      <c r="AB15" s="120"/>
      <c r="AC15" s="127"/>
      <c r="AD15" s="120"/>
      <c r="AE15" s="120"/>
      <c r="AF15" s="120"/>
      <c r="AG15" s="120"/>
      <c r="AH15" s="120"/>
      <c r="AI15" s="120"/>
      <c r="AJ15" s="127"/>
      <c r="BG15" s="107"/>
      <c r="BH15" s="101"/>
      <c r="BI15" s="108"/>
      <c r="BJ15" s="108"/>
      <c r="BK15" s="108"/>
      <c r="BL15" s="109"/>
      <c r="BM15" s="108"/>
      <c r="BN15" s="108"/>
      <c r="BO15" s="108"/>
      <c r="BP15" s="108"/>
    </row>
    <row r="16" spans="1:68" ht="16" hidden="1" thickBot="1" x14ac:dyDescent="0.25">
      <c r="A16" s="128" t="s">
        <v>55</v>
      </c>
      <c r="B16" s="129"/>
      <c r="C16" s="129"/>
      <c r="D16" s="130"/>
      <c r="E16" s="129"/>
      <c r="F16" s="129"/>
      <c r="G16" s="129"/>
      <c r="H16" s="129"/>
      <c r="I16" s="129"/>
      <c r="J16" s="129"/>
      <c r="K16" s="129"/>
      <c r="L16" s="130"/>
      <c r="M16" s="129"/>
      <c r="N16" s="129"/>
      <c r="O16" s="129"/>
      <c r="P16" s="129"/>
      <c r="Q16" s="129"/>
      <c r="R16" s="129"/>
      <c r="S16" s="129"/>
      <c r="T16" s="130"/>
      <c r="U16" s="129"/>
      <c r="V16" s="129"/>
      <c r="W16" s="129"/>
      <c r="X16" s="129"/>
      <c r="Y16" s="129"/>
      <c r="Z16" s="129"/>
      <c r="AA16" s="129"/>
      <c r="AB16" s="129"/>
      <c r="AC16" s="130"/>
      <c r="AD16" s="129"/>
      <c r="AE16" s="129"/>
      <c r="AF16" s="129"/>
      <c r="AG16" s="129"/>
      <c r="AH16" s="129"/>
      <c r="AI16" s="129"/>
      <c r="AJ16" s="130"/>
      <c r="BG16" s="107"/>
      <c r="BH16" s="101"/>
      <c r="BI16" s="108"/>
      <c r="BJ16" s="108"/>
      <c r="BK16" s="108"/>
      <c r="BL16" s="109"/>
      <c r="BM16" s="108"/>
      <c r="BN16" s="108"/>
      <c r="BO16" s="108"/>
      <c r="BP16" s="108"/>
    </row>
    <row r="17" spans="1:68" x14ac:dyDescent="0.2">
      <c r="A17" s="131" t="s">
        <v>59</v>
      </c>
      <c r="B17" s="105">
        <v>70.678272727272727</v>
      </c>
      <c r="C17" s="105">
        <v>70.678272727272727</v>
      </c>
      <c r="D17" s="112">
        <f>+SUM(B17:C17)</f>
        <v>141.35654545454545</v>
      </c>
      <c r="E17" s="105">
        <v>70.678272727272727</v>
      </c>
      <c r="F17" s="105">
        <v>70.678272727272727</v>
      </c>
      <c r="G17" s="105">
        <v>70.678272727272727</v>
      </c>
      <c r="H17" s="105">
        <v>70.678272727272727</v>
      </c>
      <c r="I17" s="105">
        <v>70.678272727272727</v>
      </c>
      <c r="J17" s="105">
        <v>70.678272727272727</v>
      </c>
      <c r="K17" s="105">
        <v>70.678272727272727</v>
      </c>
      <c r="L17" s="112">
        <f>+D17+SUM(E17:K17)</f>
        <v>636.10445454545447</v>
      </c>
      <c r="M17" s="105">
        <v>70.678272727272727</v>
      </c>
      <c r="N17" s="105">
        <v>70.678272727272727</v>
      </c>
      <c r="O17" s="105">
        <v>95</v>
      </c>
      <c r="P17" s="105">
        <v>95</v>
      </c>
      <c r="Q17" s="105">
        <v>95</v>
      </c>
      <c r="R17" s="105">
        <v>95</v>
      </c>
      <c r="S17" s="105">
        <v>95</v>
      </c>
      <c r="T17" s="112">
        <f>+L17+SUM(M17:S17)</f>
        <v>1252.4609999999998</v>
      </c>
      <c r="U17" s="105">
        <v>95</v>
      </c>
      <c r="V17" s="105">
        <v>95</v>
      </c>
      <c r="W17" s="105">
        <v>95</v>
      </c>
      <c r="X17" s="105">
        <v>95</v>
      </c>
      <c r="Y17" s="105">
        <v>95</v>
      </c>
      <c r="Z17" s="105">
        <v>95</v>
      </c>
      <c r="AA17" s="105">
        <v>95</v>
      </c>
      <c r="AB17" s="105">
        <v>95</v>
      </c>
      <c r="AC17" s="112">
        <f>+T17+SUM(U17:AB17)</f>
        <v>2012.4609999999998</v>
      </c>
      <c r="AD17" s="105">
        <v>95</v>
      </c>
      <c r="AE17" s="105">
        <v>95</v>
      </c>
      <c r="AF17" s="105">
        <v>95</v>
      </c>
      <c r="AG17" s="105">
        <v>95</v>
      </c>
      <c r="AH17" s="105">
        <v>95</v>
      </c>
      <c r="AI17" s="105">
        <v>95</v>
      </c>
      <c r="AJ17" s="112">
        <f>+AC17+SUM(AD17:AI17)</f>
        <v>2582.4609999999998</v>
      </c>
      <c r="BG17" s="107">
        <v>3578.9473684210529</v>
      </c>
      <c r="BH17" s="101"/>
      <c r="BI17" s="108"/>
      <c r="BJ17" s="108"/>
      <c r="BK17" s="108"/>
      <c r="BL17" s="109"/>
      <c r="BM17" s="108"/>
      <c r="BN17" s="108"/>
      <c r="BO17" s="108"/>
      <c r="BP17" s="108"/>
    </row>
    <row r="18" spans="1:68" ht="12" customHeight="1" x14ac:dyDescent="0.2">
      <c r="A18" s="132" t="s">
        <v>60</v>
      </c>
      <c r="B18" s="111">
        <v>64.569999999999993</v>
      </c>
      <c r="C18" s="111">
        <v>93.8</v>
      </c>
      <c r="D18" s="112">
        <f>+SUM(B18:C18)</f>
        <v>158.37</v>
      </c>
      <c r="E18" s="111">
        <v>83.1</v>
      </c>
      <c r="F18" s="111">
        <v>93.23</v>
      </c>
      <c r="G18" s="111">
        <v>86.911000000000001</v>
      </c>
      <c r="H18" s="111">
        <v>0</v>
      </c>
      <c r="I18" s="111">
        <v>53.7</v>
      </c>
      <c r="J18" s="111">
        <v>47.37</v>
      </c>
      <c r="K18" s="111">
        <v>78.2</v>
      </c>
      <c r="L18" s="112">
        <f>+D18+SUM(E18:K18)</f>
        <v>600.88099999999997</v>
      </c>
      <c r="M18" s="111">
        <v>90.65</v>
      </c>
      <c r="N18" s="111">
        <v>85.93</v>
      </c>
      <c r="O18" s="111">
        <v>85.9</v>
      </c>
      <c r="P18" s="111">
        <v>80.5</v>
      </c>
      <c r="Q18" s="111">
        <v>93.3</v>
      </c>
      <c r="R18" s="111">
        <v>91.6</v>
      </c>
      <c r="S18" s="111">
        <v>85.5</v>
      </c>
      <c r="T18" s="112">
        <f>+L18+SUM(M18:S18)</f>
        <v>1214.261</v>
      </c>
      <c r="U18" s="111">
        <f>+DOWNSTREAM!T20</f>
        <v>0</v>
      </c>
      <c r="V18" s="111">
        <f>+DOWNSTREAM!U20</f>
        <v>0</v>
      </c>
      <c r="W18" s="111">
        <f>+DOWNSTREAM!V20</f>
        <v>0</v>
      </c>
      <c r="X18" s="111">
        <f>+DOWNSTREAM!W20</f>
        <v>0</v>
      </c>
      <c r="Y18" s="111">
        <f>+DOWNSTREAM!X20</f>
        <v>0</v>
      </c>
      <c r="Z18" s="111">
        <f>+DOWNSTREAM!Z20</f>
        <v>0</v>
      </c>
      <c r="AA18" s="111">
        <f>+DOWNSTREAM!AA20</f>
        <v>0</v>
      </c>
      <c r="AB18" s="111">
        <f>+DOWNSTREAM!AB20</f>
        <v>0</v>
      </c>
      <c r="AC18" s="112">
        <f>+T18+SUM(U18:AB18)</f>
        <v>1214.261</v>
      </c>
      <c r="AD18" s="111">
        <f>+DOWNSTREAM!AC20</f>
        <v>0</v>
      </c>
      <c r="AE18" s="111">
        <f>+DOWNSTREAM!AD20</f>
        <v>0</v>
      </c>
      <c r="AF18" s="111">
        <f>+DOWNSTREAM!AE20</f>
        <v>0</v>
      </c>
      <c r="AG18" s="111">
        <f>+DOWNSTREAM!AF20</f>
        <v>0</v>
      </c>
      <c r="AH18" s="111">
        <f>+DOWNSTREAM!AH20</f>
        <v>0</v>
      </c>
      <c r="AI18" s="111">
        <f>+DOWNSTREAM!AI20</f>
        <v>0</v>
      </c>
      <c r="AJ18" s="112">
        <f>+AC18+SUM(AD18:AI18)</f>
        <v>1214.261</v>
      </c>
      <c r="BG18" s="107"/>
      <c r="BH18" s="101"/>
      <c r="BI18" s="108"/>
      <c r="BJ18" s="108"/>
      <c r="BK18" s="108"/>
      <c r="BL18" s="109"/>
      <c r="BM18" s="108"/>
      <c r="BN18" s="108"/>
      <c r="BO18" s="108"/>
      <c r="BP18" s="108"/>
    </row>
    <row r="19" spans="1:68" ht="16" thickBot="1" x14ac:dyDescent="0.25">
      <c r="A19" s="133" t="s">
        <v>3</v>
      </c>
      <c r="B19" s="114">
        <f>IFERROR(+B18/B17,0)</f>
        <v>0.9135763723196404</v>
      </c>
      <c r="C19" s="114">
        <f>IFERROR(+C18/C17,0)</f>
        <v>1.3271405253768356</v>
      </c>
      <c r="D19" s="115">
        <f>IFERROR(+D18/D17,0)</f>
        <v>1.1203584488482381</v>
      </c>
      <c r="E19" s="114">
        <f>IFERROR(+E18/E17,0)</f>
        <v>1.1757502948700962</v>
      </c>
      <c r="F19" s="114">
        <f t="shared" ref="F19:AJ19" si="5">IFERROR(+F18/F17,0)</f>
        <v>1.3190758121629254</v>
      </c>
      <c r="G19" s="114">
        <f t="shared" si="5"/>
        <v>1.229670684445908</v>
      </c>
      <c r="H19" s="114">
        <f t="shared" si="5"/>
        <v>0</v>
      </c>
      <c r="I19" s="114">
        <f t="shared" si="5"/>
        <v>0.75978087646840164</v>
      </c>
      <c r="J19" s="114">
        <f t="shared" si="5"/>
        <v>0.67022011393497549</v>
      </c>
      <c r="K19" s="114">
        <f t="shared" si="5"/>
        <v>1.1064220584698139</v>
      </c>
      <c r="L19" s="115">
        <f t="shared" si="5"/>
        <v>0.94462630422762195</v>
      </c>
      <c r="M19" s="114">
        <f t="shared" si="5"/>
        <v>1.2825723734052255</v>
      </c>
      <c r="N19" s="114">
        <f t="shared" si="5"/>
        <v>1.2157908885461779</v>
      </c>
      <c r="O19" s="114">
        <f t="shared" si="5"/>
        <v>0.90421052631578958</v>
      </c>
      <c r="P19" s="114">
        <f t="shared" si="5"/>
        <v>0.84736842105263155</v>
      </c>
      <c r="Q19" s="114">
        <f t="shared" si="5"/>
        <v>0.9821052631578947</v>
      </c>
      <c r="R19" s="114">
        <f t="shared" si="5"/>
        <v>0.96421052631578941</v>
      </c>
      <c r="S19" s="114">
        <f t="shared" si="5"/>
        <v>0.9</v>
      </c>
      <c r="T19" s="115">
        <f t="shared" si="5"/>
        <v>0.96950004830489744</v>
      </c>
      <c r="U19" s="114">
        <f t="shared" si="5"/>
        <v>0</v>
      </c>
      <c r="V19" s="114">
        <f t="shared" si="5"/>
        <v>0</v>
      </c>
      <c r="W19" s="114">
        <f t="shared" si="5"/>
        <v>0</v>
      </c>
      <c r="X19" s="114">
        <f t="shared" si="5"/>
        <v>0</v>
      </c>
      <c r="Y19" s="114">
        <f t="shared" si="5"/>
        <v>0</v>
      </c>
      <c r="Z19" s="114">
        <f t="shared" si="5"/>
        <v>0</v>
      </c>
      <c r="AA19" s="114">
        <f t="shared" si="5"/>
        <v>0</v>
      </c>
      <c r="AB19" s="114">
        <f>IFERROR(+AB18/AB17,0)</f>
        <v>0</v>
      </c>
      <c r="AC19" s="115">
        <f t="shared" si="5"/>
        <v>0.60337119576478759</v>
      </c>
      <c r="AD19" s="114">
        <f t="shared" si="5"/>
        <v>0</v>
      </c>
      <c r="AE19" s="114">
        <f t="shared" si="5"/>
        <v>0</v>
      </c>
      <c r="AF19" s="114">
        <f t="shared" si="5"/>
        <v>0</v>
      </c>
      <c r="AG19" s="114">
        <f t="shared" si="5"/>
        <v>0</v>
      </c>
      <c r="AH19" s="114">
        <f t="shared" si="5"/>
        <v>0</v>
      </c>
      <c r="AI19" s="114">
        <f t="shared" si="5"/>
        <v>0</v>
      </c>
      <c r="AJ19" s="115">
        <f t="shared" si="5"/>
        <v>0.47019529046130804</v>
      </c>
      <c r="BG19" s="107"/>
      <c r="BH19" s="101"/>
      <c r="BI19" s="108"/>
      <c r="BJ19" s="108"/>
      <c r="BK19" s="108"/>
      <c r="BL19" s="109"/>
      <c r="BM19" s="108"/>
      <c r="BN19" s="108"/>
      <c r="BO19" s="108"/>
      <c r="BP19" s="108"/>
    </row>
    <row r="20" spans="1:68" ht="16" hidden="1" thickBot="1" x14ac:dyDescent="0.25">
      <c r="A20" s="132" t="s">
        <v>61</v>
      </c>
      <c r="B20" s="116"/>
      <c r="C20" s="116"/>
      <c r="D20" s="117"/>
      <c r="E20" s="116"/>
      <c r="F20" s="116"/>
      <c r="G20" s="116"/>
      <c r="H20" s="116"/>
      <c r="I20" s="116"/>
      <c r="J20" s="116"/>
      <c r="K20" s="116"/>
      <c r="L20" s="117"/>
      <c r="M20" s="116"/>
      <c r="N20" s="116"/>
      <c r="O20" s="116"/>
      <c r="P20" s="116"/>
      <c r="Q20" s="116"/>
      <c r="R20" s="116"/>
      <c r="S20" s="116"/>
      <c r="T20" s="117"/>
      <c r="U20" s="116"/>
      <c r="V20" s="116"/>
      <c r="W20" s="116"/>
      <c r="X20" s="116"/>
      <c r="Y20" s="116"/>
      <c r="Z20" s="116"/>
      <c r="AA20" s="116"/>
      <c r="AB20" s="116"/>
      <c r="AC20" s="117"/>
      <c r="AD20" s="116"/>
      <c r="AE20" s="116"/>
      <c r="AF20" s="116"/>
      <c r="AG20" s="116"/>
      <c r="AH20" s="116"/>
      <c r="AI20" s="116"/>
      <c r="AJ20" s="117"/>
      <c r="BG20" s="107"/>
      <c r="BH20" s="101"/>
      <c r="BI20" s="108"/>
      <c r="BJ20" s="108"/>
      <c r="BK20" s="108"/>
      <c r="BL20" s="109"/>
      <c r="BM20" s="108"/>
      <c r="BN20" s="108"/>
      <c r="BO20" s="108"/>
      <c r="BP20" s="108"/>
    </row>
    <row r="21" spans="1:68" ht="16" hidden="1" thickBot="1" x14ac:dyDescent="0.25">
      <c r="A21" s="132" t="s">
        <v>53</v>
      </c>
      <c r="B21" s="111"/>
      <c r="C21" s="111"/>
      <c r="D21" s="112"/>
      <c r="E21" s="111"/>
      <c r="F21" s="111"/>
      <c r="G21" s="111"/>
      <c r="H21" s="111"/>
      <c r="I21" s="111"/>
      <c r="J21" s="111"/>
      <c r="K21" s="111"/>
      <c r="L21" s="112"/>
      <c r="M21" s="111"/>
      <c r="N21" s="111"/>
      <c r="O21" s="111"/>
      <c r="P21" s="111"/>
      <c r="Q21" s="111"/>
      <c r="R21" s="111"/>
      <c r="S21" s="111"/>
      <c r="T21" s="112"/>
      <c r="U21" s="111"/>
      <c r="V21" s="111"/>
      <c r="W21" s="111"/>
      <c r="X21" s="111"/>
      <c r="Y21" s="111"/>
      <c r="Z21" s="111"/>
      <c r="AA21" s="111"/>
      <c r="AB21" s="111"/>
      <c r="AC21" s="112"/>
      <c r="AD21" s="111"/>
      <c r="AE21" s="111"/>
      <c r="AF21" s="111"/>
      <c r="AG21" s="111"/>
      <c r="AH21" s="111"/>
      <c r="AI21" s="111"/>
      <c r="AJ21" s="112"/>
      <c r="BG21" s="107"/>
      <c r="BH21" s="101"/>
      <c r="BI21" s="108"/>
      <c r="BJ21" s="108"/>
      <c r="BK21" s="108"/>
      <c r="BL21" s="109"/>
      <c r="BM21" s="108"/>
      <c r="BN21" s="108"/>
      <c r="BO21" s="108"/>
      <c r="BP21" s="108"/>
    </row>
    <row r="22" spans="1:68" ht="16" hidden="1" thickBot="1" x14ac:dyDescent="0.25">
      <c r="A22" s="132" t="s">
        <v>54</v>
      </c>
      <c r="B22" s="111"/>
      <c r="C22" s="111"/>
      <c r="D22" s="112"/>
      <c r="E22" s="111"/>
      <c r="F22" s="111"/>
      <c r="G22" s="111"/>
      <c r="H22" s="111"/>
      <c r="I22" s="111"/>
      <c r="J22" s="111"/>
      <c r="K22" s="111"/>
      <c r="L22" s="112"/>
      <c r="M22" s="111"/>
      <c r="N22" s="111"/>
      <c r="O22" s="111"/>
      <c r="P22" s="111"/>
      <c r="Q22" s="111"/>
      <c r="R22" s="111"/>
      <c r="S22" s="111"/>
      <c r="T22" s="112"/>
      <c r="U22" s="111"/>
      <c r="V22" s="111"/>
      <c r="W22" s="111"/>
      <c r="X22" s="111"/>
      <c r="Y22" s="111"/>
      <c r="Z22" s="111"/>
      <c r="AA22" s="111"/>
      <c r="AB22" s="111"/>
      <c r="AC22" s="112"/>
      <c r="AD22" s="111"/>
      <c r="AE22" s="111"/>
      <c r="AF22" s="111"/>
      <c r="AG22" s="111"/>
      <c r="AH22" s="111"/>
      <c r="AI22" s="111"/>
      <c r="AJ22" s="112"/>
      <c r="BG22" s="107"/>
      <c r="BH22" s="101"/>
      <c r="BI22" s="108"/>
      <c r="BJ22" s="108"/>
      <c r="BK22" s="108"/>
      <c r="BL22" s="109"/>
      <c r="BM22" s="108"/>
      <c r="BN22" s="108"/>
      <c r="BO22" s="108"/>
      <c r="BP22" s="108"/>
    </row>
    <row r="23" spans="1:68" x14ac:dyDescent="0.2">
      <c r="A23" s="134" t="s">
        <v>62</v>
      </c>
      <c r="B23" s="105">
        <v>117.71363636363635</v>
      </c>
      <c r="C23" s="105">
        <v>117.71363636363635</v>
      </c>
      <c r="D23" s="112">
        <f>+SUM(B23:C23)</f>
        <v>235.42727272727271</v>
      </c>
      <c r="E23" s="105">
        <v>117.71363636363635</v>
      </c>
      <c r="F23" s="105">
        <v>117.71363636363635</v>
      </c>
      <c r="G23" s="105">
        <v>117.71363636363635</v>
      </c>
      <c r="H23" s="105">
        <v>117.71363636363635</v>
      </c>
      <c r="I23" s="105">
        <v>117.71363636363635</v>
      </c>
      <c r="J23" s="105">
        <v>117.71363636363635</v>
      </c>
      <c r="K23" s="105">
        <v>117.71363636363635</v>
      </c>
      <c r="L23" s="112">
        <f>+D23+SUM(E23:K23)</f>
        <v>1059.4227272727273</v>
      </c>
      <c r="M23" s="105">
        <v>117.71363636363635</v>
      </c>
      <c r="N23" s="105">
        <v>117.71363636363635</v>
      </c>
      <c r="O23" s="105">
        <v>125</v>
      </c>
      <c r="P23" s="105">
        <v>125</v>
      </c>
      <c r="Q23" s="105">
        <v>125</v>
      </c>
      <c r="R23" s="105">
        <v>125</v>
      </c>
      <c r="S23" s="105">
        <v>125</v>
      </c>
      <c r="T23" s="112">
        <f>+L23+SUM(M23:S23)</f>
        <v>1919.85</v>
      </c>
      <c r="U23" s="105">
        <v>125</v>
      </c>
      <c r="V23" s="105">
        <v>125</v>
      </c>
      <c r="W23" s="105">
        <v>125</v>
      </c>
      <c r="X23" s="105">
        <v>125</v>
      </c>
      <c r="Y23" s="105">
        <v>125</v>
      </c>
      <c r="Z23" s="105">
        <v>125</v>
      </c>
      <c r="AA23" s="105">
        <v>125</v>
      </c>
      <c r="AB23" s="105">
        <v>125</v>
      </c>
      <c r="AC23" s="112">
        <f>+T23+SUM(U23:AB23)</f>
        <v>2919.85</v>
      </c>
      <c r="AD23" s="105">
        <v>125</v>
      </c>
      <c r="AE23" s="105">
        <v>125</v>
      </c>
      <c r="AF23" s="105">
        <v>125</v>
      </c>
      <c r="AG23" s="105">
        <v>125</v>
      </c>
      <c r="AH23" s="105">
        <v>125</v>
      </c>
      <c r="AI23" s="105">
        <v>125</v>
      </c>
      <c r="AJ23" s="112">
        <f>+AC23+SUM(AD23:AI23)</f>
        <v>3669.85</v>
      </c>
      <c r="BG23" s="107">
        <v>4636.3636363636351</v>
      </c>
      <c r="BH23" s="101"/>
      <c r="BI23" s="108"/>
      <c r="BJ23" s="108"/>
      <c r="BK23" s="108"/>
      <c r="BL23" s="109"/>
      <c r="BM23" s="108"/>
      <c r="BN23" s="108"/>
      <c r="BO23" s="108"/>
      <c r="BP23" s="108"/>
    </row>
    <row r="24" spans="1:68" ht="12" customHeight="1" x14ac:dyDescent="0.2">
      <c r="A24" s="135" t="s">
        <v>63</v>
      </c>
      <c r="B24" s="111">
        <v>127.94</v>
      </c>
      <c r="C24" s="111">
        <v>131.12</v>
      </c>
      <c r="D24" s="112">
        <f>+SUM(B24:C24)</f>
        <v>259.06</v>
      </c>
      <c r="E24" s="111">
        <v>118.33</v>
      </c>
      <c r="F24" s="111">
        <v>130.69</v>
      </c>
      <c r="G24" s="111">
        <v>131.57</v>
      </c>
      <c r="H24" s="111">
        <v>61.66</v>
      </c>
      <c r="I24" s="111">
        <v>86.78</v>
      </c>
      <c r="J24" s="111">
        <v>130.19</v>
      </c>
      <c r="K24" s="111">
        <v>115.4</v>
      </c>
      <c r="L24" s="112">
        <f>+D24+SUM(E24:K24)</f>
        <v>1033.68</v>
      </c>
      <c r="M24" s="111">
        <v>130.96</v>
      </c>
      <c r="N24" s="111">
        <v>130.21</v>
      </c>
      <c r="O24" s="111">
        <v>130.06</v>
      </c>
      <c r="P24" s="111">
        <v>131.24</v>
      </c>
      <c r="Q24" s="111">
        <v>131.44</v>
      </c>
      <c r="R24" s="111">
        <v>130.85</v>
      </c>
      <c r="S24" s="111">
        <v>130.44999999999999</v>
      </c>
      <c r="T24" s="112">
        <f>+L24+SUM(M24:S24)</f>
        <v>1948.89</v>
      </c>
      <c r="U24" s="111">
        <f>+DOWNSTREAM!T26</f>
        <v>0</v>
      </c>
      <c r="V24" s="111">
        <f>+DOWNSTREAM!U26</f>
        <v>0</v>
      </c>
      <c r="W24" s="111">
        <f>+DOWNSTREAM!V26</f>
        <v>0</v>
      </c>
      <c r="X24" s="111">
        <f>+DOWNSTREAM!W26</f>
        <v>0</v>
      </c>
      <c r="Y24" s="111">
        <f>+DOWNSTREAM!X26</f>
        <v>0</v>
      </c>
      <c r="Z24" s="111">
        <f>+DOWNSTREAM!Z26</f>
        <v>0</v>
      </c>
      <c r="AA24" s="111">
        <f>+DOWNSTREAM!AA26</f>
        <v>0</v>
      </c>
      <c r="AB24" s="111">
        <f>+DOWNSTREAM!AB26</f>
        <v>0</v>
      </c>
      <c r="AC24" s="112">
        <f>+T24+SUM(U24:AB24)</f>
        <v>1948.89</v>
      </c>
      <c r="AD24" s="111">
        <f>+DOWNSTREAM!AC26</f>
        <v>0</v>
      </c>
      <c r="AE24" s="111">
        <f>+DOWNSTREAM!AD26</f>
        <v>0</v>
      </c>
      <c r="AF24" s="111">
        <f>+DOWNSTREAM!AE26</f>
        <v>0</v>
      </c>
      <c r="AG24" s="111">
        <f>+DOWNSTREAM!AF26</f>
        <v>0</v>
      </c>
      <c r="AH24" s="111">
        <f>+DOWNSTREAM!AH26</f>
        <v>0</v>
      </c>
      <c r="AI24" s="111">
        <f>+DOWNSTREAM!AI26</f>
        <v>0</v>
      </c>
      <c r="AJ24" s="112">
        <f>+AC24+SUM(AD24:AI24)</f>
        <v>1948.89</v>
      </c>
      <c r="BG24" s="107"/>
      <c r="BH24" s="101"/>
      <c r="BI24" s="108"/>
      <c r="BJ24" s="108"/>
      <c r="BK24" s="108"/>
      <c r="BL24" s="109"/>
      <c r="BM24" s="108"/>
      <c r="BN24" s="108"/>
      <c r="BO24" s="108"/>
      <c r="BP24" s="108"/>
    </row>
    <row r="25" spans="1:68" ht="16" thickBot="1" x14ac:dyDescent="0.25">
      <c r="A25" s="136" t="s">
        <v>3</v>
      </c>
      <c r="B25" s="114">
        <f t="shared" ref="B25:AJ25" si="6">IFERROR(+B24/B23,0)</f>
        <v>1.0868749275977914</v>
      </c>
      <c r="C25" s="114">
        <f t="shared" si="6"/>
        <v>1.1138896397266094</v>
      </c>
      <c r="D25" s="115">
        <f t="shared" si="6"/>
        <v>1.1003822836622004</v>
      </c>
      <c r="E25" s="114">
        <f t="shared" si="6"/>
        <v>1.0052361277368036</v>
      </c>
      <c r="F25" s="114">
        <f t="shared" si="6"/>
        <v>1.1102367069544736</v>
      </c>
      <c r="G25" s="114">
        <f t="shared" si="6"/>
        <v>1.1177124763486119</v>
      </c>
      <c r="H25" s="114">
        <f t="shared" si="6"/>
        <v>0.52381356913928256</v>
      </c>
      <c r="I25" s="114">
        <f t="shared" si="6"/>
        <v>0.73721280457195826</v>
      </c>
      <c r="J25" s="114">
        <f t="shared" si="6"/>
        <v>1.1059891107078041</v>
      </c>
      <c r="K25" s="114">
        <f t="shared" si="6"/>
        <v>0.98034521373132033</v>
      </c>
      <c r="L25" s="115">
        <f t="shared" si="6"/>
        <v>0.97570117516829491</v>
      </c>
      <c r="M25" s="114">
        <f t="shared" si="6"/>
        <v>1.1125304089276751</v>
      </c>
      <c r="N25" s="114">
        <f t="shared" si="6"/>
        <v>1.106159014557671</v>
      </c>
      <c r="O25" s="114">
        <f t="shared" si="6"/>
        <v>1.0404800000000001</v>
      </c>
      <c r="P25" s="114">
        <f t="shared" si="6"/>
        <v>1.04992</v>
      </c>
      <c r="Q25" s="114">
        <f t="shared" si="6"/>
        <v>1.05152</v>
      </c>
      <c r="R25" s="114">
        <f t="shared" si="6"/>
        <v>1.0468</v>
      </c>
      <c r="S25" s="114">
        <f t="shared" si="6"/>
        <v>1.0435999999999999</v>
      </c>
      <c r="T25" s="115">
        <f t="shared" si="6"/>
        <v>1.015126181732948</v>
      </c>
      <c r="U25" s="114">
        <f t="shared" si="6"/>
        <v>0</v>
      </c>
      <c r="V25" s="114">
        <f t="shared" si="6"/>
        <v>0</v>
      </c>
      <c r="W25" s="114">
        <f t="shared" si="6"/>
        <v>0</v>
      </c>
      <c r="X25" s="114">
        <f t="shared" si="6"/>
        <v>0</v>
      </c>
      <c r="Y25" s="114">
        <f t="shared" si="6"/>
        <v>0</v>
      </c>
      <c r="Z25" s="114">
        <f t="shared" si="6"/>
        <v>0</v>
      </c>
      <c r="AA25" s="114">
        <f t="shared" si="6"/>
        <v>0</v>
      </c>
      <c r="AB25" s="114">
        <f>IFERROR(+AB24/AB23,0)</f>
        <v>0</v>
      </c>
      <c r="AC25" s="115">
        <f t="shared" si="6"/>
        <v>0.66746236964227623</v>
      </c>
      <c r="AD25" s="114">
        <f t="shared" si="6"/>
        <v>0</v>
      </c>
      <c r="AE25" s="114">
        <f t="shared" si="6"/>
        <v>0</v>
      </c>
      <c r="AF25" s="114">
        <f t="shared" si="6"/>
        <v>0</v>
      </c>
      <c r="AG25" s="114">
        <f t="shared" si="6"/>
        <v>0</v>
      </c>
      <c r="AH25" s="114">
        <f t="shared" si="6"/>
        <v>0</v>
      </c>
      <c r="AI25" s="114">
        <f t="shared" si="6"/>
        <v>0</v>
      </c>
      <c r="AJ25" s="115">
        <f t="shared" si="6"/>
        <v>0.53105440276850557</v>
      </c>
      <c r="BG25" s="107"/>
      <c r="BH25" s="101"/>
      <c r="BI25" s="108"/>
      <c r="BJ25" s="108"/>
      <c r="BK25" s="108"/>
      <c r="BL25" s="109"/>
      <c r="BM25" s="108"/>
      <c r="BN25" s="108"/>
      <c r="BO25" s="108"/>
      <c r="BP25" s="108"/>
    </row>
    <row r="26" spans="1:68" ht="16" hidden="1" thickBot="1" x14ac:dyDescent="0.25">
      <c r="A26" s="135" t="s">
        <v>64</v>
      </c>
      <c r="B26" s="116"/>
      <c r="C26" s="116"/>
      <c r="D26" s="117"/>
      <c r="E26" s="116"/>
      <c r="F26" s="116"/>
      <c r="G26" s="116"/>
      <c r="H26" s="116"/>
      <c r="I26" s="116"/>
      <c r="J26" s="116"/>
      <c r="K26" s="116"/>
      <c r="L26" s="117"/>
      <c r="M26" s="116"/>
      <c r="N26" s="116"/>
      <c r="O26" s="116"/>
      <c r="P26" s="116"/>
      <c r="Q26" s="116"/>
      <c r="R26" s="116"/>
      <c r="S26" s="116"/>
      <c r="T26" s="117"/>
      <c r="U26" s="116"/>
      <c r="V26" s="116"/>
      <c r="W26" s="116"/>
      <c r="X26" s="116"/>
      <c r="Y26" s="116"/>
      <c r="Z26" s="116"/>
      <c r="AA26" s="116"/>
      <c r="AB26" s="116"/>
      <c r="AC26" s="117"/>
      <c r="AD26" s="116"/>
      <c r="AE26" s="116"/>
      <c r="AF26" s="116"/>
      <c r="AG26" s="116"/>
      <c r="AH26" s="116"/>
      <c r="AI26" s="116"/>
      <c r="AJ26" s="117"/>
      <c r="BG26" s="107"/>
      <c r="BH26" s="101"/>
      <c r="BI26" s="108"/>
      <c r="BJ26" s="108"/>
      <c r="BK26" s="108"/>
      <c r="BL26" s="109"/>
      <c r="BM26" s="108"/>
      <c r="BN26" s="108"/>
      <c r="BO26" s="108"/>
      <c r="BP26" s="108"/>
    </row>
    <row r="27" spans="1:68" ht="16" hidden="1" thickBot="1" x14ac:dyDescent="0.25">
      <c r="A27" s="135" t="s">
        <v>65</v>
      </c>
      <c r="B27" s="111"/>
      <c r="C27" s="111"/>
      <c r="D27" s="112"/>
      <c r="E27" s="111"/>
      <c r="F27" s="111"/>
      <c r="G27" s="111"/>
      <c r="H27" s="111"/>
      <c r="I27" s="111"/>
      <c r="J27" s="111"/>
      <c r="K27" s="111"/>
      <c r="L27" s="112"/>
      <c r="M27" s="111"/>
      <c r="N27" s="111"/>
      <c r="O27" s="111"/>
      <c r="P27" s="111"/>
      <c r="Q27" s="111"/>
      <c r="R27" s="111"/>
      <c r="S27" s="111"/>
      <c r="T27" s="112"/>
      <c r="U27" s="111"/>
      <c r="V27" s="111"/>
      <c r="W27" s="111"/>
      <c r="X27" s="111"/>
      <c r="Y27" s="111"/>
      <c r="Z27" s="111"/>
      <c r="AA27" s="111"/>
      <c r="AB27" s="111"/>
      <c r="AC27" s="112"/>
      <c r="AD27" s="111"/>
      <c r="AE27" s="111"/>
      <c r="AF27" s="111"/>
      <c r="AG27" s="111"/>
      <c r="AH27" s="111"/>
      <c r="AI27" s="111"/>
      <c r="AJ27" s="112"/>
      <c r="BG27" s="107"/>
      <c r="BH27" s="101"/>
      <c r="BI27" s="108"/>
      <c r="BJ27" s="108"/>
      <c r="BK27" s="108"/>
      <c r="BL27" s="109"/>
      <c r="BM27" s="108"/>
      <c r="BN27" s="108"/>
      <c r="BO27" s="108"/>
      <c r="BP27" s="108"/>
    </row>
    <row r="28" spans="1:68" ht="16" hidden="1" thickBot="1" x14ac:dyDescent="0.25">
      <c r="A28" s="135" t="s">
        <v>66</v>
      </c>
      <c r="B28" s="120"/>
      <c r="C28" s="120"/>
      <c r="D28" s="127"/>
      <c r="E28" s="120"/>
      <c r="F28" s="120"/>
      <c r="G28" s="120"/>
      <c r="H28" s="120"/>
      <c r="I28" s="120"/>
      <c r="J28" s="120"/>
      <c r="K28" s="120"/>
      <c r="L28" s="127"/>
      <c r="M28" s="120"/>
      <c r="N28" s="120"/>
      <c r="O28" s="120"/>
      <c r="P28" s="120"/>
      <c r="Q28" s="120"/>
      <c r="R28" s="120"/>
      <c r="S28" s="120"/>
      <c r="T28" s="127"/>
      <c r="U28" s="120"/>
      <c r="V28" s="120"/>
      <c r="W28" s="120"/>
      <c r="X28" s="120"/>
      <c r="Y28" s="120"/>
      <c r="Z28" s="120"/>
      <c r="AA28" s="120"/>
      <c r="AB28" s="120"/>
      <c r="AC28" s="127"/>
      <c r="AD28" s="120"/>
      <c r="AE28" s="120"/>
      <c r="AF28" s="120"/>
      <c r="AG28" s="120"/>
      <c r="AH28" s="120"/>
      <c r="AI28" s="120"/>
      <c r="AJ28" s="127"/>
      <c r="BG28" s="107"/>
      <c r="BH28" s="101"/>
      <c r="BI28" s="108"/>
      <c r="BJ28" s="108"/>
      <c r="BK28" s="108"/>
      <c r="BL28" s="109"/>
      <c r="BM28" s="108"/>
      <c r="BN28" s="108"/>
      <c r="BO28" s="108"/>
      <c r="BP28" s="108"/>
    </row>
    <row r="29" spans="1:68" ht="16" hidden="1" thickBot="1" x14ac:dyDescent="0.25">
      <c r="A29" s="137" t="s">
        <v>55</v>
      </c>
      <c r="B29" s="129"/>
      <c r="C29" s="129"/>
      <c r="D29" s="130"/>
      <c r="E29" s="129"/>
      <c r="F29" s="129"/>
      <c r="G29" s="129"/>
      <c r="H29" s="129"/>
      <c r="I29" s="129"/>
      <c r="J29" s="129"/>
      <c r="K29" s="129"/>
      <c r="L29" s="130"/>
      <c r="M29" s="129"/>
      <c r="N29" s="129"/>
      <c r="O29" s="129"/>
      <c r="P29" s="129"/>
      <c r="Q29" s="129"/>
      <c r="R29" s="129"/>
      <c r="S29" s="129"/>
      <c r="T29" s="130"/>
      <c r="U29" s="129"/>
      <c r="V29" s="129"/>
      <c r="W29" s="129"/>
      <c r="X29" s="129"/>
      <c r="Y29" s="129"/>
      <c r="Z29" s="129"/>
      <c r="AA29" s="129"/>
      <c r="AB29" s="129"/>
      <c r="AC29" s="130"/>
      <c r="AD29" s="129"/>
      <c r="AE29" s="129"/>
      <c r="AF29" s="129"/>
      <c r="AG29" s="129"/>
      <c r="AH29" s="129"/>
      <c r="AI29" s="129"/>
      <c r="AJ29" s="130"/>
      <c r="BG29" s="107"/>
      <c r="BH29" s="101"/>
      <c r="BI29" s="108"/>
      <c r="BJ29" s="108"/>
      <c r="BK29" s="108"/>
      <c r="BL29" s="109"/>
      <c r="BM29" s="108"/>
      <c r="BN29" s="108"/>
      <c r="BO29" s="108"/>
      <c r="BP29" s="108"/>
    </row>
    <row r="30" spans="1:68" x14ac:dyDescent="0.2">
      <c r="A30" s="131" t="s">
        <v>67</v>
      </c>
      <c r="B30" s="105" t="e">
        <f>+HLOOKUP(B$1,'[7]Programa Diario CODAZZI'!$F$8:$AL$44,37,0)/1000</f>
        <v>#N/A</v>
      </c>
      <c r="C30" s="105" t="e">
        <f>+HLOOKUP(C$1,'[7]Programa Diario CODAZZI'!$F$8:$AL$44,37,0)/1000</f>
        <v>#N/A</v>
      </c>
      <c r="D30" s="112" t="e">
        <f>+SUM(B30:C30)</f>
        <v>#N/A</v>
      </c>
      <c r="E30" s="105" t="e">
        <f>+HLOOKUP(E$1,'[7]Programa Diario CODAZZI'!$F$8:$AL$44,37,0)/1000</f>
        <v>#N/A</v>
      </c>
      <c r="F30" s="105" t="e">
        <f>+HLOOKUP(F$1,'[7]Programa Diario CODAZZI'!$F$8:$AL$44,37,0)/1000</f>
        <v>#N/A</v>
      </c>
      <c r="G30" s="105" t="e">
        <f>+HLOOKUP(G$1,'[7]Programa Diario CODAZZI'!$F$8:$AL$44,37,0)/1000</f>
        <v>#N/A</v>
      </c>
      <c r="H30" s="105" t="e">
        <f>+HLOOKUP(H$1,'[7]Programa Diario CODAZZI'!$F$8:$AL$44,37,0)/1000</f>
        <v>#N/A</v>
      </c>
      <c r="I30" s="105" t="e">
        <f>+HLOOKUP(I$1,'[7]Programa Diario CODAZZI'!$F$8:$AL$44,37,0)/1000</f>
        <v>#N/A</v>
      </c>
      <c r="J30" s="105" t="e">
        <f>+HLOOKUP(J$1,'[7]Programa Diario CODAZZI'!$F$8:$AL$44,37,0)/1000</f>
        <v>#N/A</v>
      </c>
      <c r="K30" s="105" t="e">
        <f>+HLOOKUP(K$1,'[7]Programa Diario CODAZZI'!$F$8:$AL$44,37,0)/1000</f>
        <v>#N/A</v>
      </c>
      <c r="L30" s="112" t="e">
        <f>+D30+SUM(E30:K30)</f>
        <v>#N/A</v>
      </c>
      <c r="M30" s="105" t="e">
        <f>+HLOOKUP(M$1,'[7]Programa Diario CODAZZI'!$F$8:$AL$44,37,0)/1000</f>
        <v>#N/A</v>
      </c>
      <c r="N30" s="105" t="e">
        <f>+HLOOKUP(N$1,'[7]Programa Diario CODAZZI'!$F$8:$AL$44,37,0)/1000</f>
        <v>#N/A</v>
      </c>
      <c r="O30" s="105" t="e">
        <f>+HLOOKUP(O$1,'[7]Programa Diario CODAZZI'!$F$8:$AL$44,37,0)/1000</f>
        <v>#N/A</v>
      </c>
      <c r="P30" s="105" t="e">
        <f>+HLOOKUP(P$1,'[7]Programa Diario CODAZZI'!$F$8:$AL$44,37,0)/1000</f>
        <v>#N/A</v>
      </c>
      <c r="Q30" s="105" t="e">
        <f>+HLOOKUP(Q$1,'[7]Programa Diario CODAZZI'!$F$8:$AL$44,37,0)/1000</f>
        <v>#N/A</v>
      </c>
      <c r="R30" s="105" t="e">
        <f>+HLOOKUP(R$1,'[7]Programa Diario CODAZZI'!$F$8:$AL$44,37,0)/1000</f>
        <v>#N/A</v>
      </c>
      <c r="S30" s="105" t="e">
        <f>+HLOOKUP(S$1,'[7]Programa Diario CODAZZI'!$F$8:$AL$44,37,0)/1000</f>
        <v>#N/A</v>
      </c>
      <c r="T30" s="112" t="e">
        <f>+L30+SUM(M30:S30)</f>
        <v>#N/A</v>
      </c>
      <c r="U30" s="105" t="e">
        <f>+HLOOKUP(U$1,'[7]Programa Diario CODAZZI'!$F$8:$AL$44,37,0)/1000</f>
        <v>#N/A</v>
      </c>
      <c r="V30" s="105" t="e">
        <f>+HLOOKUP(V$1,'[7]Programa Diario CODAZZI'!$F$8:$AL$44,37,0)/1000</f>
        <v>#N/A</v>
      </c>
      <c r="W30" s="105" t="e">
        <f>+HLOOKUP(W$1,'[7]Programa Diario CODAZZI'!$F$8:$AL$44,37,0)/1000</f>
        <v>#N/A</v>
      </c>
      <c r="X30" s="105" t="e">
        <f>+HLOOKUP(X$1,'[7]Programa Diario CODAZZI'!$F$8:$AL$44,37,0)/1000</f>
        <v>#N/A</v>
      </c>
      <c r="Y30" s="105" t="e">
        <f>+HLOOKUP(Y$1,'[7]Programa Diario CODAZZI'!$F$8:$AL$44,37,0)/1000</f>
        <v>#N/A</v>
      </c>
      <c r="Z30" s="105" t="e">
        <f>+HLOOKUP(Z$1,'[7]Programa Diario CODAZZI'!$F$8:$AL$44,37,0)/1000</f>
        <v>#N/A</v>
      </c>
      <c r="AA30" s="105" t="e">
        <f>+HLOOKUP(AA$1,'[7]Programa Diario CODAZZI'!$F$8:$AL$44,37,0)/1000</f>
        <v>#N/A</v>
      </c>
      <c r="AB30" s="105" t="e">
        <f>+HLOOKUP(AB$1,'[7]Programa Diario CODAZZI'!$F$8:$AL$44,37,0)/1000</f>
        <v>#N/A</v>
      </c>
      <c r="AC30" s="112" t="e">
        <f>+T30+SUM(U30:AB30)</f>
        <v>#N/A</v>
      </c>
      <c r="AD30" s="105" t="e">
        <f>+HLOOKUP(AD$1,'[7]Programa Diario CODAZZI'!$F$8:$AL$44,37,0)/1000</f>
        <v>#N/A</v>
      </c>
      <c r="AE30" s="105" t="e">
        <f>+HLOOKUP(AE$1,'[7]Programa Diario CODAZZI'!$F$8:$AL$44,37,0)/1000</f>
        <v>#N/A</v>
      </c>
      <c r="AF30" s="105" t="e">
        <f>+HLOOKUP(AF$1,'[7]Programa Diario CODAZZI'!$F$8:$AL$44,37,0)/1000</f>
        <v>#N/A</v>
      </c>
      <c r="AG30" s="105" t="e">
        <f>+HLOOKUP(AG$1,'[7]Programa Diario CODAZZI'!$F$8:$AL$44,37,0)/1000</f>
        <v>#N/A</v>
      </c>
      <c r="AH30" s="105" t="e">
        <f>+HLOOKUP(AH$1,'[7]Programa Diario CODAZZI'!$F$8:$AL$44,37,0)/1000</f>
        <v>#N/A</v>
      </c>
      <c r="AI30" s="105" t="e">
        <f>+HLOOKUP(AI$1,'[7]Programa Diario CODAZZI'!$F$8:$AL$44,37,0)/1000</f>
        <v>#N/A</v>
      </c>
      <c r="AJ30" s="112" t="e">
        <f>+AC30+SUM(AD30:AI30)</f>
        <v>#N/A</v>
      </c>
      <c r="BG30" s="107">
        <v>645</v>
      </c>
      <c r="BH30" s="101"/>
      <c r="BI30" s="108"/>
      <c r="BJ30" s="108"/>
      <c r="BK30" s="108"/>
      <c r="BL30" s="109"/>
      <c r="BM30" s="108"/>
      <c r="BN30" s="108"/>
      <c r="BO30" s="108"/>
      <c r="BP30" s="108"/>
    </row>
    <row r="31" spans="1:68" ht="12" customHeight="1" x14ac:dyDescent="0.2">
      <c r="A31" s="132" t="s">
        <v>68</v>
      </c>
      <c r="B31" s="111">
        <v>63</v>
      </c>
      <c r="C31" s="111">
        <v>56.7</v>
      </c>
      <c r="D31" s="112">
        <f>+SUM(B31:C31)</f>
        <v>119.7</v>
      </c>
      <c r="E31" s="111">
        <v>53.55</v>
      </c>
      <c r="F31" s="111">
        <v>40.950000000000003</v>
      </c>
      <c r="G31" s="111">
        <v>63</v>
      </c>
      <c r="H31" s="111">
        <v>66.150000000000006</v>
      </c>
      <c r="I31" s="111">
        <v>63</v>
      </c>
      <c r="J31" s="111">
        <v>44.1</v>
      </c>
      <c r="K31" s="111">
        <v>9.4499999999999993</v>
      </c>
      <c r="L31" s="112">
        <f>+D31+SUM(E31:K31)</f>
        <v>459.9</v>
      </c>
      <c r="M31" s="111">
        <v>40.950000000000003</v>
      </c>
      <c r="N31" s="111">
        <v>63</v>
      </c>
      <c r="O31" s="111">
        <v>63</v>
      </c>
      <c r="P31" s="111">
        <v>56.7</v>
      </c>
      <c r="Q31" s="111">
        <v>69.3</v>
      </c>
      <c r="R31" s="111">
        <v>59.564999999999998</v>
      </c>
      <c r="S31" s="111">
        <v>53.55</v>
      </c>
      <c r="T31" s="112">
        <f>+L31+SUM(M31:S31)</f>
        <v>865.96499999999992</v>
      </c>
      <c r="U31" s="111">
        <f>+DOWNSTREAM!T33</f>
        <v>0</v>
      </c>
      <c r="V31" s="111">
        <f>+DOWNSTREAM!U33</f>
        <v>0</v>
      </c>
      <c r="W31" s="111">
        <f>+DOWNSTREAM!V33</f>
        <v>0</v>
      </c>
      <c r="X31" s="111">
        <f>+DOWNSTREAM!W33</f>
        <v>0</v>
      </c>
      <c r="Y31" s="111">
        <f>+DOWNSTREAM!X33</f>
        <v>0</v>
      </c>
      <c r="Z31" s="111">
        <f>+DOWNSTREAM!Z33</f>
        <v>0</v>
      </c>
      <c r="AA31" s="111">
        <f>+DOWNSTREAM!AA33</f>
        <v>0</v>
      </c>
      <c r="AB31" s="111">
        <f>+DOWNSTREAM!AB33</f>
        <v>0</v>
      </c>
      <c r="AC31" s="112">
        <f>+T31+SUM(U31:AB31)</f>
        <v>865.96499999999992</v>
      </c>
      <c r="AD31" s="111">
        <f>+DOWNSTREAM!AC33</f>
        <v>0</v>
      </c>
      <c r="AE31" s="111">
        <f>+DOWNSTREAM!AD33</f>
        <v>0</v>
      </c>
      <c r="AF31" s="111">
        <f>+DOWNSTREAM!AE33</f>
        <v>0</v>
      </c>
      <c r="AG31" s="111">
        <f>+DOWNSTREAM!AF33</f>
        <v>0</v>
      </c>
      <c r="AH31" s="111">
        <f>+DOWNSTREAM!AH33</f>
        <v>0</v>
      </c>
      <c r="AI31" s="111">
        <f>+DOWNSTREAM!AI33</f>
        <v>0</v>
      </c>
      <c r="AJ31" s="112">
        <f>+AC31+SUM(AD31:AI31)</f>
        <v>865.96499999999992</v>
      </c>
      <c r="BG31" s="107"/>
      <c r="BH31" s="101"/>
      <c r="BI31" s="108"/>
      <c r="BJ31" s="108"/>
      <c r="BK31" s="108"/>
      <c r="BL31" s="109"/>
      <c r="BM31" s="108"/>
      <c r="BN31" s="108"/>
      <c r="BO31" s="108"/>
      <c r="BP31" s="108"/>
    </row>
    <row r="32" spans="1:68" ht="12" customHeight="1" thickBot="1" x14ac:dyDescent="0.25">
      <c r="A32" s="133" t="s">
        <v>3</v>
      </c>
      <c r="B32" s="114">
        <f>IFERROR(B31/B30,0)</f>
        <v>0</v>
      </c>
      <c r="C32" s="114">
        <f>IFERROR(C31/C30,0)</f>
        <v>0</v>
      </c>
      <c r="D32" s="115">
        <f>IFERROR(D31/D30,0)</f>
        <v>0</v>
      </c>
      <c r="E32" s="114">
        <f>IFERROR(E31/E30,0)</f>
        <v>0</v>
      </c>
      <c r="F32" s="114">
        <f t="shared" ref="F32:AJ32" si="7">IFERROR(F31/F30,0)</f>
        <v>0</v>
      </c>
      <c r="G32" s="114">
        <f t="shared" si="7"/>
        <v>0</v>
      </c>
      <c r="H32" s="114">
        <f t="shared" si="7"/>
        <v>0</v>
      </c>
      <c r="I32" s="114">
        <f t="shared" si="7"/>
        <v>0</v>
      </c>
      <c r="J32" s="114">
        <f t="shared" si="7"/>
        <v>0</v>
      </c>
      <c r="K32" s="114">
        <f t="shared" si="7"/>
        <v>0</v>
      </c>
      <c r="L32" s="115">
        <f t="shared" si="7"/>
        <v>0</v>
      </c>
      <c r="M32" s="114">
        <f t="shared" si="7"/>
        <v>0</v>
      </c>
      <c r="N32" s="114">
        <f t="shared" si="7"/>
        <v>0</v>
      </c>
      <c r="O32" s="114">
        <f t="shared" si="7"/>
        <v>0</v>
      </c>
      <c r="P32" s="114">
        <f t="shared" si="7"/>
        <v>0</v>
      </c>
      <c r="Q32" s="114">
        <f t="shared" si="7"/>
        <v>0</v>
      </c>
      <c r="R32" s="114">
        <f t="shared" si="7"/>
        <v>0</v>
      </c>
      <c r="S32" s="114">
        <f t="shared" si="7"/>
        <v>0</v>
      </c>
      <c r="T32" s="115">
        <f t="shared" si="7"/>
        <v>0</v>
      </c>
      <c r="U32" s="114">
        <f t="shared" si="7"/>
        <v>0</v>
      </c>
      <c r="V32" s="114">
        <f t="shared" si="7"/>
        <v>0</v>
      </c>
      <c r="W32" s="114">
        <f t="shared" si="7"/>
        <v>0</v>
      </c>
      <c r="X32" s="114">
        <f t="shared" si="7"/>
        <v>0</v>
      </c>
      <c r="Y32" s="114">
        <f t="shared" si="7"/>
        <v>0</v>
      </c>
      <c r="Z32" s="114">
        <f t="shared" si="7"/>
        <v>0</v>
      </c>
      <c r="AA32" s="114">
        <f t="shared" si="7"/>
        <v>0</v>
      </c>
      <c r="AB32" s="114">
        <f>IFERROR(AB31/AB30,0)</f>
        <v>0</v>
      </c>
      <c r="AC32" s="115">
        <f t="shared" si="7"/>
        <v>0</v>
      </c>
      <c r="AD32" s="114">
        <f t="shared" si="7"/>
        <v>0</v>
      </c>
      <c r="AE32" s="114">
        <f t="shared" si="7"/>
        <v>0</v>
      </c>
      <c r="AF32" s="114">
        <f t="shared" si="7"/>
        <v>0</v>
      </c>
      <c r="AG32" s="114">
        <f t="shared" si="7"/>
        <v>0</v>
      </c>
      <c r="AH32" s="114">
        <f t="shared" si="7"/>
        <v>0</v>
      </c>
      <c r="AI32" s="114">
        <f t="shared" si="7"/>
        <v>0</v>
      </c>
      <c r="AJ32" s="115">
        <f t="shared" si="7"/>
        <v>0</v>
      </c>
      <c r="BG32" s="107"/>
      <c r="BH32" s="101"/>
      <c r="BI32" s="108"/>
      <c r="BJ32" s="108"/>
      <c r="BK32" s="108"/>
      <c r="BL32" s="109"/>
      <c r="BM32" s="108"/>
      <c r="BN32" s="108"/>
      <c r="BO32" s="108"/>
      <c r="BP32" s="108"/>
    </row>
    <row r="33" spans="1:68" ht="12" customHeight="1" x14ac:dyDescent="0.2">
      <c r="A33" s="138" t="s">
        <v>69</v>
      </c>
      <c r="B33" s="139">
        <f t="shared" ref="B33:AJ34" si="8">+B2</f>
        <v>346.75809090909092</v>
      </c>
      <c r="C33" s="139">
        <f t="shared" si="8"/>
        <v>346.75809090909092</v>
      </c>
      <c r="D33" s="140">
        <f t="shared" si="8"/>
        <v>693.51618181818185</v>
      </c>
      <c r="E33" s="139">
        <f t="shared" si="8"/>
        <v>346.75809090909092</v>
      </c>
      <c r="F33" s="139">
        <f t="shared" si="8"/>
        <v>346.75809090909092</v>
      </c>
      <c r="G33" s="139">
        <f>+G3</f>
        <v>337.63900000000001</v>
      </c>
      <c r="H33" s="139">
        <f t="shared" si="8"/>
        <v>346.75809090909092</v>
      </c>
      <c r="I33" s="139">
        <f t="shared" si="8"/>
        <v>346.75809090909092</v>
      </c>
      <c r="J33" s="139">
        <f t="shared" si="8"/>
        <v>346.75809090909092</v>
      </c>
      <c r="K33" s="139">
        <f t="shared" si="8"/>
        <v>346.75809090909092</v>
      </c>
      <c r="L33" s="140">
        <f t="shared" si="8"/>
        <v>3120.8228181818181</v>
      </c>
      <c r="M33" s="139">
        <f t="shared" si="8"/>
        <v>346.75809090909092</v>
      </c>
      <c r="N33" s="139">
        <f t="shared" si="8"/>
        <v>346.75809090909092</v>
      </c>
      <c r="O33" s="139">
        <f t="shared" si="8"/>
        <v>360</v>
      </c>
      <c r="P33" s="139">
        <f t="shared" si="8"/>
        <v>360</v>
      </c>
      <c r="Q33" s="139">
        <f t="shared" si="8"/>
        <v>360</v>
      </c>
      <c r="R33" s="139">
        <f t="shared" si="8"/>
        <v>360</v>
      </c>
      <c r="S33" s="139">
        <f t="shared" si="8"/>
        <v>360</v>
      </c>
      <c r="T33" s="140">
        <f t="shared" si="8"/>
        <v>5614.3389999999999</v>
      </c>
      <c r="U33" s="139">
        <f t="shared" si="8"/>
        <v>360</v>
      </c>
      <c r="V33" s="139">
        <f t="shared" si="8"/>
        <v>360</v>
      </c>
      <c r="W33" s="139">
        <f t="shared" si="8"/>
        <v>360</v>
      </c>
      <c r="X33" s="139">
        <f t="shared" si="8"/>
        <v>360</v>
      </c>
      <c r="Y33" s="139">
        <f t="shared" si="8"/>
        <v>360</v>
      </c>
      <c r="Z33" s="139">
        <f t="shared" si="8"/>
        <v>360</v>
      </c>
      <c r="AA33" s="139">
        <f t="shared" si="8"/>
        <v>360</v>
      </c>
      <c r="AB33" s="139">
        <f>+AB2</f>
        <v>360</v>
      </c>
      <c r="AC33" s="140">
        <f t="shared" si="8"/>
        <v>8494.3389999999999</v>
      </c>
      <c r="AD33" s="139">
        <f t="shared" si="8"/>
        <v>360</v>
      </c>
      <c r="AE33" s="139">
        <f t="shared" si="8"/>
        <v>360</v>
      </c>
      <c r="AF33" s="139">
        <f t="shared" si="8"/>
        <v>360</v>
      </c>
      <c r="AG33" s="139">
        <f t="shared" si="8"/>
        <v>360</v>
      </c>
      <c r="AH33" s="139">
        <f t="shared" si="8"/>
        <v>360</v>
      </c>
      <c r="AI33" s="139">
        <f t="shared" si="8"/>
        <v>360</v>
      </c>
      <c r="AJ33" s="140">
        <f t="shared" si="8"/>
        <v>10654.339</v>
      </c>
      <c r="BG33" s="108"/>
      <c r="BH33" s="101"/>
      <c r="BI33" s="108"/>
      <c r="BJ33" s="108"/>
      <c r="BK33" s="108"/>
      <c r="BL33" s="109"/>
      <c r="BM33" s="108"/>
      <c r="BN33" s="108"/>
      <c r="BO33" s="108"/>
      <c r="BP33" s="108"/>
    </row>
    <row r="34" spans="1:68" ht="12" customHeight="1" x14ac:dyDescent="0.2">
      <c r="A34" s="141" t="s">
        <v>70</v>
      </c>
      <c r="B34" s="142">
        <f t="shared" si="8"/>
        <v>355.95100000000002</v>
      </c>
      <c r="C34" s="142">
        <f t="shared" si="8"/>
        <v>359.38600000000002</v>
      </c>
      <c r="D34" s="143">
        <f t="shared" si="8"/>
        <v>715.33699999999999</v>
      </c>
      <c r="E34" s="142">
        <f t="shared" si="8"/>
        <v>353.15899999999999</v>
      </c>
      <c r="F34" s="142">
        <f t="shared" si="8"/>
        <v>355.09699999999998</v>
      </c>
      <c r="G34" s="142">
        <f t="shared" si="8"/>
        <v>337.63900000000001</v>
      </c>
      <c r="H34" s="142">
        <f t="shared" si="8"/>
        <v>358.69900000000001</v>
      </c>
      <c r="I34" s="142">
        <f t="shared" si="8"/>
        <v>334.065</v>
      </c>
      <c r="J34" s="142">
        <f t="shared" si="8"/>
        <v>363.06299999999999</v>
      </c>
      <c r="K34" s="142">
        <f t="shared" si="8"/>
        <v>357.83800000000002</v>
      </c>
      <c r="L34" s="143">
        <f t="shared" si="8"/>
        <v>3174.8970000000004</v>
      </c>
      <c r="M34" s="142">
        <f t="shared" si="8"/>
        <v>317.69799999999998</v>
      </c>
      <c r="N34" s="142">
        <f t="shared" si="8"/>
        <v>321.80399999999997</v>
      </c>
      <c r="O34" s="142">
        <f t="shared" si="8"/>
        <v>343.59199999999998</v>
      </c>
      <c r="P34" s="142">
        <f t="shared" si="8"/>
        <v>323.92200000000003</v>
      </c>
      <c r="Q34" s="142">
        <f t="shared" si="8"/>
        <v>311.94799999999998</v>
      </c>
      <c r="R34" s="142">
        <f t="shared" si="8"/>
        <v>331.46499999999997</v>
      </c>
      <c r="S34" s="142">
        <f t="shared" si="8"/>
        <v>337.16500000000002</v>
      </c>
      <c r="T34" s="143">
        <f t="shared" si="8"/>
        <v>5462.491</v>
      </c>
      <c r="U34" s="142">
        <f t="shared" si="8"/>
        <v>0</v>
      </c>
      <c r="V34" s="142">
        <f t="shared" si="8"/>
        <v>0</v>
      </c>
      <c r="W34" s="142">
        <f t="shared" si="8"/>
        <v>0</v>
      </c>
      <c r="X34" s="142">
        <f t="shared" si="8"/>
        <v>0</v>
      </c>
      <c r="Y34" s="142">
        <f t="shared" si="8"/>
        <v>0</v>
      </c>
      <c r="Z34" s="142">
        <f t="shared" si="8"/>
        <v>0</v>
      </c>
      <c r="AA34" s="142">
        <f t="shared" si="8"/>
        <v>0</v>
      </c>
      <c r="AB34" s="142">
        <f>+AB3</f>
        <v>0</v>
      </c>
      <c r="AC34" s="143">
        <f t="shared" si="8"/>
        <v>5462.491</v>
      </c>
      <c r="AD34" s="142">
        <f t="shared" si="8"/>
        <v>0</v>
      </c>
      <c r="AE34" s="142">
        <f t="shared" si="8"/>
        <v>0</v>
      </c>
      <c r="AF34" s="142">
        <f t="shared" si="8"/>
        <v>0</v>
      </c>
      <c r="AG34" s="142">
        <f t="shared" si="8"/>
        <v>0</v>
      </c>
      <c r="AH34" s="142">
        <f t="shared" si="8"/>
        <v>0</v>
      </c>
      <c r="AI34" s="142">
        <f t="shared" si="8"/>
        <v>0</v>
      </c>
      <c r="AJ34" s="143">
        <f t="shared" si="8"/>
        <v>5462.491</v>
      </c>
      <c r="BG34" s="108"/>
      <c r="BH34" s="101"/>
      <c r="BI34" s="108"/>
      <c r="BJ34" s="108"/>
      <c r="BK34" s="108"/>
      <c r="BL34" s="109"/>
      <c r="BM34" s="108"/>
      <c r="BN34" s="108"/>
      <c r="BO34" s="108"/>
      <c r="BP34" s="108"/>
    </row>
    <row r="35" spans="1:68" ht="12" customHeight="1" thickBot="1" x14ac:dyDescent="0.25">
      <c r="A35" s="144" t="s">
        <v>3</v>
      </c>
      <c r="B35" s="145">
        <f>IFERROR(+B34/B33,0)</f>
        <v>1.026511015407912</v>
      </c>
      <c r="C35" s="145">
        <f>IFERROR(+C34/C33,0)</f>
        <v>1.0364170567954238</v>
      </c>
      <c r="D35" s="146">
        <f>IFERROR(+D34/D33,0)</f>
        <v>1.0314640361016678</v>
      </c>
      <c r="E35" s="145">
        <f>IFERROR(+E34/E33,0)</f>
        <v>1.0184592926847875</v>
      </c>
      <c r="F35" s="145">
        <f t="shared" ref="F35:AJ35" si="9">IFERROR(+F34/F33,0)</f>
        <v>1.0240482033715408</v>
      </c>
      <c r="G35" s="145">
        <f t="shared" si="9"/>
        <v>1</v>
      </c>
      <c r="H35" s="145">
        <f t="shared" si="9"/>
        <v>1.0344358485179215</v>
      </c>
      <c r="I35" s="145">
        <f t="shared" si="9"/>
        <v>0.96339496830250271</v>
      </c>
      <c r="J35" s="145">
        <f t="shared" si="9"/>
        <v>1.0470209910550687</v>
      </c>
      <c r="K35" s="145">
        <f t="shared" si="9"/>
        <v>1.0319528494976455</v>
      </c>
      <c r="L35" s="146">
        <f t="shared" si="9"/>
        <v>1.0173268990162299</v>
      </c>
      <c r="M35" s="145">
        <f t="shared" si="9"/>
        <v>0.91619491607851311</v>
      </c>
      <c r="N35" s="145">
        <f t="shared" si="9"/>
        <v>0.9280360240660307</v>
      </c>
      <c r="O35" s="145">
        <f t="shared" si="9"/>
        <v>0.95442222222222217</v>
      </c>
      <c r="P35" s="145">
        <f t="shared" si="9"/>
        <v>0.89978333333333338</v>
      </c>
      <c r="Q35" s="145">
        <f t="shared" si="9"/>
        <v>0.86652222222222219</v>
      </c>
      <c r="R35" s="145">
        <f t="shared" si="9"/>
        <v>0.92073611111111109</v>
      </c>
      <c r="S35" s="145">
        <f t="shared" si="9"/>
        <v>0.93656944444444445</v>
      </c>
      <c r="T35" s="146">
        <f t="shared" si="9"/>
        <v>0.97295353914325444</v>
      </c>
      <c r="U35" s="145">
        <f t="shared" si="9"/>
        <v>0</v>
      </c>
      <c r="V35" s="145">
        <f t="shared" si="9"/>
        <v>0</v>
      </c>
      <c r="W35" s="145">
        <f t="shared" si="9"/>
        <v>0</v>
      </c>
      <c r="X35" s="145">
        <f t="shared" si="9"/>
        <v>0</v>
      </c>
      <c r="Y35" s="145">
        <f t="shared" si="9"/>
        <v>0</v>
      </c>
      <c r="Z35" s="145">
        <f t="shared" si="9"/>
        <v>0</v>
      </c>
      <c r="AA35" s="145">
        <f t="shared" si="9"/>
        <v>0</v>
      </c>
      <c r="AB35" s="145">
        <f>IFERROR(+AB34/AB33,0)</f>
        <v>0</v>
      </c>
      <c r="AC35" s="146">
        <f t="shared" si="9"/>
        <v>0.64307428747545869</v>
      </c>
      <c r="AD35" s="145">
        <f t="shared" si="9"/>
        <v>0</v>
      </c>
      <c r="AE35" s="145">
        <f t="shared" si="9"/>
        <v>0</v>
      </c>
      <c r="AF35" s="145">
        <f t="shared" si="9"/>
        <v>0</v>
      </c>
      <c r="AG35" s="145">
        <f t="shared" si="9"/>
        <v>0</v>
      </c>
      <c r="AH35" s="145">
        <f t="shared" si="9"/>
        <v>0</v>
      </c>
      <c r="AI35" s="145">
        <f t="shared" si="9"/>
        <v>0</v>
      </c>
      <c r="AJ35" s="146">
        <f t="shared" si="9"/>
        <v>0.51270106948915362</v>
      </c>
      <c r="BG35" s="108"/>
      <c r="BH35" s="101"/>
      <c r="BI35" s="108"/>
      <c r="BJ35" s="108"/>
      <c r="BK35" s="108"/>
      <c r="BL35" s="109"/>
      <c r="BM35" s="108"/>
      <c r="BN35" s="108"/>
      <c r="BO35" s="108"/>
      <c r="BP35" s="108"/>
    </row>
    <row r="36" spans="1:68" ht="12" customHeight="1" x14ac:dyDescent="0.2">
      <c r="A36" s="138" t="s">
        <v>71</v>
      </c>
      <c r="B36" s="139">
        <f t="shared" ref="B36:AJ37" si="10">+B10</f>
        <v>22.32</v>
      </c>
      <c r="C36" s="139">
        <f t="shared" si="10"/>
        <v>22.32</v>
      </c>
      <c r="D36" s="140">
        <f t="shared" si="10"/>
        <v>44.64</v>
      </c>
      <c r="E36" s="139">
        <f t="shared" si="10"/>
        <v>22.32</v>
      </c>
      <c r="F36" s="139">
        <f t="shared" si="10"/>
        <v>22.32</v>
      </c>
      <c r="G36" s="139">
        <f t="shared" si="10"/>
        <v>22.32</v>
      </c>
      <c r="H36" s="139">
        <f t="shared" si="10"/>
        <v>22.32</v>
      </c>
      <c r="I36" s="139">
        <f t="shared" si="10"/>
        <v>22.32</v>
      </c>
      <c r="J36" s="139">
        <f t="shared" si="10"/>
        <v>22.32</v>
      </c>
      <c r="K36" s="139">
        <f t="shared" si="10"/>
        <v>22.32</v>
      </c>
      <c r="L36" s="140">
        <f t="shared" si="10"/>
        <v>200.88</v>
      </c>
      <c r="M36" s="139">
        <f t="shared" si="10"/>
        <v>22.32</v>
      </c>
      <c r="N36" s="139">
        <f t="shared" si="10"/>
        <v>22.32</v>
      </c>
      <c r="O36" s="139">
        <f t="shared" si="10"/>
        <v>37</v>
      </c>
      <c r="P36" s="139">
        <f t="shared" si="10"/>
        <v>37</v>
      </c>
      <c r="Q36" s="139">
        <f t="shared" si="10"/>
        <v>37</v>
      </c>
      <c r="R36" s="139">
        <f t="shared" si="10"/>
        <v>37</v>
      </c>
      <c r="S36" s="139">
        <f t="shared" si="10"/>
        <v>37</v>
      </c>
      <c r="T36" s="140">
        <f t="shared" si="10"/>
        <v>430.52</v>
      </c>
      <c r="U36" s="139">
        <f t="shared" si="10"/>
        <v>10</v>
      </c>
      <c r="V36" s="139">
        <f t="shared" si="10"/>
        <v>30</v>
      </c>
      <c r="W36" s="139">
        <f t="shared" si="10"/>
        <v>30</v>
      </c>
      <c r="X36" s="139">
        <f t="shared" si="10"/>
        <v>30</v>
      </c>
      <c r="Y36" s="139">
        <f t="shared" si="10"/>
        <v>30</v>
      </c>
      <c r="Z36" s="139">
        <f t="shared" si="10"/>
        <v>10</v>
      </c>
      <c r="AA36" s="139">
        <f t="shared" si="10"/>
        <v>10</v>
      </c>
      <c r="AB36" s="139">
        <f>+AB10</f>
        <v>36</v>
      </c>
      <c r="AC36" s="140">
        <f t="shared" si="10"/>
        <v>616.52</v>
      </c>
      <c r="AD36" s="139">
        <f t="shared" si="10"/>
        <v>36</v>
      </c>
      <c r="AE36" s="139">
        <f t="shared" si="10"/>
        <v>36</v>
      </c>
      <c r="AF36" s="139">
        <f t="shared" si="10"/>
        <v>36</v>
      </c>
      <c r="AG36" s="139">
        <f t="shared" si="10"/>
        <v>20</v>
      </c>
      <c r="AH36" s="139">
        <f t="shared" si="10"/>
        <v>10</v>
      </c>
      <c r="AI36" s="139">
        <f t="shared" si="10"/>
        <v>30</v>
      </c>
      <c r="AJ36" s="140">
        <f t="shared" si="10"/>
        <v>784.52</v>
      </c>
      <c r="BG36" s="108"/>
      <c r="BH36" s="101"/>
      <c r="BI36" s="108"/>
      <c r="BJ36" s="108"/>
      <c r="BK36" s="108"/>
      <c r="BL36" s="109"/>
      <c r="BM36" s="108"/>
      <c r="BN36" s="108"/>
      <c r="BO36" s="108"/>
      <c r="BP36" s="108"/>
    </row>
    <row r="37" spans="1:68" ht="12" customHeight="1" x14ac:dyDescent="0.2">
      <c r="A37" s="141" t="s">
        <v>72</v>
      </c>
      <c r="B37" s="142">
        <f t="shared" si="10"/>
        <v>29.77</v>
      </c>
      <c r="C37" s="142">
        <f t="shared" si="10"/>
        <v>31.6</v>
      </c>
      <c r="D37" s="143">
        <f t="shared" si="10"/>
        <v>61.370000000000005</v>
      </c>
      <c r="E37" s="142">
        <f t="shared" si="10"/>
        <v>27.8</v>
      </c>
      <c r="F37" s="142">
        <f t="shared" si="10"/>
        <v>0</v>
      </c>
      <c r="G37" s="142">
        <f t="shared" si="10"/>
        <v>0</v>
      </c>
      <c r="H37" s="142">
        <f t="shared" si="10"/>
        <v>19.399999999999999</v>
      </c>
      <c r="I37" s="142">
        <f t="shared" si="10"/>
        <v>23.33</v>
      </c>
      <c r="J37" s="142">
        <f t="shared" si="10"/>
        <v>31.666</v>
      </c>
      <c r="K37" s="142">
        <f t="shared" si="10"/>
        <v>32</v>
      </c>
      <c r="L37" s="143">
        <f t="shared" si="10"/>
        <v>195.566</v>
      </c>
      <c r="M37" s="142">
        <f t="shared" si="10"/>
        <v>18.966000000000001</v>
      </c>
      <c r="N37" s="142">
        <f t="shared" si="10"/>
        <v>30.988</v>
      </c>
      <c r="O37" s="142">
        <f t="shared" si="10"/>
        <v>33.430999999999997</v>
      </c>
      <c r="P37" s="142">
        <f t="shared" si="10"/>
        <v>36.491999999999997</v>
      </c>
      <c r="Q37" s="142">
        <f t="shared" si="10"/>
        <v>37.35</v>
      </c>
      <c r="R37" s="142">
        <f t="shared" si="10"/>
        <v>38.420999999999999</v>
      </c>
      <c r="S37" s="142">
        <f t="shared" si="10"/>
        <v>37.914000000000001</v>
      </c>
      <c r="T37" s="143">
        <f t="shared" si="10"/>
        <v>429.12799999999993</v>
      </c>
      <c r="U37" s="142">
        <f t="shared" si="10"/>
        <v>0</v>
      </c>
      <c r="V37" s="142">
        <f t="shared" si="10"/>
        <v>0</v>
      </c>
      <c r="W37" s="142">
        <f t="shared" si="10"/>
        <v>0</v>
      </c>
      <c r="X37" s="142">
        <f t="shared" si="10"/>
        <v>0</v>
      </c>
      <c r="Y37" s="142">
        <f t="shared" si="10"/>
        <v>0</v>
      </c>
      <c r="Z37" s="142">
        <f t="shared" si="10"/>
        <v>0</v>
      </c>
      <c r="AA37" s="142">
        <f t="shared" si="10"/>
        <v>0</v>
      </c>
      <c r="AB37" s="142">
        <f>+AB11</f>
        <v>0</v>
      </c>
      <c r="AC37" s="143">
        <f t="shared" si="10"/>
        <v>429.12799999999993</v>
      </c>
      <c r="AD37" s="142">
        <f t="shared" si="10"/>
        <v>0</v>
      </c>
      <c r="AE37" s="142">
        <f t="shared" si="10"/>
        <v>0</v>
      </c>
      <c r="AF37" s="142">
        <f t="shared" si="10"/>
        <v>0</v>
      </c>
      <c r="AG37" s="142">
        <f t="shared" si="10"/>
        <v>0</v>
      </c>
      <c r="AH37" s="142">
        <f t="shared" si="10"/>
        <v>0</v>
      </c>
      <c r="AI37" s="142">
        <f t="shared" si="10"/>
        <v>0</v>
      </c>
      <c r="AJ37" s="143">
        <f t="shared" si="10"/>
        <v>429.12799999999993</v>
      </c>
      <c r="BG37" s="108"/>
      <c r="BH37" s="101"/>
      <c r="BI37" s="108"/>
      <c r="BJ37" s="108"/>
      <c r="BK37" s="108"/>
      <c r="BL37" s="109"/>
      <c r="BM37" s="108"/>
      <c r="BN37" s="108"/>
      <c r="BO37" s="108"/>
      <c r="BP37" s="108"/>
    </row>
    <row r="38" spans="1:68" ht="12" customHeight="1" thickBot="1" x14ac:dyDescent="0.25">
      <c r="A38" s="144" t="s">
        <v>3</v>
      </c>
      <c r="B38" s="145">
        <f>IFERROR(+B37/B36,0)</f>
        <v>1.3337813620071683</v>
      </c>
      <c r="C38" s="145">
        <f>IFERROR(+C37/C36,0)</f>
        <v>1.4157706093189966</v>
      </c>
      <c r="D38" s="146">
        <f>IFERROR(+D37/D36,0)</f>
        <v>1.3747759856630826</v>
      </c>
      <c r="E38" s="145">
        <f>IFERROR(+E37/E36,0)</f>
        <v>1.2455197132616487</v>
      </c>
      <c r="F38" s="145">
        <f t="shared" ref="F38:AJ38" si="11">IFERROR(+F37/F36,0)</f>
        <v>0</v>
      </c>
      <c r="G38" s="145">
        <f t="shared" si="11"/>
        <v>0</v>
      </c>
      <c r="H38" s="145">
        <f t="shared" si="11"/>
        <v>0.8691756272401433</v>
      </c>
      <c r="I38" s="145">
        <f t="shared" si="11"/>
        <v>1.0452508960573477</v>
      </c>
      <c r="J38" s="145">
        <f t="shared" si="11"/>
        <v>1.4187275985663081</v>
      </c>
      <c r="K38" s="145">
        <f t="shared" si="11"/>
        <v>1.4336917562724014</v>
      </c>
      <c r="L38" s="146">
        <f t="shared" si="11"/>
        <v>0.97354639585822389</v>
      </c>
      <c r="M38" s="145">
        <f t="shared" si="11"/>
        <v>0.84973118279569892</v>
      </c>
      <c r="N38" s="145">
        <f t="shared" si="11"/>
        <v>1.3883512544802867</v>
      </c>
      <c r="O38" s="145">
        <f t="shared" si="11"/>
        <v>0.90354054054054045</v>
      </c>
      <c r="P38" s="145">
        <f t="shared" si="11"/>
        <v>0.98627027027027014</v>
      </c>
      <c r="Q38" s="145">
        <f t="shared" si="11"/>
        <v>1.0094594594594595</v>
      </c>
      <c r="R38" s="145">
        <f t="shared" si="11"/>
        <v>1.0384054054054055</v>
      </c>
      <c r="S38" s="145">
        <f t="shared" si="11"/>
        <v>1.0247027027027027</v>
      </c>
      <c r="T38" s="146">
        <f t="shared" si="11"/>
        <v>0.99676670073399598</v>
      </c>
      <c r="U38" s="145">
        <f t="shared" si="11"/>
        <v>0</v>
      </c>
      <c r="V38" s="145">
        <f t="shared" si="11"/>
        <v>0</v>
      </c>
      <c r="W38" s="145">
        <f t="shared" si="11"/>
        <v>0</v>
      </c>
      <c r="X38" s="145">
        <f t="shared" si="11"/>
        <v>0</v>
      </c>
      <c r="Y38" s="145">
        <f t="shared" si="11"/>
        <v>0</v>
      </c>
      <c r="Z38" s="145">
        <f t="shared" si="11"/>
        <v>0</v>
      </c>
      <c r="AA38" s="145">
        <f t="shared" si="11"/>
        <v>0</v>
      </c>
      <c r="AB38" s="145">
        <f>IFERROR(+AB37/AB36,0)</f>
        <v>0</v>
      </c>
      <c r="AC38" s="146">
        <f t="shared" si="11"/>
        <v>0.69604878998248221</v>
      </c>
      <c r="AD38" s="145">
        <f t="shared" si="11"/>
        <v>0</v>
      </c>
      <c r="AE38" s="145">
        <f t="shared" si="11"/>
        <v>0</v>
      </c>
      <c r="AF38" s="145">
        <f t="shared" si="11"/>
        <v>0</v>
      </c>
      <c r="AG38" s="145">
        <f t="shared" si="11"/>
        <v>0</v>
      </c>
      <c r="AH38" s="145">
        <f t="shared" si="11"/>
        <v>0</v>
      </c>
      <c r="AI38" s="145">
        <f t="shared" si="11"/>
        <v>0</v>
      </c>
      <c r="AJ38" s="146">
        <f t="shared" si="11"/>
        <v>0.54699434048845141</v>
      </c>
      <c r="BG38" s="108"/>
      <c r="BH38" s="101"/>
      <c r="BI38" s="108"/>
      <c r="BJ38" s="108"/>
      <c r="BK38" s="108"/>
      <c r="BL38" s="109"/>
      <c r="BM38" s="108"/>
      <c r="BN38" s="108"/>
      <c r="BO38" s="108"/>
      <c r="BP38" s="108"/>
    </row>
    <row r="39" spans="1:68" ht="12" customHeight="1" x14ac:dyDescent="0.2">
      <c r="A39" s="138" t="s">
        <v>73</v>
      </c>
      <c r="B39" s="139">
        <f t="shared" ref="B39:AJ40" si="12">+B17+B23</f>
        <v>188.39190909090908</v>
      </c>
      <c r="C39" s="139">
        <f t="shared" si="12"/>
        <v>188.39190909090908</v>
      </c>
      <c r="D39" s="140">
        <f t="shared" si="12"/>
        <v>376.78381818181816</v>
      </c>
      <c r="E39" s="139">
        <f t="shared" si="12"/>
        <v>188.39190909090908</v>
      </c>
      <c r="F39" s="139">
        <f t="shared" si="12"/>
        <v>188.39190909090908</v>
      </c>
      <c r="G39" s="139">
        <f t="shared" si="12"/>
        <v>188.39190909090908</v>
      </c>
      <c r="H39" s="139">
        <f t="shared" si="12"/>
        <v>188.39190909090908</v>
      </c>
      <c r="I39" s="139">
        <f t="shared" si="12"/>
        <v>188.39190909090908</v>
      </c>
      <c r="J39" s="139">
        <f t="shared" si="12"/>
        <v>188.39190909090908</v>
      </c>
      <c r="K39" s="139">
        <f t="shared" si="12"/>
        <v>188.39190909090908</v>
      </c>
      <c r="L39" s="140">
        <f t="shared" si="12"/>
        <v>1695.5271818181818</v>
      </c>
      <c r="M39" s="139">
        <f t="shared" si="12"/>
        <v>188.39190909090908</v>
      </c>
      <c r="N39" s="139">
        <f t="shared" si="12"/>
        <v>188.39190909090908</v>
      </c>
      <c r="O39" s="139">
        <f t="shared" si="12"/>
        <v>220</v>
      </c>
      <c r="P39" s="139">
        <f t="shared" si="12"/>
        <v>220</v>
      </c>
      <c r="Q39" s="139">
        <f t="shared" si="12"/>
        <v>220</v>
      </c>
      <c r="R39" s="139">
        <f t="shared" si="12"/>
        <v>220</v>
      </c>
      <c r="S39" s="139">
        <f t="shared" si="12"/>
        <v>220</v>
      </c>
      <c r="T39" s="140">
        <f t="shared" si="12"/>
        <v>3172.3109999999997</v>
      </c>
      <c r="U39" s="139">
        <f t="shared" si="12"/>
        <v>220</v>
      </c>
      <c r="V39" s="139">
        <f t="shared" si="12"/>
        <v>220</v>
      </c>
      <c r="W39" s="139">
        <f t="shared" si="12"/>
        <v>220</v>
      </c>
      <c r="X39" s="139">
        <f t="shared" si="12"/>
        <v>220</v>
      </c>
      <c r="Y39" s="139">
        <f t="shared" si="12"/>
        <v>220</v>
      </c>
      <c r="Z39" s="139">
        <f t="shared" si="12"/>
        <v>220</v>
      </c>
      <c r="AA39" s="139">
        <f t="shared" si="12"/>
        <v>220</v>
      </c>
      <c r="AB39" s="139">
        <f>+AB17+AB23</f>
        <v>220</v>
      </c>
      <c r="AC39" s="140">
        <f t="shared" si="12"/>
        <v>4932.3109999999997</v>
      </c>
      <c r="AD39" s="139">
        <f t="shared" si="12"/>
        <v>220</v>
      </c>
      <c r="AE39" s="139">
        <f t="shared" si="12"/>
        <v>220</v>
      </c>
      <c r="AF39" s="139">
        <f t="shared" si="12"/>
        <v>220</v>
      </c>
      <c r="AG39" s="139">
        <f t="shared" si="12"/>
        <v>220</v>
      </c>
      <c r="AH39" s="139">
        <f t="shared" si="12"/>
        <v>220</v>
      </c>
      <c r="AI39" s="139">
        <f t="shared" si="12"/>
        <v>220</v>
      </c>
      <c r="AJ39" s="140">
        <f t="shared" si="12"/>
        <v>6252.3109999999997</v>
      </c>
      <c r="BG39" s="108"/>
      <c r="BH39" s="101"/>
      <c r="BI39" s="108"/>
      <c r="BJ39" s="108"/>
      <c r="BK39" s="108"/>
      <c r="BL39" s="109"/>
      <c r="BM39" s="108"/>
      <c r="BN39" s="108"/>
      <c r="BO39" s="108"/>
      <c r="BP39" s="108"/>
    </row>
    <row r="40" spans="1:68" ht="12" customHeight="1" x14ac:dyDescent="0.2">
      <c r="A40" s="141" t="s">
        <v>74</v>
      </c>
      <c r="B40" s="142">
        <f t="shared" si="12"/>
        <v>192.51</v>
      </c>
      <c r="C40" s="142">
        <f t="shared" si="12"/>
        <v>224.92000000000002</v>
      </c>
      <c r="D40" s="143">
        <f t="shared" si="12"/>
        <v>417.43</v>
      </c>
      <c r="E40" s="142">
        <f t="shared" si="12"/>
        <v>201.43</v>
      </c>
      <c r="F40" s="142">
        <f t="shared" si="12"/>
        <v>223.92000000000002</v>
      </c>
      <c r="G40" s="142">
        <f t="shared" si="12"/>
        <v>218.48099999999999</v>
      </c>
      <c r="H40" s="142">
        <f t="shared" si="12"/>
        <v>61.66</v>
      </c>
      <c r="I40" s="142">
        <f t="shared" si="12"/>
        <v>140.48000000000002</v>
      </c>
      <c r="J40" s="142">
        <f t="shared" si="12"/>
        <v>177.56</v>
      </c>
      <c r="K40" s="142">
        <f t="shared" si="12"/>
        <v>193.60000000000002</v>
      </c>
      <c r="L40" s="143">
        <f t="shared" si="12"/>
        <v>1634.5610000000001</v>
      </c>
      <c r="M40" s="142">
        <f t="shared" si="12"/>
        <v>221.61</v>
      </c>
      <c r="N40" s="142">
        <f t="shared" si="12"/>
        <v>216.14000000000001</v>
      </c>
      <c r="O40" s="142">
        <f t="shared" si="12"/>
        <v>215.96</v>
      </c>
      <c r="P40" s="142">
        <f t="shared" si="12"/>
        <v>211.74</v>
      </c>
      <c r="Q40" s="142">
        <f t="shared" si="12"/>
        <v>224.74</v>
      </c>
      <c r="R40" s="142">
        <f t="shared" si="12"/>
        <v>222.45</v>
      </c>
      <c r="S40" s="142">
        <f t="shared" si="12"/>
        <v>215.95</v>
      </c>
      <c r="T40" s="143">
        <f t="shared" si="12"/>
        <v>3163.1509999999998</v>
      </c>
      <c r="U40" s="142">
        <f t="shared" si="12"/>
        <v>0</v>
      </c>
      <c r="V40" s="142">
        <f t="shared" si="12"/>
        <v>0</v>
      </c>
      <c r="W40" s="142">
        <f t="shared" si="12"/>
        <v>0</v>
      </c>
      <c r="X40" s="142">
        <f t="shared" si="12"/>
        <v>0</v>
      </c>
      <c r="Y40" s="142">
        <f t="shared" si="12"/>
        <v>0</v>
      </c>
      <c r="Z40" s="142">
        <f t="shared" si="12"/>
        <v>0</v>
      </c>
      <c r="AA40" s="142">
        <f t="shared" si="12"/>
        <v>0</v>
      </c>
      <c r="AB40" s="142">
        <f>+AB18+AB24</f>
        <v>0</v>
      </c>
      <c r="AC40" s="143">
        <f t="shared" si="12"/>
        <v>3163.1509999999998</v>
      </c>
      <c r="AD40" s="142">
        <f t="shared" si="12"/>
        <v>0</v>
      </c>
      <c r="AE40" s="142">
        <f t="shared" si="12"/>
        <v>0</v>
      </c>
      <c r="AF40" s="142">
        <f t="shared" si="12"/>
        <v>0</v>
      </c>
      <c r="AG40" s="142">
        <f t="shared" si="12"/>
        <v>0</v>
      </c>
      <c r="AH40" s="142">
        <f t="shared" si="12"/>
        <v>0</v>
      </c>
      <c r="AI40" s="142">
        <f t="shared" si="12"/>
        <v>0</v>
      </c>
      <c r="AJ40" s="143">
        <f t="shared" si="12"/>
        <v>3163.1509999999998</v>
      </c>
      <c r="BG40" s="108"/>
      <c r="BH40" s="101"/>
      <c r="BI40" s="108"/>
      <c r="BJ40" s="108"/>
      <c r="BK40" s="108"/>
      <c r="BL40" s="109"/>
      <c r="BM40" s="108"/>
      <c r="BN40" s="108"/>
      <c r="BO40" s="108"/>
      <c r="BP40" s="108"/>
    </row>
    <row r="41" spans="1:68" ht="12" customHeight="1" thickBot="1" x14ac:dyDescent="0.25">
      <c r="A41" s="147" t="s">
        <v>3</v>
      </c>
      <c r="B41" s="148">
        <f>IFERROR(+B40/B39,0)</f>
        <v>1.0218591707518805</v>
      </c>
      <c r="C41" s="148">
        <f>IFERROR(+C40/C39,0)</f>
        <v>1.1938941597086539</v>
      </c>
      <c r="D41" s="149">
        <f>IFERROR(+D40/D39,0)</f>
        <v>1.1078766652302672</v>
      </c>
      <c r="E41" s="148">
        <f>IFERROR(+E40/E39,0)</f>
        <v>1.069207276320977</v>
      </c>
      <c r="F41" s="148">
        <f t="shared" ref="F41:AJ41" si="13">IFERROR(+F40/F39,0)</f>
        <v>1.1885860761246745</v>
      </c>
      <c r="G41" s="148">
        <f t="shared" si="13"/>
        <v>1.1597154095114102</v>
      </c>
      <c r="H41" s="148">
        <f t="shared" si="13"/>
        <v>0.32729643378817175</v>
      </c>
      <c r="I41" s="148">
        <f t="shared" si="13"/>
        <v>0.74567958187743066</v>
      </c>
      <c r="J41" s="148">
        <f t="shared" si="13"/>
        <v>0.94250332117138791</v>
      </c>
      <c r="K41" s="148">
        <f t="shared" si="13"/>
        <v>1.0276449818584181</v>
      </c>
      <c r="L41" s="149">
        <f t="shared" si="13"/>
        <v>0.96404293456811163</v>
      </c>
      <c r="M41" s="148">
        <f t="shared" si="13"/>
        <v>1.1763244030456821</v>
      </c>
      <c r="N41" s="148">
        <f t="shared" si="13"/>
        <v>1.1472891858413146</v>
      </c>
      <c r="O41" s="148">
        <f t="shared" si="13"/>
        <v>0.98163636363636364</v>
      </c>
      <c r="P41" s="148">
        <f t="shared" si="13"/>
        <v>0.96245454545454545</v>
      </c>
      <c r="Q41" s="148">
        <f t="shared" si="13"/>
        <v>1.0215454545454545</v>
      </c>
      <c r="R41" s="148">
        <f t="shared" si="13"/>
        <v>1.0111363636363635</v>
      </c>
      <c r="S41" s="148">
        <f t="shared" si="13"/>
        <v>0.98159090909090907</v>
      </c>
      <c r="T41" s="149">
        <f t="shared" si="13"/>
        <v>0.99711251513486543</v>
      </c>
      <c r="U41" s="148">
        <f t="shared" si="13"/>
        <v>0</v>
      </c>
      <c r="V41" s="148">
        <f t="shared" si="13"/>
        <v>0</v>
      </c>
      <c r="W41" s="148">
        <f t="shared" si="13"/>
        <v>0</v>
      </c>
      <c r="X41" s="148">
        <f t="shared" si="13"/>
        <v>0</v>
      </c>
      <c r="Y41" s="148">
        <f t="shared" si="13"/>
        <v>0</v>
      </c>
      <c r="Z41" s="148">
        <f t="shared" si="13"/>
        <v>0</v>
      </c>
      <c r="AA41" s="148">
        <f t="shared" si="13"/>
        <v>0</v>
      </c>
      <c r="AB41" s="148">
        <f>IFERROR(+AB40/AB39,0)</f>
        <v>0</v>
      </c>
      <c r="AC41" s="149">
        <f t="shared" si="13"/>
        <v>0.64131215570145517</v>
      </c>
      <c r="AD41" s="148">
        <f t="shared" si="13"/>
        <v>0</v>
      </c>
      <c r="AE41" s="148">
        <f t="shared" si="13"/>
        <v>0</v>
      </c>
      <c r="AF41" s="148">
        <f t="shared" si="13"/>
        <v>0</v>
      </c>
      <c r="AG41" s="148">
        <f t="shared" si="13"/>
        <v>0</v>
      </c>
      <c r="AH41" s="148">
        <f t="shared" si="13"/>
        <v>0</v>
      </c>
      <c r="AI41" s="148">
        <f t="shared" si="13"/>
        <v>0</v>
      </c>
      <c r="AJ41" s="149">
        <f t="shared" si="13"/>
        <v>0.50591709209602653</v>
      </c>
      <c r="BG41" s="108"/>
      <c r="BH41" s="101"/>
      <c r="BI41" s="108"/>
      <c r="BJ41" s="108"/>
      <c r="BK41" s="108"/>
      <c r="BL41" s="109"/>
      <c r="BM41" s="108"/>
      <c r="BN41" s="108"/>
      <c r="BO41" s="108"/>
      <c r="BP41" s="108"/>
    </row>
    <row r="42" spans="1:68" ht="12" customHeight="1" x14ac:dyDescent="0.2">
      <c r="A42" s="138" t="s">
        <v>75</v>
      </c>
      <c r="B42" s="139" t="e">
        <f t="shared" ref="B42:AJ43" si="14">+B30</f>
        <v>#N/A</v>
      </c>
      <c r="C42" s="139" t="e">
        <f t="shared" si="14"/>
        <v>#N/A</v>
      </c>
      <c r="D42" s="140" t="e">
        <f t="shared" si="14"/>
        <v>#N/A</v>
      </c>
      <c r="E42" s="139" t="e">
        <f t="shared" si="14"/>
        <v>#N/A</v>
      </c>
      <c r="F42" s="139" t="e">
        <f t="shared" si="14"/>
        <v>#N/A</v>
      </c>
      <c r="G42" s="139" t="e">
        <f t="shared" si="14"/>
        <v>#N/A</v>
      </c>
      <c r="H42" s="139" t="e">
        <f t="shared" si="14"/>
        <v>#N/A</v>
      </c>
      <c r="I42" s="139" t="e">
        <f t="shared" si="14"/>
        <v>#N/A</v>
      </c>
      <c r="J42" s="139" t="e">
        <f t="shared" si="14"/>
        <v>#N/A</v>
      </c>
      <c r="K42" s="139" t="e">
        <f t="shared" si="14"/>
        <v>#N/A</v>
      </c>
      <c r="L42" s="140" t="e">
        <f t="shared" si="14"/>
        <v>#N/A</v>
      </c>
      <c r="M42" s="139" t="e">
        <f t="shared" si="14"/>
        <v>#N/A</v>
      </c>
      <c r="N42" s="139" t="e">
        <f t="shared" si="14"/>
        <v>#N/A</v>
      </c>
      <c r="O42" s="139" t="e">
        <f t="shared" si="14"/>
        <v>#N/A</v>
      </c>
      <c r="P42" s="139" t="e">
        <f t="shared" si="14"/>
        <v>#N/A</v>
      </c>
      <c r="Q42" s="139" t="e">
        <f t="shared" si="14"/>
        <v>#N/A</v>
      </c>
      <c r="R42" s="139" t="e">
        <f t="shared" si="14"/>
        <v>#N/A</v>
      </c>
      <c r="S42" s="139" t="e">
        <f t="shared" si="14"/>
        <v>#N/A</v>
      </c>
      <c r="T42" s="140" t="e">
        <f t="shared" si="14"/>
        <v>#N/A</v>
      </c>
      <c r="U42" s="139" t="e">
        <f t="shared" si="14"/>
        <v>#N/A</v>
      </c>
      <c r="V42" s="139" t="e">
        <f t="shared" si="14"/>
        <v>#N/A</v>
      </c>
      <c r="W42" s="139" t="e">
        <f t="shared" si="14"/>
        <v>#N/A</v>
      </c>
      <c r="X42" s="139" t="e">
        <f t="shared" si="14"/>
        <v>#N/A</v>
      </c>
      <c r="Y42" s="139" t="e">
        <f t="shared" si="14"/>
        <v>#N/A</v>
      </c>
      <c r="Z42" s="139" t="e">
        <f t="shared" si="14"/>
        <v>#N/A</v>
      </c>
      <c r="AA42" s="139" t="e">
        <f t="shared" si="14"/>
        <v>#N/A</v>
      </c>
      <c r="AB42" s="139" t="e">
        <f>+AB30</f>
        <v>#N/A</v>
      </c>
      <c r="AC42" s="140" t="e">
        <f t="shared" si="14"/>
        <v>#N/A</v>
      </c>
      <c r="AD42" s="139" t="e">
        <f t="shared" si="14"/>
        <v>#N/A</v>
      </c>
      <c r="AE42" s="139" t="e">
        <f t="shared" si="14"/>
        <v>#N/A</v>
      </c>
      <c r="AF42" s="139" t="e">
        <f t="shared" si="14"/>
        <v>#N/A</v>
      </c>
      <c r="AG42" s="139" t="e">
        <f t="shared" si="14"/>
        <v>#N/A</v>
      </c>
      <c r="AH42" s="139" t="e">
        <f t="shared" si="14"/>
        <v>#N/A</v>
      </c>
      <c r="AI42" s="139" t="e">
        <f t="shared" si="14"/>
        <v>#N/A</v>
      </c>
      <c r="AJ42" s="140" t="e">
        <f t="shared" si="14"/>
        <v>#N/A</v>
      </c>
      <c r="BG42" s="108"/>
      <c r="BH42" s="101"/>
      <c r="BI42" s="108"/>
      <c r="BJ42" s="108"/>
      <c r="BK42" s="108"/>
      <c r="BL42" s="109"/>
      <c r="BM42" s="108"/>
      <c r="BN42" s="108"/>
      <c r="BO42" s="108"/>
      <c r="BP42" s="108"/>
    </row>
    <row r="43" spans="1:68" ht="12" customHeight="1" x14ac:dyDescent="0.2">
      <c r="A43" s="141" t="s">
        <v>76</v>
      </c>
      <c r="B43" s="142">
        <f t="shared" si="14"/>
        <v>63</v>
      </c>
      <c r="C43" s="142">
        <f t="shared" si="14"/>
        <v>56.7</v>
      </c>
      <c r="D43" s="143">
        <f t="shared" si="14"/>
        <v>119.7</v>
      </c>
      <c r="E43" s="142">
        <f t="shared" si="14"/>
        <v>53.55</v>
      </c>
      <c r="F43" s="142">
        <f t="shared" si="14"/>
        <v>40.950000000000003</v>
      </c>
      <c r="G43" s="142">
        <f t="shared" si="14"/>
        <v>63</v>
      </c>
      <c r="H43" s="142">
        <f t="shared" si="14"/>
        <v>66.150000000000006</v>
      </c>
      <c r="I43" s="142">
        <f t="shared" si="14"/>
        <v>63</v>
      </c>
      <c r="J43" s="142">
        <f t="shared" si="14"/>
        <v>44.1</v>
      </c>
      <c r="K43" s="142">
        <f t="shared" si="14"/>
        <v>9.4499999999999993</v>
      </c>
      <c r="L43" s="143">
        <f t="shared" si="14"/>
        <v>459.9</v>
      </c>
      <c r="M43" s="142">
        <f t="shared" si="14"/>
        <v>40.950000000000003</v>
      </c>
      <c r="N43" s="142">
        <f t="shared" si="14"/>
        <v>63</v>
      </c>
      <c r="O43" s="142">
        <f t="shared" si="14"/>
        <v>63</v>
      </c>
      <c r="P43" s="142">
        <f t="shared" si="14"/>
        <v>56.7</v>
      </c>
      <c r="Q43" s="142">
        <f t="shared" si="14"/>
        <v>69.3</v>
      </c>
      <c r="R43" s="142">
        <f t="shared" si="14"/>
        <v>59.564999999999998</v>
      </c>
      <c r="S43" s="142">
        <f t="shared" si="14"/>
        <v>53.55</v>
      </c>
      <c r="T43" s="143">
        <f t="shared" si="14"/>
        <v>865.96499999999992</v>
      </c>
      <c r="U43" s="142">
        <f t="shared" si="14"/>
        <v>0</v>
      </c>
      <c r="V43" s="142">
        <f t="shared" si="14"/>
        <v>0</v>
      </c>
      <c r="W43" s="142">
        <f t="shared" si="14"/>
        <v>0</v>
      </c>
      <c r="X43" s="142">
        <f t="shared" si="14"/>
        <v>0</v>
      </c>
      <c r="Y43" s="142">
        <f t="shared" si="14"/>
        <v>0</v>
      </c>
      <c r="Z43" s="142">
        <f t="shared" si="14"/>
        <v>0</v>
      </c>
      <c r="AA43" s="142">
        <f t="shared" si="14"/>
        <v>0</v>
      </c>
      <c r="AB43" s="142">
        <f>+AB31</f>
        <v>0</v>
      </c>
      <c r="AC43" s="143">
        <f t="shared" si="14"/>
        <v>865.96499999999992</v>
      </c>
      <c r="AD43" s="142">
        <f t="shared" si="14"/>
        <v>0</v>
      </c>
      <c r="AE43" s="142">
        <f t="shared" si="14"/>
        <v>0</v>
      </c>
      <c r="AF43" s="142">
        <f t="shared" si="14"/>
        <v>0</v>
      </c>
      <c r="AG43" s="142">
        <f t="shared" si="14"/>
        <v>0</v>
      </c>
      <c r="AH43" s="142">
        <f t="shared" si="14"/>
        <v>0</v>
      </c>
      <c r="AI43" s="142">
        <f t="shared" si="14"/>
        <v>0</v>
      </c>
      <c r="AJ43" s="143">
        <f t="shared" si="14"/>
        <v>865.96499999999992</v>
      </c>
      <c r="BG43" s="108"/>
      <c r="BH43" s="101"/>
      <c r="BI43" s="108"/>
      <c r="BJ43" s="108"/>
      <c r="BK43" s="108"/>
      <c r="BL43" s="109"/>
      <c r="BM43" s="108"/>
      <c r="BN43" s="108"/>
      <c r="BO43" s="108"/>
      <c r="BP43" s="108"/>
    </row>
    <row r="44" spans="1:68" ht="12" customHeight="1" thickBot="1" x14ac:dyDescent="0.25">
      <c r="A44" s="147" t="s">
        <v>3</v>
      </c>
      <c r="B44" s="148">
        <f>IFERROR(+B43/B42,0)</f>
        <v>0</v>
      </c>
      <c r="C44" s="148">
        <f>IFERROR(+C43/C42,0)</f>
        <v>0</v>
      </c>
      <c r="D44" s="149">
        <f>IFERROR(+D43/D42,0)</f>
        <v>0</v>
      </c>
      <c r="E44" s="148">
        <f>IFERROR(+E43/E42,0)</f>
        <v>0</v>
      </c>
      <c r="F44" s="148">
        <f t="shared" ref="F44:AJ44" si="15">IFERROR(+F43/F42,0)</f>
        <v>0</v>
      </c>
      <c r="G44" s="148">
        <f t="shared" si="15"/>
        <v>0</v>
      </c>
      <c r="H44" s="148">
        <f t="shared" si="15"/>
        <v>0</v>
      </c>
      <c r="I44" s="148">
        <f t="shared" si="15"/>
        <v>0</v>
      </c>
      <c r="J44" s="148">
        <f t="shared" si="15"/>
        <v>0</v>
      </c>
      <c r="K44" s="148">
        <f t="shared" si="15"/>
        <v>0</v>
      </c>
      <c r="L44" s="149">
        <f t="shared" si="15"/>
        <v>0</v>
      </c>
      <c r="M44" s="148">
        <f t="shared" si="15"/>
        <v>0</v>
      </c>
      <c r="N44" s="148">
        <f t="shared" si="15"/>
        <v>0</v>
      </c>
      <c r="O44" s="148">
        <f t="shared" si="15"/>
        <v>0</v>
      </c>
      <c r="P44" s="148">
        <f t="shared" si="15"/>
        <v>0</v>
      </c>
      <c r="Q44" s="148">
        <f t="shared" si="15"/>
        <v>0</v>
      </c>
      <c r="R44" s="148">
        <f t="shared" si="15"/>
        <v>0</v>
      </c>
      <c r="S44" s="148">
        <f t="shared" si="15"/>
        <v>0</v>
      </c>
      <c r="T44" s="149">
        <f t="shared" si="15"/>
        <v>0</v>
      </c>
      <c r="U44" s="148">
        <f t="shared" si="15"/>
        <v>0</v>
      </c>
      <c r="V44" s="148">
        <f t="shared" si="15"/>
        <v>0</v>
      </c>
      <c r="W44" s="148">
        <f t="shared" si="15"/>
        <v>0</v>
      </c>
      <c r="X44" s="148">
        <f t="shared" si="15"/>
        <v>0</v>
      </c>
      <c r="Y44" s="148">
        <f t="shared" si="15"/>
        <v>0</v>
      </c>
      <c r="Z44" s="148">
        <f t="shared" si="15"/>
        <v>0</v>
      </c>
      <c r="AA44" s="148">
        <f t="shared" si="15"/>
        <v>0</v>
      </c>
      <c r="AB44" s="148">
        <f>IFERROR(+AB43/AB42,0)</f>
        <v>0</v>
      </c>
      <c r="AC44" s="149">
        <f t="shared" si="15"/>
        <v>0</v>
      </c>
      <c r="AD44" s="148">
        <f t="shared" si="15"/>
        <v>0</v>
      </c>
      <c r="AE44" s="148">
        <f t="shared" si="15"/>
        <v>0</v>
      </c>
      <c r="AF44" s="148">
        <f t="shared" si="15"/>
        <v>0</v>
      </c>
      <c r="AG44" s="148">
        <f t="shared" si="15"/>
        <v>0</v>
      </c>
      <c r="AH44" s="148">
        <f t="shared" si="15"/>
        <v>0</v>
      </c>
      <c r="AI44" s="148">
        <f t="shared" si="15"/>
        <v>0</v>
      </c>
      <c r="AJ44" s="149">
        <f t="shared" si="15"/>
        <v>0</v>
      </c>
      <c r="BG44" s="108"/>
      <c r="BH44" s="101"/>
      <c r="BI44" s="108"/>
      <c r="BJ44" s="108"/>
      <c r="BK44" s="108"/>
      <c r="BL44" s="109"/>
      <c r="BM44" s="108"/>
      <c r="BN44" s="108"/>
      <c r="BO44" s="108"/>
      <c r="BP44" s="108"/>
    </row>
    <row r="45" spans="1:68" ht="35.25" customHeight="1" thickBot="1" x14ac:dyDescent="0.25">
      <c r="A45" s="108"/>
      <c r="B45" s="150" t="s">
        <v>28</v>
      </c>
      <c r="C45" s="151" t="s">
        <v>77</v>
      </c>
      <c r="D45" s="150" t="s">
        <v>78</v>
      </c>
      <c r="E45" s="152" t="s">
        <v>31</v>
      </c>
      <c r="F45" s="152" t="s">
        <v>32</v>
      </c>
      <c r="J45" s="150" t="s">
        <v>28</v>
      </c>
      <c r="K45" s="151" t="s">
        <v>77</v>
      </c>
      <c r="L45" s="150" t="s">
        <v>78</v>
      </c>
      <c r="M45" s="152" t="s">
        <v>31</v>
      </c>
      <c r="N45" s="152" t="s">
        <v>32</v>
      </c>
      <c r="R45" s="150" t="s">
        <v>28</v>
      </c>
      <c r="S45" s="153" t="s">
        <v>77</v>
      </c>
      <c r="T45" s="150" t="s">
        <v>78</v>
      </c>
      <c r="U45" s="152" t="s">
        <v>31</v>
      </c>
      <c r="V45" s="152" t="s">
        <v>32</v>
      </c>
      <c r="Z45" s="150" t="s">
        <v>28</v>
      </c>
      <c r="AA45" s="153" t="s">
        <v>77</v>
      </c>
      <c r="AB45" s="150" t="s">
        <v>78</v>
      </c>
      <c r="AC45" s="152" t="s">
        <v>31</v>
      </c>
      <c r="AD45" s="152" t="s">
        <v>32</v>
      </c>
      <c r="AF45" s="150" t="s">
        <v>28</v>
      </c>
      <c r="AG45" s="153" t="s">
        <v>77</v>
      </c>
      <c r="AH45" s="279"/>
      <c r="AI45" s="279"/>
      <c r="AJ45" s="150" t="s">
        <v>78</v>
      </c>
      <c r="AK45" s="152" t="s">
        <v>31</v>
      </c>
      <c r="AL45" s="152" t="s">
        <v>32</v>
      </c>
      <c r="BH45" s="101"/>
      <c r="BI45" s="152"/>
      <c r="BJ45" s="152"/>
      <c r="BK45" s="152"/>
      <c r="BL45" s="155" t="s">
        <v>28</v>
      </c>
      <c r="BM45" s="156" t="s">
        <v>77</v>
      </c>
      <c r="BN45" s="157" t="s">
        <v>78</v>
      </c>
      <c r="BO45" s="152" t="s">
        <v>31</v>
      </c>
      <c r="BP45" s="152" t="s">
        <v>32</v>
      </c>
    </row>
    <row r="46" spans="1:68" ht="35.25" customHeight="1" x14ac:dyDescent="0.2">
      <c r="A46" s="152"/>
      <c r="B46" s="158" t="s">
        <v>79</v>
      </c>
      <c r="C46" s="159">
        <f>+D33</f>
        <v>693.51618181818185</v>
      </c>
      <c r="D46" s="160">
        <f>+D34</f>
        <v>715.33699999999999</v>
      </c>
      <c r="E46" s="161">
        <f>IFERROR(D46/C46,0)</f>
        <v>1.0314640361016678</v>
      </c>
      <c r="F46" s="154">
        <f>+D46-C46</f>
        <v>21.82081818181814</v>
      </c>
      <c r="J46" s="158" t="s">
        <v>79</v>
      </c>
      <c r="K46" s="162">
        <f>+L33</f>
        <v>3120.8228181818181</v>
      </c>
      <c r="L46" s="160">
        <f>+L34</f>
        <v>3174.8970000000004</v>
      </c>
      <c r="M46" s="161">
        <f>IFERROR(L46/K46,0)</f>
        <v>1.0173268990162299</v>
      </c>
      <c r="N46" s="154">
        <f>+L46-K46</f>
        <v>54.074181818182296</v>
      </c>
      <c r="R46" s="158" t="s">
        <v>79</v>
      </c>
      <c r="S46" s="162">
        <f>+T33</f>
        <v>5614.3389999999999</v>
      </c>
      <c r="T46" s="160">
        <f>+T34</f>
        <v>5462.491</v>
      </c>
      <c r="U46" s="161">
        <f>IFERROR(T46/S46,0)</f>
        <v>0.97295353914325444</v>
      </c>
      <c r="V46" s="154">
        <f>+T46-S46</f>
        <v>-151.84799999999996</v>
      </c>
      <c r="Z46" s="158" t="s">
        <v>79</v>
      </c>
      <c r="AA46" s="162">
        <f>+AC33</f>
        <v>8494.3389999999999</v>
      </c>
      <c r="AB46" s="160">
        <f>+AC34</f>
        <v>5462.491</v>
      </c>
      <c r="AC46" s="161">
        <f>IFERROR(AB46/AA46,0)</f>
        <v>0.64307428747545869</v>
      </c>
      <c r="AD46" s="154">
        <f>+AB46-AA46</f>
        <v>-3031.848</v>
      </c>
      <c r="AE46" s="99">
        <f>1303935/1000</f>
        <v>1303.9349999999999</v>
      </c>
      <c r="AF46" s="158" t="s">
        <v>79</v>
      </c>
      <c r="AG46" s="162">
        <f>+AJ33</f>
        <v>10654.339</v>
      </c>
      <c r="AH46" s="280"/>
      <c r="AI46" s="280"/>
      <c r="AJ46" s="160">
        <f>+AJ34</f>
        <v>5462.491</v>
      </c>
      <c r="AK46" s="161">
        <f>IFERROR(AJ46/AG46,0)</f>
        <v>0.51270106948915362</v>
      </c>
      <c r="AL46" s="154">
        <f>+AJ46-AG46</f>
        <v>-5191.848</v>
      </c>
      <c r="BH46" s="101"/>
      <c r="BI46" s="154"/>
      <c r="BJ46" s="154"/>
      <c r="BK46" s="154"/>
      <c r="BL46" s="163" t="s">
        <v>79</v>
      </c>
      <c r="BM46" s="164">
        <f>+AJ33</f>
        <v>10654.339</v>
      </c>
      <c r="BN46" s="165">
        <f>+AJ34</f>
        <v>5462.491</v>
      </c>
      <c r="BO46" s="161">
        <f>IFERROR(BN46/BM46,0)</f>
        <v>0.51270106948915362</v>
      </c>
      <c r="BP46" s="154">
        <f>+BN46-BM46</f>
        <v>-5191.848</v>
      </c>
    </row>
    <row r="47" spans="1:68" ht="35.25" customHeight="1" x14ac:dyDescent="0.2">
      <c r="A47" s="166"/>
      <c r="B47" s="163" t="s">
        <v>80</v>
      </c>
      <c r="C47" s="167">
        <f>+D36</f>
        <v>44.64</v>
      </c>
      <c r="D47" s="165">
        <f>+D37</f>
        <v>61.370000000000005</v>
      </c>
      <c r="E47" s="161">
        <f>IFERROR(D47/C47,0)</f>
        <v>1.3747759856630826</v>
      </c>
      <c r="F47" s="154">
        <f>+D47-C47</f>
        <v>16.730000000000004</v>
      </c>
      <c r="J47" s="163" t="s">
        <v>80</v>
      </c>
      <c r="K47" s="164">
        <f>+L36</f>
        <v>200.88</v>
      </c>
      <c r="L47" s="165">
        <f>+L37</f>
        <v>195.566</v>
      </c>
      <c r="M47" s="161">
        <f>IFERROR(L47/K47,0)</f>
        <v>0.97354639585822389</v>
      </c>
      <c r="N47" s="154">
        <f>+L47-K47</f>
        <v>-5.313999999999993</v>
      </c>
      <c r="R47" s="163" t="s">
        <v>80</v>
      </c>
      <c r="S47" s="164">
        <f>+T36</f>
        <v>430.52</v>
      </c>
      <c r="T47" s="165">
        <f>+T37</f>
        <v>429.12799999999993</v>
      </c>
      <c r="U47" s="161">
        <f>IFERROR(T47/S47,0)</f>
        <v>0.99676670073399598</v>
      </c>
      <c r="V47" s="154">
        <f>+T47-S47</f>
        <v>-1.3920000000000528</v>
      </c>
      <c r="Z47" s="163" t="s">
        <v>80</v>
      </c>
      <c r="AA47" s="164">
        <f>+AC36</f>
        <v>616.52</v>
      </c>
      <c r="AB47" s="165">
        <f>+AC37</f>
        <v>429.12799999999993</v>
      </c>
      <c r="AC47" s="161">
        <f>IFERROR(AB47/AA47,0)</f>
        <v>0.69604878998248221</v>
      </c>
      <c r="AD47" s="154">
        <f>+AB47-AA47</f>
        <v>-187.39200000000005</v>
      </c>
      <c r="AE47" s="281">
        <f>+AC31+AE31</f>
        <v>865.96499999999992</v>
      </c>
      <c r="AF47" s="163" t="s">
        <v>80</v>
      </c>
      <c r="AG47" s="164">
        <f>+AJ36</f>
        <v>784.52</v>
      </c>
      <c r="AH47" s="154"/>
      <c r="AI47" s="154"/>
      <c r="AJ47" s="165">
        <f>+AJ37</f>
        <v>429.12799999999993</v>
      </c>
      <c r="AK47" s="161">
        <f>IFERROR(AJ47/AG47,0)</f>
        <v>0.54699434048845141</v>
      </c>
      <c r="AL47" s="154">
        <f>+AJ47-AG47</f>
        <v>-355.39200000000005</v>
      </c>
      <c r="BH47" s="154"/>
      <c r="BI47" s="154"/>
      <c r="BJ47" s="154"/>
      <c r="BK47" s="154"/>
      <c r="BL47" s="163" t="s">
        <v>80</v>
      </c>
      <c r="BM47" s="164">
        <f>+AJ36</f>
        <v>784.52</v>
      </c>
      <c r="BN47" s="165">
        <f>+AJ37</f>
        <v>429.12799999999993</v>
      </c>
      <c r="BO47" s="161">
        <f>IFERROR(BN47/BM47,0)</f>
        <v>0.54699434048845141</v>
      </c>
      <c r="BP47" s="154">
        <f>+BN47-BM47</f>
        <v>-355.39200000000005</v>
      </c>
    </row>
    <row r="48" spans="1:68" ht="35.25" customHeight="1" x14ac:dyDescent="0.2">
      <c r="A48" s="166"/>
      <c r="B48" s="163" t="s">
        <v>81</v>
      </c>
      <c r="C48" s="167">
        <f>+D39</f>
        <v>376.78381818181816</v>
      </c>
      <c r="D48" s="165">
        <f>+D40</f>
        <v>417.43</v>
      </c>
      <c r="E48" s="161">
        <f>IFERROR(D48/C48,0)</f>
        <v>1.1078766652302672</v>
      </c>
      <c r="F48" s="154">
        <f>+D48-C48</f>
        <v>40.646181818181844</v>
      </c>
      <c r="J48" s="163" t="s">
        <v>81</v>
      </c>
      <c r="K48" s="154">
        <f>+L39</f>
        <v>1695.5271818181818</v>
      </c>
      <c r="L48" s="165">
        <f>+L40</f>
        <v>1634.5610000000001</v>
      </c>
      <c r="M48" s="161">
        <f>IFERROR(L48/K48,0)</f>
        <v>0.96404293456811163</v>
      </c>
      <c r="N48" s="154">
        <f>+L48-K48</f>
        <v>-60.966181818181667</v>
      </c>
      <c r="R48" s="163" t="s">
        <v>81</v>
      </c>
      <c r="S48" s="154">
        <f>+T39</f>
        <v>3172.3109999999997</v>
      </c>
      <c r="T48" s="165">
        <f>+T40</f>
        <v>3163.1509999999998</v>
      </c>
      <c r="U48" s="161">
        <f>IFERROR(T48/S48,0)</f>
        <v>0.99711251513486543</v>
      </c>
      <c r="V48" s="154">
        <f>+T48-S48</f>
        <v>-9.1599999999998545</v>
      </c>
      <c r="Z48" s="163" t="s">
        <v>81</v>
      </c>
      <c r="AA48" s="154">
        <f>+AC39</f>
        <v>4932.3109999999997</v>
      </c>
      <c r="AB48" s="165">
        <f>+AC40</f>
        <v>3163.1509999999998</v>
      </c>
      <c r="AC48" s="161">
        <f>IFERROR(AB48/AA48,0)</f>
        <v>0.64131215570145517</v>
      </c>
      <c r="AD48" s="154">
        <f>+AB48-AA48</f>
        <v>-1769.1599999999999</v>
      </c>
      <c r="AE48" s="281">
        <f>+AE46-AE47</f>
        <v>437.97</v>
      </c>
      <c r="AF48" s="163" t="s">
        <v>81</v>
      </c>
      <c r="AG48" s="154">
        <f>+AJ39</f>
        <v>6252.3109999999997</v>
      </c>
      <c r="AH48" s="154"/>
      <c r="AI48" s="154"/>
      <c r="AJ48" s="165">
        <f>+AJ40</f>
        <v>3163.1509999999998</v>
      </c>
      <c r="AK48" s="161">
        <f>IFERROR(AJ48/AG48,0)</f>
        <v>0.50591709209602653</v>
      </c>
      <c r="AL48" s="154">
        <f>+AJ48-AG48</f>
        <v>-3089.16</v>
      </c>
      <c r="BH48" s="154"/>
      <c r="BI48" s="154"/>
      <c r="BJ48" s="154"/>
      <c r="BK48" s="154"/>
      <c r="BL48" s="163" t="s">
        <v>81</v>
      </c>
      <c r="BM48" s="154">
        <f>+AJ39</f>
        <v>6252.3109999999997</v>
      </c>
      <c r="BN48" s="165">
        <f>+AJ40</f>
        <v>3163.1509999999998</v>
      </c>
      <c r="BO48" s="161">
        <f>IFERROR(BN48/BM48,0)</f>
        <v>0.50591709209602653</v>
      </c>
      <c r="BP48" s="154">
        <f>+BN48-BM48</f>
        <v>-3089.16</v>
      </c>
    </row>
    <row r="49" spans="1:68" ht="35.25" customHeight="1" thickBot="1" x14ac:dyDescent="0.25">
      <c r="A49" s="166"/>
      <c r="B49" s="168" t="s">
        <v>82</v>
      </c>
      <c r="C49" s="169" t="e">
        <f>+D42</f>
        <v>#N/A</v>
      </c>
      <c r="D49" s="170">
        <f>+D43</f>
        <v>119.7</v>
      </c>
      <c r="E49" s="161">
        <f>IFERROR(D49/C49,0)</f>
        <v>0</v>
      </c>
      <c r="F49" s="154" t="e">
        <f>+D49-C49</f>
        <v>#N/A</v>
      </c>
      <c r="J49" s="168" t="s">
        <v>82</v>
      </c>
      <c r="K49" s="171" t="e">
        <f>+L42</f>
        <v>#N/A</v>
      </c>
      <c r="L49" s="170">
        <f>+L43</f>
        <v>459.9</v>
      </c>
      <c r="M49" s="161">
        <f>IFERROR(L49/K49,0)</f>
        <v>0</v>
      </c>
      <c r="N49" s="154" t="e">
        <f>+L49-K49</f>
        <v>#N/A</v>
      </c>
      <c r="R49" s="168" t="s">
        <v>82</v>
      </c>
      <c r="S49" s="171" t="e">
        <f>+T42</f>
        <v>#N/A</v>
      </c>
      <c r="T49" s="170">
        <f>+T43</f>
        <v>865.96499999999992</v>
      </c>
      <c r="U49" s="161">
        <f>IFERROR(T49/S49,0)</f>
        <v>0</v>
      </c>
      <c r="V49" s="154" t="e">
        <f>+T49-S49</f>
        <v>#N/A</v>
      </c>
      <c r="Z49" s="168" t="s">
        <v>82</v>
      </c>
      <c r="AA49" s="171" t="e">
        <f>+AC42</f>
        <v>#N/A</v>
      </c>
      <c r="AB49" s="170">
        <f>+AC43</f>
        <v>865.96499999999992</v>
      </c>
      <c r="AC49" s="161">
        <f>IFERROR(AB49/AA49,0)</f>
        <v>0</v>
      </c>
      <c r="AD49" s="154" t="e">
        <f>+AB49-AA49</f>
        <v>#N/A</v>
      </c>
      <c r="AF49" s="168" t="s">
        <v>82</v>
      </c>
      <c r="AG49" s="171" t="e">
        <f>+AJ42</f>
        <v>#N/A</v>
      </c>
      <c r="AH49" s="171"/>
      <c r="AI49" s="171"/>
      <c r="AJ49" s="170">
        <f>+AJ43</f>
        <v>865.96499999999992</v>
      </c>
      <c r="AK49" s="161">
        <f>IFERROR(AJ49/AG49,0)</f>
        <v>0</v>
      </c>
      <c r="AL49" s="154" t="e">
        <f>+AJ49-AG49</f>
        <v>#N/A</v>
      </c>
      <c r="BH49" s="154"/>
      <c r="BI49" s="154"/>
      <c r="BJ49" s="154"/>
      <c r="BK49" s="154"/>
      <c r="BL49" s="168" t="s">
        <v>82</v>
      </c>
      <c r="BM49" s="171" t="e">
        <f>+AJ42</f>
        <v>#N/A</v>
      </c>
      <c r="BN49" s="170">
        <f>+AJ43</f>
        <v>865.96499999999992</v>
      </c>
      <c r="BO49" s="161">
        <f>IFERROR(BN49/BM49,0)</f>
        <v>0</v>
      </c>
      <c r="BP49" s="154" t="e">
        <f>+BN49-BM49</f>
        <v>#N/A</v>
      </c>
    </row>
    <row r="50" spans="1:68" ht="35.25" customHeight="1" thickBot="1" x14ac:dyDescent="0.25">
      <c r="A50" s="166"/>
      <c r="B50" s="172" t="s">
        <v>38</v>
      </c>
      <c r="C50" s="173" t="e">
        <f>SUM(C46:C49)</f>
        <v>#N/A</v>
      </c>
      <c r="D50" s="174">
        <f>SUM(D46:D49)</f>
        <v>1313.837</v>
      </c>
      <c r="E50" s="175">
        <f>IFERROR(D50/C50,0)</f>
        <v>0</v>
      </c>
      <c r="F50" s="176" t="e">
        <f>+D50-C50</f>
        <v>#N/A</v>
      </c>
      <c r="J50" s="172" t="s">
        <v>38</v>
      </c>
      <c r="K50" s="173" t="e">
        <f>SUM(K46:K49)</f>
        <v>#N/A</v>
      </c>
      <c r="L50" s="174">
        <f>SUM(L46:L49)</f>
        <v>5464.924</v>
      </c>
      <c r="M50" s="175">
        <f>IFERROR(L50/K50,0)</f>
        <v>0</v>
      </c>
      <c r="N50" s="176" t="e">
        <f>+L50-K50</f>
        <v>#N/A</v>
      </c>
      <c r="R50" s="172" t="s">
        <v>38</v>
      </c>
      <c r="S50" s="173" t="e">
        <f>SUM(S46:S49)</f>
        <v>#N/A</v>
      </c>
      <c r="T50" s="174">
        <f>SUM(T46:T49)</f>
        <v>9920.7350000000006</v>
      </c>
      <c r="U50" s="175">
        <f>IFERROR(T50/S50,0)</f>
        <v>0</v>
      </c>
      <c r="V50" s="176" t="e">
        <f>+T50-S50</f>
        <v>#N/A</v>
      </c>
      <c r="Z50" s="172" t="s">
        <v>38</v>
      </c>
      <c r="AA50" s="173" t="e">
        <f>SUM(AA46:AA49)</f>
        <v>#N/A</v>
      </c>
      <c r="AB50" s="174">
        <f>SUM(AB46:AB49)</f>
        <v>9920.7350000000006</v>
      </c>
      <c r="AC50" s="175">
        <f>IFERROR(AB50/AA50,0)</f>
        <v>0</v>
      </c>
      <c r="AD50" s="176" t="e">
        <f>+AB50-AA50</f>
        <v>#N/A</v>
      </c>
      <c r="AF50" s="172" t="s">
        <v>38</v>
      </c>
      <c r="AG50" s="173" t="e">
        <f>SUM(AG46:AG49)</f>
        <v>#N/A</v>
      </c>
      <c r="AH50" s="173"/>
      <c r="AI50" s="173"/>
      <c r="AJ50" s="174">
        <f>SUM(AJ46:AJ49)</f>
        <v>9920.7350000000006</v>
      </c>
      <c r="AK50" s="175">
        <f>IFERROR(AJ50/AG50,0)</f>
        <v>0</v>
      </c>
      <c r="AL50" s="176" t="e">
        <f>+AJ50-AG50</f>
        <v>#N/A</v>
      </c>
      <c r="BH50" s="177"/>
      <c r="BI50" s="177"/>
      <c r="BJ50" s="177"/>
      <c r="BK50" s="177"/>
      <c r="BL50" s="172" t="s">
        <v>38</v>
      </c>
      <c r="BM50" s="173" t="e">
        <f>SUM(BM46:BM49)</f>
        <v>#N/A</v>
      </c>
      <c r="BN50" s="174">
        <f>SUM(BN46:BN49)</f>
        <v>9920.7350000000006</v>
      </c>
      <c r="BO50" s="175">
        <f>IFERROR(BN50/BM50,0)</f>
        <v>0</v>
      </c>
      <c r="BP50" s="176" t="e">
        <f>+BN50-BM50</f>
        <v>#N/A</v>
      </c>
    </row>
    <row r="51" spans="1:68" ht="18" customHeight="1" x14ac:dyDescent="0.2">
      <c r="A51" s="166"/>
      <c r="B51" s="108"/>
      <c r="C51" s="108"/>
      <c r="D51" s="108"/>
      <c r="E51" s="108"/>
      <c r="F51" s="108"/>
      <c r="G51" s="108"/>
      <c r="H51" s="108"/>
      <c r="I51" s="108"/>
      <c r="J51" s="108"/>
      <c r="K51" s="108"/>
      <c r="L51" s="108"/>
      <c r="M51" s="108"/>
      <c r="N51" s="178"/>
      <c r="O51" s="178"/>
      <c r="P51" s="178"/>
      <c r="Q51" s="108"/>
      <c r="R51" s="108"/>
      <c r="S51" s="178"/>
      <c r="T51" s="178"/>
      <c r="U51" s="178"/>
      <c r="V51" s="107">
        <f t="shared" ref="V51:V61" si="16">+R51-Q51</f>
        <v>0</v>
      </c>
      <c r="W51" s="108"/>
      <c r="X51" s="108"/>
      <c r="Y51" s="108"/>
      <c r="Z51" s="108"/>
      <c r="AA51" s="108"/>
      <c r="AB51" s="108"/>
      <c r="AC51" s="108"/>
      <c r="AD51" s="108"/>
      <c r="AE51" s="108"/>
      <c r="AF51" s="108"/>
      <c r="AG51" s="108"/>
      <c r="AH51" s="108"/>
      <c r="AI51" s="108"/>
      <c r="AJ51" s="108"/>
      <c r="AK51" s="108"/>
      <c r="AL51" s="108"/>
      <c r="AM51" s="108"/>
      <c r="AN51" s="108"/>
      <c r="AO51" s="108"/>
      <c r="AP51" s="108"/>
      <c r="AQ51" s="108"/>
      <c r="AR51" s="108"/>
      <c r="AS51" s="108"/>
      <c r="AT51" s="154"/>
      <c r="AU51" s="154"/>
      <c r="AV51" s="154"/>
      <c r="AW51" s="154"/>
      <c r="AX51" s="177"/>
      <c r="AY51" s="177"/>
      <c r="AZ51" s="108"/>
      <c r="BA51" s="108"/>
      <c r="BB51" s="108"/>
      <c r="BC51" s="177"/>
      <c r="BD51" s="177"/>
      <c r="BE51" s="177"/>
      <c r="BF51" s="177"/>
      <c r="BG51" s="108"/>
      <c r="BH51" s="154"/>
      <c r="BI51" s="154"/>
      <c r="BJ51" s="108"/>
      <c r="BK51" s="108"/>
      <c r="BL51" s="108"/>
      <c r="BM51" s="109"/>
      <c r="BN51" s="108"/>
      <c r="BO51" s="108"/>
      <c r="BP51" s="108"/>
    </row>
    <row r="52" spans="1:68" ht="12" customHeight="1" x14ac:dyDescent="0.2">
      <c r="A52" s="179"/>
      <c r="B52" s="108"/>
      <c r="C52" s="108"/>
      <c r="D52" s="108"/>
      <c r="E52" s="108"/>
      <c r="F52" s="108"/>
      <c r="G52" s="108"/>
      <c r="H52" s="108"/>
      <c r="I52" s="108"/>
      <c r="J52" s="108"/>
      <c r="K52" s="108"/>
      <c r="L52" s="108"/>
      <c r="M52" s="108"/>
      <c r="N52" s="178"/>
      <c r="O52" s="178"/>
      <c r="P52" s="178"/>
      <c r="Q52" s="154"/>
      <c r="R52" s="154"/>
      <c r="S52" s="178"/>
      <c r="T52" s="178"/>
      <c r="U52" s="178"/>
      <c r="V52" s="107">
        <f t="shared" si="16"/>
        <v>0</v>
      </c>
      <c r="W52" s="108"/>
      <c r="X52" s="108"/>
      <c r="Y52" s="108"/>
      <c r="Z52" s="108"/>
      <c r="AA52" s="108"/>
      <c r="AB52" s="108"/>
      <c r="AC52" s="108"/>
      <c r="AD52" s="108"/>
      <c r="AE52" s="108"/>
      <c r="AF52" s="108"/>
      <c r="AG52" s="108"/>
      <c r="AH52" s="108"/>
      <c r="AI52" s="108"/>
      <c r="AJ52" s="108"/>
      <c r="AK52" s="108"/>
      <c r="AL52" s="108"/>
      <c r="AM52" s="108"/>
      <c r="AN52" s="108"/>
      <c r="AO52" s="108"/>
      <c r="AP52" s="108"/>
      <c r="AQ52" s="108"/>
      <c r="AR52" s="108"/>
      <c r="AS52" s="108"/>
      <c r="AT52" s="154"/>
      <c r="AU52" s="154"/>
      <c r="AV52" s="154"/>
      <c r="AW52" s="154"/>
      <c r="AX52" s="108"/>
      <c r="AY52" s="108"/>
      <c r="AZ52" s="108"/>
      <c r="BA52" s="108"/>
      <c r="BB52" s="108"/>
      <c r="BC52" s="108"/>
      <c r="BD52" s="108"/>
      <c r="BE52" s="108"/>
      <c r="BF52" s="108"/>
      <c r="BG52" s="108"/>
      <c r="BH52" s="108"/>
      <c r="BI52" s="108"/>
      <c r="BJ52" s="108"/>
      <c r="BK52" s="108"/>
      <c r="BL52" s="108"/>
      <c r="BM52" s="109"/>
      <c r="BN52" s="108"/>
      <c r="BO52" s="108"/>
      <c r="BP52" s="108"/>
    </row>
    <row r="53" spans="1:68" ht="12" customHeight="1" x14ac:dyDescent="0.2">
      <c r="A53" s="179"/>
      <c r="B53" s="108"/>
      <c r="C53" s="108"/>
      <c r="D53" s="108"/>
      <c r="E53" s="108"/>
      <c r="F53" s="108"/>
      <c r="G53" s="108"/>
      <c r="H53" s="108"/>
      <c r="I53" s="108"/>
      <c r="J53" s="108"/>
      <c r="K53" s="108"/>
      <c r="L53" s="108"/>
      <c r="M53" s="108"/>
      <c r="N53" s="108"/>
      <c r="O53" s="108"/>
      <c r="P53" s="108"/>
      <c r="Q53" s="108"/>
      <c r="R53" s="108"/>
      <c r="S53" s="178"/>
      <c r="T53" s="178"/>
      <c r="U53" s="178"/>
      <c r="V53" s="107">
        <f t="shared" si="16"/>
        <v>0</v>
      </c>
      <c r="W53" s="108"/>
      <c r="X53" s="108"/>
      <c r="Y53" s="108"/>
      <c r="Z53" s="108"/>
      <c r="AA53" s="108"/>
      <c r="AB53" s="108"/>
      <c r="AC53" s="108"/>
      <c r="AD53" s="108"/>
      <c r="AE53" s="108"/>
      <c r="AF53" s="108"/>
      <c r="AG53" s="108"/>
      <c r="AH53" s="108"/>
      <c r="AI53" s="108"/>
      <c r="AJ53" s="108"/>
      <c r="AK53" s="108"/>
      <c r="AL53" s="108"/>
      <c r="AM53" s="108"/>
      <c r="AN53" s="108"/>
      <c r="AO53" s="108"/>
      <c r="AP53" s="108"/>
      <c r="AQ53" s="108"/>
      <c r="AR53" s="108"/>
      <c r="AS53" s="108"/>
      <c r="AT53" s="154"/>
      <c r="AU53" s="154"/>
      <c r="AV53" s="154"/>
      <c r="AW53" s="154"/>
      <c r="AX53" s="108"/>
      <c r="AY53" s="108"/>
      <c r="AZ53" s="108"/>
      <c r="BA53" s="108"/>
      <c r="BB53" s="108"/>
      <c r="BC53" s="108"/>
      <c r="BD53" s="108"/>
      <c r="BE53" s="108"/>
      <c r="BF53" s="108"/>
      <c r="BG53" s="108"/>
      <c r="BH53" s="154"/>
      <c r="BI53" s="154"/>
      <c r="BJ53" s="108"/>
      <c r="BK53" s="108"/>
      <c r="BL53" s="108"/>
      <c r="BM53" s="109"/>
      <c r="BN53" s="108"/>
      <c r="BO53" s="108"/>
      <c r="BP53" s="108"/>
    </row>
    <row r="54" spans="1:68" ht="12" customHeight="1" x14ac:dyDescent="0.2">
      <c r="A54" s="179"/>
      <c r="B54" s="108"/>
      <c r="C54" s="108"/>
      <c r="D54" s="108"/>
      <c r="E54" s="108"/>
      <c r="F54" s="108"/>
      <c r="G54" s="108"/>
      <c r="H54" s="108"/>
      <c r="I54" s="108"/>
      <c r="J54" s="108"/>
      <c r="K54" s="108"/>
      <c r="L54" s="108"/>
      <c r="M54" s="108"/>
      <c r="N54" s="108"/>
      <c r="O54" s="108"/>
      <c r="P54" s="108"/>
      <c r="Q54" s="108"/>
      <c r="R54" s="154"/>
      <c r="S54" s="178"/>
      <c r="T54" s="178"/>
      <c r="U54" s="178"/>
      <c r="V54" s="107">
        <f t="shared" si="16"/>
        <v>0</v>
      </c>
      <c r="W54" s="108"/>
      <c r="X54" s="108"/>
      <c r="Y54" s="108"/>
      <c r="Z54" s="108"/>
      <c r="AA54" s="108"/>
      <c r="AB54" s="108"/>
      <c r="AC54" s="108"/>
      <c r="AD54" s="108"/>
      <c r="AE54" s="108"/>
      <c r="AF54" s="154"/>
      <c r="AG54" s="154"/>
      <c r="AH54" s="154"/>
      <c r="AI54" s="154"/>
      <c r="AJ54" s="154"/>
      <c r="AK54" s="154"/>
      <c r="AL54" s="154"/>
      <c r="AM54" s="154"/>
      <c r="AN54" s="154"/>
      <c r="AO54" s="154"/>
      <c r="AP54" s="154"/>
      <c r="AQ54" s="154"/>
      <c r="AR54" s="154"/>
      <c r="AS54" s="154"/>
      <c r="AT54" s="154"/>
      <c r="AU54" s="154"/>
      <c r="AV54" s="154"/>
      <c r="AW54" s="154"/>
      <c r="AX54" s="154"/>
      <c r="AY54" s="154"/>
      <c r="AZ54" s="154"/>
      <c r="BA54" s="154"/>
      <c r="BB54" s="154"/>
      <c r="BC54" s="154"/>
      <c r="BD54" s="154"/>
      <c r="BE54" s="154"/>
      <c r="BF54" s="154"/>
      <c r="BG54" s="154"/>
      <c r="BH54" s="152"/>
      <c r="BI54" s="108"/>
      <c r="BJ54" s="108"/>
      <c r="BK54" s="108"/>
      <c r="BL54" s="108"/>
      <c r="BM54" s="109"/>
      <c r="BN54" s="108"/>
      <c r="BO54" s="108"/>
      <c r="BP54" s="108"/>
    </row>
    <row r="55" spans="1:68" ht="12" customHeight="1" x14ac:dyDescent="0.2">
      <c r="A55" s="179"/>
      <c r="B55" s="108"/>
      <c r="C55" s="108"/>
      <c r="D55" s="108"/>
      <c r="E55" s="108"/>
      <c r="F55" s="108"/>
      <c r="G55" s="108"/>
      <c r="H55" s="108"/>
      <c r="I55" s="108"/>
      <c r="J55" s="108"/>
      <c r="K55" s="108"/>
      <c r="L55" s="108"/>
      <c r="M55" s="108"/>
      <c r="N55" s="108"/>
      <c r="O55" s="108"/>
      <c r="P55" s="108"/>
      <c r="Q55" s="108"/>
      <c r="R55" s="108"/>
      <c r="S55" s="178"/>
      <c r="T55" s="178"/>
      <c r="U55" s="178"/>
      <c r="V55" s="107">
        <f t="shared" si="16"/>
        <v>0</v>
      </c>
      <c r="W55" s="108"/>
      <c r="X55" s="108"/>
      <c r="Y55" s="108"/>
      <c r="Z55" s="108"/>
      <c r="AA55" s="108"/>
      <c r="AB55" s="108"/>
      <c r="AC55" s="108"/>
      <c r="AD55" s="108"/>
      <c r="AE55" s="108"/>
      <c r="AF55" s="108"/>
      <c r="AG55" s="108"/>
      <c r="AH55" s="108"/>
      <c r="AI55" s="108"/>
      <c r="AJ55" s="108"/>
      <c r="AK55" s="108"/>
      <c r="AL55" s="108"/>
      <c r="AM55" s="108"/>
      <c r="AN55" s="108"/>
      <c r="AO55" s="108"/>
      <c r="AP55" s="108"/>
      <c r="AQ55" s="108"/>
      <c r="AR55" s="108"/>
      <c r="AS55" s="108"/>
      <c r="AT55" s="108"/>
      <c r="AU55" s="108"/>
      <c r="AV55" s="108"/>
      <c r="AW55" s="108"/>
      <c r="AX55" s="108"/>
      <c r="AY55" s="108"/>
      <c r="AZ55" s="108"/>
      <c r="BA55" s="108"/>
      <c r="BB55" s="108"/>
      <c r="BC55" s="108"/>
      <c r="BD55" s="108"/>
      <c r="BE55" s="108"/>
      <c r="BF55" s="108"/>
      <c r="BG55" s="154"/>
      <c r="BH55" s="108"/>
      <c r="BI55" s="180"/>
      <c r="BJ55" s="108"/>
      <c r="BK55" s="108"/>
      <c r="BL55" s="108"/>
      <c r="BM55" s="109"/>
      <c r="BN55" s="108"/>
      <c r="BO55" s="108"/>
      <c r="BP55" s="108"/>
    </row>
    <row r="56" spans="1:68" ht="12" customHeight="1" x14ac:dyDescent="0.2">
      <c r="A56" s="179"/>
      <c r="B56" s="108"/>
      <c r="C56" s="108"/>
      <c r="D56" s="108"/>
      <c r="E56" s="108"/>
      <c r="F56" s="108"/>
      <c r="G56" s="108"/>
      <c r="H56" s="108"/>
      <c r="I56" s="108"/>
      <c r="J56" s="108"/>
      <c r="K56" s="108"/>
      <c r="L56" s="108"/>
      <c r="M56" s="108"/>
      <c r="N56" s="108"/>
      <c r="O56" s="108"/>
      <c r="P56" s="108"/>
      <c r="Q56" s="108"/>
      <c r="R56" s="154"/>
      <c r="S56" s="178"/>
      <c r="T56" s="178"/>
      <c r="U56" s="178"/>
      <c r="V56" s="107">
        <f t="shared" si="16"/>
        <v>0</v>
      </c>
      <c r="W56" s="108"/>
      <c r="X56" s="108"/>
      <c r="Y56" s="108"/>
      <c r="Z56" s="108"/>
      <c r="AA56" s="108"/>
      <c r="AB56" s="108"/>
      <c r="AC56" s="108"/>
      <c r="AD56" s="108"/>
      <c r="AE56" s="108"/>
      <c r="AF56" s="154"/>
      <c r="AG56" s="154"/>
      <c r="AH56" s="154"/>
      <c r="AI56" s="154"/>
      <c r="AJ56" s="154"/>
      <c r="AK56" s="154"/>
      <c r="AL56" s="154"/>
      <c r="AM56" s="154"/>
      <c r="AN56" s="154"/>
      <c r="AO56" s="154"/>
      <c r="AP56" s="154"/>
      <c r="AQ56" s="154"/>
      <c r="AR56" s="154"/>
      <c r="AS56" s="154"/>
      <c r="AT56" s="154"/>
      <c r="AU56" s="154"/>
      <c r="AV56" s="154"/>
      <c r="AW56" s="154"/>
      <c r="AX56" s="154"/>
      <c r="AY56" s="154"/>
      <c r="AZ56" s="154"/>
      <c r="BA56" s="154"/>
      <c r="BB56" s="154"/>
      <c r="BC56" s="154"/>
      <c r="BD56" s="154"/>
      <c r="BE56" s="154"/>
      <c r="BF56" s="154"/>
      <c r="BG56" s="154"/>
      <c r="BH56" s="108"/>
      <c r="BI56" s="108"/>
      <c r="BJ56" s="108"/>
      <c r="BK56" s="108"/>
      <c r="BL56" s="108"/>
      <c r="BM56" s="109"/>
      <c r="BN56" s="108"/>
      <c r="BO56" s="108"/>
      <c r="BP56" s="108"/>
    </row>
    <row r="57" spans="1:68" ht="12" customHeight="1" x14ac:dyDescent="0.2">
      <c r="A57" s="179"/>
      <c r="B57" s="108"/>
      <c r="C57" s="108"/>
      <c r="D57" s="108"/>
      <c r="E57" s="108"/>
      <c r="F57" s="108"/>
      <c r="G57" s="108"/>
      <c r="H57" s="108"/>
      <c r="I57" s="108"/>
      <c r="J57" s="108"/>
      <c r="K57" s="108"/>
      <c r="L57" s="108"/>
      <c r="M57" s="108"/>
      <c r="N57" s="178"/>
      <c r="O57" s="178"/>
      <c r="P57" s="178"/>
      <c r="Q57" s="108"/>
      <c r="R57" s="108"/>
      <c r="S57" s="178"/>
      <c r="T57" s="178"/>
      <c r="U57" s="178"/>
      <c r="V57" s="107">
        <f t="shared" si="16"/>
        <v>0</v>
      </c>
      <c r="W57" s="108"/>
      <c r="X57" s="108"/>
      <c r="Y57" s="108"/>
      <c r="Z57" s="108"/>
      <c r="AA57" s="108"/>
      <c r="AB57" s="108"/>
      <c r="AC57" s="108"/>
      <c r="AD57" s="108"/>
      <c r="AE57" s="108"/>
      <c r="AF57" s="108"/>
      <c r="AG57" s="108"/>
      <c r="AH57" s="108"/>
      <c r="AI57" s="108"/>
      <c r="AJ57" s="108"/>
      <c r="AK57" s="108"/>
      <c r="AL57" s="108"/>
      <c r="AM57" s="108"/>
      <c r="AN57" s="108"/>
      <c r="AO57" s="108"/>
      <c r="AP57" s="108"/>
      <c r="AQ57" s="108"/>
      <c r="AR57" s="108"/>
      <c r="AS57" s="108"/>
      <c r="AT57" s="108"/>
      <c r="AU57" s="108"/>
      <c r="AV57" s="108"/>
      <c r="AW57" s="108"/>
      <c r="AX57" s="108"/>
      <c r="AY57" s="108"/>
      <c r="AZ57" s="108"/>
      <c r="BA57" s="108"/>
      <c r="BB57" s="108"/>
      <c r="BC57" s="108"/>
      <c r="BD57" s="108"/>
      <c r="BE57" s="108"/>
      <c r="BF57" s="108"/>
      <c r="BG57" s="108"/>
      <c r="BH57" s="108"/>
      <c r="BI57" s="108"/>
      <c r="BJ57" s="108"/>
      <c r="BK57" s="108"/>
      <c r="BL57" s="108"/>
      <c r="BM57" s="109"/>
      <c r="BN57" s="108"/>
      <c r="BO57" s="108"/>
      <c r="BP57" s="108"/>
    </row>
    <row r="58" spans="1:68" ht="12" customHeight="1" x14ac:dyDescent="0.2">
      <c r="A58" s="179"/>
      <c r="B58" s="108"/>
      <c r="C58" s="108"/>
      <c r="D58" s="108"/>
      <c r="E58" s="108"/>
      <c r="F58" s="108"/>
      <c r="G58" s="108"/>
      <c r="H58" s="108"/>
      <c r="I58" s="108"/>
      <c r="J58" s="108"/>
      <c r="K58" s="108"/>
      <c r="L58" s="108"/>
      <c r="M58" s="108"/>
      <c r="N58" s="178"/>
      <c r="O58" s="178"/>
      <c r="P58" s="178"/>
      <c r="Q58" s="154"/>
      <c r="R58" s="154"/>
      <c r="S58" s="178"/>
      <c r="T58" s="178"/>
      <c r="U58" s="178"/>
      <c r="V58" s="107">
        <f t="shared" si="16"/>
        <v>0</v>
      </c>
      <c r="W58" s="108"/>
      <c r="X58" s="108"/>
      <c r="Y58" s="108"/>
      <c r="Z58" s="108"/>
      <c r="AA58" s="108"/>
      <c r="AB58" s="108"/>
      <c r="AC58" s="108"/>
      <c r="AD58" s="108"/>
      <c r="AE58" s="108"/>
      <c r="AF58" s="108"/>
      <c r="AG58" s="108"/>
      <c r="AH58" s="108"/>
      <c r="AI58" s="108"/>
      <c r="AJ58" s="108"/>
      <c r="AK58" s="108"/>
      <c r="AL58" s="108"/>
      <c r="AM58" s="108"/>
      <c r="AN58" s="108"/>
      <c r="AO58" s="108"/>
      <c r="AP58" s="108"/>
      <c r="AQ58" s="108"/>
      <c r="AR58" s="108"/>
      <c r="AS58" s="108"/>
      <c r="AT58" s="108"/>
      <c r="AU58" s="108"/>
      <c r="AV58" s="108"/>
      <c r="AW58" s="108"/>
      <c r="AX58" s="108"/>
      <c r="AY58" s="108"/>
      <c r="AZ58" s="108"/>
      <c r="BA58" s="108"/>
      <c r="BB58" s="108"/>
      <c r="BC58" s="108"/>
      <c r="BD58" s="108"/>
      <c r="BE58" s="108"/>
      <c r="BF58" s="108"/>
      <c r="BG58" s="108"/>
      <c r="BH58" s="108"/>
      <c r="BI58" s="108"/>
      <c r="BJ58" s="108"/>
      <c r="BK58" s="108"/>
      <c r="BL58" s="108"/>
      <c r="BM58" s="109"/>
      <c r="BN58" s="108"/>
      <c r="BO58" s="108"/>
      <c r="BP58" s="108"/>
    </row>
    <row r="59" spans="1:68" ht="12" customHeight="1" x14ac:dyDescent="0.2">
      <c r="A59" s="179"/>
      <c r="B59" s="108"/>
      <c r="C59" s="108"/>
      <c r="D59" s="108"/>
      <c r="E59" s="108"/>
      <c r="F59" s="108"/>
      <c r="G59" s="108"/>
      <c r="H59" s="108"/>
      <c r="I59" s="108"/>
      <c r="J59" s="108"/>
      <c r="K59" s="108"/>
      <c r="L59" s="108"/>
      <c r="M59" s="108"/>
      <c r="N59" s="178"/>
      <c r="O59" s="178"/>
      <c r="P59" s="178"/>
      <c r="Q59" s="178"/>
      <c r="R59" s="178"/>
      <c r="S59" s="178"/>
      <c r="T59" s="178"/>
      <c r="U59" s="178"/>
      <c r="V59" s="107">
        <f t="shared" si="16"/>
        <v>0</v>
      </c>
      <c r="W59" s="108"/>
      <c r="X59" s="108"/>
      <c r="Y59" s="108"/>
      <c r="Z59" s="108"/>
      <c r="AA59" s="108"/>
      <c r="AB59" s="108"/>
      <c r="AC59" s="108"/>
      <c r="AD59" s="108"/>
      <c r="AE59" s="108"/>
      <c r="AF59" s="108"/>
      <c r="AG59" s="108"/>
      <c r="AH59" s="108"/>
      <c r="AI59" s="108"/>
      <c r="AJ59" s="108"/>
      <c r="AK59" s="108"/>
      <c r="AL59" s="108"/>
      <c r="AM59" s="108"/>
      <c r="AN59" s="108"/>
      <c r="AO59" s="108"/>
      <c r="AP59" s="108"/>
      <c r="AQ59" s="108"/>
      <c r="AR59" s="108"/>
      <c r="AS59" s="108"/>
      <c r="AT59" s="108"/>
      <c r="AU59" s="108"/>
      <c r="AV59" s="108"/>
      <c r="AW59" s="108"/>
      <c r="AX59" s="108"/>
      <c r="AY59" s="108"/>
      <c r="AZ59" s="108"/>
      <c r="BA59" s="108"/>
      <c r="BB59" s="108"/>
      <c r="BC59" s="108"/>
      <c r="BD59" s="108"/>
      <c r="BE59" s="108"/>
      <c r="BF59" s="108"/>
      <c r="BG59" s="108"/>
      <c r="BH59" s="108"/>
      <c r="BI59" s="108"/>
      <c r="BJ59" s="108"/>
      <c r="BK59" s="108"/>
      <c r="BL59" s="108"/>
      <c r="BM59" s="109"/>
      <c r="BN59" s="108"/>
      <c r="BO59" s="108"/>
      <c r="BP59" s="108"/>
    </row>
    <row r="60" spans="1:68" ht="12" customHeight="1" x14ac:dyDescent="0.2">
      <c r="A60" s="179"/>
      <c r="B60" s="108"/>
      <c r="C60" s="108"/>
      <c r="D60" s="108"/>
      <c r="E60" s="108"/>
      <c r="F60" s="108"/>
      <c r="G60" s="108"/>
      <c r="H60" s="108"/>
      <c r="I60" s="108"/>
      <c r="J60" s="108"/>
      <c r="K60" s="108"/>
      <c r="L60" s="108"/>
      <c r="M60" s="108"/>
      <c r="N60" s="178"/>
      <c r="O60" s="178"/>
      <c r="P60" s="178"/>
      <c r="Q60" s="178"/>
      <c r="R60" s="178"/>
      <c r="S60" s="178"/>
      <c r="T60" s="178"/>
      <c r="U60" s="178"/>
      <c r="V60" s="107">
        <f t="shared" si="16"/>
        <v>0</v>
      </c>
      <c r="W60" s="108"/>
      <c r="X60" s="108"/>
      <c r="Y60" s="108"/>
      <c r="Z60" s="108"/>
      <c r="AA60" s="108"/>
      <c r="AB60" s="108"/>
      <c r="AC60" s="108"/>
      <c r="AD60" s="108"/>
      <c r="AE60" s="108"/>
      <c r="AF60" s="108"/>
      <c r="AG60" s="108"/>
      <c r="AH60" s="108"/>
      <c r="AI60" s="108"/>
      <c r="AJ60" s="108"/>
      <c r="AK60" s="108"/>
      <c r="AL60" s="108"/>
      <c r="AM60" s="108"/>
      <c r="AN60" s="108"/>
      <c r="AO60" s="108"/>
      <c r="AP60" s="108"/>
      <c r="AQ60" s="108"/>
      <c r="AR60" s="108"/>
      <c r="AS60" s="108"/>
      <c r="AT60" s="108"/>
      <c r="AU60" s="108"/>
      <c r="AV60" s="108"/>
      <c r="AW60" s="108"/>
      <c r="AX60" s="108"/>
      <c r="AY60" s="108"/>
      <c r="AZ60" s="108"/>
      <c r="BA60" s="108"/>
      <c r="BB60" s="108"/>
      <c r="BC60" s="108"/>
      <c r="BD60" s="108"/>
      <c r="BE60" s="108"/>
      <c r="BF60" s="108"/>
      <c r="BG60" s="108"/>
      <c r="BH60" s="108"/>
      <c r="BI60" s="108"/>
      <c r="BJ60" s="108"/>
      <c r="BK60" s="108"/>
      <c r="BL60" s="108"/>
      <c r="BM60" s="109"/>
      <c r="BN60" s="108"/>
      <c r="BO60" s="108"/>
      <c r="BP60" s="108"/>
    </row>
    <row r="61" spans="1:68" ht="12" customHeight="1" x14ac:dyDescent="0.2">
      <c r="A61" s="179"/>
      <c r="B61" s="108"/>
      <c r="C61" s="108"/>
      <c r="D61" s="108"/>
      <c r="E61" s="108"/>
      <c r="F61" s="108"/>
      <c r="G61" s="108"/>
      <c r="H61" s="108"/>
      <c r="I61" s="108"/>
      <c r="J61" s="108"/>
      <c r="K61" s="108"/>
      <c r="L61" s="108"/>
      <c r="M61" s="108"/>
      <c r="N61" s="178"/>
      <c r="O61" s="178"/>
      <c r="P61" s="178"/>
      <c r="Q61" s="107">
        <f>+SUM(Q52:Q58)</f>
        <v>0</v>
      </c>
      <c r="R61" s="107">
        <f>+SUM(R52:R58)</f>
        <v>0</v>
      </c>
      <c r="S61" s="178"/>
      <c r="T61" s="178"/>
      <c r="U61" s="178"/>
      <c r="V61" s="107">
        <f t="shared" si="16"/>
        <v>0</v>
      </c>
      <c r="W61" s="108"/>
      <c r="X61" s="108"/>
      <c r="Y61" s="108"/>
      <c r="Z61" s="108"/>
      <c r="AA61" s="108"/>
      <c r="AB61" s="108"/>
      <c r="AC61" s="108"/>
      <c r="AD61" s="108"/>
      <c r="AE61" s="108"/>
      <c r="AF61" s="108"/>
      <c r="AG61" s="108"/>
      <c r="AH61" s="108"/>
      <c r="AI61" s="108"/>
      <c r="AJ61" s="108"/>
      <c r="AK61" s="108"/>
      <c r="AL61" s="108"/>
      <c r="AM61" s="108"/>
      <c r="AN61" s="108"/>
      <c r="AO61" s="108"/>
      <c r="AP61" s="108"/>
      <c r="AQ61" s="108"/>
      <c r="AR61" s="108"/>
      <c r="AS61" s="108"/>
      <c r="AT61" s="108"/>
      <c r="AU61" s="108"/>
      <c r="AV61" s="108"/>
      <c r="AW61" s="108"/>
      <c r="AX61" s="108"/>
      <c r="AY61" s="108"/>
      <c r="AZ61" s="108"/>
      <c r="BA61" s="108"/>
      <c r="BB61" s="108"/>
      <c r="BC61" s="108"/>
      <c r="BD61" s="108"/>
      <c r="BE61" s="108"/>
      <c r="BF61" s="108"/>
      <c r="BG61" s="108"/>
      <c r="BH61" s="108"/>
      <c r="BI61" s="108"/>
      <c r="BJ61" s="108"/>
      <c r="BK61" s="108"/>
      <c r="BL61" s="108"/>
      <c r="BM61" s="109"/>
      <c r="BN61" s="108"/>
      <c r="BO61" s="108"/>
      <c r="BP61" s="108"/>
    </row>
    <row r="62" spans="1:68" ht="12" customHeight="1" x14ac:dyDescent="0.2">
      <c r="A62" s="179"/>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c r="AA62" s="108"/>
      <c r="AB62" s="108"/>
      <c r="AC62" s="108"/>
      <c r="AD62" s="108"/>
      <c r="AE62" s="108"/>
      <c r="AF62" s="108"/>
      <c r="AG62" s="108"/>
      <c r="AH62" s="108"/>
      <c r="AI62" s="108"/>
      <c r="AJ62" s="108"/>
      <c r="AK62" s="108"/>
      <c r="AL62" s="108"/>
      <c r="AM62" s="108"/>
      <c r="AN62" s="108"/>
      <c r="AO62" s="108"/>
      <c r="AP62" s="108"/>
      <c r="AQ62" s="108"/>
      <c r="AR62" s="108"/>
      <c r="AS62" s="108"/>
      <c r="AT62" s="108"/>
      <c r="AU62" s="108"/>
      <c r="AV62" s="108"/>
      <c r="AW62" s="108"/>
      <c r="AX62" s="108"/>
      <c r="AY62" s="108"/>
      <c r="AZ62" s="108"/>
      <c r="BA62" s="108"/>
      <c r="BB62" s="108"/>
      <c r="BC62" s="108"/>
      <c r="BD62" s="108"/>
      <c r="BE62" s="108"/>
      <c r="BF62" s="108"/>
      <c r="BG62" s="108"/>
      <c r="BH62" s="108"/>
      <c r="BI62" s="108"/>
      <c r="BJ62" s="108"/>
      <c r="BK62" s="108"/>
      <c r="BL62" s="108"/>
      <c r="BM62" s="109"/>
      <c r="BN62" s="108"/>
      <c r="BO62" s="108"/>
      <c r="BP62" s="108"/>
    </row>
    <row r="63" spans="1:68" ht="12" customHeight="1" x14ac:dyDescent="0.2">
      <c r="A63" s="179"/>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c r="AA63" s="108"/>
      <c r="AB63" s="108"/>
      <c r="AC63" s="108"/>
      <c r="AD63" s="108"/>
      <c r="AE63" s="108"/>
      <c r="AF63" s="108"/>
      <c r="AG63" s="108"/>
      <c r="AH63" s="108"/>
      <c r="AI63" s="108"/>
      <c r="AJ63" s="108"/>
      <c r="AK63" s="108"/>
      <c r="AL63" s="108"/>
      <c r="AM63" s="108"/>
      <c r="AN63" s="108"/>
      <c r="AO63" s="108"/>
      <c r="AP63" s="108"/>
      <c r="AQ63" s="108"/>
      <c r="AR63" s="108"/>
      <c r="AS63" s="108"/>
      <c r="AT63" s="108"/>
      <c r="AU63" s="108"/>
      <c r="AV63" s="108"/>
      <c r="AW63" s="108"/>
      <c r="AX63" s="108"/>
      <c r="AY63" s="108"/>
      <c r="AZ63" s="108"/>
      <c r="BA63" s="108"/>
      <c r="BB63" s="108"/>
      <c r="BC63" s="108"/>
      <c r="BD63" s="108"/>
      <c r="BE63" s="108"/>
      <c r="BF63" s="108"/>
      <c r="BG63" s="108"/>
      <c r="BH63" s="108"/>
      <c r="BI63" s="108"/>
      <c r="BJ63" s="108"/>
      <c r="BK63" s="108"/>
      <c r="BL63" s="108"/>
      <c r="BM63" s="109"/>
      <c r="BN63" s="108"/>
      <c r="BO63" s="108"/>
      <c r="BP63" s="108"/>
    </row>
    <row r="64" spans="1:68" ht="12" customHeight="1" x14ac:dyDescent="0.2">
      <c r="A64" s="179"/>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c r="AA64" s="108"/>
      <c r="AB64" s="108"/>
      <c r="AC64" s="108"/>
      <c r="AD64" s="108"/>
      <c r="AE64" s="108"/>
      <c r="AF64" s="108"/>
      <c r="AG64" s="108"/>
      <c r="AH64" s="108"/>
      <c r="AI64" s="108"/>
      <c r="AJ64" s="108"/>
      <c r="AK64" s="108"/>
      <c r="AL64" s="108"/>
      <c r="AM64" s="108"/>
      <c r="AN64" s="108"/>
      <c r="AO64" s="108"/>
      <c r="AP64" s="108"/>
      <c r="AQ64" s="108"/>
      <c r="AR64" s="108"/>
      <c r="AS64" s="108"/>
      <c r="AT64" s="108"/>
      <c r="AU64" s="108"/>
      <c r="AV64" s="108"/>
      <c r="AW64" s="108"/>
      <c r="AX64" s="108"/>
      <c r="AY64" s="108"/>
      <c r="AZ64" s="108"/>
      <c r="BA64" s="108"/>
      <c r="BB64" s="108"/>
      <c r="BC64" s="108"/>
      <c r="BD64" s="108"/>
      <c r="BE64" s="108"/>
      <c r="BF64" s="108"/>
      <c r="BG64" s="108"/>
      <c r="BH64" s="108"/>
      <c r="BI64" s="108"/>
      <c r="BJ64" s="108"/>
      <c r="BK64" s="108"/>
      <c r="BL64" s="108"/>
      <c r="BM64" s="109"/>
      <c r="BN64" s="108"/>
      <c r="BO64" s="108"/>
      <c r="BP64" s="108"/>
    </row>
    <row r="65" spans="1:68" ht="12" customHeight="1" x14ac:dyDescent="0.2">
      <c r="A65" s="179"/>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c r="AA65" s="108"/>
      <c r="AB65" s="108"/>
      <c r="AC65" s="108"/>
      <c r="AD65" s="108"/>
      <c r="AE65" s="108"/>
      <c r="AF65" s="108"/>
      <c r="AG65" s="108"/>
      <c r="AH65" s="108"/>
      <c r="AI65" s="108"/>
      <c r="AJ65" s="108"/>
      <c r="AK65" s="108"/>
      <c r="AL65" s="108"/>
      <c r="AM65" s="108"/>
      <c r="AN65" s="108"/>
      <c r="AO65" s="108"/>
      <c r="AP65" s="108"/>
      <c r="AQ65" s="108"/>
      <c r="AR65" s="108"/>
      <c r="AS65" s="108"/>
      <c r="AT65" s="108"/>
      <c r="AU65" s="108"/>
      <c r="AV65" s="108"/>
      <c r="AW65" s="108"/>
      <c r="AX65" s="108"/>
      <c r="AY65" s="108"/>
      <c r="AZ65" s="108"/>
      <c r="BA65" s="108"/>
      <c r="BB65" s="108"/>
      <c r="BC65" s="108"/>
      <c r="BD65" s="108"/>
      <c r="BE65" s="108"/>
      <c r="BF65" s="108"/>
      <c r="BG65" s="108"/>
      <c r="BH65" s="108"/>
      <c r="BI65" s="108"/>
      <c r="BJ65" s="108"/>
      <c r="BK65" s="108"/>
      <c r="BL65" s="108"/>
      <c r="BM65" s="109"/>
      <c r="BN65" s="108"/>
      <c r="BO65" s="108"/>
      <c r="BP65" s="108"/>
    </row>
    <row r="66" spans="1:68" ht="12" customHeight="1" x14ac:dyDescent="0.2">
      <c r="A66" s="179"/>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c r="AA66" s="108"/>
      <c r="AB66" s="108"/>
      <c r="AC66" s="108"/>
      <c r="AD66" s="108"/>
      <c r="AE66" s="108"/>
      <c r="AF66" s="108"/>
      <c r="AG66" s="108"/>
      <c r="AH66" s="108"/>
      <c r="AI66" s="108"/>
      <c r="AJ66" s="108"/>
      <c r="AK66" s="108"/>
      <c r="AL66" s="108"/>
      <c r="AM66" s="108"/>
      <c r="AN66" s="108"/>
      <c r="AO66" s="108"/>
      <c r="AP66" s="108"/>
      <c r="AQ66" s="108"/>
      <c r="AR66" s="108"/>
      <c r="AS66" s="108"/>
      <c r="AT66" s="108"/>
      <c r="AU66" s="108"/>
      <c r="AV66" s="108"/>
      <c r="AW66" s="108"/>
      <c r="AX66" s="108"/>
      <c r="AY66" s="108"/>
      <c r="AZ66" s="108"/>
      <c r="BA66" s="108"/>
      <c r="BB66" s="108"/>
      <c r="BC66" s="108"/>
      <c r="BD66" s="108"/>
      <c r="BE66" s="108"/>
      <c r="BF66" s="108"/>
      <c r="BG66" s="108"/>
      <c r="BH66" s="108"/>
      <c r="BI66" s="108"/>
      <c r="BJ66" s="108"/>
      <c r="BK66" s="108"/>
      <c r="BL66" s="108"/>
      <c r="BM66" s="109"/>
      <c r="BN66" s="108"/>
      <c r="BO66" s="108"/>
      <c r="BP66" s="108"/>
    </row>
    <row r="67" spans="1:68" ht="12" customHeight="1" x14ac:dyDescent="0.2">
      <c r="A67" s="179"/>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c r="AA67" s="108"/>
      <c r="AB67" s="108"/>
      <c r="AC67" s="108"/>
      <c r="AD67" s="108"/>
      <c r="AE67" s="108"/>
      <c r="AF67" s="108"/>
      <c r="AG67" s="108"/>
      <c r="AH67" s="108"/>
      <c r="AI67" s="108"/>
      <c r="AJ67" s="108"/>
      <c r="AK67" s="108"/>
      <c r="AL67" s="108"/>
      <c r="AM67" s="108"/>
      <c r="AN67" s="108"/>
      <c r="AO67" s="108"/>
      <c r="AP67" s="108"/>
      <c r="AQ67" s="108"/>
      <c r="AR67" s="108"/>
      <c r="AS67" s="108"/>
      <c r="AT67" s="108"/>
      <c r="AU67" s="108"/>
      <c r="AV67" s="108"/>
      <c r="AW67" s="108"/>
      <c r="AX67" s="108"/>
      <c r="AY67" s="108"/>
      <c r="AZ67" s="108"/>
      <c r="BA67" s="108"/>
      <c r="BB67" s="108"/>
      <c r="BC67" s="108"/>
      <c r="BD67" s="108"/>
      <c r="BE67" s="108"/>
      <c r="BF67" s="108"/>
      <c r="BG67" s="108"/>
      <c r="BH67" s="108"/>
      <c r="BI67" s="108"/>
      <c r="BJ67" s="108"/>
      <c r="BK67" s="108"/>
      <c r="BL67" s="108"/>
      <c r="BM67" s="109"/>
      <c r="BN67" s="108"/>
      <c r="BO67" s="108"/>
      <c r="BP67" s="108"/>
    </row>
    <row r="68" spans="1:68" ht="12" customHeight="1" x14ac:dyDescent="0.2">
      <c r="A68" s="179"/>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c r="AA68" s="108"/>
      <c r="AB68" s="108"/>
      <c r="AC68" s="108"/>
      <c r="AD68" s="108"/>
      <c r="AE68" s="108"/>
      <c r="AF68" s="108"/>
      <c r="AG68" s="108"/>
      <c r="AH68" s="108"/>
      <c r="AI68" s="108"/>
      <c r="AJ68" s="108"/>
      <c r="AK68" s="108"/>
      <c r="AL68" s="108"/>
      <c r="AM68" s="108"/>
      <c r="AN68" s="108"/>
      <c r="AO68" s="108"/>
      <c r="AP68" s="108"/>
      <c r="AQ68" s="108"/>
      <c r="AR68" s="108"/>
      <c r="AS68" s="108"/>
      <c r="AT68" s="108"/>
      <c r="AU68" s="108"/>
      <c r="AV68" s="108"/>
      <c r="AW68" s="108"/>
      <c r="AX68" s="108"/>
      <c r="AY68" s="108"/>
      <c r="AZ68" s="108"/>
      <c r="BA68" s="108"/>
      <c r="BB68" s="108"/>
      <c r="BC68" s="108"/>
      <c r="BD68" s="108"/>
      <c r="BE68" s="108"/>
      <c r="BF68" s="108"/>
      <c r="BG68" s="108"/>
      <c r="BH68" s="108"/>
      <c r="BI68" s="108"/>
      <c r="BJ68" s="108"/>
      <c r="BK68" s="108"/>
      <c r="BL68" s="108"/>
      <c r="BM68" s="109"/>
      <c r="BN68" s="108"/>
      <c r="BO68" s="108"/>
      <c r="BP68" s="108"/>
    </row>
    <row r="69" spans="1:68" ht="12" customHeight="1" x14ac:dyDescent="0.2">
      <c r="A69" s="179"/>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c r="AA69" s="108"/>
      <c r="AB69" s="108"/>
      <c r="AC69" s="108"/>
      <c r="AD69" s="108"/>
      <c r="AE69" s="108"/>
      <c r="AF69" s="108"/>
      <c r="AG69" s="108"/>
      <c r="AH69" s="108"/>
      <c r="AI69" s="108"/>
      <c r="AJ69" s="108"/>
      <c r="AK69" s="108"/>
      <c r="AL69" s="108"/>
      <c r="AM69" s="108"/>
      <c r="AN69" s="108"/>
      <c r="AO69" s="108"/>
      <c r="AP69" s="108"/>
      <c r="AQ69" s="108"/>
      <c r="AR69" s="108"/>
      <c r="AS69" s="108"/>
      <c r="AT69" s="108"/>
      <c r="AU69" s="108"/>
      <c r="AV69" s="108"/>
      <c r="AW69" s="108"/>
      <c r="AX69" s="108"/>
      <c r="AY69" s="108"/>
      <c r="AZ69" s="108"/>
      <c r="BA69" s="108"/>
      <c r="BB69" s="108"/>
      <c r="BC69" s="108"/>
      <c r="BD69" s="108"/>
      <c r="BE69" s="108"/>
      <c r="BF69" s="108"/>
      <c r="BG69" s="108"/>
      <c r="BH69" s="108"/>
      <c r="BI69" s="108"/>
      <c r="BJ69" s="108"/>
      <c r="BK69" s="108"/>
      <c r="BL69" s="108"/>
      <c r="BM69" s="109"/>
      <c r="BN69" s="108"/>
      <c r="BO69" s="108"/>
      <c r="BP69" s="108"/>
    </row>
    <row r="70" spans="1:68" ht="12" customHeight="1" x14ac:dyDescent="0.2">
      <c r="A70" s="179"/>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c r="AA70" s="108"/>
      <c r="AB70" s="108"/>
      <c r="AC70" s="108"/>
      <c r="AD70" s="108"/>
      <c r="AE70" s="108"/>
      <c r="AF70" s="108"/>
      <c r="AG70" s="108"/>
      <c r="AH70" s="108"/>
      <c r="AI70" s="108"/>
      <c r="AJ70" s="108"/>
      <c r="AK70" s="108"/>
      <c r="AL70" s="108"/>
      <c r="AM70" s="108"/>
      <c r="AN70" s="108"/>
      <c r="AO70" s="108"/>
      <c r="AP70" s="108"/>
      <c r="AQ70" s="108"/>
      <c r="AR70" s="108"/>
      <c r="AS70" s="108"/>
      <c r="AT70" s="108"/>
      <c r="AU70" s="108"/>
      <c r="AV70" s="108"/>
      <c r="AW70" s="108"/>
      <c r="AX70" s="108"/>
      <c r="AY70" s="108"/>
      <c r="AZ70" s="108"/>
      <c r="BA70" s="108"/>
      <c r="BB70" s="108"/>
      <c r="BC70" s="108"/>
      <c r="BD70" s="108"/>
      <c r="BE70" s="108"/>
      <c r="BF70" s="108"/>
      <c r="BG70" s="108"/>
      <c r="BH70" s="108"/>
      <c r="BI70" s="108"/>
      <c r="BJ70" s="108"/>
      <c r="BK70" s="108"/>
      <c r="BL70" s="108"/>
      <c r="BM70" s="109"/>
      <c r="BN70" s="108"/>
      <c r="BO70" s="108"/>
      <c r="BP70" s="108"/>
    </row>
    <row r="71" spans="1:68" ht="12" customHeight="1" x14ac:dyDescent="0.2">
      <c r="A71" s="179"/>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c r="AA71" s="108"/>
      <c r="AB71" s="108"/>
      <c r="AC71" s="108"/>
      <c r="AD71" s="108"/>
      <c r="AE71" s="108"/>
      <c r="AF71" s="108"/>
      <c r="AG71" s="108"/>
      <c r="AH71" s="108"/>
      <c r="AI71" s="108"/>
      <c r="AJ71" s="108"/>
      <c r="AK71" s="108"/>
      <c r="AL71" s="108"/>
      <c r="AM71" s="108"/>
      <c r="AN71" s="108"/>
      <c r="AO71" s="108"/>
      <c r="AP71" s="108"/>
      <c r="AQ71" s="108"/>
      <c r="AR71" s="108"/>
      <c r="AS71" s="108"/>
      <c r="AT71" s="108"/>
      <c r="AU71" s="108"/>
      <c r="AV71" s="108"/>
      <c r="AW71" s="108"/>
      <c r="AX71" s="108"/>
      <c r="AY71" s="108"/>
      <c r="AZ71" s="108"/>
      <c r="BA71" s="108"/>
      <c r="BB71" s="108"/>
      <c r="BC71" s="108"/>
      <c r="BD71" s="108"/>
      <c r="BE71" s="108"/>
      <c r="BF71" s="108"/>
      <c r="BG71" s="108"/>
      <c r="BH71" s="108"/>
      <c r="BI71" s="108"/>
      <c r="BJ71" s="108"/>
      <c r="BK71" s="108"/>
      <c r="BL71" s="108"/>
      <c r="BM71" s="109"/>
      <c r="BN71" s="108"/>
      <c r="BO71" s="108"/>
      <c r="BP71" s="108"/>
    </row>
    <row r="72" spans="1:68" ht="12" customHeight="1" x14ac:dyDescent="0.2">
      <c r="A72" s="179"/>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c r="AA72" s="108"/>
      <c r="AB72" s="108"/>
      <c r="AC72" s="108"/>
      <c r="AD72" s="108"/>
      <c r="AE72" s="108"/>
      <c r="AF72" s="108"/>
      <c r="AG72" s="108"/>
      <c r="AH72" s="108"/>
      <c r="AI72" s="108"/>
      <c r="AJ72" s="108"/>
      <c r="AK72" s="108"/>
      <c r="AL72" s="108"/>
      <c r="AM72" s="108"/>
      <c r="AN72" s="108"/>
      <c r="AO72" s="108"/>
      <c r="AP72" s="108"/>
      <c r="AQ72" s="108"/>
      <c r="AR72" s="108"/>
      <c r="AS72" s="108"/>
      <c r="AT72" s="108"/>
      <c r="AU72" s="108"/>
      <c r="AV72" s="108"/>
      <c r="AW72" s="108"/>
      <c r="AX72" s="108"/>
      <c r="AY72" s="108"/>
      <c r="AZ72" s="108"/>
      <c r="BA72" s="108"/>
      <c r="BB72" s="108"/>
      <c r="BC72" s="108"/>
      <c r="BD72" s="108"/>
      <c r="BE72" s="108"/>
      <c r="BF72" s="108"/>
      <c r="BG72" s="108"/>
      <c r="BH72" s="108"/>
      <c r="BI72" s="108"/>
      <c r="BJ72" s="108"/>
      <c r="BK72" s="108"/>
      <c r="BL72" s="108"/>
      <c r="BM72" s="109"/>
      <c r="BN72" s="108"/>
      <c r="BO72" s="108"/>
      <c r="BP72" s="108"/>
    </row>
    <row r="73" spans="1:68" ht="12" customHeight="1" x14ac:dyDescent="0.2">
      <c r="A73" s="179"/>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c r="AA73" s="108"/>
      <c r="AB73" s="108"/>
      <c r="AC73" s="108"/>
      <c r="AD73" s="108"/>
      <c r="AE73" s="108"/>
      <c r="AF73" s="108"/>
      <c r="AG73" s="108"/>
      <c r="AH73" s="108"/>
      <c r="AI73" s="108"/>
      <c r="AJ73" s="108"/>
      <c r="AK73" s="108"/>
      <c r="AL73" s="108"/>
      <c r="AM73" s="108"/>
      <c r="AN73" s="108"/>
      <c r="AO73" s="108"/>
      <c r="AP73" s="108"/>
      <c r="AQ73" s="108"/>
      <c r="AR73" s="108"/>
      <c r="AS73" s="108"/>
      <c r="AT73" s="108"/>
      <c r="AU73" s="108"/>
      <c r="AV73" s="108"/>
      <c r="AW73" s="108"/>
      <c r="AX73" s="108"/>
      <c r="AY73" s="108"/>
      <c r="AZ73" s="108"/>
      <c r="BA73" s="108"/>
      <c r="BB73" s="108"/>
      <c r="BC73" s="108"/>
      <c r="BD73" s="108"/>
      <c r="BE73" s="108"/>
      <c r="BF73" s="108"/>
      <c r="BG73" s="108"/>
      <c r="BH73" s="108"/>
      <c r="BI73" s="108"/>
      <c r="BJ73" s="108"/>
      <c r="BK73" s="108"/>
      <c r="BL73" s="108"/>
      <c r="BM73" s="109"/>
      <c r="BN73" s="108"/>
      <c r="BO73" s="108"/>
      <c r="BP73" s="108"/>
    </row>
    <row r="74" spans="1:68" ht="12" customHeight="1" x14ac:dyDescent="0.2">
      <c r="A74" s="179"/>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c r="AA74" s="108"/>
      <c r="AB74" s="108"/>
      <c r="AC74" s="108"/>
      <c r="AD74" s="108"/>
      <c r="AE74" s="108"/>
      <c r="AF74" s="108"/>
      <c r="AG74" s="108"/>
      <c r="AH74" s="108"/>
      <c r="AI74" s="108"/>
      <c r="AJ74" s="108"/>
      <c r="AK74" s="108"/>
      <c r="AL74" s="108"/>
      <c r="AM74" s="108"/>
      <c r="AN74" s="108"/>
      <c r="AO74" s="108"/>
      <c r="AP74" s="108"/>
      <c r="AQ74" s="108"/>
      <c r="AR74" s="108"/>
      <c r="AS74" s="108"/>
      <c r="AT74" s="108"/>
      <c r="AU74" s="108"/>
      <c r="AV74" s="108"/>
      <c r="AW74" s="108"/>
      <c r="AX74" s="108"/>
      <c r="AY74" s="108"/>
      <c r="AZ74" s="108"/>
      <c r="BA74" s="108"/>
      <c r="BB74" s="108"/>
      <c r="BC74" s="108"/>
      <c r="BD74" s="108"/>
      <c r="BE74" s="108"/>
      <c r="BF74" s="108"/>
      <c r="BG74" s="108"/>
      <c r="BH74" s="108"/>
      <c r="BI74" s="108"/>
      <c r="BJ74" s="108"/>
      <c r="BK74" s="108"/>
      <c r="BL74" s="108"/>
      <c r="BM74" s="109"/>
      <c r="BN74" s="108"/>
      <c r="BO74" s="108"/>
      <c r="BP74" s="108"/>
    </row>
    <row r="75" spans="1:68" ht="12" customHeight="1" x14ac:dyDescent="0.2">
      <c r="A75" s="179"/>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c r="AA75" s="108"/>
      <c r="AB75" s="108"/>
      <c r="AC75" s="108"/>
      <c r="AD75" s="108"/>
      <c r="AE75" s="108"/>
      <c r="AF75" s="108"/>
      <c r="AG75" s="108"/>
      <c r="AH75" s="108"/>
      <c r="AI75" s="108"/>
      <c r="AJ75" s="108"/>
      <c r="AK75" s="108"/>
      <c r="AL75" s="108"/>
      <c r="AM75" s="108"/>
      <c r="AN75" s="108"/>
      <c r="AO75" s="108"/>
      <c r="AP75" s="108"/>
      <c r="AQ75" s="108"/>
      <c r="AR75" s="108"/>
      <c r="AS75" s="108"/>
      <c r="AT75" s="108"/>
      <c r="AU75" s="108"/>
      <c r="AV75" s="108"/>
      <c r="AW75" s="108"/>
      <c r="AX75" s="108"/>
      <c r="AY75" s="108"/>
      <c r="AZ75" s="108"/>
      <c r="BA75" s="108"/>
      <c r="BB75" s="108"/>
      <c r="BC75" s="108"/>
      <c r="BD75" s="108"/>
      <c r="BE75" s="108"/>
      <c r="BF75" s="108"/>
      <c r="BG75" s="108"/>
      <c r="BH75" s="108"/>
      <c r="BI75" s="108"/>
      <c r="BJ75" s="108"/>
      <c r="BK75" s="108"/>
      <c r="BL75" s="108"/>
      <c r="BM75" s="109"/>
      <c r="BN75" s="108"/>
      <c r="BO75" s="108"/>
      <c r="BP75" s="108"/>
    </row>
    <row r="76" spans="1:68" ht="12" customHeight="1" x14ac:dyDescent="0.2">
      <c r="A76" s="179"/>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c r="AA76" s="108"/>
      <c r="AB76" s="108"/>
      <c r="AC76" s="108"/>
      <c r="AD76" s="108"/>
      <c r="AE76" s="108"/>
      <c r="AF76" s="108"/>
      <c r="AG76" s="108"/>
      <c r="AH76" s="108"/>
      <c r="AI76" s="108"/>
      <c r="AJ76" s="108"/>
      <c r="AK76" s="108"/>
      <c r="AL76" s="108"/>
      <c r="AM76" s="108"/>
      <c r="AN76" s="108"/>
      <c r="AO76" s="108"/>
      <c r="AP76" s="108"/>
      <c r="AQ76" s="108"/>
      <c r="AR76" s="108"/>
      <c r="AS76" s="108"/>
      <c r="AT76" s="108"/>
      <c r="AU76" s="108"/>
      <c r="AV76" s="108"/>
      <c r="AW76" s="108"/>
      <c r="AX76" s="108"/>
      <c r="AY76" s="108"/>
      <c r="AZ76" s="108"/>
      <c r="BA76" s="108"/>
      <c r="BB76" s="108"/>
      <c r="BC76" s="108"/>
      <c r="BD76" s="108"/>
      <c r="BE76" s="108"/>
      <c r="BF76" s="108"/>
      <c r="BG76" s="108"/>
      <c r="BH76" s="108"/>
      <c r="BI76" s="108"/>
      <c r="BJ76" s="108"/>
      <c r="BK76" s="108"/>
      <c r="BL76" s="108"/>
      <c r="BM76" s="109"/>
      <c r="BN76" s="108"/>
      <c r="BO76" s="108"/>
      <c r="BP76" s="108"/>
    </row>
    <row r="77" spans="1:68" ht="12" customHeight="1" x14ac:dyDescent="0.2">
      <c r="A77" s="179"/>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c r="AA77" s="108"/>
      <c r="AB77" s="108"/>
      <c r="AC77" s="108"/>
      <c r="AD77" s="108"/>
      <c r="AE77" s="108"/>
      <c r="AF77" s="108"/>
      <c r="AG77" s="108"/>
      <c r="AH77" s="108"/>
      <c r="AI77" s="108"/>
      <c r="AJ77" s="108"/>
      <c r="AK77" s="108"/>
      <c r="AL77" s="108"/>
      <c r="AM77" s="108"/>
      <c r="AN77" s="108"/>
      <c r="AO77" s="108"/>
      <c r="AP77" s="108"/>
      <c r="AQ77" s="108"/>
      <c r="AR77" s="108"/>
      <c r="AS77" s="108"/>
      <c r="AT77" s="108"/>
      <c r="AU77" s="108"/>
      <c r="AV77" s="108"/>
      <c r="AW77" s="108"/>
      <c r="AX77" s="108"/>
      <c r="AY77" s="108"/>
      <c r="AZ77" s="108"/>
      <c r="BA77" s="108"/>
      <c r="BB77" s="108"/>
      <c r="BC77" s="108"/>
      <c r="BD77" s="108"/>
      <c r="BE77" s="108"/>
      <c r="BF77" s="108"/>
      <c r="BG77" s="108"/>
      <c r="BH77" s="108"/>
      <c r="BI77" s="108"/>
      <c r="BJ77" s="108"/>
      <c r="BK77" s="108"/>
      <c r="BL77" s="108"/>
      <c r="BM77" s="109"/>
      <c r="BN77" s="108"/>
      <c r="BO77" s="108"/>
      <c r="BP77" s="108"/>
    </row>
    <row r="78" spans="1:68" ht="12" customHeight="1" x14ac:dyDescent="0.2">
      <c r="A78" s="179"/>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c r="AA78" s="108"/>
      <c r="AB78" s="108"/>
      <c r="AC78" s="108"/>
      <c r="AD78" s="108"/>
      <c r="AE78" s="108"/>
      <c r="AF78" s="108"/>
      <c r="AG78" s="108"/>
      <c r="AH78" s="108"/>
      <c r="AI78" s="108"/>
      <c r="AJ78" s="108"/>
      <c r="AK78" s="108"/>
      <c r="AL78" s="108"/>
      <c r="AM78" s="108"/>
      <c r="AN78" s="108"/>
      <c r="AO78" s="108"/>
      <c r="AP78" s="108"/>
      <c r="AQ78" s="108"/>
      <c r="AR78" s="108"/>
      <c r="AS78" s="108"/>
      <c r="AT78" s="108"/>
      <c r="AU78" s="108"/>
      <c r="AV78" s="108"/>
      <c r="AW78" s="108"/>
      <c r="AX78" s="108"/>
      <c r="AY78" s="108"/>
      <c r="AZ78" s="108"/>
      <c r="BA78" s="108"/>
      <c r="BB78" s="108"/>
      <c r="BC78" s="108"/>
      <c r="BD78" s="108"/>
      <c r="BE78" s="108"/>
      <c r="BF78" s="108"/>
      <c r="BG78" s="108"/>
      <c r="BH78" s="108"/>
      <c r="BI78" s="108"/>
      <c r="BJ78" s="108"/>
      <c r="BK78" s="108"/>
      <c r="BL78" s="108"/>
      <c r="BM78" s="109"/>
      <c r="BN78" s="108"/>
      <c r="BO78" s="108"/>
      <c r="BP78" s="108"/>
    </row>
    <row r="79" spans="1:68" ht="12" customHeight="1" x14ac:dyDescent="0.2">
      <c r="A79" s="179"/>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c r="AA79" s="108"/>
      <c r="AB79" s="108"/>
      <c r="AC79" s="108"/>
      <c r="AD79" s="108"/>
      <c r="AE79" s="108"/>
      <c r="AF79" s="108"/>
      <c r="AG79" s="108"/>
      <c r="AH79" s="108"/>
      <c r="AI79" s="108"/>
      <c r="AJ79" s="108"/>
      <c r="AK79" s="108"/>
      <c r="AL79" s="108"/>
      <c r="AM79" s="108"/>
      <c r="AN79" s="108"/>
      <c r="AO79" s="108"/>
      <c r="AP79" s="108"/>
      <c r="AQ79" s="108"/>
      <c r="AR79" s="108"/>
      <c r="AS79" s="108"/>
      <c r="AT79" s="108"/>
      <c r="AU79" s="108"/>
      <c r="AV79" s="108"/>
      <c r="AW79" s="108"/>
      <c r="AX79" s="108"/>
      <c r="AY79" s="108"/>
      <c r="AZ79" s="108"/>
      <c r="BA79" s="108"/>
      <c r="BB79" s="108"/>
      <c r="BC79" s="108"/>
      <c r="BD79" s="108"/>
      <c r="BE79" s="108"/>
      <c r="BF79" s="108"/>
      <c r="BG79" s="108"/>
      <c r="BH79" s="108"/>
      <c r="BI79" s="108"/>
      <c r="BJ79" s="108"/>
      <c r="BK79" s="108"/>
      <c r="BL79" s="108"/>
      <c r="BM79" s="109"/>
      <c r="BN79" s="108"/>
      <c r="BO79" s="108"/>
      <c r="BP79" s="108"/>
    </row>
    <row r="80" spans="1:68" ht="12" customHeight="1" x14ac:dyDescent="0.2">
      <c r="A80" s="179"/>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c r="AA80" s="108"/>
      <c r="AB80" s="108"/>
      <c r="AC80" s="108"/>
      <c r="AD80" s="108"/>
      <c r="AE80" s="108"/>
      <c r="AF80" s="108"/>
      <c r="AG80" s="108"/>
      <c r="AH80" s="108"/>
      <c r="AI80" s="108"/>
      <c r="AJ80" s="108"/>
      <c r="AK80" s="108"/>
      <c r="AL80" s="108"/>
      <c r="AM80" s="108"/>
      <c r="AN80" s="108"/>
      <c r="AO80" s="108"/>
      <c r="AP80" s="108"/>
      <c r="AQ80" s="108"/>
      <c r="AR80" s="108"/>
      <c r="AS80" s="108"/>
      <c r="AT80" s="108"/>
      <c r="AU80" s="108"/>
      <c r="AV80" s="108"/>
      <c r="AW80" s="108"/>
      <c r="AX80" s="108"/>
      <c r="AY80" s="108"/>
      <c r="AZ80" s="108"/>
      <c r="BA80" s="108"/>
      <c r="BB80" s="108"/>
      <c r="BC80" s="108"/>
      <c r="BD80" s="108"/>
      <c r="BE80" s="108"/>
      <c r="BF80" s="108"/>
      <c r="BG80" s="108"/>
      <c r="BH80" s="108"/>
      <c r="BI80" s="108"/>
      <c r="BJ80" s="108"/>
      <c r="BK80" s="108"/>
      <c r="BL80" s="108"/>
      <c r="BM80" s="109"/>
      <c r="BN80" s="108"/>
      <c r="BO80" s="108"/>
      <c r="BP80" s="108"/>
    </row>
    <row r="81" spans="1:68" ht="12" customHeight="1" x14ac:dyDescent="0.2">
      <c r="A81" s="179"/>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c r="AA81" s="108"/>
      <c r="AB81" s="108"/>
      <c r="AC81" s="108"/>
      <c r="AD81" s="108"/>
      <c r="AE81" s="108"/>
      <c r="AF81" s="108"/>
      <c r="AG81" s="108"/>
      <c r="AH81" s="108"/>
      <c r="AI81" s="108"/>
      <c r="AJ81" s="108"/>
      <c r="AK81" s="108"/>
      <c r="AL81" s="108"/>
      <c r="AM81" s="108"/>
      <c r="AN81" s="108"/>
      <c r="AO81" s="108"/>
      <c r="AP81" s="108"/>
      <c r="AQ81" s="108"/>
      <c r="AR81" s="108"/>
      <c r="AS81" s="108"/>
      <c r="AT81" s="108"/>
      <c r="AU81" s="108"/>
      <c r="AV81" s="108"/>
      <c r="AW81" s="108"/>
      <c r="AX81" s="108"/>
      <c r="AY81" s="108"/>
      <c r="AZ81" s="108"/>
      <c r="BA81" s="108"/>
      <c r="BB81" s="108"/>
      <c r="BC81" s="108"/>
      <c r="BD81" s="108"/>
      <c r="BE81" s="108"/>
      <c r="BF81" s="108"/>
      <c r="BG81" s="108"/>
      <c r="BH81" s="108"/>
      <c r="BI81" s="108"/>
      <c r="BJ81" s="108"/>
      <c r="BK81" s="108"/>
      <c r="BL81" s="108"/>
      <c r="BM81" s="109"/>
      <c r="BN81" s="108"/>
      <c r="BO81" s="108"/>
      <c r="BP81" s="108"/>
    </row>
    <row r="82" spans="1:68" ht="12" customHeight="1" x14ac:dyDescent="0.2">
      <c r="A82" s="179"/>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c r="AA82" s="108"/>
      <c r="AB82" s="108"/>
      <c r="AC82" s="108"/>
      <c r="AD82" s="108"/>
      <c r="AE82" s="108"/>
      <c r="AF82" s="108"/>
      <c r="AG82" s="108"/>
      <c r="AH82" s="108"/>
      <c r="AI82" s="108"/>
      <c r="AJ82" s="108"/>
      <c r="AK82" s="108"/>
      <c r="AL82" s="108"/>
      <c r="AM82" s="108"/>
      <c r="AN82" s="108"/>
      <c r="AO82" s="108"/>
      <c r="AP82" s="108"/>
      <c r="AQ82" s="108"/>
      <c r="AR82" s="108"/>
      <c r="AS82" s="108"/>
      <c r="AT82" s="108"/>
      <c r="AU82" s="108"/>
      <c r="AV82" s="108"/>
      <c r="AW82" s="108"/>
      <c r="AX82" s="108"/>
      <c r="AY82" s="108"/>
      <c r="AZ82" s="108"/>
      <c r="BA82" s="108"/>
      <c r="BB82" s="108"/>
      <c r="BC82" s="108"/>
      <c r="BD82" s="108"/>
      <c r="BE82" s="108"/>
      <c r="BF82" s="108"/>
      <c r="BG82" s="108"/>
      <c r="BH82" s="108"/>
      <c r="BI82" s="108"/>
      <c r="BJ82" s="108"/>
      <c r="BK82" s="108"/>
      <c r="BL82" s="108"/>
      <c r="BM82" s="109"/>
      <c r="BN82" s="108"/>
      <c r="BO82" s="108"/>
      <c r="BP82" s="108"/>
    </row>
    <row r="83" spans="1:68" ht="12" customHeight="1" x14ac:dyDescent="0.2">
      <c r="A83" s="179"/>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c r="AA83" s="108"/>
      <c r="AB83" s="108"/>
      <c r="AC83" s="108"/>
      <c r="AD83" s="108"/>
      <c r="AE83" s="108"/>
      <c r="AF83" s="108"/>
      <c r="AG83" s="108"/>
      <c r="AH83" s="108"/>
      <c r="AI83" s="108"/>
      <c r="AJ83" s="108"/>
      <c r="AK83" s="108"/>
      <c r="AL83" s="108"/>
      <c r="AM83" s="108"/>
      <c r="AN83" s="108"/>
      <c r="AO83" s="108"/>
      <c r="AP83" s="108"/>
      <c r="AQ83" s="108"/>
      <c r="AR83" s="108"/>
      <c r="AS83" s="108"/>
      <c r="AT83" s="108"/>
      <c r="AU83" s="108"/>
      <c r="AV83" s="108"/>
      <c r="AW83" s="108"/>
      <c r="AX83" s="108"/>
      <c r="AY83" s="108"/>
      <c r="AZ83" s="108"/>
      <c r="BA83" s="108"/>
      <c r="BB83" s="108"/>
      <c r="BC83" s="108"/>
      <c r="BD83" s="108"/>
      <c r="BE83" s="108"/>
      <c r="BF83" s="108"/>
      <c r="BG83" s="108"/>
      <c r="BH83" s="108"/>
      <c r="BI83" s="108"/>
      <c r="BJ83" s="108"/>
      <c r="BK83" s="108"/>
      <c r="BL83" s="108"/>
      <c r="BM83" s="109"/>
      <c r="BN83" s="108"/>
      <c r="BO83" s="108"/>
      <c r="BP83" s="108"/>
    </row>
    <row r="84" spans="1:68" ht="12" customHeight="1" x14ac:dyDescent="0.2">
      <c r="A84" s="179"/>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c r="AA84" s="108"/>
      <c r="AB84" s="108"/>
      <c r="AC84" s="108"/>
      <c r="AD84" s="108"/>
      <c r="AE84" s="108"/>
      <c r="AF84" s="108"/>
      <c r="AG84" s="108"/>
      <c r="AH84" s="108"/>
      <c r="AI84" s="108"/>
      <c r="AJ84" s="108"/>
      <c r="AK84" s="108"/>
      <c r="AL84" s="108"/>
      <c r="AM84" s="108"/>
      <c r="AN84" s="108"/>
      <c r="AO84" s="108"/>
      <c r="AP84" s="108"/>
      <c r="AQ84" s="108"/>
      <c r="AR84" s="108"/>
      <c r="AS84" s="108"/>
      <c r="AT84" s="108"/>
      <c r="AU84" s="108"/>
      <c r="AV84" s="108"/>
      <c r="AW84" s="108"/>
      <c r="AX84" s="108"/>
      <c r="AY84" s="108"/>
      <c r="AZ84" s="108"/>
      <c r="BA84" s="108"/>
      <c r="BB84" s="108"/>
      <c r="BC84" s="108"/>
      <c r="BD84" s="108"/>
      <c r="BE84" s="108"/>
      <c r="BF84" s="108"/>
      <c r="BG84" s="108"/>
      <c r="BH84" s="108"/>
      <c r="BI84" s="108"/>
      <c r="BJ84" s="108"/>
      <c r="BK84" s="108"/>
      <c r="BL84" s="108"/>
      <c r="BM84" s="109"/>
      <c r="BN84" s="108"/>
      <c r="BO84" s="108"/>
      <c r="BP84" s="108"/>
    </row>
    <row r="85" spans="1:68" ht="12" customHeight="1" x14ac:dyDescent="0.2">
      <c r="A85" s="179"/>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c r="AA85" s="108"/>
      <c r="AB85" s="108"/>
      <c r="AC85" s="108"/>
      <c r="AD85" s="108"/>
      <c r="AE85" s="108"/>
      <c r="AF85" s="108"/>
      <c r="AG85" s="108"/>
      <c r="AH85" s="108"/>
      <c r="AI85" s="108"/>
      <c r="AJ85" s="108"/>
      <c r="AK85" s="108"/>
      <c r="AL85" s="108"/>
      <c r="AM85" s="108"/>
      <c r="AN85" s="108"/>
      <c r="AO85" s="108"/>
      <c r="AP85" s="108"/>
      <c r="AQ85" s="108"/>
      <c r="AR85" s="108"/>
      <c r="AS85" s="108"/>
      <c r="AT85" s="108"/>
      <c r="AU85" s="108"/>
      <c r="AV85" s="108"/>
      <c r="AW85" s="108"/>
      <c r="AX85" s="108"/>
      <c r="AY85" s="108"/>
      <c r="AZ85" s="108"/>
      <c r="BA85" s="108"/>
      <c r="BB85" s="108"/>
      <c r="BC85" s="108"/>
      <c r="BD85" s="108"/>
      <c r="BE85" s="108"/>
      <c r="BF85" s="108"/>
      <c r="BG85" s="108"/>
      <c r="BH85" s="108"/>
      <c r="BI85" s="108"/>
      <c r="BJ85" s="108"/>
      <c r="BK85" s="108"/>
      <c r="BL85" s="108"/>
      <c r="BM85" s="109"/>
      <c r="BN85" s="108"/>
      <c r="BO85" s="108"/>
      <c r="BP85" s="108"/>
    </row>
    <row r="86" spans="1:68" ht="12" customHeight="1" x14ac:dyDescent="0.2">
      <c r="A86" s="179"/>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c r="AA86" s="108"/>
      <c r="AB86" s="108"/>
      <c r="AC86" s="108"/>
      <c r="AD86" s="108"/>
      <c r="AE86" s="108"/>
      <c r="AF86" s="108"/>
      <c r="AG86" s="108"/>
      <c r="AH86" s="108"/>
      <c r="AI86" s="108"/>
      <c r="AJ86" s="108"/>
      <c r="AK86" s="108"/>
      <c r="AL86" s="108"/>
      <c r="AM86" s="108"/>
      <c r="AN86" s="108"/>
      <c r="AO86" s="108"/>
      <c r="AP86" s="108"/>
      <c r="AQ86" s="108"/>
      <c r="AR86" s="108"/>
      <c r="AS86" s="108"/>
      <c r="AT86" s="108"/>
      <c r="AU86" s="108"/>
      <c r="AV86" s="108"/>
      <c r="AW86" s="108"/>
      <c r="AX86" s="108"/>
      <c r="AY86" s="108"/>
      <c r="AZ86" s="108"/>
      <c r="BA86" s="108"/>
      <c r="BB86" s="108"/>
      <c r="BC86" s="108"/>
      <c r="BD86" s="108"/>
      <c r="BE86" s="108"/>
      <c r="BF86" s="108"/>
      <c r="BG86" s="108"/>
      <c r="BH86" s="108"/>
      <c r="BI86" s="108"/>
      <c r="BJ86" s="108"/>
      <c r="BK86" s="108"/>
      <c r="BL86" s="108"/>
      <c r="BM86" s="109"/>
      <c r="BN86" s="108"/>
      <c r="BO86" s="108"/>
      <c r="BP86" s="108"/>
    </row>
    <row r="87" spans="1:68" ht="12" customHeight="1" x14ac:dyDescent="0.2">
      <c r="A87" s="179"/>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c r="AA87" s="108"/>
      <c r="AB87" s="108"/>
      <c r="AC87" s="108"/>
      <c r="AD87" s="108"/>
      <c r="AE87" s="108"/>
      <c r="AF87" s="108"/>
      <c r="AG87" s="108"/>
      <c r="AH87" s="108"/>
      <c r="AI87" s="108"/>
      <c r="AJ87" s="108"/>
      <c r="AK87" s="108"/>
      <c r="AL87" s="108"/>
      <c r="AM87" s="108"/>
      <c r="AN87" s="108"/>
      <c r="AO87" s="108"/>
      <c r="AP87" s="108"/>
      <c r="AQ87" s="108"/>
      <c r="AR87" s="108"/>
      <c r="AS87" s="108"/>
      <c r="AT87" s="108"/>
      <c r="AU87" s="108"/>
      <c r="AV87" s="108"/>
      <c r="AW87" s="108"/>
      <c r="AX87" s="108"/>
      <c r="AY87" s="108"/>
      <c r="AZ87" s="108"/>
      <c r="BA87" s="108"/>
      <c r="BB87" s="108"/>
      <c r="BC87" s="108"/>
      <c r="BD87" s="108"/>
      <c r="BE87" s="108"/>
      <c r="BF87" s="108"/>
      <c r="BG87" s="108"/>
      <c r="BH87" s="108"/>
      <c r="BI87" s="108"/>
      <c r="BJ87" s="108"/>
      <c r="BK87" s="108"/>
      <c r="BL87" s="108"/>
      <c r="BM87" s="109"/>
      <c r="BN87" s="108"/>
      <c r="BO87" s="108"/>
      <c r="BP87" s="108"/>
    </row>
    <row r="88" spans="1:68" ht="12" customHeight="1" x14ac:dyDescent="0.2">
      <c r="A88" s="179"/>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c r="AA88" s="108"/>
      <c r="AB88" s="108"/>
      <c r="AC88" s="108"/>
      <c r="AD88" s="108"/>
      <c r="AE88" s="108"/>
      <c r="AF88" s="108"/>
      <c r="AG88" s="108"/>
      <c r="AH88" s="108"/>
      <c r="AI88" s="108"/>
      <c r="AJ88" s="108"/>
      <c r="AK88" s="108"/>
      <c r="AL88" s="108"/>
      <c r="AM88" s="108"/>
      <c r="AN88" s="108"/>
      <c r="AO88" s="108"/>
      <c r="AP88" s="108"/>
      <c r="AQ88" s="108"/>
      <c r="AR88" s="108"/>
      <c r="AS88" s="108"/>
      <c r="AT88" s="108"/>
      <c r="AU88" s="108"/>
      <c r="AV88" s="108"/>
      <c r="AW88" s="108"/>
      <c r="AX88" s="108"/>
      <c r="AY88" s="108"/>
      <c r="AZ88" s="108"/>
      <c r="BA88" s="108"/>
      <c r="BB88" s="108"/>
      <c r="BC88" s="108"/>
      <c r="BD88" s="108"/>
      <c r="BE88" s="108"/>
      <c r="BF88" s="108"/>
      <c r="BG88" s="108"/>
      <c r="BH88" s="108"/>
      <c r="BI88" s="108"/>
      <c r="BJ88" s="108"/>
      <c r="BK88" s="108"/>
      <c r="BL88" s="108"/>
      <c r="BM88" s="109"/>
      <c r="BN88" s="108"/>
      <c r="BO88" s="108"/>
      <c r="BP88" s="108"/>
    </row>
    <row r="89" spans="1:68" ht="12" customHeight="1" x14ac:dyDescent="0.2">
      <c r="A89" s="179"/>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c r="AA89" s="108"/>
      <c r="AB89" s="108"/>
      <c r="AC89" s="108"/>
      <c r="AD89" s="108"/>
      <c r="AE89" s="108"/>
      <c r="AF89" s="108"/>
      <c r="AG89" s="108"/>
      <c r="AH89" s="108"/>
      <c r="AI89" s="108"/>
      <c r="AJ89" s="108"/>
      <c r="AK89" s="108"/>
      <c r="AL89" s="108"/>
      <c r="AM89" s="108"/>
      <c r="AN89" s="108"/>
      <c r="AO89" s="108"/>
      <c r="AP89" s="108"/>
      <c r="AQ89" s="108"/>
      <c r="AR89" s="108"/>
      <c r="AS89" s="108"/>
      <c r="AT89" s="108"/>
      <c r="AU89" s="108"/>
      <c r="AV89" s="108"/>
      <c r="AW89" s="108"/>
      <c r="AX89" s="108"/>
      <c r="AY89" s="108"/>
      <c r="AZ89" s="108"/>
      <c r="BA89" s="108"/>
      <c r="BB89" s="108"/>
      <c r="BC89" s="108"/>
      <c r="BD89" s="108"/>
      <c r="BE89" s="108"/>
      <c r="BF89" s="108"/>
      <c r="BG89" s="108"/>
      <c r="BH89" s="108"/>
      <c r="BI89" s="108"/>
      <c r="BJ89" s="108"/>
      <c r="BK89" s="108"/>
      <c r="BL89" s="108"/>
      <c r="BM89" s="109"/>
      <c r="BN89" s="108"/>
      <c r="BO89" s="108"/>
      <c r="BP89" s="108"/>
    </row>
    <row r="90" spans="1:68" ht="12" customHeight="1" x14ac:dyDescent="0.2">
      <c r="A90" s="179"/>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c r="AA90" s="108"/>
      <c r="AB90" s="108"/>
      <c r="AC90" s="108"/>
      <c r="AD90" s="108"/>
      <c r="AE90" s="108"/>
      <c r="AF90" s="108"/>
      <c r="AG90" s="108"/>
      <c r="AH90" s="108"/>
      <c r="AI90" s="108"/>
      <c r="AJ90" s="108"/>
      <c r="AK90" s="108"/>
      <c r="AL90" s="108"/>
      <c r="AM90" s="108"/>
      <c r="AN90" s="108"/>
      <c r="AO90" s="108"/>
      <c r="AP90" s="108"/>
      <c r="AQ90" s="108"/>
      <c r="AR90" s="108"/>
      <c r="AS90" s="108"/>
      <c r="AT90" s="108"/>
      <c r="AU90" s="108"/>
      <c r="AV90" s="108"/>
      <c r="AW90" s="108"/>
      <c r="AX90" s="108"/>
      <c r="AY90" s="108"/>
      <c r="AZ90" s="108"/>
      <c r="BA90" s="108"/>
      <c r="BB90" s="108"/>
      <c r="BC90" s="108"/>
      <c r="BD90" s="108"/>
      <c r="BE90" s="108"/>
      <c r="BF90" s="108"/>
      <c r="BG90" s="108"/>
      <c r="BH90" s="108"/>
      <c r="BI90" s="108"/>
      <c r="BJ90" s="108"/>
      <c r="BK90" s="108"/>
      <c r="BL90" s="108"/>
      <c r="BM90" s="109"/>
      <c r="BN90" s="108"/>
      <c r="BO90" s="108"/>
      <c r="BP90" s="108"/>
    </row>
    <row r="91" spans="1:68" ht="12" customHeight="1" x14ac:dyDescent="0.2">
      <c r="A91" s="179"/>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c r="AA91" s="108"/>
      <c r="AB91" s="108"/>
      <c r="AC91" s="108"/>
      <c r="AD91" s="108"/>
      <c r="AE91" s="108"/>
      <c r="AF91" s="108"/>
      <c r="AG91" s="108"/>
      <c r="AH91" s="108"/>
      <c r="AI91" s="108"/>
      <c r="AJ91" s="108"/>
      <c r="AK91" s="108"/>
      <c r="AL91" s="108"/>
      <c r="AM91" s="108"/>
      <c r="AN91" s="108"/>
      <c r="AO91" s="108"/>
      <c r="AP91" s="108"/>
      <c r="AQ91" s="108"/>
      <c r="AR91" s="108"/>
      <c r="AS91" s="108"/>
      <c r="AT91" s="108"/>
      <c r="AU91" s="108"/>
      <c r="AV91" s="108"/>
      <c r="AW91" s="108"/>
      <c r="AX91" s="108"/>
      <c r="AY91" s="108"/>
      <c r="AZ91" s="108"/>
      <c r="BA91" s="108"/>
      <c r="BB91" s="108"/>
      <c r="BC91" s="108"/>
      <c r="BD91" s="108"/>
      <c r="BE91" s="108"/>
      <c r="BF91" s="108"/>
      <c r="BG91" s="108"/>
      <c r="BH91" s="108"/>
      <c r="BI91" s="108"/>
      <c r="BJ91" s="108"/>
      <c r="BK91" s="108"/>
      <c r="BL91" s="108"/>
      <c r="BM91" s="109"/>
      <c r="BN91" s="108"/>
      <c r="BO91" s="108"/>
      <c r="BP91" s="108"/>
    </row>
    <row r="92" spans="1:68" ht="12" customHeight="1" x14ac:dyDescent="0.2">
      <c r="A92" s="179"/>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c r="AA92" s="108"/>
      <c r="AB92" s="108"/>
      <c r="AC92" s="108"/>
      <c r="AD92" s="108"/>
      <c r="AE92" s="108"/>
      <c r="AF92" s="108"/>
      <c r="AG92" s="108"/>
      <c r="AH92" s="108"/>
      <c r="AI92" s="108"/>
      <c r="AJ92" s="108"/>
      <c r="AK92" s="108"/>
      <c r="AL92" s="108"/>
      <c r="AM92" s="108"/>
      <c r="AN92" s="108"/>
      <c r="AO92" s="108"/>
      <c r="AP92" s="108"/>
      <c r="AQ92" s="108"/>
      <c r="AR92" s="108"/>
      <c r="AS92" s="108"/>
      <c r="AT92" s="108"/>
      <c r="AU92" s="108"/>
      <c r="AV92" s="108"/>
      <c r="AW92" s="108"/>
      <c r="AX92" s="108"/>
      <c r="AY92" s="108"/>
      <c r="AZ92" s="108"/>
      <c r="BA92" s="108"/>
      <c r="BB92" s="108"/>
      <c r="BC92" s="108"/>
      <c r="BD92" s="108"/>
      <c r="BE92" s="108"/>
      <c r="BF92" s="108"/>
      <c r="BG92" s="108"/>
      <c r="BH92" s="108"/>
      <c r="BI92" s="108"/>
      <c r="BJ92" s="108"/>
      <c r="BK92" s="108"/>
      <c r="BL92" s="108"/>
      <c r="BM92" s="109"/>
      <c r="BN92" s="108"/>
      <c r="BO92" s="108"/>
      <c r="BP92" s="108"/>
    </row>
    <row r="93" spans="1:68" ht="12" customHeight="1" x14ac:dyDescent="0.2">
      <c r="A93" s="179"/>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c r="AA93" s="108"/>
      <c r="AB93" s="108"/>
      <c r="AC93" s="108"/>
      <c r="AD93" s="108"/>
      <c r="AE93" s="108"/>
      <c r="AF93" s="108"/>
      <c r="AG93" s="108"/>
      <c r="AH93" s="108"/>
      <c r="AI93" s="108"/>
      <c r="AJ93" s="108"/>
      <c r="AK93" s="108"/>
      <c r="AL93" s="108"/>
      <c r="AM93" s="108"/>
      <c r="AN93" s="108"/>
      <c r="AO93" s="108"/>
      <c r="AP93" s="108"/>
      <c r="AQ93" s="108"/>
      <c r="AR93" s="108"/>
      <c r="AS93" s="108"/>
      <c r="AT93" s="108"/>
      <c r="AU93" s="108"/>
      <c r="AV93" s="108"/>
      <c r="AW93" s="108"/>
      <c r="AX93" s="108"/>
      <c r="AY93" s="108"/>
      <c r="AZ93" s="108"/>
      <c r="BA93" s="108"/>
      <c r="BB93" s="108"/>
      <c r="BC93" s="108"/>
      <c r="BD93" s="108"/>
      <c r="BE93" s="108"/>
      <c r="BF93" s="108"/>
      <c r="BG93" s="108"/>
      <c r="BH93" s="108"/>
      <c r="BI93" s="108"/>
      <c r="BJ93" s="108"/>
      <c r="BK93" s="108"/>
      <c r="BL93" s="108"/>
      <c r="BM93" s="109"/>
      <c r="BN93" s="108"/>
      <c r="BO93" s="108"/>
      <c r="BP93" s="108"/>
    </row>
    <row r="94" spans="1:68" ht="12" customHeight="1" x14ac:dyDescent="0.2">
      <c r="A94" s="179"/>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c r="AA94" s="108"/>
      <c r="AB94" s="108"/>
      <c r="AC94" s="108"/>
      <c r="AD94" s="108"/>
      <c r="AE94" s="108"/>
      <c r="AF94" s="108"/>
      <c r="AG94" s="108"/>
      <c r="AH94" s="108"/>
      <c r="AI94" s="108"/>
      <c r="AJ94" s="108"/>
      <c r="AK94" s="108"/>
      <c r="AL94" s="108"/>
      <c r="AM94" s="108"/>
      <c r="AN94" s="108"/>
      <c r="AO94" s="108"/>
      <c r="AP94" s="108"/>
      <c r="AQ94" s="108"/>
      <c r="AR94" s="108"/>
      <c r="AS94" s="108"/>
      <c r="AT94" s="108"/>
      <c r="AU94" s="108"/>
      <c r="AV94" s="108"/>
      <c r="AW94" s="108"/>
      <c r="AX94" s="108"/>
      <c r="AY94" s="108"/>
      <c r="AZ94" s="108"/>
      <c r="BA94" s="108"/>
      <c r="BB94" s="108"/>
      <c r="BC94" s="108"/>
      <c r="BD94" s="108"/>
      <c r="BE94" s="108"/>
      <c r="BF94" s="108"/>
      <c r="BG94" s="108"/>
      <c r="BH94" s="108"/>
      <c r="BI94" s="108"/>
      <c r="BJ94" s="108"/>
      <c r="BK94" s="108"/>
      <c r="BL94" s="108"/>
      <c r="BM94" s="109"/>
      <c r="BN94" s="108"/>
      <c r="BO94" s="108"/>
      <c r="BP94" s="108"/>
    </row>
    <row r="95" spans="1:68" ht="12" customHeight="1" x14ac:dyDescent="0.2">
      <c r="A95" s="179"/>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c r="AA95" s="108"/>
      <c r="AB95" s="108"/>
      <c r="AC95" s="108"/>
      <c r="AD95" s="108"/>
      <c r="AE95" s="108"/>
      <c r="AF95" s="108"/>
      <c r="AG95" s="108"/>
      <c r="AH95" s="108"/>
      <c r="AI95" s="108"/>
      <c r="AJ95" s="108"/>
      <c r="AK95" s="108"/>
      <c r="AL95" s="108"/>
      <c r="AM95" s="108"/>
      <c r="AN95" s="108"/>
      <c r="AO95" s="108"/>
      <c r="AP95" s="108"/>
      <c r="AQ95" s="108"/>
      <c r="AR95" s="108"/>
      <c r="AS95" s="108"/>
      <c r="AT95" s="108"/>
      <c r="AU95" s="108"/>
      <c r="AV95" s="108"/>
      <c r="AW95" s="108"/>
      <c r="AX95" s="108"/>
      <c r="AY95" s="108"/>
      <c r="AZ95" s="108"/>
      <c r="BA95" s="108"/>
      <c r="BB95" s="108"/>
      <c r="BC95" s="108"/>
      <c r="BD95" s="108"/>
      <c r="BE95" s="108"/>
      <c r="BF95" s="108"/>
      <c r="BG95" s="108"/>
      <c r="BH95" s="108"/>
      <c r="BI95" s="108"/>
      <c r="BJ95" s="108"/>
      <c r="BK95" s="108"/>
      <c r="BL95" s="108"/>
      <c r="BM95" s="109"/>
      <c r="BN95" s="108"/>
      <c r="BO95" s="108"/>
      <c r="BP95" s="108"/>
    </row>
    <row r="96" spans="1:68" ht="12" customHeight="1" x14ac:dyDescent="0.2">
      <c r="A96" s="179"/>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c r="BA96" s="108"/>
      <c r="BB96" s="108"/>
      <c r="BC96" s="108"/>
      <c r="BD96" s="108"/>
      <c r="BE96" s="108"/>
      <c r="BF96" s="108"/>
      <c r="BG96" s="108"/>
      <c r="BH96" s="108"/>
      <c r="BI96" s="108"/>
      <c r="BJ96" s="108"/>
      <c r="BK96" s="108"/>
      <c r="BL96" s="108"/>
      <c r="BM96" s="109"/>
      <c r="BN96" s="108"/>
      <c r="BO96" s="108"/>
      <c r="BP96" s="108"/>
    </row>
    <row r="97" spans="1:68" ht="12" customHeight="1" x14ac:dyDescent="0.2">
      <c r="A97" s="179"/>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c r="AA97" s="108"/>
      <c r="AB97" s="108"/>
      <c r="AC97" s="108"/>
      <c r="AD97" s="108"/>
      <c r="AE97" s="108"/>
      <c r="AF97" s="108"/>
      <c r="AG97" s="108"/>
      <c r="AH97" s="108"/>
      <c r="AI97" s="108"/>
      <c r="AJ97" s="108"/>
      <c r="AK97" s="108"/>
      <c r="AL97" s="108"/>
      <c r="AM97" s="108"/>
      <c r="AN97" s="108"/>
      <c r="AO97" s="108"/>
      <c r="AP97" s="108"/>
      <c r="AQ97" s="108"/>
      <c r="AR97" s="108"/>
      <c r="AS97" s="108"/>
      <c r="AT97" s="108"/>
      <c r="AU97" s="108"/>
      <c r="AV97" s="108"/>
      <c r="AW97" s="108"/>
      <c r="AX97" s="108"/>
      <c r="AY97" s="108"/>
      <c r="AZ97" s="108"/>
      <c r="BA97" s="108"/>
      <c r="BB97" s="108"/>
      <c r="BC97" s="108"/>
      <c r="BD97" s="108"/>
      <c r="BE97" s="108"/>
      <c r="BF97" s="108"/>
      <c r="BG97" s="108"/>
      <c r="BH97" s="108"/>
      <c r="BI97" s="108"/>
      <c r="BJ97" s="108"/>
      <c r="BK97" s="108"/>
      <c r="BL97" s="108"/>
      <c r="BM97" s="109"/>
      <c r="BN97" s="108"/>
      <c r="BO97" s="108"/>
      <c r="BP97" s="108"/>
    </row>
    <row r="98" spans="1:68" ht="12" customHeight="1" x14ac:dyDescent="0.2">
      <c r="A98" s="179"/>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c r="AA98" s="108"/>
      <c r="AB98" s="108"/>
      <c r="AC98" s="108"/>
      <c r="AD98" s="108"/>
      <c r="AE98" s="108"/>
      <c r="AF98" s="108"/>
      <c r="AG98" s="108"/>
      <c r="AH98" s="108"/>
      <c r="AI98" s="108"/>
      <c r="AJ98" s="108"/>
      <c r="AK98" s="108"/>
      <c r="AL98" s="108"/>
      <c r="AM98" s="108"/>
      <c r="AN98" s="108"/>
      <c r="AO98" s="108"/>
      <c r="AP98" s="108"/>
      <c r="AQ98" s="108"/>
      <c r="AR98" s="108"/>
      <c r="AS98" s="108"/>
      <c r="AT98" s="108"/>
      <c r="AU98" s="108"/>
      <c r="AV98" s="108"/>
      <c r="AW98" s="108"/>
      <c r="AX98" s="108"/>
      <c r="AY98" s="108"/>
      <c r="AZ98" s="108"/>
      <c r="BA98" s="108"/>
      <c r="BB98" s="108"/>
      <c r="BC98" s="108"/>
      <c r="BD98" s="108"/>
      <c r="BE98" s="108"/>
      <c r="BF98" s="108"/>
      <c r="BG98" s="108"/>
      <c r="BH98" s="108"/>
      <c r="BI98" s="108"/>
      <c r="BJ98" s="108"/>
      <c r="BK98" s="108"/>
      <c r="BL98" s="108"/>
      <c r="BM98" s="109"/>
      <c r="BN98" s="108"/>
      <c r="BO98" s="108"/>
      <c r="BP98" s="108"/>
    </row>
    <row r="99" spans="1:68" ht="12" customHeight="1" x14ac:dyDescent="0.2">
      <c r="A99" s="179"/>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c r="AA99" s="108"/>
      <c r="AB99" s="108"/>
      <c r="AC99" s="108"/>
      <c r="AD99" s="108"/>
      <c r="AE99" s="108"/>
      <c r="AF99" s="108"/>
      <c r="AG99" s="108"/>
      <c r="AH99" s="108"/>
      <c r="AI99" s="108"/>
      <c r="AJ99" s="108"/>
      <c r="AK99" s="108"/>
      <c r="AL99" s="108"/>
      <c r="AM99" s="108"/>
      <c r="AN99" s="108"/>
      <c r="AO99" s="108"/>
      <c r="AP99" s="108"/>
      <c r="AQ99" s="108"/>
      <c r="AR99" s="108"/>
      <c r="AS99" s="108"/>
      <c r="AT99" s="108"/>
      <c r="AU99" s="108"/>
      <c r="AV99" s="108"/>
      <c r="AW99" s="108"/>
      <c r="AX99" s="108"/>
      <c r="AY99" s="108"/>
      <c r="AZ99" s="108"/>
      <c r="BA99" s="108"/>
      <c r="BB99" s="108"/>
      <c r="BC99" s="108"/>
      <c r="BD99" s="108"/>
      <c r="BE99" s="108"/>
      <c r="BF99" s="108"/>
      <c r="BG99" s="108"/>
      <c r="BH99" s="108"/>
      <c r="BI99" s="108"/>
      <c r="BJ99" s="108"/>
      <c r="BK99" s="108"/>
      <c r="BL99" s="108"/>
      <c r="BM99" s="109"/>
      <c r="BN99" s="108"/>
      <c r="BO99" s="108"/>
      <c r="BP99" s="108"/>
    </row>
    <row r="100" spans="1:68" ht="12" customHeight="1" x14ac:dyDescent="0.2">
      <c r="A100" s="179"/>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c r="AA100" s="108"/>
      <c r="AB100" s="108"/>
      <c r="AC100" s="108"/>
      <c r="AD100" s="108"/>
      <c r="AE100" s="108"/>
      <c r="AF100" s="108"/>
      <c r="AG100" s="108"/>
      <c r="AH100" s="108"/>
      <c r="AI100" s="108"/>
      <c r="AJ100" s="108"/>
      <c r="AK100" s="108"/>
      <c r="AL100" s="108"/>
      <c r="AM100" s="108"/>
      <c r="AN100" s="108"/>
      <c r="AO100" s="108"/>
      <c r="AP100" s="108"/>
      <c r="AQ100" s="108"/>
      <c r="AR100" s="108"/>
      <c r="AS100" s="108"/>
      <c r="AT100" s="108"/>
      <c r="AU100" s="108"/>
      <c r="AV100" s="108"/>
      <c r="AW100" s="108"/>
      <c r="AX100" s="108"/>
      <c r="AY100" s="108"/>
      <c r="AZ100" s="108"/>
      <c r="BA100" s="108"/>
      <c r="BB100" s="108"/>
      <c r="BC100" s="108"/>
      <c r="BD100" s="108"/>
      <c r="BE100" s="108"/>
      <c r="BF100" s="108"/>
      <c r="BG100" s="108"/>
      <c r="BH100" s="108"/>
      <c r="BI100" s="108"/>
      <c r="BJ100" s="108"/>
      <c r="BK100" s="108"/>
      <c r="BL100" s="108"/>
      <c r="BM100" s="109"/>
      <c r="BN100" s="108"/>
      <c r="BO100" s="108"/>
      <c r="BP100" s="108"/>
    </row>
    <row r="101" spans="1:68" ht="12" customHeight="1" x14ac:dyDescent="0.2">
      <c r="A101" s="179"/>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c r="AA101" s="108"/>
      <c r="AB101" s="108"/>
      <c r="AC101" s="108"/>
      <c r="AD101" s="108"/>
      <c r="AE101" s="108"/>
      <c r="AF101" s="108"/>
      <c r="AG101" s="108"/>
      <c r="AH101" s="108"/>
      <c r="AI101" s="108"/>
      <c r="AJ101" s="108"/>
      <c r="AK101" s="108"/>
      <c r="AL101" s="108"/>
      <c r="AM101" s="108"/>
      <c r="AN101" s="108"/>
      <c r="AO101" s="108"/>
      <c r="AP101" s="108"/>
      <c r="AQ101" s="108"/>
      <c r="AR101" s="108"/>
      <c r="AS101" s="108"/>
      <c r="AT101" s="108"/>
      <c r="AU101" s="108"/>
      <c r="AV101" s="108"/>
      <c r="AW101" s="108"/>
      <c r="AX101" s="108"/>
      <c r="AY101" s="108"/>
      <c r="AZ101" s="108"/>
      <c r="BA101" s="108"/>
      <c r="BB101" s="108"/>
      <c r="BC101" s="108"/>
      <c r="BD101" s="108"/>
      <c r="BE101" s="108"/>
      <c r="BF101" s="108"/>
      <c r="BG101" s="108"/>
      <c r="BH101" s="108"/>
      <c r="BI101" s="108"/>
      <c r="BJ101" s="108"/>
      <c r="BK101" s="108"/>
      <c r="BL101" s="108"/>
      <c r="BM101" s="109"/>
      <c r="BN101" s="108"/>
      <c r="BO101" s="108"/>
      <c r="BP101" s="108"/>
    </row>
    <row r="102" spans="1:68" ht="12" customHeight="1" x14ac:dyDescent="0.2">
      <c r="A102" s="179"/>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c r="AA102" s="108"/>
      <c r="AB102" s="108"/>
      <c r="AC102" s="108"/>
      <c r="AD102" s="108"/>
      <c r="AE102" s="108"/>
      <c r="AF102" s="108"/>
      <c r="AG102" s="108"/>
      <c r="AH102" s="108"/>
      <c r="AI102" s="108"/>
      <c r="AJ102" s="108"/>
      <c r="AK102" s="108"/>
      <c r="AL102" s="108"/>
      <c r="AM102" s="108"/>
      <c r="AN102" s="108"/>
      <c r="AO102" s="108"/>
      <c r="AP102" s="108"/>
      <c r="AQ102" s="108"/>
      <c r="AR102" s="108"/>
      <c r="AS102" s="108"/>
      <c r="AT102" s="108"/>
      <c r="AU102" s="108"/>
      <c r="AV102" s="108"/>
      <c r="AW102" s="108"/>
      <c r="AX102" s="108"/>
      <c r="AY102" s="108"/>
      <c r="AZ102" s="108"/>
      <c r="BA102" s="108"/>
      <c r="BB102" s="108"/>
      <c r="BC102" s="108"/>
      <c r="BD102" s="108"/>
      <c r="BE102" s="108"/>
      <c r="BF102" s="108"/>
      <c r="BG102" s="108"/>
      <c r="BH102" s="108"/>
      <c r="BI102" s="108"/>
      <c r="BJ102" s="108"/>
      <c r="BK102" s="108"/>
      <c r="BL102" s="108"/>
      <c r="BM102" s="109"/>
      <c r="BN102" s="108"/>
      <c r="BO102" s="108"/>
      <c r="BP102" s="108"/>
    </row>
    <row r="103" spans="1:68" ht="12" customHeight="1" x14ac:dyDescent="0.2">
      <c r="A103" s="179"/>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c r="AA103" s="108"/>
      <c r="AB103" s="108"/>
      <c r="AC103" s="108"/>
      <c r="AD103" s="108"/>
      <c r="AE103" s="108"/>
      <c r="AF103" s="108"/>
      <c r="AG103" s="108"/>
      <c r="AH103" s="108"/>
      <c r="AI103" s="108"/>
      <c r="AJ103" s="108"/>
      <c r="AK103" s="108"/>
      <c r="AL103" s="108"/>
      <c r="AM103" s="108"/>
      <c r="AN103" s="108"/>
      <c r="AO103" s="108"/>
      <c r="AP103" s="108"/>
      <c r="AQ103" s="108"/>
      <c r="AR103" s="108"/>
      <c r="AS103" s="108"/>
      <c r="AT103" s="108"/>
      <c r="AU103" s="108"/>
      <c r="AV103" s="108"/>
      <c r="AW103" s="108"/>
      <c r="AX103" s="108"/>
      <c r="AY103" s="108"/>
      <c r="AZ103" s="108"/>
      <c r="BA103" s="108"/>
      <c r="BB103" s="108"/>
      <c r="BC103" s="108"/>
      <c r="BD103" s="108"/>
      <c r="BE103" s="108"/>
      <c r="BF103" s="108"/>
      <c r="BG103" s="108"/>
      <c r="BH103" s="108"/>
      <c r="BI103" s="108"/>
      <c r="BJ103" s="108"/>
      <c r="BK103" s="108"/>
      <c r="BL103" s="108"/>
      <c r="BM103" s="109"/>
      <c r="BN103" s="108"/>
      <c r="BO103" s="108"/>
      <c r="BP103" s="108"/>
    </row>
    <row r="104" spans="1:68" ht="12" customHeight="1" x14ac:dyDescent="0.2">
      <c r="A104" s="179"/>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c r="AA104" s="108"/>
      <c r="AB104" s="108"/>
      <c r="AC104" s="108"/>
      <c r="AD104" s="108"/>
      <c r="AE104" s="108"/>
      <c r="AF104" s="108"/>
      <c r="AG104" s="108"/>
      <c r="AH104" s="108"/>
      <c r="AI104" s="108"/>
      <c r="AJ104" s="108"/>
      <c r="AK104" s="108"/>
      <c r="AL104" s="108"/>
      <c r="AM104" s="108"/>
      <c r="AN104" s="108"/>
      <c r="AO104" s="108"/>
      <c r="AP104" s="108"/>
      <c r="AQ104" s="108"/>
      <c r="AR104" s="108"/>
      <c r="AS104" s="108"/>
      <c r="AT104" s="108"/>
      <c r="AU104" s="108"/>
      <c r="AV104" s="108"/>
      <c r="AW104" s="108"/>
      <c r="AX104" s="108"/>
      <c r="AY104" s="108"/>
      <c r="AZ104" s="108"/>
      <c r="BA104" s="108"/>
      <c r="BB104" s="108"/>
      <c r="BC104" s="108"/>
      <c r="BD104" s="108"/>
      <c r="BE104" s="108"/>
      <c r="BF104" s="108"/>
      <c r="BG104" s="108"/>
      <c r="BH104" s="108"/>
      <c r="BI104" s="108"/>
      <c r="BJ104" s="108"/>
      <c r="BK104" s="108"/>
      <c r="BL104" s="108"/>
      <c r="BM104" s="109"/>
      <c r="BN104" s="108"/>
      <c r="BO104" s="108"/>
      <c r="BP104" s="108"/>
    </row>
    <row r="105" spans="1:68" ht="12" customHeight="1" x14ac:dyDescent="0.2">
      <c r="A105" s="179"/>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c r="AA105" s="108"/>
      <c r="AB105" s="108"/>
      <c r="AC105" s="108"/>
      <c r="AD105" s="108"/>
      <c r="AE105" s="108"/>
      <c r="AF105" s="108"/>
      <c r="AG105" s="108"/>
      <c r="AH105" s="108"/>
      <c r="AI105" s="108"/>
      <c r="AJ105" s="108"/>
      <c r="AK105" s="108"/>
      <c r="AL105" s="108"/>
      <c r="AM105" s="108"/>
      <c r="AN105" s="108"/>
      <c r="AO105" s="108"/>
      <c r="AP105" s="108"/>
      <c r="AQ105" s="108"/>
      <c r="AR105" s="108"/>
      <c r="AS105" s="108"/>
      <c r="AT105" s="108"/>
      <c r="AU105" s="108"/>
      <c r="AV105" s="108"/>
      <c r="AW105" s="108"/>
      <c r="AX105" s="108"/>
      <c r="AY105" s="108"/>
      <c r="AZ105" s="108"/>
      <c r="BA105" s="108"/>
      <c r="BB105" s="108"/>
      <c r="BC105" s="108"/>
      <c r="BD105" s="108"/>
      <c r="BE105" s="108"/>
      <c r="BF105" s="108"/>
      <c r="BG105" s="108"/>
      <c r="BH105" s="108"/>
      <c r="BI105" s="108"/>
      <c r="BJ105" s="108"/>
      <c r="BK105" s="108"/>
      <c r="BL105" s="108"/>
      <c r="BM105" s="109"/>
      <c r="BN105" s="108"/>
      <c r="BO105" s="108"/>
      <c r="BP105" s="108"/>
    </row>
    <row r="106" spans="1:68" ht="12" customHeight="1" x14ac:dyDescent="0.2">
      <c r="A106" s="179"/>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c r="AA106" s="108"/>
      <c r="AB106" s="108"/>
      <c r="AC106" s="108"/>
      <c r="AD106" s="108"/>
      <c r="AE106" s="108"/>
      <c r="AF106" s="108"/>
      <c r="AG106" s="108"/>
      <c r="AH106" s="108"/>
      <c r="AI106" s="108"/>
      <c r="AJ106" s="108"/>
      <c r="AK106" s="108"/>
      <c r="AL106" s="108"/>
      <c r="AM106" s="108"/>
      <c r="AN106" s="108"/>
      <c r="AO106" s="108"/>
      <c r="AP106" s="108"/>
      <c r="AQ106" s="108"/>
      <c r="AR106" s="108"/>
      <c r="AS106" s="108"/>
      <c r="AT106" s="108"/>
      <c r="AU106" s="108"/>
      <c r="AV106" s="108"/>
      <c r="AW106" s="108"/>
      <c r="AX106" s="108"/>
      <c r="AY106" s="108"/>
      <c r="AZ106" s="108"/>
      <c r="BA106" s="108"/>
      <c r="BB106" s="108"/>
      <c r="BC106" s="108"/>
      <c r="BD106" s="108"/>
      <c r="BE106" s="108"/>
      <c r="BF106" s="108"/>
      <c r="BG106" s="108"/>
      <c r="BH106" s="108"/>
      <c r="BI106" s="108"/>
      <c r="BJ106" s="108"/>
      <c r="BK106" s="108"/>
      <c r="BL106" s="108"/>
      <c r="BM106" s="109"/>
      <c r="BN106" s="108"/>
      <c r="BO106" s="108"/>
      <c r="BP106" s="108"/>
    </row>
    <row r="107" spans="1:68" ht="12" customHeight="1" x14ac:dyDescent="0.2">
      <c r="A107" s="179"/>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c r="AA107" s="108"/>
      <c r="AB107" s="108"/>
      <c r="AC107" s="108"/>
      <c r="AD107" s="108"/>
      <c r="AE107" s="108"/>
      <c r="AF107" s="108"/>
      <c r="AG107" s="108"/>
      <c r="AH107" s="108"/>
      <c r="AI107" s="108"/>
      <c r="AJ107" s="108"/>
      <c r="AK107" s="108"/>
      <c r="AL107" s="108"/>
      <c r="AM107" s="108"/>
      <c r="AN107" s="108"/>
      <c r="AO107" s="108"/>
      <c r="AP107" s="108"/>
      <c r="AQ107" s="108"/>
      <c r="AR107" s="108"/>
      <c r="AS107" s="108"/>
      <c r="AT107" s="108"/>
      <c r="AU107" s="108"/>
      <c r="AV107" s="108"/>
      <c r="AW107" s="108"/>
      <c r="AX107" s="108"/>
      <c r="AY107" s="108"/>
      <c r="AZ107" s="108"/>
      <c r="BA107" s="108"/>
      <c r="BB107" s="108"/>
      <c r="BC107" s="108"/>
      <c r="BD107" s="108"/>
      <c r="BE107" s="108"/>
      <c r="BF107" s="108"/>
      <c r="BG107" s="108"/>
      <c r="BH107" s="108"/>
      <c r="BI107" s="108"/>
      <c r="BJ107" s="108"/>
      <c r="BK107" s="108"/>
      <c r="BL107" s="108"/>
      <c r="BM107" s="109"/>
      <c r="BN107" s="108"/>
      <c r="BO107" s="108"/>
      <c r="BP107" s="108"/>
    </row>
    <row r="108" spans="1:68" ht="12" customHeight="1" x14ac:dyDescent="0.2">
      <c r="A108" s="179"/>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c r="AA108" s="108"/>
      <c r="AB108" s="108"/>
      <c r="AC108" s="108"/>
      <c r="AD108" s="108"/>
      <c r="AE108" s="108"/>
      <c r="AF108" s="108"/>
      <c r="AG108" s="108"/>
      <c r="AH108" s="108"/>
      <c r="AI108" s="108"/>
      <c r="AJ108" s="108"/>
      <c r="AK108" s="108"/>
      <c r="AL108" s="108"/>
      <c r="AM108" s="108"/>
      <c r="AN108" s="108"/>
      <c r="AO108" s="108"/>
      <c r="AP108" s="108"/>
      <c r="AQ108" s="108"/>
      <c r="AR108" s="108"/>
      <c r="AS108" s="108"/>
      <c r="AT108" s="108"/>
      <c r="AU108" s="108"/>
      <c r="AV108" s="108"/>
      <c r="AW108" s="108"/>
      <c r="AX108" s="108"/>
      <c r="AY108" s="108"/>
      <c r="AZ108" s="108"/>
      <c r="BA108" s="108"/>
      <c r="BB108" s="108"/>
      <c r="BC108" s="108"/>
      <c r="BD108" s="108"/>
      <c r="BE108" s="108"/>
      <c r="BF108" s="108"/>
      <c r="BG108" s="108"/>
      <c r="BH108" s="108"/>
      <c r="BI108" s="108"/>
      <c r="BJ108" s="108"/>
      <c r="BK108" s="108"/>
      <c r="BL108" s="108"/>
      <c r="BM108" s="109"/>
      <c r="BN108" s="108"/>
      <c r="BO108" s="108"/>
      <c r="BP108" s="108"/>
    </row>
    <row r="109" spans="1:68" ht="12" customHeight="1" x14ac:dyDescent="0.2">
      <c r="A109" s="179"/>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c r="AA109" s="108"/>
      <c r="AB109" s="108"/>
      <c r="AC109" s="108"/>
      <c r="AD109" s="108"/>
      <c r="AE109" s="108"/>
      <c r="AF109" s="108"/>
      <c r="AG109" s="108"/>
      <c r="AH109" s="108"/>
      <c r="AI109" s="108"/>
      <c r="AJ109" s="108"/>
      <c r="AK109" s="108"/>
      <c r="AL109" s="108"/>
      <c r="AM109" s="108"/>
      <c r="AN109" s="108"/>
      <c r="AO109" s="108"/>
      <c r="AP109" s="108"/>
      <c r="AQ109" s="108"/>
      <c r="AR109" s="108"/>
      <c r="AS109" s="108"/>
      <c r="AT109" s="108"/>
      <c r="AU109" s="108"/>
      <c r="AV109" s="108"/>
      <c r="AW109" s="108"/>
      <c r="AX109" s="108"/>
      <c r="AY109" s="108"/>
      <c r="AZ109" s="108"/>
      <c r="BA109" s="108"/>
      <c r="BB109" s="108"/>
      <c r="BC109" s="108"/>
      <c r="BD109" s="108"/>
      <c r="BE109" s="108"/>
      <c r="BF109" s="108"/>
      <c r="BG109" s="108"/>
      <c r="BH109" s="108"/>
      <c r="BI109" s="108"/>
      <c r="BJ109" s="108"/>
      <c r="BK109" s="108"/>
      <c r="BL109" s="108"/>
      <c r="BM109" s="109"/>
      <c r="BN109" s="108"/>
      <c r="BO109" s="108"/>
      <c r="BP109" s="108"/>
    </row>
    <row r="110" spans="1:68" ht="12" customHeight="1" x14ac:dyDescent="0.2">
      <c r="A110" s="179"/>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c r="AA110" s="108"/>
      <c r="AB110" s="108"/>
      <c r="AC110" s="108"/>
      <c r="AD110" s="108"/>
      <c r="AE110" s="108"/>
      <c r="AF110" s="108"/>
      <c r="AG110" s="108"/>
      <c r="AH110" s="108"/>
      <c r="AI110" s="108"/>
      <c r="AJ110" s="108"/>
      <c r="AK110" s="108"/>
      <c r="AL110" s="108"/>
      <c r="AM110" s="108"/>
      <c r="AN110" s="108"/>
      <c r="AO110" s="108"/>
      <c r="AP110" s="108"/>
      <c r="AQ110" s="108"/>
      <c r="AR110" s="108"/>
      <c r="AS110" s="108"/>
      <c r="AT110" s="108"/>
      <c r="AU110" s="108"/>
      <c r="AV110" s="108"/>
      <c r="AW110" s="108"/>
      <c r="AX110" s="108"/>
      <c r="AY110" s="108"/>
      <c r="AZ110" s="108"/>
      <c r="BA110" s="108"/>
      <c r="BB110" s="108"/>
      <c r="BC110" s="108"/>
      <c r="BD110" s="108"/>
      <c r="BE110" s="108"/>
      <c r="BF110" s="108"/>
      <c r="BG110" s="108"/>
      <c r="BH110" s="108"/>
      <c r="BI110" s="108"/>
      <c r="BJ110" s="108"/>
      <c r="BK110" s="108"/>
      <c r="BL110" s="108"/>
      <c r="BM110" s="109"/>
      <c r="BN110" s="108"/>
      <c r="BO110" s="108"/>
      <c r="BP110" s="108"/>
    </row>
    <row r="111" spans="1:68" ht="12" customHeight="1" x14ac:dyDescent="0.2">
      <c r="A111" s="179"/>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c r="AA111" s="108"/>
      <c r="AB111" s="108"/>
      <c r="AC111" s="108"/>
      <c r="AD111" s="108"/>
      <c r="AE111" s="108"/>
      <c r="AF111" s="108"/>
      <c r="AG111" s="108"/>
      <c r="AH111" s="108"/>
      <c r="AI111" s="108"/>
      <c r="AJ111" s="108"/>
      <c r="AK111" s="108"/>
      <c r="AL111" s="108"/>
      <c r="AM111" s="108"/>
      <c r="AN111" s="108"/>
      <c r="AO111" s="108"/>
      <c r="AP111" s="108"/>
      <c r="AQ111" s="108"/>
      <c r="AR111" s="108"/>
      <c r="AS111" s="108"/>
      <c r="AT111" s="108"/>
      <c r="AU111" s="108"/>
      <c r="AV111" s="108"/>
      <c r="AW111" s="108"/>
      <c r="AX111" s="108"/>
      <c r="AY111" s="108"/>
      <c r="AZ111" s="108"/>
      <c r="BA111" s="108"/>
      <c r="BB111" s="108"/>
      <c r="BC111" s="108"/>
      <c r="BD111" s="108"/>
      <c r="BE111" s="108"/>
      <c r="BF111" s="108"/>
      <c r="BG111" s="108"/>
      <c r="BH111" s="108"/>
      <c r="BI111" s="108"/>
      <c r="BJ111" s="108"/>
      <c r="BK111" s="108"/>
      <c r="BL111" s="108"/>
      <c r="BM111" s="109"/>
      <c r="BN111" s="108"/>
      <c r="BO111" s="108"/>
      <c r="BP111" s="108"/>
    </row>
    <row r="112" spans="1:68" ht="12" customHeight="1" x14ac:dyDescent="0.2">
      <c r="A112" s="179"/>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8"/>
      <c r="AK112" s="108"/>
      <c r="AL112" s="108"/>
      <c r="AM112" s="108"/>
      <c r="AN112" s="108"/>
      <c r="AO112" s="108"/>
      <c r="AP112" s="108"/>
      <c r="AQ112" s="108"/>
      <c r="AR112" s="108"/>
      <c r="AS112" s="108"/>
      <c r="AT112" s="108"/>
      <c r="AU112" s="108"/>
      <c r="AV112" s="108"/>
      <c r="AW112" s="108"/>
      <c r="AX112" s="108"/>
      <c r="AY112" s="108"/>
      <c r="AZ112" s="108"/>
      <c r="BA112" s="108"/>
      <c r="BB112" s="108"/>
      <c r="BC112" s="108"/>
      <c r="BD112" s="108"/>
      <c r="BE112" s="108"/>
      <c r="BF112" s="108"/>
      <c r="BG112" s="108"/>
      <c r="BH112" s="108"/>
      <c r="BI112" s="108"/>
      <c r="BJ112" s="108"/>
      <c r="BK112" s="108"/>
      <c r="BL112" s="108"/>
      <c r="BM112" s="109"/>
      <c r="BN112" s="108"/>
      <c r="BO112" s="108"/>
      <c r="BP112" s="108"/>
    </row>
    <row r="113" spans="1:68" ht="12" customHeight="1" x14ac:dyDescent="0.2">
      <c r="A113" s="179"/>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9"/>
      <c r="BN113" s="108"/>
      <c r="BO113" s="108"/>
      <c r="BP113" s="108"/>
    </row>
    <row r="114" spans="1:68" ht="12" customHeight="1" x14ac:dyDescent="0.2">
      <c r="A114" s="179"/>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c r="AA114" s="108"/>
      <c r="AB114" s="108"/>
      <c r="AC114" s="108"/>
      <c r="AD114" s="108"/>
      <c r="AE114" s="108"/>
      <c r="AF114" s="108"/>
      <c r="AG114" s="108"/>
      <c r="AH114" s="108"/>
      <c r="AI114" s="108"/>
      <c r="AJ114" s="108"/>
      <c r="AK114" s="108"/>
      <c r="AL114" s="108"/>
      <c r="AM114" s="108"/>
      <c r="AN114" s="108"/>
      <c r="AO114" s="108"/>
      <c r="AP114" s="108"/>
      <c r="AQ114" s="108"/>
      <c r="AR114" s="108"/>
      <c r="AS114" s="108"/>
      <c r="AT114" s="108"/>
      <c r="AU114" s="108"/>
      <c r="AV114" s="108"/>
      <c r="AW114" s="108"/>
      <c r="AX114" s="108"/>
      <c r="AY114" s="108"/>
      <c r="AZ114" s="108"/>
      <c r="BA114" s="108"/>
      <c r="BB114" s="108"/>
      <c r="BC114" s="108"/>
      <c r="BD114" s="108"/>
      <c r="BE114" s="108"/>
      <c r="BF114" s="108"/>
      <c r="BG114" s="108"/>
      <c r="BH114" s="108"/>
      <c r="BI114" s="108"/>
      <c r="BJ114" s="108"/>
      <c r="BK114" s="108"/>
      <c r="BL114" s="108"/>
      <c r="BM114" s="109"/>
      <c r="BN114" s="108"/>
      <c r="BO114" s="108"/>
      <c r="BP114" s="108"/>
    </row>
    <row r="115" spans="1:68" ht="12" customHeight="1" x14ac:dyDescent="0.2">
      <c r="A115" s="179"/>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9"/>
      <c r="BN115" s="108"/>
      <c r="BO115" s="108"/>
      <c r="BP115" s="108"/>
    </row>
    <row r="116" spans="1:68" ht="12" customHeight="1" x14ac:dyDescent="0.2">
      <c r="A116" s="179"/>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c r="AA116" s="108"/>
      <c r="AB116" s="108"/>
      <c r="AC116" s="108"/>
      <c r="AD116" s="108"/>
      <c r="AE116" s="108"/>
      <c r="AF116" s="108"/>
      <c r="AG116" s="108"/>
      <c r="AH116" s="108"/>
      <c r="AI116" s="108"/>
      <c r="AJ116" s="108"/>
      <c r="AK116" s="108"/>
      <c r="AL116" s="108"/>
      <c r="AM116" s="108"/>
      <c r="AN116" s="108"/>
      <c r="AO116" s="108"/>
      <c r="AP116" s="108"/>
      <c r="AQ116" s="108"/>
      <c r="AR116" s="108"/>
      <c r="AS116" s="108"/>
      <c r="AT116" s="108"/>
      <c r="AU116" s="108"/>
      <c r="AV116" s="108"/>
      <c r="AW116" s="108"/>
      <c r="AX116" s="108"/>
      <c r="AY116" s="108"/>
      <c r="AZ116" s="108"/>
      <c r="BA116" s="108"/>
      <c r="BB116" s="108"/>
      <c r="BC116" s="108"/>
      <c r="BD116" s="108"/>
      <c r="BE116" s="108"/>
      <c r="BF116" s="108"/>
      <c r="BG116" s="108"/>
      <c r="BH116" s="108"/>
      <c r="BI116" s="108"/>
      <c r="BJ116" s="108"/>
      <c r="BK116" s="108"/>
      <c r="BL116" s="108"/>
      <c r="BM116" s="109"/>
      <c r="BN116" s="108"/>
      <c r="BO116" s="108"/>
      <c r="BP116" s="108"/>
    </row>
    <row r="117" spans="1:68" ht="12" customHeight="1" x14ac:dyDescent="0.2">
      <c r="A117" s="179"/>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c r="AA117" s="108"/>
      <c r="AB117" s="108"/>
      <c r="AC117" s="108"/>
      <c r="AD117" s="108"/>
      <c r="AE117" s="108"/>
      <c r="AF117" s="108"/>
      <c r="AG117" s="108"/>
      <c r="AH117" s="108"/>
      <c r="AI117" s="108"/>
      <c r="AJ117" s="108"/>
      <c r="AK117" s="108"/>
      <c r="AL117" s="108"/>
      <c r="AM117" s="108"/>
      <c r="AN117" s="108"/>
      <c r="AO117" s="108"/>
      <c r="AP117" s="108"/>
      <c r="AQ117" s="108"/>
      <c r="AR117" s="108"/>
      <c r="AS117" s="108"/>
      <c r="AT117" s="108"/>
      <c r="AU117" s="108"/>
      <c r="AV117" s="108"/>
      <c r="AW117" s="108"/>
      <c r="AX117" s="108"/>
      <c r="AY117" s="108"/>
      <c r="AZ117" s="108"/>
      <c r="BA117" s="108"/>
      <c r="BB117" s="108"/>
      <c r="BC117" s="108"/>
      <c r="BD117" s="108"/>
      <c r="BE117" s="108"/>
      <c r="BF117" s="108"/>
      <c r="BG117" s="108"/>
      <c r="BH117" s="108"/>
      <c r="BI117" s="108"/>
      <c r="BJ117" s="108"/>
      <c r="BK117" s="108"/>
      <c r="BL117" s="108"/>
      <c r="BM117" s="109"/>
      <c r="BN117" s="108"/>
      <c r="BO117" s="108"/>
      <c r="BP117" s="108"/>
    </row>
    <row r="118" spans="1:68" ht="12" customHeight="1" x14ac:dyDescent="0.2">
      <c r="A118" s="179"/>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c r="AA118" s="108"/>
      <c r="AB118" s="108"/>
      <c r="AC118" s="108"/>
      <c r="AD118" s="108"/>
      <c r="AE118" s="108"/>
      <c r="AF118" s="108"/>
      <c r="AG118" s="108"/>
      <c r="AH118" s="108"/>
      <c r="AI118" s="108"/>
      <c r="AJ118" s="108"/>
      <c r="AK118" s="108"/>
      <c r="AL118" s="108"/>
      <c r="AM118" s="108"/>
      <c r="AN118" s="108"/>
      <c r="AO118" s="108"/>
      <c r="AP118" s="108"/>
      <c r="AQ118" s="108"/>
      <c r="AR118" s="108"/>
      <c r="AS118" s="108"/>
      <c r="AT118" s="108"/>
      <c r="AU118" s="108"/>
      <c r="AV118" s="108"/>
      <c r="AW118" s="108"/>
      <c r="AX118" s="108"/>
      <c r="AY118" s="108"/>
      <c r="AZ118" s="108"/>
      <c r="BA118" s="108"/>
      <c r="BB118" s="108"/>
      <c r="BC118" s="108"/>
      <c r="BD118" s="108"/>
      <c r="BE118" s="108"/>
      <c r="BF118" s="108"/>
      <c r="BG118" s="108"/>
      <c r="BH118" s="108"/>
      <c r="BI118" s="108"/>
      <c r="BJ118" s="108"/>
      <c r="BK118" s="108"/>
      <c r="BL118" s="108"/>
      <c r="BM118" s="109"/>
      <c r="BN118" s="108"/>
      <c r="BO118" s="108"/>
      <c r="BP118" s="108"/>
    </row>
    <row r="119" spans="1:68" ht="12" customHeight="1" x14ac:dyDescent="0.2">
      <c r="A119" s="179"/>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c r="AA119" s="108"/>
      <c r="AB119" s="108"/>
      <c r="AC119" s="108"/>
      <c r="AD119" s="108"/>
      <c r="AE119" s="108"/>
      <c r="AF119" s="108"/>
      <c r="AG119" s="108"/>
      <c r="AH119" s="108"/>
      <c r="AI119" s="108"/>
      <c r="AJ119" s="108"/>
      <c r="AK119" s="108"/>
      <c r="AL119" s="108"/>
      <c r="AM119" s="108"/>
      <c r="AN119" s="108"/>
      <c r="AO119" s="108"/>
      <c r="AP119" s="108"/>
      <c r="AQ119" s="108"/>
      <c r="AR119" s="108"/>
      <c r="AS119" s="108"/>
      <c r="AT119" s="108"/>
      <c r="AU119" s="108"/>
      <c r="AV119" s="108"/>
      <c r="AW119" s="108"/>
      <c r="AX119" s="108"/>
      <c r="AY119" s="108"/>
      <c r="AZ119" s="108"/>
      <c r="BA119" s="108"/>
      <c r="BB119" s="108"/>
      <c r="BC119" s="108"/>
      <c r="BD119" s="108"/>
      <c r="BE119" s="108"/>
      <c r="BF119" s="108"/>
      <c r="BG119" s="108"/>
      <c r="BH119" s="108"/>
      <c r="BI119" s="108"/>
      <c r="BJ119" s="108"/>
      <c r="BK119" s="108"/>
      <c r="BL119" s="108"/>
      <c r="BM119" s="109"/>
      <c r="BN119" s="108"/>
      <c r="BO119" s="108"/>
      <c r="BP119" s="108"/>
    </row>
    <row r="120" spans="1:68" ht="12" customHeight="1" x14ac:dyDescent="0.2">
      <c r="A120" s="179"/>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c r="AA120" s="108"/>
      <c r="AB120" s="108"/>
      <c r="AC120" s="108"/>
      <c r="AD120" s="108"/>
      <c r="AE120" s="108"/>
      <c r="AF120" s="108"/>
      <c r="AG120" s="108"/>
      <c r="AH120" s="108"/>
      <c r="AI120" s="108"/>
      <c r="AJ120" s="108"/>
      <c r="AK120" s="108"/>
      <c r="AL120" s="108"/>
      <c r="AM120" s="108"/>
      <c r="AN120" s="108"/>
      <c r="AO120" s="108"/>
      <c r="AP120" s="108"/>
      <c r="AQ120" s="108"/>
      <c r="AR120" s="108"/>
      <c r="AS120" s="108"/>
      <c r="AT120" s="108"/>
      <c r="AU120" s="108"/>
      <c r="AV120" s="108"/>
      <c r="AW120" s="108"/>
      <c r="AX120" s="108"/>
      <c r="AY120" s="108"/>
      <c r="AZ120" s="108"/>
      <c r="BA120" s="108"/>
      <c r="BB120" s="108"/>
      <c r="BC120" s="108"/>
      <c r="BD120" s="108"/>
      <c r="BE120" s="108"/>
      <c r="BF120" s="108"/>
      <c r="BG120" s="108"/>
      <c r="BH120" s="108"/>
      <c r="BI120" s="108"/>
      <c r="BJ120" s="108"/>
      <c r="BK120" s="108"/>
      <c r="BL120" s="108"/>
      <c r="BM120" s="109"/>
      <c r="BN120" s="108"/>
      <c r="BO120" s="108"/>
      <c r="BP120" s="108"/>
    </row>
    <row r="121" spans="1:68" ht="12" customHeight="1" x14ac:dyDescent="0.2">
      <c r="A121" s="179"/>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c r="AA121" s="108"/>
      <c r="AB121" s="108"/>
      <c r="AC121" s="108"/>
      <c r="AD121" s="108"/>
      <c r="AE121" s="108"/>
      <c r="AF121" s="108"/>
      <c r="AG121" s="108"/>
      <c r="AH121" s="108"/>
      <c r="AI121" s="108"/>
      <c r="AJ121" s="108"/>
      <c r="AK121" s="108"/>
      <c r="AL121" s="108"/>
      <c r="AM121" s="108"/>
      <c r="AN121" s="108"/>
      <c r="AO121" s="108"/>
      <c r="AP121" s="108"/>
      <c r="AQ121" s="108"/>
      <c r="AR121" s="108"/>
      <c r="AS121" s="108"/>
      <c r="AT121" s="108"/>
      <c r="AU121" s="108"/>
      <c r="AV121" s="108"/>
      <c r="AW121" s="108"/>
      <c r="AX121" s="108"/>
      <c r="AY121" s="108"/>
      <c r="AZ121" s="108"/>
      <c r="BA121" s="108"/>
      <c r="BB121" s="108"/>
      <c r="BC121" s="108"/>
      <c r="BD121" s="108"/>
      <c r="BE121" s="108"/>
      <c r="BF121" s="108"/>
      <c r="BG121" s="108"/>
      <c r="BH121" s="108"/>
      <c r="BI121" s="108"/>
      <c r="BJ121" s="108"/>
      <c r="BK121" s="108"/>
      <c r="BL121" s="108"/>
      <c r="BM121" s="109"/>
      <c r="BN121" s="108"/>
      <c r="BO121" s="108"/>
      <c r="BP121" s="108"/>
    </row>
    <row r="122" spans="1:68" ht="12" customHeight="1" x14ac:dyDescent="0.2">
      <c r="A122" s="179"/>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c r="AA122" s="108"/>
      <c r="AB122" s="108"/>
      <c r="AC122" s="108"/>
      <c r="AD122" s="108"/>
      <c r="AE122" s="108"/>
      <c r="AF122" s="108"/>
      <c r="AG122" s="108"/>
      <c r="AH122" s="108"/>
      <c r="AI122" s="108"/>
      <c r="AJ122" s="108"/>
      <c r="AK122" s="108"/>
      <c r="AL122" s="108"/>
      <c r="AM122" s="108"/>
      <c r="AN122" s="108"/>
      <c r="AO122" s="108"/>
      <c r="AP122" s="108"/>
      <c r="AQ122" s="108"/>
      <c r="AR122" s="108"/>
      <c r="AS122" s="108"/>
      <c r="AT122" s="108"/>
      <c r="AU122" s="108"/>
      <c r="AV122" s="108"/>
      <c r="AW122" s="108"/>
      <c r="AX122" s="108"/>
      <c r="AY122" s="108"/>
      <c r="AZ122" s="108"/>
      <c r="BA122" s="108"/>
      <c r="BB122" s="108"/>
      <c r="BC122" s="108"/>
      <c r="BD122" s="108"/>
      <c r="BE122" s="108"/>
      <c r="BF122" s="108"/>
      <c r="BG122" s="108"/>
      <c r="BH122" s="108"/>
      <c r="BI122" s="108"/>
      <c r="BJ122" s="108"/>
      <c r="BK122" s="108"/>
      <c r="BL122" s="108"/>
      <c r="BM122" s="109"/>
      <c r="BN122" s="108"/>
      <c r="BO122" s="108"/>
      <c r="BP122" s="108"/>
    </row>
    <row r="123" spans="1:68" ht="12" customHeight="1" x14ac:dyDescent="0.2">
      <c r="A123" s="179"/>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c r="AA123" s="108"/>
      <c r="AB123" s="108"/>
      <c r="AC123" s="108"/>
      <c r="AD123" s="108"/>
      <c r="AE123" s="108"/>
      <c r="AF123" s="108"/>
      <c r="AG123" s="108"/>
      <c r="AH123" s="108"/>
      <c r="AI123" s="108"/>
      <c r="AJ123" s="108"/>
      <c r="AK123" s="108"/>
      <c r="AL123" s="108"/>
      <c r="AM123" s="108"/>
      <c r="AN123" s="108"/>
      <c r="AO123" s="108"/>
      <c r="AP123" s="108"/>
      <c r="AQ123" s="108"/>
      <c r="AR123" s="108"/>
      <c r="AS123" s="108"/>
      <c r="AT123" s="108"/>
      <c r="AU123" s="108"/>
      <c r="AV123" s="108"/>
      <c r="AW123" s="108"/>
      <c r="AX123" s="108"/>
      <c r="AY123" s="108"/>
      <c r="AZ123" s="108"/>
      <c r="BA123" s="108"/>
      <c r="BB123" s="108"/>
      <c r="BC123" s="108"/>
      <c r="BD123" s="108"/>
      <c r="BE123" s="108"/>
      <c r="BF123" s="108"/>
      <c r="BG123" s="108"/>
      <c r="BH123" s="108"/>
      <c r="BI123" s="108"/>
      <c r="BJ123" s="108"/>
      <c r="BK123" s="108"/>
      <c r="BL123" s="108"/>
      <c r="BM123" s="109"/>
      <c r="BN123" s="108"/>
      <c r="BO123" s="108"/>
      <c r="BP123" s="108"/>
    </row>
    <row r="124" spans="1:68" ht="12" customHeight="1" x14ac:dyDescent="0.2">
      <c r="A124" s="179"/>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c r="AA124" s="108"/>
      <c r="AB124" s="108"/>
      <c r="AC124" s="108"/>
      <c r="AD124" s="108"/>
      <c r="AE124" s="108"/>
      <c r="AF124" s="108"/>
      <c r="AG124" s="108"/>
      <c r="AH124" s="108"/>
      <c r="AI124" s="108"/>
      <c r="AJ124" s="108"/>
      <c r="AK124" s="108"/>
      <c r="AL124" s="108"/>
      <c r="AM124" s="108"/>
      <c r="AN124" s="108"/>
      <c r="AO124" s="108"/>
      <c r="AP124" s="108"/>
      <c r="AQ124" s="108"/>
      <c r="AR124" s="108"/>
      <c r="AS124" s="108"/>
      <c r="AT124" s="108"/>
      <c r="AU124" s="108"/>
      <c r="AV124" s="108"/>
      <c r="AW124" s="108"/>
      <c r="AX124" s="108"/>
      <c r="AY124" s="108"/>
      <c r="AZ124" s="108"/>
      <c r="BA124" s="108"/>
      <c r="BB124" s="108"/>
      <c r="BC124" s="108"/>
      <c r="BD124" s="108"/>
      <c r="BE124" s="108"/>
      <c r="BF124" s="108"/>
      <c r="BG124" s="108"/>
      <c r="BH124" s="108"/>
      <c r="BI124" s="108"/>
      <c r="BJ124" s="108"/>
      <c r="BK124" s="108"/>
      <c r="BL124" s="108"/>
      <c r="BM124" s="109"/>
      <c r="BN124" s="108"/>
      <c r="BO124" s="108"/>
      <c r="BP124" s="108"/>
    </row>
    <row r="125" spans="1:68" ht="12" customHeight="1" x14ac:dyDescent="0.2">
      <c r="A125" s="179"/>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c r="AA125" s="108"/>
      <c r="AB125" s="108"/>
      <c r="AC125" s="108"/>
      <c r="AD125" s="108"/>
      <c r="AE125" s="108"/>
      <c r="AF125" s="108"/>
      <c r="AG125" s="108"/>
      <c r="AH125" s="108"/>
      <c r="AI125" s="108"/>
      <c r="AJ125" s="108"/>
      <c r="AK125" s="108"/>
      <c r="AL125" s="108"/>
      <c r="AM125" s="108"/>
      <c r="AN125" s="108"/>
      <c r="AO125" s="108"/>
      <c r="AP125" s="108"/>
      <c r="AQ125" s="108"/>
      <c r="AR125" s="108"/>
      <c r="AS125" s="108"/>
      <c r="AT125" s="108"/>
      <c r="AU125" s="108"/>
      <c r="AV125" s="108"/>
      <c r="AW125" s="108"/>
      <c r="AX125" s="108"/>
      <c r="AY125" s="108"/>
      <c r="AZ125" s="108"/>
      <c r="BA125" s="108"/>
      <c r="BB125" s="108"/>
      <c r="BC125" s="108"/>
      <c r="BD125" s="108"/>
      <c r="BE125" s="108"/>
      <c r="BF125" s="108"/>
      <c r="BG125" s="108"/>
      <c r="BH125" s="108"/>
      <c r="BI125" s="108"/>
      <c r="BJ125" s="108"/>
      <c r="BK125" s="108"/>
      <c r="BL125" s="108"/>
      <c r="BM125" s="109"/>
      <c r="BN125" s="108"/>
      <c r="BO125" s="108"/>
      <c r="BP125" s="108"/>
    </row>
    <row r="126" spans="1:68" ht="12" customHeight="1" x14ac:dyDescent="0.2">
      <c r="A126" s="179"/>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c r="AA126" s="108"/>
      <c r="AB126" s="108"/>
      <c r="AC126" s="108"/>
      <c r="AD126" s="108"/>
      <c r="AE126" s="108"/>
      <c r="AF126" s="108"/>
      <c r="AG126" s="108"/>
      <c r="AH126" s="108"/>
      <c r="AI126" s="108"/>
      <c r="AJ126" s="108"/>
      <c r="AK126" s="108"/>
      <c r="AL126" s="108"/>
      <c r="AM126" s="108"/>
      <c r="AN126" s="108"/>
      <c r="AO126" s="108"/>
      <c r="AP126" s="108"/>
      <c r="AQ126" s="108"/>
      <c r="AR126" s="108"/>
      <c r="AS126" s="108"/>
      <c r="AT126" s="108"/>
      <c r="AU126" s="108"/>
      <c r="AV126" s="108"/>
      <c r="AW126" s="108"/>
      <c r="AX126" s="108"/>
      <c r="AY126" s="108"/>
      <c r="AZ126" s="108"/>
      <c r="BA126" s="108"/>
      <c r="BB126" s="108"/>
      <c r="BC126" s="108"/>
      <c r="BD126" s="108"/>
      <c r="BE126" s="108"/>
      <c r="BF126" s="108"/>
      <c r="BG126" s="108"/>
      <c r="BH126" s="108"/>
      <c r="BI126" s="108"/>
      <c r="BJ126" s="108"/>
      <c r="BK126" s="108"/>
      <c r="BL126" s="108"/>
      <c r="BM126" s="109"/>
      <c r="BN126" s="108"/>
      <c r="BO126" s="108"/>
      <c r="BP126" s="108"/>
    </row>
    <row r="127" spans="1:68" ht="12" customHeight="1" x14ac:dyDescent="0.2">
      <c r="A127" s="179"/>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c r="AA127" s="108"/>
      <c r="AB127" s="108"/>
      <c r="AC127" s="108"/>
      <c r="AD127" s="108"/>
      <c r="AE127" s="108"/>
      <c r="AF127" s="108"/>
      <c r="AG127" s="108"/>
      <c r="AH127" s="108"/>
      <c r="AI127" s="108"/>
      <c r="AJ127" s="108"/>
      <c r="AK127" s="108"/>
      <c r="AL127" s="108"/>
      <c r="AM127" s="108"/>
      <c r="AN127" s="108"/>
      <c r="AO127" s="108"/>
      <c r="AP127" s="108"/>
      <c r="AQ127" s="108"/>
      <c r="AR127" s="108"/>
      <c r="AS127" s="108"/>
      <c r="AT127" s="108"/>
      <c r="AU127" s="108"/>
      <c r="AV127" s="108"/>
      <c r="AW127" s="108"/>
      <c r="AX127" s="108"/>
      <c r="AY127" s="108"/>
      <c r="AZ127" s="108"/>
      <c r="BA127" s="108"/>
      <c r="BB127" s="108"/>
      <c r="BC127" s="108"/>
      <c r="BD127" s="108"/>
      <c r="BE127" s="108"/>
      <c r="BF127" s="108"/>
      <c r="BG127" s="108"/>
      <c r="BH127" s="108"/>
      <c r="BI127" s="108"/>
      <c r="BJ127" s="108"/>
      <c r="BK127" s="108"/>
      <c r="BL127" s="108"/>
      <c r="BM127" s="109"/>
      <c r="BN127" s="108"/>
      <c r="BO127" s="108"/>
      <c r="BP127" s="108"/>
    </row>
    <row r="128" spans="1:68" ht="12" customHeight="1" x14ac:dyDescent="0.2">
      <c r="A128" s="179"/>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c r="AA128" s="108"/>
      <c r="AB128" s="108"/>
      <c r="AC128" s="108"/>
      <c r="AD128" s="108"/>
      <c r="AE128" s="108"/>
      <c r="AF128" s="108"/>
      <c r="AG128" s="108"/>
      <c r="AH128" s="108"/>
      <c r="AI128" s="108"/>
      <c r="AJ128" s="108"/>
      <c r="AK128" s="108"/>
      <c r="AL128" s="108"/>
      <c r="AM128" s="108"/>
      <c r="AN128" s="108"/>
      <c r="AO128" s="108"/>
      <c r="AP128" s="108"/>
      <c r="AQ128" s="108"/>
      <c r="AR128" s="108"/>
      <c r="AS128" s="108"/>
      <c r="AT128" s="108"/>
      <c r="AU128" s="108"/>
      <c r="AV128" s="108"/>
      <c r="AW128" s="108"/>
      <c r="AX128" s="108"/>
      <c r="AY128" s="108"/>
      <c r="AZ128" s="108"/>
      <c r="BA128" s="108"/>
      <c r="BB128" s="108"/>
      <c r="BC128" s="108"/>
      <c r="BD128" s="108"/>
      <c r="BE128" s="108"/>
      <c r="BF128" s="108"/>
      <c r="BG128" s="108"/>
      <c r="BH128" s="108"/>
      <c r="BI128" s="108"/>
      <c r="BJ128" s="108"/>
      <c r="BK128" s="108"/>
      <c r="BL128" s="108"/>
      <c r="BM128" s="109"/>
      <c r="BN128" s="108"/>
      <c r="BO128" s="108"/>
      <c r="BP128" s="108"/>
    </row>
    <row r="129" spans="1:68" ht="12" customHeight="1" x14ac:dyDescent="0.2">
      <c r="A129" s="179"/>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c r="AA129" s="108"/>
      <c r="AB129" s="108"/>
      <c r="AC129" s="108"/>
      <c r="AD129" s="108"/>
      <c r="AE129" s="108"/>
      <c r="AF129" s="108"/>
      <c r="AG129" s="108"/>
      <c r="AH129" s="108"/>
      <c r="AI129" s="108"/>
      <c r="AJ129" s="108"/>
      <c r="AK129" s="108"/>
      <c r="AL129" s="108"/>
      <c r="AM129" s="108"/>
      <c r="AN129" s="108"/>
      <c r="AO129" s="108"/>
      <c r="AP129" s="108"/>
      <c r="AQ129" s="108"/>
      <c r="AR129" s="108"/>
      <c r="AS129" s="108"/>
      <c r="AT129" s="108"/>
      <c r="AU129" s="108"/>
      <c r="AV129" s="108"/>
      <c r="AW129" s="108"/>
      <c r="AX129" s="108"/>
      <c r="AY129" s="108"/>
      <c r="AZ129" s="108"/>
      <c r="BA129" s="108"/>
      <c r="BB129" s="108"/>
      <c r="BC129" s="108"/>
      <c r="BD129" s="108"/>
      <c r="BE129" s="108"/>
      <c r="BF129" s="108"/>
      <c r="BG129" s="108"/>
      <c r="BH129" s="108"/>
      <c r="BI129" s="108"/>
      <c r="BJ129" s="108"/>
      <c r="BK129" s="108"/>
      <c r="BL129" s="108"/>
      <c r="BM129" s="109"/>
      <c r="BN129" s="108"/>
      <c r="BO129" s="108"/>
      <c r="BP129" s="108"/>
    </row>
    <row r="130" spans="1:68" ht="12" customHeight="1" x14ac:dyDescent="0.2">
      <c r="A130" s="179"/>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c r="AA130" s="108"/>
      <c r="AB130" s="108"/>
      <c r="AC130" s="108"/>
      <c r="AD130" s="108"/>
      <c r="AE130" s="108"/>
      <c r="AF130" s="108"/>
      <c r="AG130" s="108"/>
      <c r="AH130" s="108"/>
      <c r="AI130" s="108"/>
      <c r="AJ130" s="108"/>
      <c r="AK130" s="108"/>
      <c r="AL130" s="108"/>
      <c r="AM130" s="108"/>
      <c r="AN130" s="108"/>
      <c r="AO130" s="108"/>
      <c r="AP130" s="108"/>
      <c r="AQ130" s="108"/>
      <c r="AR130" s="108"/>
      <c r="AS130" s="108"/>
      <c r="AT130" s="108"/>
      <c r="AU130" s="108"/>
      <c r="AV130" s="108"/>
      <c r="AW130" s="108"/>
      <c r="AX130" s="108"/>
      <c r="AY130" s="108"/>
      <c r="AZ130" s="108"/>
      <c r="BA130" s="108"/>
      <c r="BB130" s="108"/>
      <c r="BC130" s="108"/>
      <c r="BD130" s="108"/>
      <c r="BE130" s="108"/>
      <c r="BF130" s="108"/>
      <c r="BG130" s="108"/>
      <c r="BH130" s="108"/>
      <c r="BI130" s="108"/>
      <c r="BJ130" s="108"/>
      <c r="BK130" s="108"/>
      <c r="BL130" s="108"/>
      <c r="BM130" s="109"/>
      <c r="BN130" s="108"/>
      <c r="BO130" s="108"/>
      <c r="BP130" s="108"/>
    </row>
    <row r="131" spans="1:68" ht="12" customHeight="1" x14ac:dyDescent="0.2">
      <c r="A131" s="179"/>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c r="AA131" s="108"/>
      <c r="AB131" s="108"/>
      <c r="AC131" s="108"/>
      <c r="AD131" s="108"/>
      <c r="AE131" s="108"/>
      <c r="AF131" s="108"/>
      <c r="AG131" s="108"/>
      <c r="AH131" s="108"/>
      <c r="AI131" s="108"/>
      <c r="AJ131" s="108"/>
      <c r="AK131" s="108"/>
      <c r="AL131" s="108"/>
      <c r="AM131" s="108"/>
      <c r="AN131" s="108"/>
      <c r="AO131" s="108"/>
      <c r="AP131" s="108"/>
      <c r="AQ131" s="108"/>
      <c r="AR131" s="108"/>
      <c r="AS131" s="108"/>
      <c r="AT131" s="108"/>
      <c r="AU131" s="108"/>
      <c r="AV131" s="108"/>
      <c r="AW131" s="108"/>
      <c r="AX131" s="108"/>
      <c r="AY131" s="108"/>
      <c r="AZ131" s="108"/>
      <c r="BA131" s="108"/>
      <c r="BB131" s="108"/>
      <c r="BC131" s="108"/>
      <c r="BD131" s="108"/>
      <c r="BE131" s="108"/>
      <c r="BF131" s="108"/>
      <c r="BG131" s="108"/>
      <c r="BH131" s="108"/>
      <c r="BI131" s="108"/>
      <c r="BJ131" s="108"/>
      <c r="BK131" s="108"/>
      <c r="BL131" s="108"/>
      <c r="BM131" s="109"/>
      <c r="BN131" s="108"/>
      <c r="BO131" s="108"/>
      <c r="BP131" s="108"/>
    </row>
    <row r="132" spans="1:68" ht="12" customHeight="1" x14ac:dyDescent="0.2">
      <c r="A132" s="179"/>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c r="AA132" s="108"/>
      <c r="AB132" s="108"/>
      <c r="AC132" s="108"/>
      <c r="AD132" s="108"/>
      <c r="AE132" s="108"/>
      <c r="AF132" s="108"/>
      <c r="AG132" s="108"/>
      <c r="AH132" s="108"/>
      <c r="AI132" s="108"/>
      <c r="AJ132" s="108"/>
      <c r="AK132" s="108"/>
      <c r="AL132" s="108"/>
      <c r="AM132" s="108"/>
      <c r="AN132" s="108"/>
      <c r="AO132" s="108"/>
      <c r="AP132" s="108"/>
      <c r="AQ132" s="108"/>
      <c r="AR132" s="108"/>
      <c r="AS132" s="108"/>
      <c r="AT132" s="108"/>
      <c r="AU132" s="108"/>
      <c r="AV132" s="108"/>
      <c r="AW132" s="108"/>
      <c r="AX132" s="108"/>
      <c r="AY132" s="108"/>
      <c r="AZ132" s="108"/>
      <c r="BA132" s="108"/>
      <c r="BB132" s="108"/>
      <c r="BC132" s="108"/>
      <c r="BD132" s="108"/>
      <c r="BE132" s="108"/>
      <c r="BF132" s="108"/>
      <c r="BG132" s="108"/>
      <c r="BH132" s="108"/>
      <c r="BI132" s="108"/>
      <c r="BJ132" s="108"/>
      <c r="BK132" s="108"/>
      <c r="BL132" s="108"/>
      <c r="BM132" s="109"/>
      <c r="BN132" s="108"/>
      <c r="BO132" s="108"/>
      <c r="BP132" s="108"/>
    </row>
    <row r="133" spans="1:68" ht="12" customHeight="1" x14ac:dyDescent="0.2">
      <c r="A133" s="179"/>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c r="AA133" s="108"/>
      <c r="AB133" s="108"/>
      <c r="AC133" s="108"/>
      <c r="AD133" s="108"/>
      <c r="AE133" s="108"/>
      <c r="AF133" s="108"/>
      <c r="AG133" s="108"/>
      <c r="AH133" s="108"/>
      <c r="AI133" s="108"/>
      <c r="AJ133" s="108"/>
      <c r="AK133" s="108"/>
      <c r="AL133" s="108"/>
      <c r="AM133" s="108"/>
      <c r="AN133" s="108"/>
      <c r="AO133" s="108"/>
      <c r="AP133" s="108"/>
      <c r="AQ133" s="108"/>
      <c r="AR133" s="108"/>
      <c r="AS133" s="108"/>
      <c r="AT133" s="108"/>
      <c r="AU133" s="108"/>
      <c r="AV133" s="108"/>
      <c r="AW133" s="108"/>
      <c r="AX133" s="108"/>
      <c r="AY133" s="108"/>
      <c r="AZ133" s="108"/>
      <c r="BA133" s="108"/>
      <c r="BB133" s="108"/>
      <c r="BC133" s="108"/>
      <c r="BD133" s="108"/>
      <c r="BE133" s="108"/>
      <c r="BF133" s="108"/>
      <c r="BG133" s="108"/>
      <c r="BH133" s="108"/>
      <c r="BI133" s="108"/>
      <c r="BJ133" s="108"/>
      <c r="BK133" s="108"/>
      <c r="BL133" s="108"/>
      <c r="BM133" s="109"/>
      <c r="BN133" s="108"/>
      <c r="BO133" s="108"/>
      <c r="BP133" s="108"/>
    </row>
    <row r="134" spans="1:68" ht="12" customHeight="1" x14ac:dyDescent="0.2">
      <c r="A134" s="179"/>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c r="AA134" s="108"/>
      <c r="AB134" s="108"/>
      <c r="AC134" s="108"/>
      <c r="AD134" s="108"/>
      <c r="AE134" s="108"/>
      <c r="AF134" s="108"/>
      <c r="AG134" s="108"/>
      <c r="AH134" s="108"/>
      <c r="AI134" s="108"/>
      <c r="AJ134" s="108"/>
      <c r="AK134" s="108"/>
      <c r="AL134" s="108"/>
      <c r="AM134" s="108"/>
      <c r="AN134" s="108"/>
      <c r="AO134" s="108"/>
      <c r="AP134" s="108"/>
      <c r="AQ134" s="108"/>
      <c r="AR134" s="108"/>
      <c r="AS134" s="108"/>
      <c r="AT134" s="108"/>
      <c r="AU134" s="108"/>
      <c r="AV134" s="108"/>
      <c r="AW134" s="108"/>
      <c r="AX134" s="108"/>
      <c r="AY134" s="108"/>
      <c r="AZ134" s="108"/>
      <c r="BA134" s="108"/>
      <c r="BB134" s="108"/>
      <c r="BC134" s="108"/>
      <c r="BD134" s="108"/>
      <c r="BE134" s="108"/>
      <c r="BF134" s="108"/>
      <c r="BG134" s="108"/>
      <c r="BH134" s="108"/>
      <c r="BI134" s="108"/>
      <c r="BJ134" s="108"/>
      <c r="BK134" s="108"/>
      <c r="BL134" s="108"/>
      <c r="BM134" s="109"/>
      <c r="BN134" s="108"/>
      <c r="BO134" s="108"/>
      <c r="BP134" s="108"/>
    </row>
    <row r="135" spans="1:68" ht="12" customHeight="1" x14ac:dyDescent="0.2">
      <c r="A135" s="179"/>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c r="AA135" s="108"/>
      <c r="AB135" s="108"/>
      <c r="AC135" s="108"/>
      <c r="AD135" s="108"/>
      <c r="AE135" s="108"/>
      <c r="AF135" s="108"/>
      <c r="AG135" s="108"/>
      <c r="AH135" s="108"/>
      <c r="AI135" s="108"/>
      <c r="AJ135" s="108"/>
      <c r="AK135" s="108"/>
      <c r="AL135" s="108"/>
      <c r="AM135" s="108"/>
      <c r="AN135" s="108"/>
      <c r="AO135" s="108"/>
      <c r="AP135" s="108"/>
      <c r="AQ135" s="108"/>
      <c r="AR135" s="108"/>
      <c r="AS135" s="108"/>
      <c r="AT135" s="108"/>
      <c r="AU135" s="108"/>
      <c r="AV135" s="108"/>
      <c r="AW135" s="108"/>
      <c r="AX135" s="108"/>
      <c r="AY135" s="108"/>
      <c r="AZ135" s="108"/>
      <c r="BA135" s="108"/>
      <c r="BB135" s="108"/>
      <c r="BC135" s="108"/>
      <c r="BD135" s="108"/>
      <c r="BE135" s="108"/>
      <c r="BF135" s="108"/>
      <c r="BG135" s="108"/>
      <c r="BH135" s="108"/>
      <c r="BI135" s="108"/>
      <c r="BJ135" s="108"/>
      <c r="BK135" s="108"/>
      <c r="BL135" s="108"/>
      <c r="BM135" s="109"/>
      <c r="BN135" s="108"/>
      <c r="BO135" s="108"/>
      <c r="BP135" s="108"/>
    </row>
    <row r="136" spans="1:68" ht="12" customHeight="1" x14ac:dyDescent="0.2">
      <c r="A136" s="179"/>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c r="AA136" s="108"/>
      <c r="AB136" s="108"/>
      <c r="AC136" s="108"/>
      <c r="AD136" s="108"/>
      <c r="AE136" s="108"/>
      <c r="AF136" s="108"/>
      <c r="AG136" s="108"/>
      <c r="AH136" s="108"/>
      <c r="AI136" s="108"/>
      <c r="AJ136" s="108"/>
      <c r="AK136" s="108"/>
      <c r="AL136" s="108"/>
      <c r="AM136" s="108"/>
      <c r="AN136" s="108"/>
      <c r="AO136" s="108"/>
      <c r="AP136" s="108"/>
      <c r="AQ136" s="108"/>
      <c r="AR136" s="108"/>
      <c r="AS136" s="108"/>
      <c r="AT136" s="108"/>
      <c r="AU136" s="108"/>
      <c r="AV136" s="108"/>
      <c r="AW136" s="108"/>
      <c r="AX136" s="108"/>
      <c r="AY136" s="108"/>
      <c r="AZ136" s="108"/>
      <c r="BA136" s="108"/>
      <c r="BB136" s="108"/>
      <c r="BC136" s="108"/>
      <c r="BD136" s="108"/>
      <c r="BE136" s="108"/>
      <c r="BF136" s="108"/>
      <c r="BG136" s="108"/>
      <c r="BH136" s="108"/>
      <c r="BI136" s="108"/>
      <c r="BJ136" s="108"/>
      <c r="BK136" s="108"/>
      <c r="BL136" s="108"/>
      <c r="BM136" s="109"/>
      <c r="BN136" s="108"/>
      <c r="BO136" s="108"/>
      <c r="BP136" s="108"/>
    </row>
    <row r="137" spans="1:68" ht="12" customHeight="1" x14ac:dyDescent="0.2">
      <c r="A137" s="179"/>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c r="AA137" s="108"/>
      <c r="AB137" s="108"/>
      <c r="AC137" s="108"/>
      <c r="AD137" s="108"/>
      <c r="AE137" s="108"/>
      <c r="AF137" s="108"/>
      <c r="AG137" s="108"/>
      <c r="AH137" s="108"/>
      <c r="AI137" s="108"/>
      <c r="AJ137" s="108"/>
      <c r="AK137" s="108"/>
      <c r="AL137" s="108"/>
      <c r="AM137" s="108"/>
      <c r="AN137" s="108"/>
      <c r="AO137" s="108"/>
      <c r="AP137" s="108"/>
      <c r="AQ137" s="108"/>
      <c r="AR137" s="108"/>
      <c r="AS137" s="108"/>
      <c r="AT137" s="108"/>
      <c r="AU137" s="108"/>
      <c r="AV137" s="108"/>
      <c r="AW137" s="108"/>
      <c r="AX137" s="108"/>
      <c r="AY137" s="108"/>
      <c r="AZ137" s="108"/>
      <c r="BA137" s="108"/>
      <c r="BB137" s="108"/>
      <c r="BC137" s="108"/>
      <c r="BD137" s="108"/>
      <c r="BE137" s="108"/>
      <c r="BF137" s="108"/>
      <c r="BG137" s="108"/>
      <c r="BH137" s="108"/>
      <c r="BI137" s="108"/>
      <c r="BJ137" s="108"/>
      <c r="BK137" s="108"/>
      <c r="BL137" s="108"/>
      <c r="BM137" s="109"/>
      <c r="BN137" s="108"/>
      <c r="BO137" s="108"/>
      <c r="BP137" s="108"/>
    </row>
    <row r="138" spans="1:68" ht="12" customHeight="1" x14ac:dyDescent="0.2">
      <c r="A138" s="179"/>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c r="AA138" s="108"/>
      <c r="AB138" s="108"/>
      <c r="AC138" s="108"/>
      <c r="AD138" s="108"/>
      <c r="AE138" s="108"/>
      <c r="AF138" s="108"/>
      <c r="AG138" s="108"/>
      <c r="AH138" s="108"/>
      <c r="AI138" s="108"/>
      <c r="AJ138" s="108"/>
      <c r="AK138" s="108"/>
      <c r="AL138" s="108"/>
      <c r="AM138" s="108"/>
      <c r="AN138" s="108"/>
      <c r="AO138" s="108"/>
      <c r="AP138" s="108"/>
      <c r="AQ138" s="108"/>
      <c r="AR138" s="108"/>
      <c r="AS138" s="108"/>
      <c r="AT138" s="108"/>
      <c r="AU138" s="108"/>
      <c r="AV138" s="108"/>
      <c r="AW138" s="108"/>
      <c r="AX138" s="108"/>
      <c r="AY138" s="108"/>
      <c r="AZ138" s="108"/>
      <c r="BA138" s="108"/>
      <c r="BB138" s="108"/>
      <c r="BC138" s="108"/>
      <c r="BD138" s="108"/>
      <c r="BE138" s="108"/>
      <c r="BF138" s="108"/>
      <c r="BG138" s="108"/>
      <c r="BH138" s="108"/>
      <c r="BI138" s="108"/>
      <c r="BJ138" s="108"/>
      <c r="BK138" s="108"/>
      <c r="BL138" s="108"/>
      <c r="BM138" s="109"/>
      <c r="BN138" s="108"/>
      <c r="BO138" s="108"/>
      <c r="BP138" s="108"/>
    </row>
    <row r="139" spans="1:68" ht="12" customHeight="1" x14ac:dyDescent="0.2">
      <c r="A139" s="179"/>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c r="AA139" s="108"/>
      <c r="AB139" s="108"/>
      <c r="AC139" s="108"/>
      <c r="AD139" s="108"/>
      <c r="AE139" s="108"/>
      <c r="AF139" s="108"/>
      <c r="AG139" s="108"/>
      <c r="AH139" s="108"/>
      <c r="AI139" s="108"/>
      <c r="AJ139" s="108"/>
      <c r="AK139" s="108"/>
      <c r="AL139" s="108"/>
      <c r="AM139" s="108"/>
      <c r="AN139" s="108"/>
      <c r="AO139" s="108"/>
      <c r="AP139" s="108"/>
      <c r="AQ139" s="108"/>
      <c r="AR139" s="108"/>
      <c r="AS139" s="108"/>
      <c r="AT139" s="108"/>
      <c r="AU139" s="108"/>
      <c r="AV139" s="108"/>
      <c r="AW139" s="108"/>
      <c r="AX139" s="108"/>
      <c r="AY139" s="108"/>
      <c r="AZ139" s="108"/>
      <c r="BA139" s="108"/>
      <c r="BB139" s="108"/>
      <c r="BC139" s="108"/>
      <c r="BD139" s="108"/>
      <c r="BE139" s="108"/>
      <c r="BF139" s="108"/>
      <c r="BG139" s="108"/>
      <c r="BH139" s="108"/>
      <c r="BI139" s="108"/>
      <c r="BJ139" s="108"/>
      <c r="BK139" s="108"/>
      <c r="BL139" s="108"/>
      <c r="BM139" s="109"/>
      <c r="BN139" s="108"/>
      <c r="BO139" s="108"/>
      <c r="BP139" s="108"/>
    </row>
    <row r="140" spans="1:68" ht="12" customHeight="1" x14ac:dyDescent="0.2">
      <c r="A140" s="179"/>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c r="AA140" s="108"/>
      <c r="AB140" s="108"/>
      <c r="AC140" s="108"/>
      <c r="AD140" s="108"/>
      <c r="AE140" s="108"/>
      <c r="AF140" s="108"/>
      <c r="AG140" s="108"/>
      <c r="AH140" s="108"/>
      <c r="AI140" s="108"/>
      <c r="AJ140" s="108"/>
      <c r="AK140" s="108"/>
      <c r="AL140" s="108"/>
      <c r="AM140" s="108"/>
      <c r="AN140" s="108"/>
      <c r="AO140" s="108"/>
      <c r="AP140" s="108"/>
      <c r="AQ140" s="108"/>
      <c r="AR140" s="108"/>
      <c r="AS140" s="108"/>
      <c r="AT140" s="108"/>
      <c r="AU140" s="108"/>
      <c r="AV140" s="108"/>
      <c r="AW140" s="108"/>
      <c r="AX140" s="108"/>
      <c r="AY140" s="108"/>
      <c r="AZ140" s="108"/>
      <c r="BA140" s="108"/>
      <c r="BB140" s="108"/>
      <c r="BC140" s="108"/>
      <c r="BD140" s="108"/>
      <c r="BE140" s="108"/>
      <c r="BF140" s="108"/>
      <c r="BG140" s="108"/>
      <c r="BH140" s="108"/>
      <c r="BI140" s="108"/>
      <c r="BJ140" s="108"/>
      <c r="BK140" s="108"/>
      <c r="BL140" s="108"/>
      <c r="BM140" s="109"/>
      <c r="BN140" s="108"/>
      <c r="BO140" s="108"/>
      <c r="BP140" s="108"/>
    </row>
    <row r="141" spans="1:68" ht="12" customHeight="1" x14ac:dyDescent="0.2">
      <c r="A141" s="179"/>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c r="AA141" s="108"/>
      <c r="AB141" s="108"/>
      <c r="AC141" s="108"/>
      <c r="AD141" s="108"/>
      <c r="AE141" s="108"/>
      <c r="AF141" s="108"/>
      <c r="AG141" s="108"/>
      <c r="AH141" s="108"/>
      <c r="AI141" s="108"/>
      <c r="AJ141" s="108"/>
      <c r="AK141" s="108"/>
      <c r="AL141" s="108"/>
      <c r="AM141" s="108"/>
      <c r="AN141" s="108"/>
      <c r="AO141" s="108"/>
      <c r="AP141" s="108"/>
      <c r="AQ141" s="108"/>
      <c r="AR141" s="108"/>
      <c r="AS141" s="108"/>
      <c r="AT141" s="108"/>
      <c r="AU141" s="108"/>
      <c r="AV141" s="108"/>
      <c r="AW141" s="108"/>
      <c r="AX141" s="108"/>
      <c r="AY141" s="108"/>
      <c r="AZ141" s="108"/>
      <c r="BA141" s="108"/>
      <c r="BB141" s="108"/>
      <c r="BC141" s="108"/>
      <c r="BD141" s="108"/>
      <c r="BE141" s="108"/>
      <c r="BF141" s="108"/>
      <c r="BG141" s="108"/>
      <c r="BH141" s="108"/>
      <c r="BI141" s="108"/>
      <c r="BJ141" s="108"/>
      <c r="BK141" s="108"/>
      <c r="BL141" s="108"/>
      <c r="BM141" s="109"/>
      <c r="BN141" s="108"/>
      <c r="BO141" s="108"/>
      <c r="BP141" s="108"/>
    </row>
    <row r="142" spans="1:68" ht="12" customHeight="1" x14ac:dyDescent="0.2">
      <c r="A142" s="179"/>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c r="AA142" s="108"/>
      <c r="AB142" s="108"/>
      <c r="AC142" s="108"/>
      <c r="AD142" s="108"/>
      <c r="AE142" s="108"/>
      <c r="AF142" s="108"/>
      <c r="AG142" s="108"/>
      <c r="AH142" s="108"/>
      <c r="AI142" s="108"/>
      <c r="AJ142" s="108"/>
      <c r="AK142" s="108"/>
      <c r="AL142" s="108"/>
      <c r="AM142" s="108"/>
      <c r="AN142" s="108"/>
      <c r="AO142" s="108"/>
      <c r="AP142" s="108"/>
      <c r="AQ142" s="108"/>
      <c r="AR142" s="108"/>
      <c r="AS142" s="108"/>
      <c r="AT142" s="108"/>
      <c r="AU142" s="108"/>
      <c r="AV142" s="108"/>
      <c r="AW142" s="108"/>
      <c r="AX142" s="108"/>
      <c r="AY142" s="108"/>
      <c r="AZ142" s="108"/>
      <c r="BA142" s="108"/>
      <c r="BB142" s="108"/>
      <c r="BC142" s="108"/>
      <c r="BD142" s="108"/>
      <c r="BE142" s="108"/>
      <c r="BF142" s="108"/>
      <c r="BG142" s="108"/>
      <c r="BH142" s="108"/>
      <c r="BI142" s="108"/>
      <c r="BJ142" s="108"/>
      <c r="BK142" s="108"/>
      <c r="BL142" s="108"/>
      <c r="BM142" s="109"/>
      <c r="BN142" s="108"/>
      <c r="BO142" s="108"/>
      <c r="BP142" s="108"/>
    </row>
    <row r="143" spans="1:68" ht="12" customHeight="1" x14ac:dyDescent="0.2">
      <c r="A143" s="179"/>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c r="AA143" s="108"/>
      <c r="AB143" s="108"/>
      <c r="AC143" s="108"/>
      <c r="AD143" s="108"/>
      <c r="AE143" s="108"/>
      <c r="AF143" s="108"/>
      <c r="AG143" s="108"/>
      <c r="AH143" s="108"/>
      <c r="AI143" s="108"/>
      <c r="AJ143" s="108"/>
      <c r="AK143" s="108"/>
      <c r="AL143" s="108"/>
      <c r="AM143" s="108"/>
      <c r="AN143" s="108"/>
      <c r="AO143" s="108"/>
      <c r="AP143" s="108"/>
      <c r="AQ143" s="108"/>
      <c r="AR143" s="108"/>
      <c r="AS143" s="108"/>
      <c r="AT143" s="108"/>
      <c r="AU143" s="108"/>
      <c r="AV143" s="108"/>
      <c r="AW143" s="108"/>
      <c r="AX143" s="108"/>
      <c r="AY143" s="108"/>
      <c r="AZ143" s="108"/>
      <c r="BA143" s="108"/>
      <c r="BB143" s="108"/>
      <c r="BC143" s="108"/>
      <c r="BD143" s="108"/>
      <c r="BE143" s="108"/>
      <c r="BF143" s="108"/>
      <c r="BG143" s="108"/>
      <c r="BH143" s="108"/>
      <c r="BI143" s="108"/>
      <c r="BJ143" s="108"/>
      <c r="BK143" s="108"/>
      <c r="BL143" s="108"/>
      <c r="BM143" s="109"/>
      <c r="BN143" s="108"/>
      <c r="BO143" s="108"/>
      <c r="BP143" s="108"/>
    </row>
    <row r="144" spans="1:68" ht="12" customHeight="1" x14ac:dyDescent="0.2">
      <c r="A144" s="179"/>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c r="AA144" s="108"/>
      <c r="AB144" s="108"/>
      <c r="AC144" s="108"/>
      <c r="AD144" s="108"/>
      <c r="AE144" s="108"/>
      <c r="AF144" s="108"/>
      <c r="AG144" s="108"/>
      <c r="AH144" s="108"/>
      <c r="AI144" s="108"/>
      <c r="AJ144" s="108"/>
      <c r="AK144" s="108"/>
      <c r="AL144" s="108"/>
      <c r="AM144" s="108"/>
      <c r="AN144" s="108"/>
      <c r="AO144" s="108"/>
      <c r="AP144" s="108"/>
      <c r="AQ144" s="108"/>
      <c r="AR144" s="108"/>
      <c r="AS144" s="108"/>
      <c r="AT144" s="108"/>
      <c r="AU144" s="108"/>
      <c r="AV144" s="108"/>
      <c r="AW144" s="108"/>
      <c r="AX144" s="108"/>
      <c r="AY144" s="108"/>
      <c r="AZ144" s="108"/>
      <c r="BA144" s="108"/>
      <c r="BB144" s="108"/>
      <c r="BC144" s="108"/>
      <c r="BD144" s="108"/>
      <c r="BE144" s="108"/>
      <c r="BF144" s="108"/>
      <c r="BG144" s="108"/>
      <c r="BH144" s="108"/>
      <c r="BI144" s="108"/>
      <c r="BJ144" s="108"/>
      <c r="BK144" s="108"/>
      <c r="BL144" s="108"/>
      <c r="BM144" s="109"/>
      <c r="BN144" s="108"/>
      <c r="BO144" s="108"/>
      <c r="BP144" s="108"/>
    </row>
    <row r="145" spans="1:68" ht="12" customHeight="1" x14ac:dyDescent="0.2">
      <c r="A145" s="179"/>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c r="AA145" s="108"/>
      <c r="AB145" s="108"/>
      <c r="AC145" s="108"/>
      <c r="AD145" s="108"/>
      <c r="AE145" s="108"/>
      <c r="AF145" s="108"/>
      <c r="AG145" s="108"/>
      <c r="AH145" s="108"/>
      <c r="AI145" s="108"/>
      <c r="AJ145" s="108"/>
      <c r="AK145" s="108"/>
      <c r="AL145" s="108"/>
      <c r="AM145" s="108"/>
      <c r="AN145" s="108"/>
      <c r="AO145" s="108"/>
      <c r="AP145" s="108"/>
      <c r="AQ145" s="108"/>
      <c r="AR145" s="108"/>
      <c r="AS145" s="108"/>
      <c r="AT145" s="108"/>
      <c r="AU145" s="108"/>
      <c r="AV145" s="108"/>
      <c r="AW145" s="108"/>
      <c r="AX145" s="108"/>
      <c r="AY145" s="108"/>
      <c r="AZ145" s="108"/>
      <c r="BA145" s="108"/>
      <c r="BB145" s="108"/>
      <c r="BC145" s="108"/>
      <c r="BD145" s="108"/>
      <c r="BE145" s="108"/>
      <c r="BF145" s="108"/>
      <c r="BG145" s="108"/>
      <c r="BH145" s="108"/>
      <c r="BI145" s="108"/>
      <c r="BJ145" s="108"/>
      <c r="BK145" s="108"/>
      <c r="BL145" s="108"/>
      <c r="BM145" s="109"/>
      <c r="BN145" s="108"/>
      <c r="BO145" s="108"/>
      <c r="BP145" s="108"/>
    </row>
    <row r="146" spans="1:68" ht="12" customHeight="1" x14ac:dyDescent="0.2">
      <c r="A146" s="179"/>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c r="AA146" s="108"/>
      <c r="AB146" s="108"/>
      <c r="AC146" s="108"/>
      <c r="AD146" s="108"/>
      <c r="AE146" s="108"/>
      <c r="AF146" s="108"/>
      <c r="AG146" s="108"/>
      <c r="AH146" s="108"/>
      <c r="AI146" s="108"/>
      <c r="AJ146" s="108"/>
      <c r="AK146" s="108"/>
      <c r="AL146" s="108"/>
      <c r="AM146" s="108"/>
      <c r="AN146" s="108"/>
      <c r="AO146" s="108"/>
      <c r="AP146" s="108"/>
      <c r="AQ146" s="108"/>
      <c r="AR146" s="108"/>
      <c r="AS146" s="108"/>
      <c r="AT146" s="108"/>
      <c r="AU146" s="108"/>
      <c r="AV146" s="108"/>
      <c r="AW146" s="108"/>
      <c r="AX146" s="108"/>
      <c r="AY146" s="108"/>
      <c r="AZ146" s="108"/>
      <c r="BA146" s="108"/>
      <c r="BB146" s="108"/>
      <c r="BC146" s="108"/>
      <c r="BD146" s="108"/>
      <c r="BE146" s="108"/>
      <c r="BF146" s="108"/>
      <c r="BG146" s="108"/>
      <c r="BH146" s="108"/>
      <c r="BI146" s="108"/>
      <c r="BJ146" s="108"/>
      <c r="BK146" s="108"/>
      <c r="BL146" s="108"/>
      <c r="BM146" s="109"/>
      <c r="BN146" s="108"/>
      <c r="BO146" s="108"/>
      <c r="BP146" s="108"/>
    </row>
    <row r="147" spans="1:68" ht="12" customHeight="1" x14ac:dyDescent="0.2">
      <c r="A147" s="179"/>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c r="AA147" s="108"/>
      <c r="AB147" s="108"/>
      <c r="AC147" s="108"/>
      <c r="AD147" s="108"/>
      <c r="AE147" s="108"/>
      <c r="AF147" s="108"/>
      <c r="AG147" s="108"/>
      <c r="AH147" s="108"/>
      <c r="AI147" s="108"/>
      <c r="AJ147" s="108"/>
      <c r="AK147" s="108"/>
      <c r="AL147" s="108"/>
      <c r="AM147" s="108"/>
      <c r="AN147" s="108"/>
      <c r="AO147" s="108"/>
      <c r="AP147" s="108"/>
      <c r="AQ147" s="108"/>
      <c r="AR147" s="108"/>
      <c r="AS147" s="108"/>
      <c r="AT147" s="108"/>
      <c r="AU147" s="108"/>
      <c r="AV147" s="108"/>
      <c r="AW147" s="108"/>
      <c r="AX147" s="108"/>
      <c r="AY147" s="108"/>
      <c r="AZ147" s="108"/>
      <c r="BA147" s="108"/>
      <c r="BB147" s="108"/>
      <c r="BC147" s="108"/>
      <c r="BD147" s="108"/>
      <c r="BE147" s="108"/>
      <c r="BF147" s="108"/>
      <c r="BG147" s="108"/>
      <c r="BH147" s="108"/>
      <c r="BI147" s="108"/>
      <c r="BJ147" s="108"/>
      <c r="BK147" s="108"/>
      <c r="BL147" s="108"/>
      <c r="BM147" s="109"/>
      <c r="BN147" s="108"/>
      <c r="BO147" s="108"/>
      <c r="BP147" s="108"/>
    </row>
    <row r="148" spans="1:68" ht="12" customHeight="1" x14ac:dyDescent="0.2">
      <c r="A148" s="179"/>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c r="AA148" s="108"/>
      <c r="AB148" s="108"/>
      <c r="AC148" s="108"/>
      <c r="AD148" s="108"/>
      <c r="AE148" s="108"/>
      <c r="AF148" s="108"/>
      <c r="AG148" s="108"/>
      <c r="AH148" s="108"/>
      <c r="AI148" s="108"/>
      <c r="AJ148" s="108"/>
      <c r="AK148" s="108"/>
      <c r="AL148" s="108"/>
      <c r="AM148" s="108"/>
      <c r="AN148" s="108"/>
      <c r="AO148" s="108"/>
      <c r="AP148" s="108"/>
      <c r="AQ148" s="108"/>
      <c r="AR148" s="108"/>
      <c r="AS148" s="108"/>
      <c r="AT148" s="108"/>
      <c r="AU148" s="108"/>
      <c r="AV148" s="108"/>
      <c r="AW148" s="108"/>
      <c r="AX148" s="108"/>
      <c r="AY148" s="108"/>
      <c r="AZ148" s="108"/>
      <c r="BA148" s="108"/>
      <c r="BB148" s="108"/>
      <c r="BC148" s="108"/>
      <c r="BD148" s="108"/>
      <c r="BE148" s="108"/>
      <c r="BF148" s="108"/>
      <c r="BG148" s="108"/>
      <c r="BH148" s="108"/>
      <c r="BI148" s="108"/>
      <c r="BJ148" s="108"/>
      <c r="BK148" s="108"/>
      <c r="BL148" s="108"/>
      <c r="BM148" s="109"/>
      <c r="BN148" s="108"/>
      <c r="BO148" s="108"/>
      <c r="BP148" s="108"/>
    </row>
    <row r="149" spans="1:68" ht="12" customHeight="1" x14ac:dyDescent="0.2">
      <c r="A149" s="179"/>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c r="AA149" s="108"/>
      <c r="AB149" s="108"/>
      <c r="AC149" s="108"/>
      <c r="AD149" s="108"/>
      <c r="AE149" s="108"/>
      <c r="AF149" s="108"/>
      <c r="AG149" s="108"/>
      <c r="AH149" s="108"/>
      <c r="AI149" s="108"/>
      <c r="AJ149" s="108"/>
      <c r="AK149" s="108"/>
      <c r="AL149" s="108"/>
      <c r="AM149" s="108"/>
      <c r="AN149" s="108"/>
      <c r="AO149" s="108"/>
      <c r="AP149" s="108"/>
      <c r="AQ149" s="108"/>
      <c r="AR149" s="108"/>
      <c r="AS149" s="108"/>
      <c r="AT149" s="108"/>
      <c r="AU149" s="108"/>
      <c r="AV149" s="108"/>
      <c r="AW149" s="108"/>
      <c r="AX149" s="108"/>
      <c r="AY149" s="108"/>
      <c r="AZ149" s="108"/>
      <c r="BA149" s="108"/>
      <c r="BB149" s="108"/>
      <c r="BC149" s="108"/>
      <c r="BD149" s="108"/>
      <c r="BE149" s="108"/>
      <c r="BF149" s="108"/>
      <c r="BG149" s="108"/>
      <c r="BH149" s="108"/>
      <c r="BI149" s="108"/>
      <c r="BJ149" s="108"/>
      <c r="BK149" s="108"/>
      <c r="BL149" s="108"/>
      <c r="BM149" s="109"/>
      <c r="BN149" s="108"/>
      <c r="BO149" s="108"/>
      <c r="BP149" s="108"/>
    </row>
    <row r="150" spans="1:68" ht="12" customHeight="1" x14ac:dyDescent="0.2">
      <c r="A150" s="179"/>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c r="AA150" s="108"/>
      <c r="AB150" s="108"/>
      <c r="AC150" s="108"/>
      <c r="AD150" s="108"/>
      <c r="AE150" s="108"/>
      <c r="AF150" s="108"/>
      <c r="AG150" s="108"/>
      <c r="AH150" s="108"/>
      <c r="AI150" s="108"/>
      <c r="AJ150" s="108"/>
      <c r="AK150" s="108"/>
      <c r="AL150" s="108"/>
      <c r="AM150" s="108"/>
      <c r="AN150" s="108"/>
      <c r="AO150" s="108"/>
      <c r="AP150" s="108"/>
      <c r="AQ150" s="108"/>
      <c r="AR150" s="108"/>
      <c r="AS150" s="108"/>
      <c r="AT150" s="108"/>
      <c r="AU150" s="108"/>
      <c r="AV150" s="108"/>
      <c r="AW150" s="108"/>
      <c r="AX150" s="108"/>
      <c r="AY150" s="108"/>
      <c r="AZ150" s="108"/>
      <c r="BA150" s="108"/>
      <c r="BB150" s="108"/>
      <c r="BC150" s="108"/>
      <c r="BD150" s="108"/>
      <c r="BE150" s="108"/>
      <c r="BF150" s="108"/>
      <c r="BG150" s="108"/>
      <c r="BH150" s="108"/>
      <c r="BI150" s="108"/>
      <c r="BJ150" s="108"/>
      <c r="BK150" s="108"/>
      <c r="BL150" s="108"/>
      <c r="BM150" s="109"/>
      <c r="BN150" s="108"/>
      <c r="BO150" s="108"/>
      <c r="BP150" s="108"/>
    </row>
    <row r="151" spans="1:68" ht="12" customHeight="1" x14ac:dyDescent="0.2">
      <c r="A151" s="179"/>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c r="AA151" s="108"/>
      <c r="AB151" s="108"/>
      <c r="AC151" s="108"/>
      <c r="AD151" s="108"/>
      <c r="AE151" s="108"/>
      <c r="AF151" s="108"/>
      <c r="AG151" s="108"/>
      <c r="AH151" s="108"/>
      <c r="AI151" s="108"/>
      <c r="AJ151" s="108"/>
      <c r="AK151" s="108"/>
      <c r="AL151" s="108"/>
      <c r="AM151" s="108"/>
      <c r="AN151" s="108"/>
      <c r="AO151" s="108"/>
      <c r="AP151" s="108"/>
      <c r="AQ151" s="108"/>
      <c r="AR151" s="108"/>
      <c r="AS151" s="108"/>
      <c r="AT151" s="108"/>
      <c r="AU151" s="108"/>
      <c r="AV151" s="108"/>
      <c r="AW151" s="108"/>
      <c r="AX151" s="108"/>
      <c r="AY151" s="108"/>
      <c r="AZ151" s="108"/>
      <c r="BA151" s="108"/>
      <c r="BB151" s="108"/>
      <c r="BC151" s="108"/>
      <c r="BD151" s="108"/>
      <c r="BE151" s="108"/>
      <c r="BF151" s="108"/>
      <c r="BG151" s="108"/>
      <c r="BH151" s="108"/>
      <c r="BI151" s="108"/>
      <c r="BJ151" s="108"/>
      <c r="BK151" s="108"/>
      <c r="BL151" s="108"/>
      <c r="BM151" s="109"/>
      <c r="BN151" s="108"/>
      <c r="BO151" s="108"/>
      <c r="BP151" s="108"/>
    </row>
    <row r="152" spans="1:68" ht="12" customHeight="1" x14ac:dyDescent="0.2">
      <c r="A152" s="179"/>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c r="AA152" s="108"/>
      <c r="AB152" s="108"/>
      <c r="AC152" s="108"/>
      <c r="AD152" s="108"/>
      <c r="AE152" s="108"/>
      <c r="AF152" s="108"/>
      <c r="AG152" s="108"/>
      <c r="AH152" s="108"/>
      <c r="AI152" s="108"/>
      <c r="AJ152" s="108"/>
      <c r="AK152" s="108"/>
      <c r="AL152" s="108"/>
      <c r="AM152" s="108"/>
      <c r="AN152" s="108"/>
      <c r="AO152" s="108"/>
      <c r="AP152" s="108"/>
      <c r="AQ152" s="108"/>
      <c r="AR152" s="108"/>
      <c r="AS152" s="108"/>
      <c r="AT152" s="108"/>
      <c r="AU152" s="108"/>
      <c r="AV152" s="108"/>
      <c r="AW152" s="108"/>
      <c r="AX152" s="108"/>
      <c r="AY152" s="108"/>
      <c r="AZ152" s="108"/>
      <c r="BA152" s="108"/>
      <c r="BB152" s="108"/>
      <c r="BC152" s="108"/>
      <c r="BD152" s="108"/>
      <c r="BE152" s="108"/>
      <c r="BF152" s="108"/>
      <c r="BG152" s="108"/>
      <c r="BH152" s="108"/>
      <c r="BI152" s="108"/>
      <c r="BJ152" s="108"/>
      <c r="BK152" s="108"/>
      <c r="BL152" s="108"/>
      <c r="BM152" s="109"/>
      <c r="BN152" s="108"/>
      <c r="BO152" s="108"/>
      <c r="BP152" s="108"/>
    </row>
    <row r="153" spans="1:68" ht="12" customHeight="1" x14ac:dyDescent="0.2">
      <c r="A153" s="179"/>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c r="AA153" s="108"/>
      <c r="AB153" s="108"/>
      <c r="AC153" s="108"/>
      <c r="AD153" s="108"/>
      <c r="AE153" s="108"/>
      <c r="AF153" s="108"/>
      <c r="AG153" s="108"/>
      <c r="AH153" s="108"/>
      <c r="AI153" s="108"/>
      <c r="AJ153" s="108"/>
      <c r="AK153" s="108"/>
      <c r="AL153" s="108"/>
      <c r="AM153" s="108"/>
      <c r="AN153" s="108"/>
      <c r="AO153" s="108"/>
      <c r="AP153" s="108"/>
      <c r="AQ153" s="108"/>
      <c r="AR153" s="108"/>
      <c r="AS153" s="108"/>
      <c r="AT153" s="108"/>
      <c r="AU153" s="108"/>
      <c r="AV153" s="108"/>
      <c r="AW153" s="108"/>
      <c r="AX153" s="108"/>
      <c r="AY153" s="108"/>
      <c r="AZ153" s="108"/>
      <c r="BA153" s="108"/>
      <c r="BB153" s="108"/>
      <c r="BC153" s="108"/>
      <c r="BD153" s="108"/>
      <c r="BE153" s="108"/>
      <c r="BF153" s="108"/>
      <c r="BG153" s="108"/>
      <c r="BH153" s="108"/>
      <c r="BI153" s="108"/>
      <c r="BJ153" s="108"/>
      <c r="BK153" s="108"/>
      <c r="BL153" s="108"/>
      <c r="BM153" s="109"/>
      <c r="BN153" s="108"/>
      <c r="BO153" s="108"/>
      <c r="BP153" s="108"/>
    </row>
    <row r="154" spans="1:68" ht="12" customHeight="1" x14ac:dyDescent="0.2">
      <c r="A154" s="179"/>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c r="AA154" s="108"/>
      <c r="AB154" s="108"/>
      <c r="AC154" s="108"/>
      <c r="AD154" s="108"/>
      <c r="AE154" s="108"/>
      <c r="AF154" s="108"/>
      <c r="AG154" s="108"/>
      <c r="AH154" s="108"/>
      <c r="AI154" s="108"/>
      <c r="AJ154" s="108"/>
      <c r="AK154" s="108"/>
      <c r="AL154" s="108"/>
      <c r="AM154" s="108"/>
      <c r="AN154" s="108"/>
      <c r="AO154" s="108"/>
      <c r="AP154" s="108"/>
      <c r="AQ154" s="108"/>
      <c r="AR154" s="108"/>
      <c r="AS154" s="108"/>
      <c r="AT154" s="108"/>
      <c r="AU154" s="108"/>
      <c r="AV154" s="108"/>
      <c r="AW154" s="108"/>
      <c r="AX154" s="108"/>
      <c r="AY154" s="108"/>
      <c r="AZ154" s="108"/>
      <c r="BA154" s="108"/>
      <c r="BB154" s="108"/>
      <c r="BC154" s="108"/>
      <c r="BD154" s="108"/>
      <c r="BE154" s="108"/>
      <c r="BF154" s="108"/>
      <c r="BG154" s="108"/>
      <c r="BH154" s="108"/>
      <c r="BI154" s="108"/>
      <c r="BJ154" s="108"/>
      <c r="BK154" s="108"/>
      <c r="BL154" s="108"/>
      <c r="BM154" s="109"/>
      <c r="BN154" s="108"/>
      <c r="BO154" s="108"/>
      <c r="BP154" s="108"/>
    </row>
    <row r="155" spans="1:68" ht="12" customHeight="1" x14ac:dyDescent="0.2">
      <c r="A155" s="179"/>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c r="AA155" s="108"/>
      <c r="AB155" s="108"/>
      <c r="AC155" s="108"/>
      <c r="AD155" s="108"/>
      <c r="AE155" s="108"/>
      <c r="AF155" s="108"/>
      <c r="AG155" s="108"/>
      <c r="AH155" s="108"/>
      <c r="AI155" s="108"/>
      <c r="AJ155" s="108"/>
      <c r="AK155" s="108"/>
      <c r="AL155" s="108"/>
      <c r="AM155" s="108"/>
      <c r="AN155" s="108"/>
      <c r="AO155" s="108"/>
      <c r="AP155" s="108"/>
      <c r="AQ155" s="108"/>
      <c r="AR155" s="108"/>
      <c r="AS155" s="108"/>
      <c r="AT155" s="108"/>
      <c r="AU155" s="108"/>
      <c r="AV155" s="108"/>
      <c r="AW155" s="108"/>
      <c r="AX155" s="108"/>
      <c r="AY155" s="108"/>
      <c r="AZ155" s="108"/>
      <c r="BA155" s="108"/>
      <c r="BB155" s="108"/>
      <c r="BC155" s="108"/>
      <c r="BD155" s="108"/>
      <c r="BE155" s="108"/>
      <c r="BF155" s="108"/>
      <c r="BG155" s="108"/>
      <c r="BH155" s="108"/>
      <c r="BI155" s="108"/>
      <c r="BJ155" s="108"/>
      <c r="BK155" s="108"/>
      <c r="BL155" s="108"/>
      <c r="BM155" s="109"/>
      <c r="BN155" s="108"/>
      <c r="BO155" s="108"/>
      <c r="BP155" s="108"/>
    </row>
    <row r="156" spans="1:68" ht="12" customHeight="1" x14ac:dyDescent="0.2">
      <c r="A156" s="179"/>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c r="AA156" s="108"/>
      <c r="AB156" s="108"/>
      <c r="AC156" s="108"/>
      <c r="AD156" s="108"/>
      <c r="AE156" s="108"/>
      <c r="AF156" s="108"/>
      <c r="AG156" s="108"/>
      <c r="AH156" s="108"/>
      <c r="AI156" s="108"/>
      <c r="AJ156" s="108"/>
      <c r="AK156" s="108"/>
      <c r="AL156" s="108"/>
      <c r="AM156" s="108"/>
      <c r="AN156" s="108"/>
      <c r="AO156" s="108"/>
      <c r="AP156" s="108"/>
      <c r="AQ156" s="108"/>
      <c r="AR156" s="108"/>
      <c r="AS156" s="108"/>
      <c r="AT156" s="108"/>
      <c r="AU156" s="108"/>
      <c r="AV156" s="108"/>
      <c r="AW156" s="108"/>
      <c r="AX156" s="108"/>
      <c r="AY156" s="108"/>
      <c r="AZ156" s="108"/>
      <c r="BA156" s="108"/>
      <c r="BB156" s="108"/>
      <c r="BC156" s="108"/>
      <c r="BD156" s="108"/>
      <c r="BE156" s="108"/>
      <c r="BF156" s="108"/>
      <c r="BG156" s="108"/>
      <c r="BH156" s="108"/>
      <c r="BI156" s="108"/>
      <c r="BJ156" s="108"/>
      <c r="BK156" s="108"/>
      <c r="BL156" s="108"/>
      <c r="BM156" s="109"/>
      <c r="BN156" s="108"/>
      <c r="BO156" s="108"/>
      <c r="BP156" s="108"/>
    </row>
    <row r="157" spans="1:68" ht="12" customHeight="1" x14ac:dyDescent="0.2">
      <c r="A157" s="179"/>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c r="AA157" s="108"/>
      <c r="AB157" s="108"/>
      <c r="AC157" s="108"/>
      <c r="AD157" s="108"/>
      <c r="AE157" s="108"/>
      <c r="AF157" s="108"/>
      <c r="AG157" s="108"/>
      <c r="AH157" s="108"/>
      <c r="AI157" s="108"/>
      <c r="AJ157" s="108"/>
      <c r="AK157" s="108"/>
      <c r="AL157" s="108"/>
      <c r="AM157" s="108"/>
      <c r="AN157" s="108"/>
      <c r="AO157" s="108"/>
      <c r="AP157" s="108"/>
      <c r="AQ157" s="108"/>
      <c r="AR157" s="108"/>
      <c r="AS157" s="108"/>
      <c r="AT157" s="108"/>
      <c r="AU157" s="108"/>
      <c r="AV157" s="108"/>
      <c r="AW157" s="108"/>
      <c r="AX157" s="108"/>
      <c r="AY157" s="108"/>
      <c r="AZ157" s="108"/>
      <c r="BA157" s="108"/>
      <c r="BB157" s="108"/>
      <c r="BC157" s="108"/>
      <c r="BD157" s="108"/>
      <c r="BE157" s="108"/>
      <c r="BF157" s="108"/>
      <c r="BG157" s="108"/>
      <c r="BH157" s="108"/>
      <c r="BI157" s="108"/>
      <c r="BJ157" s="108"/>
      <c r="BK157" s="108"/>
      <c r="BL157" s="108"/>
      <c r="BM157" s="109"/>
      <c r="BN157" s="108"/>
      <c r="BO157" s="108"/>
      <c r="BP157" s="108"/>
    </row>
    <row r="158" spans="1:68" ht="12" customHeight="1" x14ac:dyDescent="0.2">
      <c r="A158" s="179"/>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c r="AA158" s="108"/>
      <c r="AB158" s="108"/>
      <c r="AC158" s="108"/>
      <c r="AD158" s="108"/>
      <c r="AE158" s="108"/>
      <c r="AF158" s="108"/>
      <c r="AG158" s="108"/>
      <c r="AH158" s="108"/>
      <c r="AI158" s="108"/>
      <c r="AJ158" s="108"/>
      <c r="AK158" s="108"/>
      <c r="AL158" s="108"/>
      <c r="AM158" s="108"/>
      <c r="AN158" s="108"/>
      <c r="AO158" s="108"/>
      <c r="AP158" s="108"/>
      <c r="AQ158" s="108"/>
      <c r="AR158" s="108"/>
      <c r="AS158" s="108"/>
      <c r="AT158" s="108"/>
      <c r="AU158" s="108"/>
      <c r="AV158" s="108"/>
      <c r="AW158" s="108"/>
      <c r="AX158" s="108"/>
      <c r="AY158" s="108"/>
      <c r="AZ158" s="108"/>
      <c r="BA158" s="108"/>
      <c r="BB158" s="108"/>
      <c r="BC158" s="108"/>
      <c r="BD158" s="108"/>
      <c r="BE158" s="108"/>
      <c r="BF158" s="108"/>
      <c r="BG158" s="108"/>
      <c r="BH158" s="108"/>
      <c r="BI158" s="108"/>
      <c r="BJ158" s="108"/>
      <c r="BK158" s="108"/>
      <c r="BL158" s="108"/>
      <c r="BM158" s="109"/>
      <c r="BN158" s="108"/>
      <c r="BO158" s="108"/>
      <c r="BP158" s="108"/>
    </row>
    <row r="159" spans="1:68" ht="12" customHeight="1" x14ac:dyDescent="0.2">
      <c r="A159" s="179"/>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c r="AA159" s="108"/>
      <c r="AB159" s="108"/>
      <c r="AC159" s="108"/>
      <c r="AD159" s="108"/>
      <c r="AE159" s="108"/>
      <c r="AF159" s="108"/>
      <c r="AG159" s="108"/>
      <c r="AH159" s="108"/>
      <c r="AI159" s="108"/>
      <c r="AJ159" s="108"/>
      <c r="AK159" s="108"/>
      <c r="AL159" s="108"/>
      <c r="AM159" s="108"/>
      <c r="AN159" s="108"/>
      <c r="AO159" s="108"/>
      <c r="AP159" s="108"/>
      <c r="AQ159" s="108"/>
      <c r="AR159" s="108"/>
      <c r="AS159" s="108"/>
      <c r="AT159" s="108"/>
      <c r="AU159" s="108"/>
      <c r="AV159" s="108"/>
      <c r="AW159" s="108"/>
      <c r="AX159" s="108"/>
      <c r="AY159" s="108"/>
      <c r="AZ159" s="108"/>
      <c r="BA159" s="108"/>
      <c r="BB159" s="108"/>
      <c r="BC159" s="108"/>
      <c r="BD159" s="108"/>
      <c r="BE159" s="108"/>
      <c r="BF159" s="108"/>
      <c r="BG159" s="108"/>
      <c r="BH159" s="108"/>
      <c r="BI159" s="108"/>
      <c r="BJ159" s="108"/>
      <c r="BK159" s="108"/>
      <c r="BL159" s="108"/>
      <c r="BM159" s="109"/>
      <c r="BN159" s="108"/>
      <c r="BO159" s="108"/>
      <c r="BP159" s="108"/>
    </row>
    <row r="160" spans="1:68" ht="12" customHeight="1" x14ac:dyDescent="0.2">
      <c r="A160" s="179"/>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c r="AA160" s="108"/>
      <c r="AB160" s="108"/>
      <c r="AC160" s="108"/>
      <c r="AD160" s="108"/>
      <c r="AE160" s="108"/>
      <c r="AF160" s="108"/>
      <c r="AG160" s="108"/>
      <c r="AH160" s="108"/>
      <c r="AI160" s="108"/>
      <c r="AJ160" s="108"/>
      <c r="AK160" s="108"/>
      <c r="AL160" s="108"/>
      <c r="AM160" s="108"/>
      <c r="AN160" s="108"/>
      <c r="AO160" s="108"/>
      <c r="AP160" s="108"/>
      <c r="AQ160" s="108"/>
      <c r="AR160" s="108"/>
      <c r="AS160" s="108"/>
      <c r="AT160" s="108"/>
      <c r="AU160" s="108"/>
      <c r="AV160" s="108"/>
      <c r="AW160" s="108"/>
      <c r="AX160" s="108"/>
      <c r="AY160" s="108"/>
      <c r="AZ160" s="108"/>
      <c r="BA160" s="108"/>
      <c r="BB160" s="108"/>
      <c r="BC160" s="108"/>
      <c r="BD160" s="108"/>
      <c r="BE160" s="108"/>
      <c r="BF160" s="108"/>
      <c r="BG160" s="108"/>
      <c r="BH160" s="108"/>
      <c r="BI160" s="108"/>
      <c r="BJ160" s="108"/>
      <c r="BK160" s="108"/>
      <c r="BL160" s="108"/>
      <c r="BM160" s="109"/>
      <c r="BN160" s="108"/>
      <c r="BO160" s="108"/>
      <c r="BP160" s="108"/>
    </row>
    <row r="161" spans="1:68" ht="12" customHeight="1" x14ac:dyDescent="0.2">
      <c r="A161" s="179"/>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c r="AA161" s="108"/>
      <c r="AB161" s="108"/>
      <c r="AC161" s="108"/>
      <c r="AD161" s="108"/>
      <c r="AE161" s="108"/>
      <c r="AF161" s="108"/>
      <c r="AG161" s="108"/>
      <c r="AH161" s="108"/>
      <c r="AI161" s="108"/>
      <c r="AJ161" s="108"/>
      <c r="AK161" s="108"/>
      <c r="AL161" s="108"/>
      <c r="AM161" s="108"/>
      <c r="AN161" s="108"/>
      <c r="AO161" s="108"/>
      <c r="AP161" s="108"/>
      <c r="AQ161" s="108"/>
      <c r="AR161" s="108"/>
      <c r="AS161" s="108"/>
      <c r="AT161" s="108"/>
      <c r="AU161" s="108"/>
      <c r="AV161" s="108"/>
      <c r="AW161" s="108"/>
      <c r="AX161" s="108"/>
      <c r="AY161" s="108"/>
      <c r="AZ161" s="108"/>
      <c r="BA161" s="108"/>
      <c r="BB161" s="108"/>
      <c r="BC161" s="108"/>
      <c r="BD161" s="108"/>
      <c r="BE161" s="108"/>
      <c r="BF161" s="108"/>
      <c r="BG161" s="108"/>
      <c r="BH161" s="108"/>
      <c r="BI161" s="108"/>
      <c r="BJ161" s="108"/>
      <c r="BK161" s="108"/>
      <c r="BL161" s="108"/>
      <c r="BM161" s="109"/>
      <c r="BN161" s="108"/>
      <c r="BO161" s="108"/>
      <c r="BP161" s="108"/>
    </row>
    <row r="162" spans="1:68" ht="12" customHeight="1" x14ac:dyDescent="0.2">
      <c r="A162" s="179"/>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c r="AA162" s="108"/>
      <c r="AB162" s="108"/>
      <c r="AC162" s="108"/>
      <c r="AD162" s="108"/>
      <c r="AE162" s="108"/>
      <c r="AF162" s="108"/>
      <c r="AG162" s="108"/>
      <c r="AH162" s="108"/>
      <c r="AI162" s="108"/>
      <c r="AJ162" s="108"/>
      <c r="AK162" s="108"/>
      <c r="AL162" s="108"/>
      <c r="AM162" s="108"/>
      <c r="AN162" s="108"/>
      <c r="AO162" s="108"/>
      <c r="AP162" s="108"/>
      <c r="AQ162" s="108"/>
      <c r="AR162" s="108"/>
      <c r="AS162" s="108"/>
      <c r="AT162" s="108"/>
      <c r="AU162" s="108"/>
      <c r="AV162" s="108"/>
      <c r="AW162" s="108"/>
      <c r="AX162" s="108"/>
      <c r="AY162" s="108"/>
      <c r="AZ162" s="108"/>
      <c r="BA162" s="108"/>
      <c r="BB162" s="108"/>
      <c r="BC162" s="108"/>
      <c r="BD162" s="108"/>
      <c r="BE162" s="108"/>
      <c r="BF162" s="108"/>
      <c r="BG162" s="108"/>
      <c r="BH162" s="108"/>
      <c r="BI162" s="108"/>
      <c r="BJ162" s="108"/>
      <c r="BK162" s="108"/>
      <c r="BL162" s="108"/>
      <c r="BM162" s="109"/>
      <c r="BN162" s="108"/>
      <c r="BO162" s="108"/>
      <c r="BP162" s="108"/>
    </row>
    <row r="163" spans="1:68" ht="12" customHeight="1" x14ac:dyDescent="0.2">
      <c r="A163" s="179"/>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c r="AA163" s="108"/>
      <c r="AB163" s="108"/>
      <c r="AC163" s="108"/>
      <c r="AD163" s="108"/>
      <c r="AE163" s="108"/>
      <c r="AF163" s="108"/>
      <c r="AG163" s="108"/>
      <c r="AH163" s="108"/>
      <c r="AI163" s="108"/>
      <c r="AJ163" s="108"/>
      <c r="AK163" s="108"/>
      <c r="AL163" s="108"/>
      <c r="AM163" s="108"/>
      <c r="AN163" s="108"/>
      <c r="AO163" s="108"/>
      <c r="AP163" s="108"/>
      <c r="AQ163" s="108"/>
      <c r="AR163" s="108"/>
      <c r="AS163" s="108"/>
      <c r="AT163" s="108"/>
      <c r="AU163" s="108"/>
      <c r="AV163" s="108"/>
      <c r="AW163" s="108"/>
      <c r="AX163" s="108"/>
      <c r="AY163" s="108"/>
      <c r="AZ163" s="108"/>
      <c r="BA163" s="108"/>
      <c r="BB163" s="108"/>
      <c r="BC163" s="108"/>
      <c r="BD163" s="108"/>
      <c r="BE163" s="108"/>
      <c r="BF163" s="108"/>
      <c r="BG163" s="108"/>
      <c r="BH163" s="108"/>
      <c r="BI163" s="108"/>
      <c r="BJ163" s="108"/>
      <c r="BK163" s="108"/>
      <c r="BL163" s="108"/>
      <c r="BM163" s="109"/>
      <c r="BN163" s="108"/>
      <c r="BO163" s="108"/>
      <c r="BP163" s="108"/>
    </row>
    <row r="164" spans="1:68" ht="12" customHeight="1" x14ac:dyDescent="0.2">
      <c r="A164" s="179"/>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c r="AA164" s="108"/>
      <c r="AB164" s="108"/>
      <c r="AC164" s="108"/>
      <c r="AD164" s="108"/>
      <c r="AE164" s="108"/>
      <c r="AF164" s="108"/>
      <c r="AG164" s="108"/>
      <c r="AH164" s="108"/>
      <c r="AI164" s="108"/>
      <c r="AJ164" s="108"/>
      <c r="AK164" s="108"/>
      <c r="AL164" s="108"/>
      <c r="AM164" s="108"/>
      <c r="AN164" s="108"/>
      <c r="AO164" s="108"/>
      <c r="AP164" s="108"/>
      <c r="AQ164" s="108"/>
      <c r="AR164" s="108"/>
      <c r="AS164" s="108"/>
      <c r="AT164" s="108"/>
      <c r="AU164" s="108"/>
      <c r="AV164" s="108"/>
      <c r="AW164" s="108"/>
      <c r="AX164" s="108"/>
      <c r="AY164" s="108"/>
      <c r="AZ164" s="108"/>
      <c r="BA164" s="108"/>
      <c r="BB164" s="108"/>
      <c r="BC164" s="108"/>
      <c r="BD164" s="108"/>
      <c r="BE164" s="108"/>
      <c r="BF164" s="108"/>
      <c r="BG164" s="108"/>
      <c r="BH164" s="108"/>
      <c r="BI164" s="108"/>
      <c r="BJ164" s="108"/>
      <c r="BK164" s="108"/>
      <c r="BL164" s="108"/>
      <c r="BM164" s="109"/>
      <c r="BN164" s="108"/>
      <c r="BO164" s="108"/>
      <c r="BP164" s="108"/>
    </row>
    <row r="165" spans="1:68" ht="12" customHeight="1" x14ac:dyDescent="0.2">
      <c r="A165" s="179"/>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c r="AA165" s="108"/>
      <c r="AB165" s="108"/>
      <c r="AC165" s="108"/>
      <c r="AD165" s="108"/>
      <c r="AE165" s="108"/>
      <c r="AF165" s="108"/>
      <c r="AG165" s="108"/>
      <c r="AH165" s="108"/>
      <c r="AI165" s="108"/>
      <c r="AJ165" s="108"/>
      <c r="AK165" s="108"/>
      <c r="AL165" s="108"/>
      <c r="AM165" s="108"/>
      <c r="AN165" s="108"/>
      <c r="AO165" s="108"/>
      <c r="AP165" s="108"/>
      <c r="AQ165" s="108"/>
      <c r="AR165" s="108"/>
      <c r="AS165" s="108"/>
      <c r="AT165" s="108"/>
      <c r="AU165" s="108"/>
      <c r="AV165" s="108"/>
      <c r="AW165" s="108"/>
      <c r="AX165" s="108"/>
      <c r="AY165" s="108"/>
      <c r="AZ165" s="108"/>
      <c r="BA165" s="108"/>
      <c r="BB165" s="108"/>
      <c r="BC165" s="108"/>
      <c r="BD165" s="108"/>
      <c r="BE165" s="108"/>
      <c r="BF165" s="108"/>
      <c r="BG165" s="108"/>
      <c r="BH165" s="108"/>
      <c r="BI165" s="108"/>
      <c r="BJ165" s="108"/>
      <c r="BK165" s="108"/>
      <c r="BL165" s="108"/>
      <c r="BM165" s="109"/>
      <c r="BN165" s="108"/>
      <c r="BO165" s="108"/>
      <c r="BP165" s="108"/>
    </row>
    <row r="166" spans="1:68" ht="12" customHeight="1" x14ac:dyDescent="0.2">
      <c r="A166" s="179"/>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c r="AA166" s="108"/>
      <c r="AB166" s="108"/>
      <c r="AC166" s="108"/>
      <c r="AD166" s="108"/>
      <c r="AE166" s="108"/>
      <c r="AF166" s="108"/>
      <c r="AG166" s="108"/>
      <c r="AH166" s="108"/>
      <c r="AI166" s="108"/>
      <c r="AJ166" s="108"/>
      <c r="AK166" s="108"/>
      <c r="AL166" s="108"/>
      <c r="AM166" s="108"/>
      <c r="AN166" s="108"/>
      <c r="AO166" s="108"/>
      <c r="AP166" s="108"/>
      <c r="AQ166" s="108"/>
      <c r="AR166" s="108"/>
      <c r="AS166" s="108"/>
      <c r="AT166" s="108"/>
      <c r="AU166" s="108"/>
      <c r="AV166" s="108"/>
      <c r="AW166" s="108"/>
      <c r="AX166" s="108"/>
      <c r="AY166" s="108"/>
      <c r="AZ166" s="108"/>
      <c r="BA166" s="108"/>
      <c r="BB166" s="108"/>
      <c r="BC166" s="108"/>
      <c r="BD166" s="108"/>
      <c r="BE166" s="108"/>
      <c r="BF166" s="108"/>
      <c r="BG166" s="108"/>
      <c r="BH166" s="108"/>
      <c r="BI166" s="108"/>
      <c r="BJ166" s="108"/>
      <c r="BK166" s="108"/>
      <c r="BL166" s="108"/>
      <c r="BM166" s="109"/>
      <c r="BN166" s="108"/>
      <c r="BO166" s="108"/>
      <c r="BP166" s="108"/>
    </row>
    <row r="167" spans="1:68" ht="12" customHeight="1" x14ac:dyDescent="0.2">
      <c r="A167" s="179"/>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c r="AA167" s="108"/>
      <c r="AB167" s="108"/>
      <c r="AC167" s="108"/>
      <c r="AD167" s="108"/>
      <c r="AE167" s="108"/>
      <c r="AF167" s="108"/>
      <c r="AG167" s="108"/>
      <c r="AH167" s="108"/>
      <c r="AI167" s="108"/>
      <c r="AJ167" s="108"/>
      <c r="AK167" s="108"/>
      <c r="AL167" s="108"/>
      <c r="AM167" s="108"/>
      <c r="AN167" s="108"/>
      <c r="AO167" s="108"/>
      <c r="AP167" s="108"/>
      <c r="AQ167" s="108"/>
      <c r="AR167" s="108"/>
      <c r="AS167" s="108"/>
      <c r="AT167" s="108"/>
      <c r="AU167" s="108"/>
      <c r="AV167" s="108"/>
      <c r="AW167" s="108"/>
      <c r="AX167" s="108"/>
      <c r="AY167" s="108"/>
      <c r="AZ167" s="108"/>
      <c r="BA167" s="108"/>
      <c r="BB167" s="108"/>
      <c r="BC167" s="108"/>
      <c r="BD167" s="108"/>
      <c r="BE167" s="108"/>
      <c r="BF167" s="108"/>
      <c r="BG167" s="108"/>
      <c r="BH167" s="108"/>
      <c r="BI167" s="108"/>
      <c r="BJ167" s="108"/>
      <c r="BK167" s="108"/>
      <c r="BL167" s="108"/>
      <c r="BM167" s="109"/>
      <c r="BN167" s="108"/>
      <c r="BO167" s="108"/>
      <c r="BP167" s="108"/>
    </row>
    <row r="168" spans="1:68" ht="12" customHeight="1" x14ac:dyDescent="0.2">
      <c r="A168" s="179"/>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c r="AA168" s="108"/>
      <c r="AB168" s="108"/>
      <c r="AC168" s="108"/>
      <c r="AD168" s="108"/>
      <c r="AE168" s="108"/>
      <c r="AF168" s="108"/>
      <c r="AG168" s="108"/>
      <c r="AH168" s="108"/>
      <c r="AI168" s="108"/>
      <c r="AJ168" s="108"/>
      <c r="AK168" s="108"/>
      <c r="AL168" s="108"/>
      <c r="AM168" s="108"/>
      <c r="AN168" s="108"/>
      <c r="AO168" s="108"/>
      <c r="AP168" s="108"/>
      <c r="AQ168" s="108"/>
      <c r="AR168" s="108"/>
      <c r="AS168" s="108"/>
      <c r="AT168" s="108"/>
      <c r="AU168" s="108"/>
      <c r="AV168" s="108"/>
      <c r="AW168" s="108"/>
      <c r="AX168" s="108"/>
      <c r="AY168" s="108"/>
      <c r="AZ168" s="108"/>
      <c r="BA168" s="108"/>
      <c r="BB168" s="108"/>
      <c r="BC168" s="108"/>
      <c r="BD168" s="108"/>
      <c r="BE168" s="108"/>
      <c r="BF168" s="108"/>
      <c r="BG168" s="108"/>
      <c r="BH168" s="108"/>
      <c r="BI168" s="108"/>
      <c r="BJ168" s="108"/>
      <c r="BK168" s="108"/>
      <c r="BL168" s="108"/>
      <c r="BM168" s="109"/>
      <c r="BN168" s="108"/>
      <c r="BO168" s="108"/>
      <c r="BP168" s="108"/>
    </row>
    <row r="169" spans="1:68" ht="12" customHeight="1" x14ac:dyDescent="0.2">
      <c r="A169" s="179"/>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c r="AA169" s="108"/>
      <c r="AB169" s="108"/>
      <c r="AC169" s="108"/>
      <c r="AD169" s="108"/>
      <c r="AE169" s="108"/>
      <c r="AF169" s="108"/>
      <c r="AG169" s="108"/>
      <c r="AH169" s="108"/>
      <c r="AI169" s="108"/>
      <c r="AJ169" s="108"/>
      <c r="AK169" s="108"/>
      <c r="AL169" s="108"/>
      <c r="AM169" s="108"/>
      <c r="AN169" s="108"/>
      <c r="AO169" s="108"/>
      <c r="AP169" s="108"/>
      <c r="AQ169" s="108"/>
      <c r="AR169" s="108"/>
      <c r="AS169" s="108"/>
      <c r="AT169" s="108"/>
      <c r="AU169" s="108"/>
      <c r="AV169" s="108"/>
      <c r="AW169" s="108"/>
      <c r="AX169" s="108"/>
      <c r="AY169" s="108"/>
      <c r="AZ169" s="108"/>
      <c r="BA169" s="108"/>
      <c r="BB169" s="108"/>
      <c r="BC169" s="108"/>
      <c r="BD169" s="108"/>
      <c r="BE169" s="108"/>
      <c r="BF169" s="108"/>
      <c r="BG169" s="108"/>
      <c r="BH169" s="108"/>
      <c r="BI169" s="108"/>
      <c r="BJ169" s="108"/>
      <c r="BK169" s="108"/>
      <c r="BL169" s="108"/>
      <c r="BM169" s="109"/>
      <c r="BN169" s="108"/>
      <c r="BO169" s="108"/>
      <c r="BP169" s="108"/>
    </row>
    <row r="170" spans="1:68" ht="12" customHeight="1" x14ac:dyDescent="0.2">
      <c r="A170" s="179"/>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c r="AA170" s="108"/>
      <c r="AB170" s="108"/>
      <c r="AC170" s="108"/>
      <c r="AD170" s="108"/>
      <c r="AE170" s="108"/>
      <c r="AF170" s="108"/>
      <c r="AG170" s="108"/>
      <c r="AH170" s="108"/>
      <c r="AI170" s="108"/>
      <c r="AJ170" s="108"/>
      <c r="AK170" s="108"/>
      <c r="AL170" s="108"/>
      <c r="AM170" s="108"/>
      <c r="AN170" s="108"/>
      <c r="AO170" s="108"/>
      <c r="AP170" s="108"/>
      <c r="AQ170" s="108"/>
      <c r="AR170" s="108"/>
      <c r="AS170" s="108"/>
      <c r="AT170" s="108"/>
      <c r="AU170" s="108"/>
      <c r="AV170" s="108"/>
      <c r="AW170" s="108"/>
      <c r="AX170" s="108"/>
      <c r="AY170" s="108"/>
      <c r="AZ170" s="108"/>
      <c r="BA170" s="108"/>
      <c r="BB170" s="108"/>
      <c r="BC170" s="108"/>
      <c r="BD170" s="108"/>
      <c r="BE170" s="108"/>
      <c r="BF170" s="108"/>
      <c r="BG170" s="108"/>
      <c r="BH170" s="108"/>
      <c r="BI170" s="108"/>
      <c r="BJ170" s="108"/>
      <c r="BK170" s="108"/>
      <c r="BL170" s="108"/>
      <c r="BM170" s="109"/>
      <c r="BN170" s="108"/>
      <c r="BO170" s="108"/>
      <c r="BP170" s="108"/>
    </row>
    <row r="171" spans="1:68" ht="12" customHeight="1" x14ac:dyDescent="0.2">
      <c r="A171" s="179"/>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c r="AA171" s="108"/>
      <c r="AB171" s="108"/>
      <c r="AC171" s="108"/>
      <c r="AD171" s="108"/>
      <c r="AE171" s="108"/>
      <c r="AF171" s="108"/>
      <c r="AG171" s="108"/>
      <c r="AH171" s="108"/>
      <c r="AI171" s="108"/>
      <c r="AJ171" s="108"/>
      <c r="AK171" s="108"/>
      <c r="AL171" s="108"/>
      <c r="AM171" s="108"/>
      <c r="AN171" s="108"/>
      <c r="AO171" s="108"/>
      <c r="AP171" s="108"/>
      <c r="AQ171" s="108"/>
      <c r="AR171" s="108"/>
      <c r="AS171" s="108"/>
      <c r="AT171" s="108"/>
      <c r="AU171" s="108"/>
      <c r="AV171" s="108"/>
      <c r="AW171" s="108"/>
      <c r="AX171" s="108"/>
      <c r="AY171" s="108"/>
      <c r="AZ171" s="108"/>
      <c r="BA171" s="108"/>
      <c r="BB171" s="108"/>
      <c r="BC171" s="108"/>
      <c r="BD171" s="108"/>
      <c r="BE171" s="108"/>
      <c r="BF171" s="108"/>
      <c r="BG171" s="108"/>
      <c r="BH171" s="108"/>
      <c r="BI171" s="108"/>
      <c r="BJ171" s="108"/>
      <c r="BK171" s="108"/>
      <c r="BL171" s="108"/>
      <c r="BM171" s="109"/>
      <c r="BN171" s="108"/>
      <c r="BO171" s="108"/>
      <c r="BP171" s="108"/>
    </row>
    <row r="172" spans="1:68" ht="12" customHeight="1" x14ac:dyDescent="0.2">
      <c r="A172" s="179"/>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c r="AA172" s="108"/>
      <c r="AB172" s="108"/>
      <c r="AC172" s="108"/>
      <c r="AD172" s="108"/>
      <c r="AE172" s="108"/>
      <c r="AF172" s="108"/>
      <c r="AG172" s="108"/>
      <c r="AH172" s="108"/>
      <c r="AI172" s="108"/>
      <c r="AJ172" s="108"/>
      <c r="AK172" s="108"/>
      <c r="AL172" s="108"/>
      <c r="AM172" s="108"/>
      <c r="AN172" s="108"/>
      <c r="AO172" s="108"/>
      <c r="AP172" s="108"/>
      <c r="AQ172" s="108"/>
      <c r="AR172" s="108"/>
      <c r="AS172" s="108"/>
      <c r="AT172" s="108"/>
      <c r="AU172" s="108"/>
      <c r="AV172" s="108"/>
      <c r="AW172" s="108"/>
      <c r="AX172" s="108"/>
      <c r="AY172" s="108"/>
      <c r="AZ172" s="108"/>
      <c r="BA172" s="108"/>
      <c r="BB172" s="108"/>
      <c r="BC172" s="108"/>
      <c r="BD172" s="108"/>
      <c r="BE172" s="108"/>
      <c r="BF172" s="108"/>
      <c r="BG172" s="108"/>
      <c r="BH172" s="108"/>
      <c r="BI172" s="108"/>
      <c r="BJ172" s="108"/>
      <c r="BK172" s="108"/>
      <c r="BL172" s="108"/>
      <c r="BM172" s="109"/>
      <c r="BN172" s="108"/>
      <c r="BO172" s="108"/>
      <c r="BP172" s="108"/>
    </row>
    <row r="173" spans="1:68" ht="12" customHeight="1" x14ac:dyDescent="0.2">
      <c r="A173" s="179"/>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c r="AA173" s="108"/>
      <c r="AB173" s="108"/>
      <c r="AC173" s="108"/>
      <c r="AD173" s="108"/>
      <c r="AE173" s="108"/>
      <c r="AF173" s="108"/>
      <c r="AG173" s="108"/>
      <c r="AH173" s="108"/>
      <c r="AI173" s="108"/>
      <c r="AJ173" s="108"/>
      <c r="AK173" s="108"/>
      <c r="AL173" s="108"/>
      <c r="AM173" s="108"/>
      <c r="AN173" s="108"/>
      <c r="AO173" s="108"/>
      <c r="AP173" s="108"/>
      <c r="AQ173" s="108"/>
      <c r="AR173" s="108"/>
      <c r="AS173" s="108"/>
      <c r="AT173" s="108"/>
      <c r="AU173" s="108"/>
      <c r="AV173" s="108"/>
      <c r="AW173" s="108"/>
      <c r="AX173" s="108"/>
      <c r="AY173" s="108"/>
      <c r="AZ173" s="108"/>
      <c r="BA173" s="108"/>
      <c r="BB173" s="108"/>
      <c r="BC173" s="108"/>
      <c r="BD173" s="108"/>
      <c r="BE173" s="108"/>
      <c r="BF173" s="108"/>
      <c r="BG173" s="108"/>
      <c r="BH173" s="108"/>
      <c r="BI173" s="108"/>
      <c r="BJ173" s="108"/>
      <c r="BK173" s="108"/>
      <c r="BL173" s="108"/>
      <c r="BM173" s="109"/>
      <c r="BN173" s="108"/>
      <c r="BO173" s="108"/>
      <c r="BP173" s="108"/>
    </row>
    <row r="174" spans="1:68" ht="12" customHeight="1" x14ac:dyDescent="0.2">
      <c r="A174" s="179"/>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c r="AA174" s="108"/>
      <c r="AB174" s="108"/>
      <c r="AC174" s="108"/>
      <c r="AD174" s="108"/>
      <c r="AE174" s="108"/>
      <c r="AF174" s="108"/>
      <c r="AG174" s="108"/>
      <c r="AH174" s="108"/>
      <c r="AI174" s="108"/>
      <c r="AJ174" s="108"/>
      <c r="AK174" s="108"/>
      <c r="AL174" s="108"/>
      <c r="AM174" s="108"/>
      <c r="AN174" s="108"/>
      <c r="AO174" s="108"/>
      <c r="AP174" s="108"/>
      <c r="AQ174" s="108"/>
      <c r="AR174" s="108"/>
      <c r="AS174" s="108"/>
      <c r="AT174" s="108"/>
      <c r="AU174" s="108"/>
      <c r="AV174" s="108"/>
      <c r="AW174" s="108"/>
      <c r="AX174" s="108"/>
      <c r="AY174" s="108"/>
      <c r="AZ174" s="108"/>
      <c r="BA174" s="108"/>
      <c r="BB174" s="108"/>
      <c r="BC174" s="108"/>
      <c r="BD174" s="108"/>
      <c r="BE174" s="108"/>
      <c r="BF174" s="108"/>
      <c r="BG174" s="108"/>
      <c r="BH174" s="108"/>
      <c r="BI174" s="108"/>
      <c r="BJ174" s="108"/>
      <c r="BK174" s="108"/>
      <c r="BL174" s="108"/>
      <c r="BM174" s="109"/>
      <c r="BN174" s="108"/>
      <c r="BO174" s="108"/>
      <c r="BP174" s="108"/>
    </row>
    <row r="175" spans="1:68" ht="12" customHeight="1" x14ac:dyDescent="0.2">
      <c r="A175" s="179"/>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c r="AA175" s="108"/>
      <c r="AB175" s="108"/>
      <c r="AC175" s="108"/>
      <c r="AD175" s="108"/>
      <c r="AE175" s="108"/>
      <c r="AF175" s="108"/>
      <c r="AG175" s="108"/>
      <c r="AH175" s="108"/>
      <c r="AI175" s="108"/>
      <c r="AJ175" s="108"/>
      <c r="AK175" s="108"/>
      <c r="AL175" s="108"/>
      <c r="AM175" s="108"/>
      <c r="AN175" s="108"/>
      <c r="AO175" s="108"/>
      <c r="AP175" s="108"/>
      <c r="AQ175" s="108"/>
      <c r="AR175" s="108"/>
      <c r="AS175" s="108"/>
      <c r="AT175" s="108"/>
      <c r="AU175" s="108"/>
      <c r="AV175" s="108"/>
      <c r="AW175" s="108"/>
      <c r="AX175" s="108"/>
      <c r="AY175" s="108"/>
      <c r="AZ175" s="108"/>
      <c r="BA175" s="108"/>
      <c r="BB175" s="108"/>
      <c r="BC175" s="108"/>
      <c r="BD175" s="108"/>
      <c r="BE175" s="108"/>
      <c r="BF175" s="108"/>
      <c r="BG175" s="108"/>
      <c r="BH175" s="108"/>
      <c r="BI175" s="108"/>
      <c r="BJ175" s="108"/>
      <c r="BK175" s="108"/>
      <c r="BL175" s="108"/>
      <c r="BM175" s="109"/>
      <c r="BN175" s="108"/>
      <c r="BO175" s="108"/>
      <c r="BP175" s="108"/>
    </row>
    <row r="176" spans="1:68" ht="12" customHeight="1" x14ac:dyDescent="0.2">
      <c r="A176" s="179"/>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c r="AA176" s="108"/>
      <c r="AB176" s="108"/>
      <c r="AC176" s="108"/>
      <c r="AD176" s="108"/>
      <c r="AE176" s="108"/>
      <c r="AF176" s="108"/>
      <c r="AG176" s="108"/>
      <c r="AH176" s="108"/>
      <c r="AI176" s="108"/>
      <c r="AJ176" s="108"/>
      <c r="AK176" s="108"/>
      <c r="AL176" s="108"/>
      <c r="AM176" s="108"/>
      <c r="AN176" s="108"/>
      <c r="AO176" s="108"/>
      <c r="AP176" s="108"/>
      <c r="AQ176" s="108"/>
      <c r="AR176" s="108"/>
      <c r="AS176" s="108"/>
      <c r="AT176" s="108"/>
      <c r="AU176" s="108"/>
      <c r="AV176" s="108"/>
      <c r="AW176" s="108"/>
      <c r="AX176" s="108"/>
      <c r="AY176" s="108"/>
      <c r="AZ176" s="108"/>
      <c r="BA176" s="108"/>
      <c r="BB176" s="108"/>
      <c r="BC176" s="108"/>
      <c r="BD176" s="108"/>
      <c r="BE176" s="108"/>
      <c r="BF176" s="108"/>
      <c r="BG176" s="108"/>
      <c r="BH176" s="108"/>
      <c r="BI176" s="108"/>
      <c r="BJ176" s="108"/>
      <c r="BK176" s="108"/>
      <c r="BL176" s="108"/>
      <c r="BM176" s="109"/>
      <c r="BN176" s="108"/>
      <c r="BO176" s="108"/>
      <c r="BP176" s="108"/>
    </row>
    <row r="177" spans="1:68" ht="12" customHeight="1" x14ac:dyDescent="0.2">
      <c r="A177" s="179"/>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c r="AA177" s="108"/>
      <c r="AB177" s="108"/>
      <c r="AC177" s="108"/>
      <c r="AD177" s="108"/>
      <c r="AE177" s="108"/>
      <c r="AF177" s="108"/>
      <c r="AG177" s="108"/>
      <c r="AH177" s="108"/>
      <c r="AI177" s="108"/>
      <c r="AJ177" s="108"/>
      <c r="AK177" s="108"/>
      <c r="AL177" s="108"/>
      <c r="AM177" s="108"/>
      <c r="AN177" s="108"/>
      <c r="AO177" s="108"/>
      <c r="AP177" s="108"/>
      <c r="AQ177" s="108"/>
      <c r="AR177" s="108"/>
      <c r="AS177" s="108"/>
      <c r="AT177" s="108"/>
      <c r="AU177" s="108"/>
      <c r="AV177" s="108"/>
      <c r="AW177" s="108"/>
      <c r="AX177" s="108"/>
      <c r="AY177" s="108"/>
      <c r="AZ177" s="108"/>
      <c r="BA177" s="108"/>
      <c r="BB177" s="108"/>
      <c r="BC177" s="108"/>
      <c r="BD177" s="108"/>
      <c r="BE177" s="108"/>
      <c r="BF177" s="108"/>
      <c r="BG177" s="108"/>
      <c r="BH177" s="108"/>
      <c r="BI177" s="108"/>
      <c r="BJ177" s="108"/>
      <c r="BK177" s="108"/>
      <c r="BL177" s="108"/>
      <c r="BM177" s="109"/>
      <c r="BN177" s="108"/>
      <c r="BO177" s="108"/>
      <c r="BP177" s="108"/>
    </row>
    <row r="178" spans="1:68" ht="12" customHeight="1" x14ac:dyDescent="0.2">
      <c r="A178" s="179"/>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c r="AA178" s="108"/>
      <c r="AB178" s="108"/>
      <c r="AC178" s="108"/>
      <c r="AD178" s="108"/>
      <c r="AE178" s="108"/>
      <c r="AF178" s="108"/>
      <c r="AG178" s="108"/>
      <c r="AH178" s="108"/>
      <c r="AI178" s="108"/>
      <c r="AJ178" s="108"/>
      <c r="AK178" s="108"/>
      <c r="AL178" s="108"/>
      <c r="AM178" s="108"/>
      <c r="AN178" s="108"/>
      <c r="AO178" s="108"/>
      <c r="AP178" s="108"/>
      <c r="AQ178" s="108"/>
      <c r="AR178" s="108"/>
      <c r="AS178" s="108"/>
      <c r="AT178" s="108"/>
      <c r="AU178" s="108"/>
      <c r="AV178" s="108"/>
      <c r="AW178" s="108"/>
      <c r="AX178" s="108"/>
      <c r="AY178" s="108"/>
      <c r="AZ178" s="108"/>
      <c r="BA178" s="108"/>
      <c r="BB178" s="108"/>
      <c r="BC178" s="108"/>
      <c r="BD178" s="108"/>
      <c r="BE178" s="108"/>
      <c r="BF178" s="108"/>
      <c r="BG178" s="108"/>
      <c r="BH178" s="108"/>
      <c r="BI178" s="108"/>
      <c r="BJ178" s="108"/>
      <c r="BK178" s="108"/>
      <c r="BL178" s="108"/>
      <c r="BM178" s="109"/>
      <c r="BN178" s="108"/>
      <c r="BO178" s="108"/>
      <c r="BP178" s="108"/>
    </row>
    <row r="179" spans="1:68" ht="12" customHeight="1" x14ac:dyDescent="0.2">
      <c r="A179" s="179"/>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c r="AA179" s="108"/>
      <c r="AB179" s="108"/>
      <c r="AC179" s="108"/>
      <c r="AD179" s="108"/>
      <c r="AE179" s="108"/>
      <c r="AF179" s="108"/>
      <c r="AG179" s="108"/>
      <c r="AH179" s="108"/>
      <c r="AI179" s="108"/>
      <c r="AJ179" s="108"/>
      <c r="AK179" s="108"/>
      <c r="AL179" s="108"/>
      <c r="AM179" s="108"/>
      <c r="AN179" s="108"/>
      <c r="AO179" s="108"/>
      <c r="AP179" s="108"/>
      <c r="AQ179" s="108"/>
      <c r="AR179" s="108"/>
      <c r="AS179" s="108"/>
      <c r="AT179" s="108"/>
      <c r="AU179" s="108"/>
      <c r="AV179" s="108"/>
      <c r="AW179" s="108"/>
      <c r="AX179" s="108"/>
      <c r="AY179" s="108"/>
      <c r="AZ179" s="108"/>
      <c r="BA179" s="108"/>
      <c r="BB179" s="108"/>
      <c r="BC179" s="108"/>
      <c r="BD179" s="108"/>
      <c r="BE179" s="108"/>
      <c r="BF179" s="108"/>
      <c r="BG179" s="108"/>
      <c r="BH179" s="108"/>
      <c r="BI179" s="108"/>
      <c r="BJ179" s="108"/>
      <c r="BK179" s="108"/>
      <c r="BL179" s="108"/>
      <c r="BM179" s="109"/>
      <c r="BN179" s="108"/>
      <c r="BO179" s="108"/>
      <c r="BP179" s="108"/>
    </row>
    <row r="180" spans="1:68" ht="12" customHeight="1" x14ac:dyDescent="0.2">
      <c r="A180" s="179"/>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c r="AA180" s="108"/>
      <c r="AB180" s="108"/>
      <c r="AC180" s="108"/>
      <c r="AD180" s="108"/>
      <c r="AE180" s="108"/>
      <c r="AF180" s="108"/>
      <c r="AG180" s="108"/>
      <c r="AH180" s="108"/>
      <c r="AI180" s="108"/>
      <c r="AJ180" s="108"/>
      <c r="AK180" s="108"/>
      <c r="AL180" s="108"/>
      <c r="AM180" s="108"/>
      <c r="AN180" s="108"/>
      <c r="AO180" s="108"/>
      <c r="AP180" s="108"/>
      <c r="AQ180" s="108"/>
      <c r="AR180" s="108"/>
      <c r="AS180" s="108"/>
      <c r="AT180" s="108"/>
      <c r="AU180" s="108"/>
      <c r="AV180" s="108"/>
      <c r="AW180" s="108"/>
      <c r="AX180" s="108"/>
      <c r="AY180" s="108"/>
      <c r="AZ180" s="108"/>
      <c r="BA180" s="108"/>
      <c r="BB180" s="108"/>
      <c r="BC180" s="108"/>
      <c r="BD180" s="108"/>
      <c r="BE180" s="108"/>
      <c r="BF180" s="108"/>
      <c r="BG180" s="108"/>
      <c r="BH180" s="108"/>
      <c r="BI180" s="108"/>
      <c r="BJ180" s="108"/>
      <c r="BK180" s="108"/>
      <c r="BL180" s="108"/>
      <c r="BM180" s="109"/>
      <c r="BN180" s="108"/>
      <c r="BO180" s="108"/>
      <c r="BP180" s="108"/>
    </row>
    <row r="181" spans="1:68" ht="12" customHeight="1" x14ac:dyDescent="0.2">
      <c r="A181" s="179"/>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c r="AA181" s="108"/>
      <c r="AB181" s="108"/>
      <c r="AC181" s="108"/>
      <c r="AD181" s="108"/>
      <c r="AE181" s="108"/>
      <c r="AF181" s="108"/>
      <c r="AG181" s="108"/>
      <c r="AH181" s="108"/>
      <c r="AI181" s="108"/>
      <c r="AJ181" s="108"/>
      <c r="AK181" s="108"/>
      <c r="AL181" s="108"/>
      <c r="AM181" s="108"/>
      <c r="AN181" s="108"/>
      <c r="AO181" s="108"/>
      <c r="AP181" s="108"/>
      <c r="AQ181" s="108"/>
      <c r="AR181" s="108"/>
      <c r="AS181" s="108"/>
      <c r="AT181" s="108"/>
      <c r="AU181" s="108"/>
      <c r="AV181" s="108"/>
      <c r="AW181" s="108"/>
      <c r="AX181" s="108"/>
      <c r="AY181" s="108"/>
      <c r="AZ181" s="108"/>
      <c r="BA181" s="108"/>
      <c r="BB181" s="108"/>
      <c r="BC181" s="108"/>
      <c r="BD181" s="108"/>
      <c r="BE181" s="108"/>
      <c r="BF181" s="108"/>
      <c r="BG181" s="108"/>
      <c r="BH181" s="108"/>
      <c r="BI181" s="108"/>
      <c r="BJ181" s="108"/>
      <c r="BK181" s="108"/>
      <c r="BL181" s="108"/>
      <c r="BM181" s="109"/>
      <c r="BN181" s="108"/>
      <c r="BO181" s="108"/>
      <c r="BP181" s="108"/>
    </row>
    <row r="182" spans="1:68" ht="12" customHeight="1" x14ac:dyDescent="0.2">
      <c r="A182" s="179"/>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c r="AA182" s="108"/>
      <c r="AB182" s="108"/>
      <c r="AC182" s="108"/>
      <c r="AD182" s="108"/>
      <c r="AE182" s="108"/>
      <c r="AF182" s="108"/>
      <c r="AG182" s="108"/>
      <c r="AH182" s="108"/>
      <c r="AI182" s="108"/>
      <c r="AJ182" s="108"/>
      <c r="AK182" s="108"/>
      <c r="AL182" s="108"/>
      <c r="AM182" s="108"/>
      <c r="AN182" s="108"/>
      <c r="AO182" s="108"/>
      <c r="AP182" s="108"/>
      <c r="AQ182" s="108"/>
      <c r="AR182" s="108"/>
      <c r="AS182" s="108"/>
      <c r="AT182" s="108"/>
      <c r="AU182" s="108"/>
      <c r="AV182" s="108"/>
      <c r="AW182" s="108"/>
      <c r="AX182" s="108"/>
      <c r="AY182" s="108"/>
      <c r="AZ182" s="108"/>
      <c r="BA182" s="108"/>
      <c r="BB182" s="108"/>
      <c r="BC182" s="108"/>
      <c r="BD182" s="108"/>
      <c r="BE182" s="108"/>
      <c r="BF182" s="108"/>
      <c r="BG182" s="108"/>
      <c r="BH182" s="108"/>
      <c r="BI182" s="108"/>
      <c r="BJ182" s="108"/>
      <c r="BK182" s="108"/>
      <c r="BL182" s="108"/>
      <c r="BM182" s="109"/>
      <c r="BN182" s="108"/>
      <c r="BO182" s="108"/>
      <c r="BP182" s="108"/>
    </row>
    <row r="183" spans="1:68" ht="12" customHeight="1" x14ac:dyDescent="0.2">
      <c r="A183" s="179"/>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c r="AA183" s="108"/>
      <c r="AB183" s="108"/>
      <c r="AC183" s="108"/>
      <c r="AD183" s="108"/>
      <c r="AE183" s="108"/>
      <c r="AF183" s="108"/>
      <c r="AG183" s="108"/>
      <c r="AH183" s="108"/>
      <c r="AI183" s="108"/>
      <c r="AJ183" s="108"/>
      <c r="AK183" s="108"/>
      <c r="AL183" s="108"/>
      <c r="AM183" s="108"/>
      <c r="AN183" s="108"/>
      <c r="AO183" s="108"/>
      <c r="AP183" s="108"/>
      <c r="AQ183" s="108"/>
      <c r="AR183" s="108"/>
      <c r="AS183" s="108"/>
      <c r="AT183" s="108"/>
      <c r="AU183" s="108"/>
      <c r="AV183" s="108"/>
      <c r="AW183" s="108"/>
      <c r="AX183" s="108"/>
      <c r="AY183" s="108"/>
      <c r="AZ183" s="108"/>
      <c r="BA183" s="108"/>
      <c r="BB183" s="108"/>
      <c r="BC183" s="108"/>
      <c r="BD183" s="108"/>
      <c r="BE183" s="108"/>
      <c r="BF183" s="108"/>
      <c r="BG183" s="108"/>
      <c r="BH183" s="108"/>
      <c r="BI183" s="108"/>
      <c r="BJ183" s="108"/>
      <c r="BK183" s="108"/>
      <c r="BL183" s="108"/>
      <c r="BM183" s="109"/>
      <c r="BN183" s="108"/>
      <c r="BO183" s="108"/>
      <c r="BP183" s="108"/>
    </row>
    <row r="184" spans="1:68" ht="12" customHeight="1" x14ac:dyDescent="0.2">
      <c r="A184" s="179"/>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c r="AA184" s="108"/>
      <c r="AB184" s="108"/>
      <c r="AC184" s="108"/>
      <c r="AD184" s="108"/>
      <c r="AE184" s="108"/>
      <c r="AF184" s="108"/>
      <c r="AG184" s="108"/>
      <c r="AH184" s="108"/>
      <c r="AI184" s="108"/>
      <c r="AJ184" s="108"/>
      <c r="AK184" s="108"/>
      <c r="AL184" s="108"/>
      <c r="AM184" s="108"/>
      <c r="AN184" s="108"/>
      <c r="AO184" s="108"/>
      <c r="AP184" s="108"/>
      <c r="AQ184" s="108"/>
      <c r="AR184" s="108"/>
      <c r="AS184" s="108"/>
      <c r="AT184" s="108"/>
      <c r="AU184" s="108"/>
      <c r="AV184" s="108"/>
      <c r="AW184" s="108"/>
      <c r="AX184" s="108"/>
      <c r="AY184" s="108"/>
      <c r="AZ184" s="108"/>
      <c r="BA184" s="108"/>
      <c r="BB184" s="108"/>
      <c r="BC184" s="108"/>
      <c r="BD184" s="108"/>
      <c r="BE184" s="108"/>
      <c r="BF184" s="108"/>
      <c r="BG184" s="108"/>
      <c r="BH184" s="108"/>
      <c r="BI184" s="108"/>
      <c r="BJ184" s="108"/>
      <c r="BK184" s="108"/>
      <c r="BL184" s="108"/>
      <c r="BM184" s="109"/>
      <c r="BN184" s="108"/>
      <c r="BO184" s="108"/>
      <c r="BP184" s="108"/>
    </row>
    <row r="185" spans="1:68" ht="12" customHeight="1" x14ac:dyDescent="0.2">
      <c r="A185" s="179"/>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c r="AA185" s="108"/>
      <c r="AB185" s="108"/>
      <c r="AC185" s="108"/>
      <c r="AD185" s="108"/>
      <c r="AE185" s="108"/>
      <c r="AF185" s="108"/>
      <c r="AG185" s="108"/>
      <c r="AH185" s="108"/>
      <c r="AI185" s="108"/>
      <c r="AJ185" s="108"/>
      <c r="AK185" s="108"/>
      <c r="AL185" s="108"/>
      <c r="AM185" s="108"/>
      <c r="AN185" s="108"/>
      <c r="AO185" s="108"/>
      <c r="AP185" s="108"/>
      <c r="AQ185" s="108"/>
      <c r="AR185" s="108"/>
      <c r="AS185" s="108"/>
      <c r="AT185" s="108"/>
      <c r="AU185" s="108"/>
      <c r="AV185" s="108"/>
      <c r="AW185" s="108"/>
      <c r="AX185" s="108"/>
      <c r="AY185" s="108"/>
      <c r="AZ185" s="108"/>
      <c r="BA185" s="108"/>
      <c r="BB185" s="108"/>
      <c r="BC185" s="108"/>
      <c r="BD185" s="108"/>
      <c r="BE185" s="108"/>
      <c r="BF185" s="108"/>
      <c r="BG185" s="108"/>
      <c r="BH185" s="108"/>
      <c r="BI185" s="108"/>
      <c r="BJ185" s="108"/>
      <c r="BK185" s="108"/>
      <c r="BL185" s="108"/>
      <c r="BM185" s="109"/>
      <c r="BN185" s="108"/>
      <c r="BO185" s="108"/>
      <c r="BP185" s="108"/>
    </row>
    <row r="186" spans="1:68" ht="12" customHeight="1" x14ac:dyDescent="0.2">
      <c r="A186" s="179"/>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c r="AA186" s="108"/>
      <c r="AB186" s="108"/>
      <c r="AC186" s="108"/>
      <c r="AD186" s="108"/>
      <c r="AE186" s="108"/>
      <c r="AF186" s="108"/>
      <c r="AG186" s="108"/>
      <c r="AH186" s="108"/>
      <c r="AI186" s="108"/>
      <c r="AJ186" s="108"/>
      <c r="AK186" s="108"/>
      <c r="AL186" s="108"/>
      <c r="AM186" s="108"/>
      <c r="AN186" s="108"/>
      <c r="AO186" s="108"/>
      <c r="AP186" s="108"/>
      <c r="AQ186" s="108"/>
      <c r="AR186" s="108"/>
      <c r="AS186" s="108"/>
      <c r="AT186" s="108"/>
      <c r="AU186" s="108"/>
      <c r="AV186" s="108"/>
      <c r="AW186" s="108"/>
      <c r="AX186" s="108"/>
      <c r="AY186" s="108"/>
      <c r="AZ186" s="108"/>
      <c r="BA186" s="108"/>
      <c r="BB186" s="108"/>
      <c r="BC186" s="108"/>
      <c r="BD186" s="108"/>
      <c r="BE186" s="108"/>
      <c r="BF186" s="108"/>
      <c r="BG186" s="108"/>
      <c r="BH186" s="108"/>
      <c r="BI186" s="108"/>
      <c r="BJ186" s="108"/>
      <c r="BK186" s="108"/>
      <c r="BL186" s="108"/>
      <c r="BM186" s="109"/>
      <c r="BN186" s="108"/>
      <c r="BO186" s="108"/>
      <c r="BP186" s="108"/>
    </row>
    <row r="187" spans="1:68" ht="12" customHeight="1" x14ac:dyDescent="0.2">
      <c r="A187" s="179"/>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c r="AA187" s="108"/>
      <c r="AB187" s="108"/>
      <c r="AC187" s="108"/>
      <c r="AD187" s="108"/>
      <c r="AE187" s="108"/>
      <c r="AF187" s="108"/>
      <c r="AG187" s="108"/>
      <c r="AH187" s="108"/>
      <c r="AI187" s="108"/>
      <c r="AJ187" s="108"/>
      <c r="AK187" s="108"/>
      <c r="AL187" s="108"/>
      <c r="AM187" s="108"/>
      <c r="AN187" s="108"/>
      <c r="AO187" s="108"/>
      <c r="AP187" s="108"/>
      <c r="AQ187" s="108"/>
      <c r="AR187" s="108"/>
      <c r="AS187" s="108"/>
      <c r="AT187" s="108"/>
      <c r="AU187" s="108"/>
      <c r="AV187" s="108"/>
      <c r="AW187" s="108"/>
      <c r="AX187" s="108"/>
      <c r="AY187" s="108"/>
      <c r="AZ187" s="108"/>
      <c r="BA187" s="108"/>
      <c r="BB187" s="108"/>
      <c r="BC187" s="108"/>
      <c r="BD187" s="108"/>
      <c r="BE187" s="108"/>
      <c r="BF187" s="108"/>
      <c r="BG187" s="108"/>
      <c r="BH187" s="108"/>
      <c r="BI187" s="108"/>
      <c r="BJ187" s="108"/>
      <c r="BK187" s="108"/>
      <c r="BL187" s="108"/>
      <c r="BM187" s="109"/>
      <c r="BN187" s="108"/>
      <c r="BO187" s="108"/>
      <c r="BP187" s="108"/>
    </row>
    <row r="188" spans="1:68" ht="12" customHeight="1" x14ac:dyDescent="0.2">
      <c r="A188" s="179"/>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c r="AA188" s="108"/>
      <c r="AB188" s="108"/>
      <c r="AC188" s="108"/>
      <c r="AD188" s="108"/>
      <c r="AE188" s="108"/>
      <c r="AF188" s="108"/>
      <c r="AG188" s="108"/>
      <c r="AH188" s="108"/>
      <c r="AI188" s="108"/>
      <c r="AJ188" s="108"/>
      <c r="AK188" s="108"/>
      <c r="AL188" s="108"/>
      <c r="AM188" s="108"/>
      <c r="AN188" s="108"/>
      <c r="AO188" s="108"/>
      <c r="AP188" s="108"/>
      <c r="AQ188" s="108"/>
      <c r="AR188" s="108"/>
      <c r="AS188" s="108"/>
      <c r="AT188" s="108"/>
      <c r="AU188" s="108"/>
      <c r="AV188" s="108"/>
      <c r="AW188" s="108"/>
      <c r="AX188" s="108"/>
      <c r="AY188" s="108"/>
      <c r="AZ188" s="108"/>
      <c r="BA188" s="108"/>
      <c r="BB188" s="108"/>
      <c r="BC188" s="108"/>
      <c r="BD188" s="108"/>
      <c r="BE188" s="108"/>
      <c r="BF188" s="108"/>
      <c r="BG188" s="108"/>
      <c r="BH188" s="108"/>
      <c r="BI188" s="108"/>
      <c r="BJ188" s="108"/>
      <c r="BK188" s="108"/>
      <c r="BL188" s="108"/>
      <c r="BM188" s="109"/>
      <c r="BN188" s="108"/>
      <c r="BO188" s="108"/>
      <c r="BP188" s="108"/>
    </row>
    <row r="189" spans="1:68" ht="12" customHeight="1" x14ac:dyDescent="0.2">
      <c r="A189" s="179"/>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c r="AA189" s="108"/>
      <c r="AB189" s="108"/>
      <c r="AC189" s="108"/>
      <c r="AD189" s="108"/>
      <c r="AE189" s="108"/>
      <c r="AF189" s="108"/>
      <c r="AG189" s="108"/>
      <c r="AH189" s="108"/>
      <c r="AI189" s="108"/>
      <c r="AJ189" s="108"/>
      <c r="AK189" s="108"/>
      <c r="AL189" s="108"/>
      <c r="AM189" s="108"/>
      <c r="AN189" s="108"/>
      <c r="AO189" s="108"/>
      <c r="AP189" s="108"/>
      <c r="AQ189" s="108"/>
      <c r="AR189" s="108"/>
      <c r="AS189" s="108"/>
      <c r="AT189" s="108"/>
      <c r="AU189" s="108"/>
      <c r="AV189" s="108"/>
      <c r="AW189" s="108"/>
      <c r="AX189" s="108"/>
      <c r="AY189" s="108"/>
      <c r="AZ189" s="108"/>
      <c r="BA189" s="108"/>
      <c r="BB189" s="108"/>
      <c r="BC189" s="108"/>
      <c r="BD189" s="108"/>
      <c r="BE189" s="108"/>
      <c r="BF189" s="108"/>
      <c r="BG189" s="108"/>
      <c r="BH189" s="108"/>
      <c r="BI189" s="108"/>
      <c r="BJ189" s="108"/>
      <c r="BK189" s="108"/>
      <c r="BL189" s="108"/>
      <c r="BM189" s="109"/>
      <c r="BN189" s="108"/>
      <c r="BO189" s="108"/>
      <c r="BP189" s="108"/>
    </row>
    <row r="190" spans="1:68" ht="12" customHeight="1" x14ac:dyDescent="0.2">
      <c r="A190" s="179"/>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c r="AA190" s="108"/>
      <c r="AB190" s="108"/>
      <c r="AC190" s="108"/>
      <c r="AD190" s="108"/>
      <c r="AE190" s="108"/>
      <c r="AF190" s="108"/>
      <c r="AG190" s="108"/>
      <c r="AH190" s="108"/>
      <c r="AI190" s="108"/>
      <c r="AJ190" s="108"/>
      <c r="AK190" s="108"/>
      <c r="AL190" s="108"/>
      <c r="AM190" s="108"/>
      <c r="AN190" s="108"/>
      <c r="AO190" s="108"/>
      <c r="AP190" s="108"/>
      <c r="AQ190" s="108"/>
      <c r="AR190" s="108"/>
      <c r="AS190" s="108"/>
      <c r="AT190" s="108"/>
      <c r="AU190" s="108"/>
      <c r="AV190" s="108"/>
      <c r="AW190" s="108"/>
      <c r="AX190" s="108"/>
      <c r="AY190" s="108"/>
      <c r="AZ190" s="108"/>
      <c r="BA190" s="108"/>
      <c r="BB190" s="108"/>
      <c r="BC190" s="108"/>
      <c r="BD190" s="108"/>
      <c r="BE190" s="108"/>
      <c r="BF190" s="108"/>
      <c r="BG190" s="108"/>
      <c r="BH190" s="108"/>
      <c r="BI190" s="108"/>
      <c r="BJ190" s="108"/>
      <c r="BK190" s="108"/>
      <c r="BL190" s="108"/>
      <c r="BM190" s="109"/>
      <c r="BN190" s="108"/>
      <c r="BO190" s="108"/>
      <c r="BP190" s="108"/>
    </row>
    <row r="191" spans="1:68" ht="12" customHeight="1" x14ac:dyDescent="0.2">
      <c r="A191" s="179"/>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c r="AA191" s="108"/>
      <c r="AB191" s="108"/>
      <c r="AC191" s="108"/>
      <c r="AD191" s="108"/>
      <c r="AE191" s="108"/>
      <c r="AF191" s="108"/>
      <c r="AG191" s="108"/>
      <c r="AH191" s="108"/>
      <c r="AI191" s="108"/>
      <c r="AJ191" s="108"/>
      <c r="AK191" s="108"/>
      <c r="AL191" s="108"/>
      <c r="AM191" s="108"/>
      <c r="AN191" s="108"/>
      <c r="AO191" s="108"/>
      <c r="AP191" s="108"/>
      <c r="AQ191" s="108"/>
      <c r="AR191" s="108"/>
      <c r="AS191" s="108"/>
      <c r="AT191" s="108"/>
      <c r="AU191" s="108"/>
      <c r="AV191" s="108"/>
      <c r="AW191" s="108"/>
      <c r="AX191" s="108"/>
      <c r="AY191" s="108"/>
      <c r="AZ191" s="108"/>
      <c r="BA191" s="108"/>
      <c r="BB191" s="108"/>
      <c r="BC191" s="108"/>
      <c r="BD191" s="108"/>
      <c r="BE191" s="108"/>
      <c r="BF191" s="108"/>
      <c r="BG191" s="108"/>
      <c r="BH191" s="108"/>
      <c r="BI191" s="108"/>
      <c r="BJ191" s="108"/>
      <c r="BK191" s="108"/>
      <c r="BL191" s="108"/>
      <c r="BM191" s="109"/>
      <c r="BN191" s="108"/>
      <c r="BO191" s="108"/>
      <c r="BP191" s="108"/>
    </row>
    <row r="192" spans="1:68" ht="12" customHeight="1" x14ac:dyDescent="0.2">
      <c r="A192" s="179"/>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c r="AA192" s="108"/>
      <c r="AB192" s="108"/>
      <c r="AC192" s="108"/>
      <c r="AD192" s="108"/>
      <c r="AE192" s="108"/>
      <c r="AF192" s="108"/>
      <c r="AG192" s="108"/>
      <c r="AH192" s="108"/>
      <c r="AI192" s="108"/>
      <c r="AJ192" s="108"/>
      <c r="AK192" s="108"/>
      <c r="AL192" s="108"/>
      <c r="AM192" s="108"/>
      <c r="AN192" s="108"/>
      <c r="AO192" s="108"/>
      <c r="AP192" s="108"/>
      <c r="AQ192" s="108"/>
      <c r="AR192" s="108"/>
      <c r="AS192" s="108"/>
      <c r="AT192" s="108"/>
      <c r="AU192" s="108"/>
      <c r="AV192" s="108"/>
      <c r="AW192" s="108"/>
      <c r="AX192" s="108"/>
      <c r="AY192" s="108"/>
      <c r="AZ192" s="108"/>
      <c r="BA192" s="108"/>
      <c r="BB192" s="108"/>
      <c r="BC192" s="108"/>
      <c r="BD192" s="108"/>
      <c r="BE192" s="108"/>
      <c r="BF192" s="108"/>
      <c r="BG192" s="108"/>
      <c r="BH192" s="108"/>
      <c r="BI192" s="108"/>
      <c r="BJ192" s="108"/>
      <c r="BK192" s="108"/>
      <c r="BL192" s="108"/>
      <c r="BM192" s="109"/>
      <c r="BN192" s="108"/>
      <c r="BO192" s="108"/>
      <c r="BP192" s="108"/>
    </row>
    <row r="193" spans="1:68" ht="12" customHeight="1" x14ac:dyDescent="0.2">
      <c r="A193" s="179"/>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c r="AA193" s="108"/>
      <c r="AB193" s="108"/>
      <c r="AC193" s="108"/>
      <c r="AD193" s="108"/>
      <c r="AE193" s="108"/>
      <c r="AF193" s="108"/>
      <c r="AG193" s="108"/>
      <c r="AH193" s="108"/>
      <c r="AI193" s="108"/>
      <c r="AJ193" s="108"/>
      <c r="AK193" s="108"/>
      <c r="AL193" s="108"/>
      <c r="AM193" s="108"/>
      <c r="AN193" s="108"/>
      <c r="AO193" s="108"/>
      <c r="AP193" s="108"/>
      <c r="AQ193" s="108"/>
      <c r="AR193" s="108"/>
      <c r="AS193" s="108"/>
      <c r="AT193" s="108"/>
      <c r="AU193" s="108"/>
      <c r="AV193" s="108"/>
      <c r="AW193" s="108"/>
      <c r="AX193" s="108"/>
      <c r="AY193" s="108"/>
      <c r="AZ193" s="108"/>
      <c r="BA193" s="108"/>
      <c r="BB193" s="108"/>
      <c r="BC193" s="108"/>
      <c r="BD193" s="108"/>
      <c r="BE193" s="108"/>
      <c r="BF193" s="108"/>
      <c r="BG193" s="108"/>
      <c r="BH193" s="108"/>
      <c r="BI193" s="108"/>
      <c r="BJ193" s="108"/>
      <c r="BK193" s="108"/>
      <c r="BL193" s="108"/>
      <c r="BM193" s="109"/>
      <c r="BN193" s="108"/>
      <c r="BO193" s="108"/>
      <c r="BP193" s="108"/>
    </row>
    <row r="194" spans="1:68" ht="12" customHeight="1" x14ac:dyDescent="0.2">
      <c r="A194" s="179"/>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c r="AA194" s="108"/>
      <c r="AB194" s="108"/>
      <c r="AC194" s="108"/>
      <c r="AD194" s="108"/>
      <c r="AE194" s="108"/>
      <c r="AF194" s="108"/>
      <c r="AG194" s="108"/>
      <c r="AH194" s="108"/>
      <c r="AI194" s="108"/>
      <c r="AJ194" s="108"/>
      <c r="AK194" s="108"/>
      <c r="AL194" s="108"/>
      <c r="AM194" s="108"/>
      <c r="AN194" s="108"/>
      <c r="AO194" s="108"/>
      <c r="AP194" s="108"/>
      <c r="AQ194" s="108"/>
      <c r="AR194" s="108"/>
      <c r="AS194" s="108"/>
      <c r="AT194" s="108"/>
      <c r="AU194" s="108"/>
      <c r="AV194" s="108"/>
      <c r="AW194" s="108"/>
      <c r="AX194" s="108"/>
      <c r="AY194" s="108"/>
      <c r="AZ194" s="108"/>
      <c r="BA194" s="108"/>
      <c r="BB194" s="108"/>
      <c r="BC194" s="108"/>
      <c r="BD194" s="108"/>
      <c r="BE194" s="108"/>
      <c r="BF194" s="108"/>
      <c r="BG194" s="108"/>
      <c r="BH194" s="108"/>
      <c r="BI194" s="108"/>
      <c r="BJ194" s="108"/>
      <c r="BK194" s="108"/>
      <c r="BL194" s="108"/>
      <c r="BM194" s="109"/>
      <c r="BN194" s="108"/>
      <c r="BO194" s="108"/>
      <c r="BP194" s="108"/>
    </row>
    <row r="195" spans="1:68" ht="12" customHeight="1" x14ac:dyDescent="0.2">
      <c r="A195" s="179"/>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c r="AA195" s="108"/>
      <c r="AB195" s="108"/>
      <c r="AC195" s="108"/>
      <c r="AD195" s="108"/>
      <c r="AE195" s="108"/>
      <c r="AF195" s="108"/>
      <c r="AG195" s="108"/>
      <c r="AH195" s="108"/>
      <c r="AI195" s="108"/>
      <c r="AJ195" s="108"/>
      <c r="AK195" s="108"/>
      <c r="AL195" s="108"/>
      <c r="AM195" s="108"/>
      <c r="AN195" s="108"/>
      <c r="AO195" s="108"/>
      <c r="AP195" s="108"/>
      <c r="AQ195" s="108"/>
      <c r="AR195" s="108"/>
      <c r="AS195" s="108"/>
      <c r="AT195" s="108"/>
      <c r="AU195" s="108"/>
      <c r="AV195" s="108"/>
      <c r="AW195" s="108"/>
      <c r="AX195" s="108"/>
      <c r="AY195" s="108"/>
      <c r="AZ195" s="108"/>
      <c r="BA195" s="108"/>
      <c r="BB195" s="108"/>
      <c r="BC195" s="108"/>
      <c r="BD195" s="108"/>
      <c r="BE195" s="108"/>
      <c r="BF195" s="108"/>
      <c r="BG195" s="108"/>
      <c r="BH195" s="108"/>
      <c r="BI195" s="108"/>
      <c r="BJ195" s="108"/>
      <c r="BK195" s="108"/>
      <c r="BL195" s="108"/>
      <c r="BM195" s="109"/>
      <c r="BN195" s="108"/>
      <c r="BO195" s="108"/>
      <c r="BP195" s="108"/>
    </row>
    <row r="196" spans="1:68" ht="12" customHeight="1" x14ac:dyDescent="0.2">
      <c r="A196" s="179"/>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c r="AA196" s="108"/>
      <c r="AB196" s="108"/>
      <c r="AC196" s="108"/>
      <c r="AD196" s="108"/>
      <c r="AE196" s="108"/>
      <c r="AF196" s="108"/>
      <c r="AG196" s="108"/>
      <c r="AH196" s="108"/>
      <c r="AI196" s="108"/>
      <c r="AJ196" s="108"/>
      <c r="AK196" s="108"/>
      <c r="AL196" s="108"/>
      <c r="AM196" s="108"/>
      <c r="AN196" s="108"/>
      <c r="AO196" s="108"/>
      <c r="AP196" s="108"/>
      <c r="AQ196" s="108"/>
      <c r="AR196" s="108"/>
      <c r="AS196" s="108"/>
      <c r="AT196" s="108"/>
      <c r="AU196" s="108"/>
      <c r="AV196" s="108"/>
      <c r="AW196" s="108"/>
      <c r="AX196" s="108"/>
      <c r="AY196" s="108"/>
      <c r="AZ196" s="108"/>
      <c r="BA196" s="108"/>
      <c r="BB196" s="108"/>
      <c r="BC196" s="108"/>
      <c r="BD196" s="108"/>
      <c r="BE196" s="108"/>
      <c r="BF196" s="108"/>
      <c r="BG196" s="108"/>
      <c r="BH196" s="108"/>
      <c r="BI196" s="108"/>
      <c r="BJ196" s="108"/>
      <c r="BK196" s="108"/>
      <c r="BL196" s="108"/>
      <c r="BM196" s="109"/>
      <c r="BN196" s="108"/>
      <c r="BO196" s="108"/>
      <c r="BP196" s="108"/>
    </row>
    <row r="197" spans="1:68" ht="12" customHeight="1" x14ac:dyDescent="0.2">
      <c r="A197" s="179"/>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c r="AA197" s="108"/>
      <c r="AB197" s="108"/>
      <c r="AC197" s="108"/>
      <c r="AD197" s="108"/>
      <c r="AE197" s="108"/>
      <c r="AF197" s="108"/>
      <c r="AG197" s="108"/>
      <c r="AH197" s="108"/>
      <c r="AI197" s="108"/>
      <c r="AJ197" s="108"/>
      <c r="AK197" s="108"/>
      <c r="AL197" s="108"/>
      <c r="AM197" s="108"/>
      <c r="AN197" s="108"/>
      <c r="AO197" s="108"/>
      <c r="AP197" s="108"/>
      <c r="AQ197" s="108"/>
      <c r="AR197" s="108"/>
      <c r="AS197" s="108"/>
      <c r="AT197" s="108"/>
      <c r="AU197" s="108"/>
      <c r="AV197" s="108"/>
      <c r="AW197" s="108"/>
      <c r="AX197" s="108"/>
      <c r="AY197" s="108"/>
      <c r="AZ197" s="108"/>
      <c r="BA197" s="108"/>
      <c r="BB197" s="108"/>
      <c r="BC197" s="108"/>
      <c r="BD197" s="108"/>
      <c r="BE197" s="108"/>
      <c r="BF197" s="108"/>
      <c r="BG197" s="108"/>
      <c r="BH197" s="108"/>
      <c r="BI197" s="108"/>
      <c r="BJ197" s="108"/>
      <c r="BK197" s="108"/>
      <c r="BL197" s="108"/>
      <c r="BM197" s="109"/>
      <c r="BN197" s="108"/>
      <c r="BO197" s="108"/>
      <c r="BP197" s="108"/>
    </row>
    <row r="198" spans="1:68" ht="12" customHeight="1" x14ac:dyDescent="0.2">
      <c r="A198" s="179"/>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c r="AA198" s="108"/>
      <c r="AB198" s="108"/>
      <c r="AC198" s="108"/>
      <c r="AD198" s="108"/>
      <c r="AE198" s="108"/>
      <c r="AF198" s="108"/>
      <c r="AG198" s="108"/>
      <c r="AH198" s="108"/>
      <c r="AI198" s="108"/>
      <c r="AJ198" s="108"/>
      <c r="AK198" s="108"/>
      <c r="AL198" s="108"/>
      <c r="AM198" s="108"/>
      <c r="AN198" s="108"/>
      <c r="AO198" s="108"/>
      <c r="AP198" s="108"/>
      <c r="AQ198" s="108"/>
      <c r="AR198" s="108"/>
      <c r="AS198" s="108"/>
      <c r="AT198" s="108"/>
      <c r="AU198" s="108"/>
      <c r="AV198" s="108"/>
      <c r="AW198" s="108"/>
      <c r="AX198" s="108"/>
      <c r="AY198" s="108"/>
      <c r="AZ198" s="108"/>
      <c r="BA198" s="108"/>
      <c r="BB198" s="108"/>
      <c r="BC198" s="108"/>
      <c r="BD198" s="108"/>
      <c r="BE198" s="108"/>
      <c r="BF198" s="108"/>
      <c r="BG198" s="108"/>
      <c r="BH198" s="108"/>
      <c r="BI198" s="108"/>
      <c r="BJ198" s="108"/>
      <c r="BK198" s="108"/>
      <c r="BL198" s="108"/>
      <c r="BM198" s="109"/>
      <c r="BN198" s="108"/>
      <c r="BO198" s="108"/>
      <c r="BP198" s="108"/>
    </row>
    <row r="199" spans="1:68" ht="12" customHeight="1" x14ac:dyDescent="0.2">
      <c r="A199" s="179"/>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c r="AA199" s="108"/>
      <c r="AB199" s="108"/>
      <c r="AC199" s="108"/>
      <c r="AD199" s="108"/>
      <c r="AE199" s="108"/>
      <c r="AF199" s="108"/>
      <c r="AG199" s="108"/>
      <c r="AH199" s="108"/>
      <c r="AI199" s="108"/>
      <c r="AJ199" s="108"/>
      <c r="AK199" s="108"/>
      <c r="AL199" s="108"/>
      <c r="AM199" s="108"/>
      <c r="AN199" s="108"/>
      <c r="AO199" s="108"/>
      <c r="AP199" s="108"/>
      <c r="AQ199" s="108"/>
      <c r="AR199" s="108"/>
      <c r="AS199" s="108"/>
      <c r="AT199" s="108"/>
      <c r="AU199" s="108"/>
      <c r="AV199" s="108"/>
      <c r="AW199" s="108"/>
      <c r="AX199" s="108"/>
      <c r="AY199" s="108"/>
      <c r="AZ199" s="108"/>
      <c r="BA199" s="108"/>
      <c r="BB199" s="108"/>
      <c r="BC199" s="108"/>
      <c r="BD199" s="108"/>
      <c r="BE199" s="108"/>
      <c r="BF199" s="108"/>
      <c r="BG199" s="108"/>
      <c r="BH199" s="108"/>
      <c r="BI199" s="108"/>
      <c r="BJ199" s="108"/>
      <c r="BK199" s="108"/>
      <c r="BL199" s="108"/>
      <c r="BM199" s="109"/>
      <c r="BN199" s="108"/>
      <c r="BO199" s="108"/>
      <c r="BP199" s="108"/>
    </row>
    <row r="200" spans="1:68" ht="12" customHeight="1" x14ac:dyDescent="0.2">
      <c r="A200" s="179"/>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c r="AA200" s="108"/>
      <c r="AB200" s="108"/>
      <c r="AC200" s="108"/>
      <c r="AD200" s="108"/>
      <c r="AE200" s="108"/>
      <c r="AF200" s="108"/>
      <c r="AG200" s="108"/>
      <c r="AH200" s="108"/>
      <c r="AI200" s="108"/>
      <c r="AJ200" s="108"/>
      <c r="AK200" s="108"/>
      <c r="AL200" s="108"/>
      <c r="AM200" s="108"/>
      <c r="AN200" s="108"/>
      <c r="AO200" s="108"/>
      <c r="AP200" s="108"/>
      <c r="AQ200" s="108"/>
      <c r="AR200" s="108"/>
      <c r="AS200" s="108"/>
      <c r="AT200" s="108"/>
      <c r="AU200" s="108"/>
      <c r="AV200" s="108"/>
      <c r="AW200" s="108"/>
      <c r="AX200" s="108"/>
      <c r="AY200" s="108"/>
      <c r="AZ200" s="108"/>
      <c r="BA200" s="108"/>
      <c r="BB200" s="108"/>
      <c r="BC200" s="108"/>
      <c r="BD200" s="108"/>
      <c r="BE200" s="108"/>
      <c r="BF200" s="108"/>
      <c r="BG200" s="108"/>
      <c r="BH200" s="108"/>
      <c r="BI200" s="108"/>
      <c r="BJ200" s="108"/>
      <c r="BK200" s="108"/>
      <c r="BL200" s="108"/>
      <c r="BM200" s="109"/>
      <c r="BN200" s="108"/>
      <c r="BO200" s="108"/>
      <c r="BP200" s="108"/>
    </row>
    <row r="201" spans="1:68" ht="12" customHeight="1" x14ac:dyDescent="0.2">
      <c r="A201" s="179"/>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c r="AA201" s="108"/>
      <c r="AB201" s="108"/>
      <c r="AC201" s="108"/>
      <c r="AD201" s="108"/>
      <c r="AE201" s="108"/>
      <c r="AF201" s="108"/>
      <c r="AG201" s="108"/>
      <c r="AH201" s="108"/>
      <c r="AI201" s="108"/>
      <c r="AJ201" s="108"/>
      <c r="AK201" s="108"/>
      <c r="AL201" s="108"/>
      <c r="AM201" s="108"/>
      <c r="AN201" s="108"/>
      <c r="AO201" s="108"/>
      <c r="AP201" s="108"/>
      <c r="AQ201" s="108"/>
      <c r="AR201" s="108"/>
      <c r="AS201" s="108"/>
      <c r="AT201" s="108"/>
      <c r="AU201" s="108"/>
      <c r="AV201" s="108"/>
      <c r="AW201" s="108"/>
      <c r="AX201" s="108"/>
      <c r="AY201" s="108"/>
      <c r="AZ201" s="108"/>
      <c r="BA201" s="108"/>
      <c r="BB201" s="108"/>
      <c r="BC201" s="108"/>
      <c r="BD201" s="108"/>
      <c r="BE201" s="108"/>
      <c r="BF201" s="108"/>
      <c r="BG201" s="108"/>
      <c r="BH201" s="108"/>
      <c r="BI201" s="108"/>
      <c r="BJ201" s="108"/>
      <c r="BK201" s="108"/>
      <c r="BL201" s="108"/>
      <c r="BM201" s="109"/>
      <c r="BN201" s="108"/>
      <c r="BO201" s="108"/>
      <c r="BP201" s="108"/>
    </row>
    <row r="202" spans="1:68" ht="12" customHeight="1" x14ac:dyDescent="0.2">
      <c r="A202" s="179"/>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c r="AA202" s="108"/>
      <c r="AB202" s="108"/>
      <c r="AC202" s="108"/>
      <c r="AD202" s="108"/>
      <c r="AE202" s="108"/>
      <c r="AF202" s="108"/>
      <c r="AG202" s="108"/>
      <c r="AH202" s="108"/>
      <c r="AI202" s="108"/>
      <c r="AJ202" s="108"/>
      <c r="AK202" s="108"/>
      <c r="AL202" s="108"/>
      <c r="AM202" s="108"/>
      <c r="AN202" s="108"/>
      <c r="AO202" s="108"/>
      <c r="AP202" s="108"/>
      <c r="AQ202" s="108"/>
      <c r="AR202" s="108"/>
      <c r="AS202" s="108"/>
      <c r="AT202" s="108"/>
      <c r="AU202" s="108"/>
      <c r="AV202" s="108"/>
      <c r="AW202" s="108"/>
      <c r="AX202" s="108"/>
      <c r="AY202" s="108"/>
      <c r="AZ202" s="108"/>
      <c r="BA202" s="108"/>
      <c r="BB202" s="108"/>
      <c r="BC202" s="108"/>
      <c r="BD202" s="108"/>
      <c r="BE202" s="108"/>
      <c r="BF202" s="108"/>
      <c r="BG202" s="108"/>
      <c r="BH202" s="108"/>
      <c r="BI202" s="108"/>
      <c r="BJ202" s="108"/>
      <c r="BK202" s="108"/>
      <c r="BL202" s="108"/>
      <c r="BM202" s="109"/>
      <c r="BN202" s="108"/>
      <c r="BO202" s="108"/>
      <c r="BP202" s="108"/>
    </row>
    <row r="203" spans="1:68" ht="12" customHeight="1" x14ac:dyDescent="0.2">
      <c r="A203" s="179"/>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c r="AA203" s="108"/>
      <c r="AB203" s="108"/>
      <c r="AC203" s="108"/>
      <c r="AD203" s="108"/>
      <c r="AE203" s="108"/>
      <c r="AF203" s="108"/>
      <c r="AG203" s="108"/>
      <c r="AH203" s="108"/>
      <c r="AI203" s="108"/>
      <c r="AJ203" s="108"/>
      <c r="AK203" s="108"/>
      <c r="AL203" s="108"/>
      <c r="AM203" s="108"/>
      <c r="AN203" s="108"/>
      <c r="AO203" s="108"/>
      <c r="AP203" s="108"/>
      <c r="AQ203" s="108"/>
      <c r="AR203" s="108"/>
      <c r="AS203" s="108"/>
      <c r="AT203" s="108"/>
      <c r="AU203" s="108"/>
      <c r="AV203" s="108"/>
      <c r="AW203" s="108"/>
      <c r="AX203" s="108"/>
      <c r="AY203" s="108"/>
      <c r="AZ203" s="108"/>
      <c r="BA203" s="108"/>
      <c r="BB203" s="108"/>
      <c r="BC203" s="108"/>
      <c r="BD203" s="108"/>
      <c r="BE203" s="108"/>
      <c r="BF203" s="108"/>
      <c r="BG203" s="108"/>
      <c r="BH203" s="108"/>
      <c r="BI203" s="108"/>
      <c r="BJ203" s="108"/>
      <c r="BK203" s="108"/>
      <c r="BL203" s="108"/>
      <c r="BM203" s="109"/>
      <c r="BN203" s="108"/>
      <c r="BO203" s="108"/>
      <c r="BP203" s="108"/>
    </row>
    <row r="204" spans="1:68" ht="12" customHeight="1" x14ac:dyDescent="0.2">
      <c r="A204" s="179"/>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c r="AA204" s="108"/>
      <c r="AB204" s="108"/>
      <c r="AC204" s="108"/>
      <c r="AD204" s="108"/>
      <c r="AE204" s="108"/>
      <c r="AF204" s="108"/>
      <c r="AG204" s="108"/>
      <c r="AH204" s="108"/>
      <c r="AI204" s="108"/>
      <c r="AJ204" s="108"/>
      <c r="AK204" s="108"/>
      <c r="AL204" s="108"/>
      <c r="AM204" s="108"/>
      <c r="AN204" s="108"/>
      <c r="AO204" s="108"/>
      <c r="AP204" s="108"/>
      <c r="AQ204" s="108"/>
      <c r="AR204" s="108"/>
      <c r="AS204" s="108"/>
      <c r="AT204" s="108"/>
      <c r="AU204" s="108"/>
      <c r="AV204" s="108"/>
      <c r="AW204" s="108"/>
      <c r="AX204" s="108"/>
      <c r="AY204" s="108"/>
      <c r="AZ204" s="108"/>
      <c r="BA204" s="108"/>
      <c r="BB204" s="108"/>
      <c r="BC204" s="108"/>
      <c r="BD204" s="108"/>
      <c r="BE204" s="108"/>
      <c r="BF204" s="108"/>
      <c r="BG204" s="108"/>
      <c r="BH204" s="108"/>
      <c r="BI204" s="108"/>
      <c r="BJ204" s="108"/>
      <c r="BK204" s="108"/>
      <c r="BL204" s="108"/>
      <c r="BM204" s="109"/>
      <c r="BN204" s="108"/>
      <c r="BO204" s="108"/>
      <c r="BP204" s="108"/>
    </row>
    <row r="205" spans="1:68" ht="12" customHeight="1" x14ac:dyDescent="0.2">
      <c r="A205" s="179"/>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c r="AA205" s="108"/>
      <c r="AB205" s="108"/>
      <c r="AC205" s="108"/>
      <c r="AD205" s="108"/>
      <c r="AE205" s="108"/>
      <c r="AF205" s="108"/>
      <c r="AG205" s="108"/>
      <c r="AH205" s="108"/>
      <c r="AI205" s="108"/>
      <c r="AJ205" s="108"/>
      <c r="AK205" s="108"/>
      <c r="AL205" s="108"/>
      <c r="AM205" s="108"/>
      <c r="AN205" s="108"/>
      <c r="AO205" s="108"/>
      <c r="AP205" s="108"/>
      <c r="AQ205" s="108"/>
      <c r="AR205" s="108"/>
      <c r="AS205" s="108"/>
      <c r="AT205" s="108"/>
      <c r="AU205" s="108"/>
      <c r="AV205" s="108"/>
      <c r="AW205" s="108"/>
      <c r="AX205" s="108"/>
      <c r="AY205" s="108"/>
      <c r="AZ205" s="108"/>
      <c r="BA205" s="108"/>
      <c r="BB205" s="108"/>
      <c r="BC205" s="108"/>
      <c r="BD205" s="108"/>
      <c r="BE205" s="108"/>
      <c r="BF205" s="108"/>
      <c r="BG205" s="108"/>
      <c r="BH205" s="108"/>
      <c r="BI205" s="108"/>
      <c r="BJ205" s="108"/>
      <c r="BK205" s="108"/>
      <c r="BL205" s="108"/>
      <c r="BM205" s="109"/>
      <c r="BN205" s="108"/>
      <c r="BO205" s="108"/>
      <c r="BP205" s="108"/>
    </row>
    <row r="206" spans="1:68" ht="12" customHeight="1" x14ac:dyDescent="0.2">
      <c r="A206" s="179"/>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c r="AA206" s="108"/>
      <c r="AB206" s="108"/>
      <c r="AC206" s="108"/>
      <c r="AD206" s="108"/>
      <c r="AE206" s="108"/>
      <c r="AF206" s="108"/>
      <c r="AG206" s="108"/>
      <c r="AH206" s="108"/>
      <c r="AI206" s="108"/>
      <c r="AJ206" s="108"/>
      <c r="AK206" s="108"/>
      <c r="AL206" s="108"/>
      <c r="AM206" s="108"/>
      <c r="AN206" s="108"/>
      <c r="AO206" s="108"/>
      <c r="AP206" s="108"/>
      <c r="AQ206" s="108"/>
      <c r="AR206" s="108"/>
      <c r="AS206" s="108"/>
      <c r="AT206" s="108"/>
      <c r="AU206" s="108"/>
      <c r="AV206" s="108"/>
      <c r="AW206" s="108"/>
      <c r="AX206" s="108"/>
      <c r="AY206" s="108"/>
      <c r="AZ206" s="108"/>
      <c r="BA206" s="108"/>
      <c r="BB206" s="108"/>
      <c r="BC206" s="108"/>
      <c r="BD206" s="108"/>
      <c r="BE206" s="108"/>
      <c r="BF206" s="108"/>
      <c r="BG206" s="108"/>
      <c r="BH206" s="108"/>
      <c r="BI206" s="108"/>
      <c r="BJ206" s="108"/>
      <c r="BK206" s="108"/>
      <c r="BL206" s="108"/>
      <c r="BM206" s="109"/>
      <c r="BN206" s="108"/>
      <c r="BO206" s="108"/>
      <c r="BP206" s="108"/>
    </row>
    <row r="207" spans="1:68" ht="12" customHeight="1" x14ac:dyDescent="0.2">
      <c r="A207" s="179"/>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c r="AA207" s="108"/>
      <c r="AB207" s="108"/>
      <c r="AC207" s="108"/>
      <c r="AD207" s="108"/>
      <c r="AE207" s="108"/>
      <c r="AF207" s="108"/>
      <c r="AG207" s="108"/>
      <c r="AH207" s="108"/>
      <c r="AI207" s="108"/>
      <c r="AJ207" s="108"/>
      <c r="AK207" s="108"/>
      <c r="AL207" s="108"/>
      <c r="AM207" s="108"/>
      <c r="AN207" s="108"/>
      <c r="AO207" s="108"/>
      <c r="AP207" s="108"/>
      <c r="AQ207" s="108"/>
      <c r="AR207" s="108"/>
      <c r="AS207" s="108"/>
      <c r="AT207" s="108"/>
      <c r="AU207" s="108"/>
      <c r="AV207" s="108"/>
      <c r="AW207" s="108"/>
      <c r="AX207" s="108"/>
      <c r="AY207" s="108"/>
      <c r="AZ207" s="108"/>
      <c r="BA207" s="108"/>
      <c r="BB207" s="108"/>
      <c r="BC207" s="108"/>
      <c r="BD207" s="108"/>
      <c r="BE207" s="108"/>
      <c r="BF207" s="108"/>
      <c r="BG207" s="108"/>
      <c r="BH207" s="108"/>
      <c r="BI207" s="108"/>
      <c r="BJ207" s="108"/>
      <c r="BK207" s="108"/>
      <c r="BL207" s="108"/>
      <c r="BM207" s="109"/>
      <c r="BN207" s="108"/>
      <c r="BO207" s="108"/>
      <c r="BP207" s="108"/>
    </row>
    <row r="208" spans="1:68" ht="12" customHeight="1" x14ac:dyDescent="0.2">
      <c r="A208" s="179"/>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c r="AA208" s="108"/>
      <c r="AB208" s="108"/>
      <c r="AC208" s="108"/>
      <c r="AD208" s="108"/>
      <c r="AE208" s="108"/>
      <c r="AF208" s="108"/>
      <c r="AG208" s="108"/>
      <c r="AH208" s="108"/>
      <c r="AI208" s="108"/>
      <c r="AJ208" s="108"/>
      <c r="AK208" s="108"/>
      <c r="AL208" s="108"/>
      <c r="AM208" s="108"/>
      <c r="AN208" s="108"/>
      <c r="AO208" s="108"/>
      <c r="AP208" s="108"/>
      <c r="AQ208" s="108"/>
      <c r="AR208" s="108"/>
      <c r="AS208" s="108"/>
      <c r="AT208" s="108"/>
      <c r="AU208" s="108"/>
      <c r="AV208" s="108"/>
      <c r="AW208" s="108"/>
      <c r="AX208" s="108"/>
      <c r="AY208" s="108"/>
      <c r="AZ208" s="108"/>
      <c r="BA208" s="108"/>
      <c r="BB208" s="108"/>
      <c r="BC208" s="108"/>
      <c r="BD208" s="108"/>
      <c r="BE208" s="108"/>
      <c r="BF208" s="108"/>
      <c r="BG208" s="108"/>
      <c r="BH208" s="108"/>
      <c r="BI208" s="108"/>
      <c r="BJ208" s="108"/>
      <c r="BK208" s="108"/>
      <c r="BL208" s="108"/>
      <c r="BM208" s="109"/>
      <c r="BN208" s="108"/>
      <c r="BO208" s="108"/>
      <c r="BP208" s="108"/>
    </row>
    <row r="209" spans="1:68" ht="12" customHeight="1" x14ac:dyDescent="0.2">
      <c r="A209" s="179"/>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c r="AA209" s="108"/>
      <c r="AB209" s="108"/>
      <c r="AC209" s="108"/>
      <c r="AD209" s="108"/>
      <c r="AE209" s="108"/>
      <c r="AF209" s="108"/>
      <c r="AG209" s="108"/>
      <c r="AH209" s="108"/>
      <c r="AI209" s="108"/>
      <c r="AJ209" s="108"/>
      <c r="AK209" s="108"/>
      <c r="AL209" s="108"/>
      <c r="AM209" s="108"/>
      <c r="AN209" s="108"/>
      <c r="AO209" s="108"/>
      <c r="AP209" s="108"/>
      <c r="AQ209" s="108"/>
      <c r="AR209" s="108"/>
      <c r="AS209" s="108"/>
      <c r="AT209" s="108"/>
      <c r="AU209" s="108"/>
      <c r="AV209" s="108"/>
      <c r="AW209" s="108"/>
      <c r="AX209" s="108"/>
      <c r="AY209" s="108"/>
      <c r="AZ209" s="108"/>
      <c r="BA209" s="108"/>
      <c r="BB209" s="108"/>
      <c r="BC209" s="108"/>
      <c r="BD209" s="108"/>
      <c r="BE209" s="108"/>
      <c r="BF209" s="108"/>
      <c r="BG209" s="108"/>
      <c r="BH209" s="108"/>
      <c r="BI209" s="108"/>
      <c r="BJ209" s="108"/>
      <c r="BK209" s="108"/>
      <c r="BL209" s="108"/>
      <c r="BM209" s="109"/>
      <c r="BN209" s="108"/>
      <c r="BO209" s="108"/>
      <c r="BP209" s="108"/>
    </row>
    <row r="210" spans="1:68" ht="12" customHeight="1" x14ac:dyDescent="0.2">
      <c r="A210" s="179"/>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c r="AA210" s="108"/>
      <c r="AB210" s="108"/>
      <c r="AC210" s="108"/>
      <c r="AD210" s="108"/>
      <c r="AE210" s="108"/>
      <c r="AF210" s="108"/>
      <c r="AG210" s="108"/>
      <c r="AH210" s="108"/>
      <c r="AI210" s="108"/>
      <c r="AJ210" s="108"/>
      <c r="AK210" s="108"/>
      <c r="AL210" s="108"/>
      <c r="AM210" s="108"/>
      <c r="AN210" s="108"/>
      <c r="AO210" s="108"/>
      <c r="AP210" s="108"/>
      <c r="AQ210" s="108"/>
      <c r="AR210" s="108"/>
      <c r="AS210" s="108"/>
      <c r="AT210" s="108"/>
      <c r="AU210" s="108"/>
      <c r="AV210" s="108"/>
      <c r="AW210" s="108"/>
      <c r="AX210" s="108"/>
      <c r="AY210" s="108"/>
      <c r="AZ210" s="108"/>
      <c r="BA210" s="108"/>
      <c r="BB210" s="108"/>
      <c r="BC210" s="108"/>
      <c r="BD210" s="108"/>
      <c r="BE210" s="108"/>
      <c r="BF210" s="108"/>
      <c r="BG210" s="108"/>
      <c r="BH210" s="108"/>
      <c r="BI210" s="108"/>
      <c r="BJ210" s="108"/>
      <c r="BK210" s="108"/>
      <c r="BL210" s="108"/>
      <c r="BM210" s="109"/>
      <c r="BN210" s="108"/>
      <c r="BO210" s="108"/>
      <c r="BP210" s="108"/>
    </row>
    <row r="211" spans="1:68" ht="12" customHeight="1" x14ac:dyDescent="0.2">
      <c r="A211" s="179"/>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c r="AA211" s="108"/>
      <c r="AB211" s="108"/>
      <c r="AC211" s="108"/>
      <c r="AD211" s="108"/>
      <c r="AE211" s="108"/>
      <c r="AF211" s="108"/>
      <c r="AG211" s="108"/>
      <c r="AH211" s="108"/>
      <c r="AI211" s="108"/>
      <c r="AJ211" s="108"/>
      <c r="AK211" s="108"/>
      <c r="AL211" s="108"/>
      <c r="AM211" s="108"/>
      <c r="AN211" s="108"/>
      <c r="AO211" s="108"/>
      <c r="AP211" s="108"/>
      <c r="AQ211" s="108"/>
      <c r="AR211" s="108"/>
      <c r="AS211" s="108"/>
      <c r="AT211" s="108"/>
      <c r="AU211" s="108"/>
      <c r="AV211" s="108"/>
      <c r="AW211" s="108"/>
      <c r="AX211" s="108"/>
      <c r="AY211" s="108"/>
      <c r="AZ211" s="108"/>
      <c r="BA211" s="108"/>
      <c r="BB211" s="108"/>
      <c r="BC211" s="108"/>
      <c r="BD211" s="108"/>
      <c r="BE211" s="108"/>
      <c r="BF211" s="108"/>
      <c r="BG211" s="108"/>
      <c r="BH211" s="108"/>
      <c r="BI211" s="108"/>
      <c r="BJ211" s="108"/>
      <c r="BK211" s="108"/>
      <c r="BL211" s="108"/>
      <c r="BM211" s="109"/>
      <c r="BN211" s="108"/>
      <c r="BO211" s="108"/>
      <c r="BP211" s="108"/>
    </row>
    <row r="212" spans="1:68" ht="12" customHeight="1" x14ac:dyDescent="0.2">
      <c r="A212" s="179"/>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c r="AA212" s="108"/>
      <c r="AB212" s="108"/>
      <c r="AC212" s="108"/>
      <c r="AD212" s="108"/>
      <c r="AE212" s="108"/>
      <c r="AF212" s="108"/>
      <c r="AG212" s="108"/>
      <c r="AH212" s="108"/>
      <c r="AI212" s="108"/>
      <c r="AJ212" s="108"/>
      <c r="AK212" s="108"/>
      <c r="AL212" s="108"/>
      <c r="AM212" s="108"/>
      <c r="AN212" s="108"/>
      <c r="AO212" s="108"/>
      <c r="AP212" s="108"/>
      <c r="AQ212" s="108"/>
      <c r="AR212" s="108"/>
      <c r="AS212" s="108"/>
      <c r="AT212" s="108"/>
      <c r="AU212" s="108"/>
      <c r="AV212" s="108"/>
      <c r="AW212" s="108"/>
      <c r="AX212" s="108"/>
      <c r="AY212" s="108"/>
      <c r="AZ212" s="108"/>
      <c r="BA212" s="108"/>
      <c r="BB212" s="108"/>
      <c r="BC212" s="108"/>
      <c r="BD212" s="108"/>
      <c r="BE212" s="108"/>
      <c r="BF212" s="108"/>
      <c r="BG212" s="108"/>
      <c r="BH212" s="108"/>
      <c r="BI212" s="108"/>
      <c r="BJ212" s="108"/>
      <c r="BK212" s="108"/>
      <c r="BL212" s="108"/>
      <c r="BM212" s="109"/>
      <c r="BN212" s="108"/>
      <c r="BO212" s="108"/>
      <c r="BP212" s="108"/>
    </row>
    <row r="213" spans="1:68" ht="12" customHeight="1" x14ac:dyDescent="0.2">
      <c r="A213" s="179"/>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c r="AA213" s="108"/>
      <c r="AB213" s="108"/>
      <c r="AC213" s="108"/>
      <c r="AD213" s="108"/>
      <c r="AE213" s="108"/>
      <c r="AF213" s="108"/>
      <c r="AG213" s="108"/>
      <c r="AH213" s="108"/>
      <c r="AI213" s="108"/>
      <c r="AJ213" s="108"/>
      <c r="AK213" s="108"/>
      <c r="AL213" s="108"/>
      <c r="AM213" s="108"/>
      <c r="AN213" s="108"/>
      <c r="AO213" s="108"/>
      <c r="AP213" s="108"/>
      <c r="AQ213" s="108"/>
      <c r="AR213" s="108"/>
      <c r="AS213" s="108"/>
      <c r="AT213" s="108"/>
      <c r="AU213" s="108"/>
      <c r="AV213" s="108"/>
      <c r="AW213" s="108"/>
      <c r="AX213" s="108"/>
      <c r="AY213" s="108"/>
      <c r="AZ213" s="108"/>
      <c r="BA213" s="108"/>
      <c r="BB213" s="108"/>
      <c r="BC213" s="108"/>
      <c r="BD213" s="108"/>
      <c r="BE213" s="108"/>
      <c r="BF213" s="108"/>
      <c r="BG213" s="108"/>
      <c r="BH213" s="108"/>
      <c r="BI213" s="108"/>
      <c r="BJ213" s="108"/>
      <c r="BK213" s="108"/>
      <c r="BL213" s="108"/>
      <c r="BM213" s="109"/>
      <c r="BN213" s="108"/>
      <c r="BO213" s="108"/>
      <c r="BP213" s="108"/>
    </row>
    <row r="214" spans="1:68" ht="12" customHeight="1" x14ac:dyDescent="0.2">
      <c r="A214" s="179"/>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c r="AA214" s="108"/>
      <c r="AB214" s="108"/>
      <c r="AC214" s="108"/>
      <c r="AD214" s="108"/>
      <c r="AE214" s="108"/>
      <c r="AF214" s="108"/>
      <c r="AG214" s="108"/>
      <c r="AH214" s="108"/>
      <c r="AI214" s="108"/>
      <c r="AJ214" s="108"/>
      <c r="AK214" s="108"/>
      <c r="AL214" s="108"/>
      <c r="AM214" s="108"/>
      <c r="AN214" s="108"/>
      <c r="AO214" s="108"/>
      <c r="AP214" s="108"/>
      <c r="AQ214" s="108"/>
      <c r="AR214" s="108"/>
      <c r="AS214" s="108"/>
      <c r="AT214" s="108"/>
      <c r="AU214" s="108"/>
      <c r="AV214" s="108"/>
      <c r="AW214" s="108"/>
      <c r="AX214" s="108"/>
      <c r="AY214" s="108"/>
      <c r="AZ214" s="108"/>
      <c r="BA214" s="108"/>
      <c r="BB214" s="108"/>
      <c r="BC214" s="108"/>
      <c r="BD214" s="108"/>
      <c r="BE214" s="108"/>
      <c r="BF214" s="108"/>
      <c r="BG214" s="108"/>
      <c r="BH214" s="108"/>
      <c r="BI214" s="108"/>
      <c r="BJ214" s="108"/>
      <c r="BK214" s="108"/>
      <c r="BL214" s="108"/>
      <c r="BM214" s="109"/>
      <c r="BN214" s="108"/>
      <c r="BO214" s="108"/>
      <c r="BP214" s="108"/>
    </row>
    <row r="215" spans="1:68" ht="12" customHeight="1" x14ac:dyDescent="0.2">
      <c r="A215" s="179"/>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c r="AA215" s="108"/>
      <c r="AB215" s="108"/>
      <c r="AC215" s="108"/>
      <c r="AD215" s="108"/>
      <c r="AE215" s="108"/>
      <c r="AF215" s="108"/>
      <c r="AG215" s="108"/>
      <c r="AH215" s="108"/>
      <c r="AI215" s="108"/>
      <c r="AJ215" s="108"/>
      <c r="AK215" s="108"/>
      <c r="AL215" s="108"/>
      <c r="AM215" s="108"/>
      <c r="AN215" s="108"/>
      <c r="AO215" s="108"/>
      <c r="AP215" s="108"/>
      <c r="AQ215" s="108"/>
      <c r="AR215" s="108"/>
      <c r="AS215" s="108"/>
      <c r="AT215" s="108"/>
      <c r="AU215" s="108"/>
      <c r="AV215" s="108"/>
      <c r="AW215" s="108"/>
      <c r="AX215" s="108"/>
      <c r="AY215" s="108"/>
      <c r="AZ215" s="108"/>
      <c r="BA215" s="108"/>
      <c r="BB215" s="108"/>
      <c r="BC215" s="108"/>
      <c r="BD215" s="108"/>
      <c r="BE215" s="108"/>
      <c r="BF215" s="108"/>
      <c r="BG215" s="108"/>
      <c r="BH215" s="108"/>
      <c r="BI215" s="108"/>
      <c r="BJ215" s="108"/>
      <c r="BK215" s="108"/>
      <c r="BL215" s="108"/>
      <c r="BM215" s="109"/>
      <c r="BN215" s="108"/>
      <c r="BO215" s="108"/>
      <c r="BP215" s="108"/>
    </row>
    <row r="216" spans="1:68" ht="12" customHeight="1" x14ac:dyDescent="0.2">
      <c r="A216" s="179"/>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c r="AA216" s="108"/>
      <c r="AB216" s="108"/>
      <c r="AC216" s="108"/>
      <c r="AD216" s="108"/>
      <c r="AE216" s="108"/>
      <c r="AF216" s="108"/>
      <c r="AG216" s="108"/>
      <c r="AH216" s="108"/>
      <c r="AI216" s="108"/>
      <c r="AJ216" s="108"/>
      <c r="AK216" s="108"/>
      <c r="AL216" s="108"/>
      <c r="AM216" s="108"/>
      <c r="AN216" s="108"/>
      <c r="AO216" s="108"/>
      <c r="AP216" s="108"/>
      <c r="AQ216" s="108"/>
      <c r="AR216" s="108"/>
      <c r="AS216" s="108"/>
      <c r="AT216" s="108"/>
      <c r="AU216" s="108"/>
      <c r="AV216" s="108"/>
      <c r="AW216" s="108"/>
      <c r="AX216" s="108"/>
      <c r="AY216" s="108"/>
      <c r="AZ216" s="108"/>
      <c r="BA216" s="108"/>
      <c r="BB216" s="108"/>
      <c r="BC216" s="108"/>
      <c r="BD216" s="108"/>
      <c r="BE216" s="108"/>
      <c r="BF216" s="108"/>
      <c r="BG216" s="108"/>
      <c r="BH216" s="108"/>
      <c r="BI216" s="108"/>
      <c r="BJ216" s="108"/>
      <c r="BK216" s="108"/>
      <c r="BL216" s="108"/>
      <c r="BM216" s="109"/>
      <c r="BN216" s="108"/>
      <c r="BO216" s="108"/>
      <c r="BP216" s="108"/>
    </row>
    <row r="217" spans="1:68" ht="12" customHeight="1" x14ac:dyDescent="0.2">
      <c r="A217" s="179"/>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c r="AA217" s="108"/>
      <c r="AB217" s="108"/>
      <c r="AC217" s="108"/>
      <c r="AD217" s="108"/>
      <c r="AE217" s="108"/>
      <c r="AF217" s="108"/>
      <c r="AG217" s="108"/>
      <c r="AH217" s="108"/>
      <c r="AI217" s="108"/>
      <c r="AJ217" s="108"/>
      <c r="AK217" s="108"/>
      <c r="AL217" s="108"/>
      <c r="AM217" s="108"/>
      <c r="AN217" s="108"/>
      <c r="AO217" s="108"/>
      <c r="AP217" s="108"/>
      <c r="AQ217" s="108"/>
      <c r="AR217" s="108"/>
      <c r="AS217" s="108"/>
      <c r="AT217" s="108"/>
      <c r="AU217" s="108"/>
      <c r="AV217" s="108"/>
      <c r="AW217" s="108"/>
      <c r="AX217" s="108"/>
      <c r="AY217" s="108"/>
      <c r="AZ217" s="108"/>
      <c r="BA217" s="108"/>
      <c r="BB217" s="108"/>
      <c r="BC217" s="108"/>
      <c r="BD217" s="108"/>
      <c r="BE217" s="108"/>
      <c r="BF217" s="108"/>
      <c r="BG217" s="108"/>
      <c r="BH217" s="108"/>
      <c r="BI217" s="108"/>
      <c r="BJ217" s="108"/>
      <c r="BK217" s="108"/>
      <c r="BL217" s="108"/>
      <c r="BM217" s="109"/>
      <c r="BN217" s="108"/>
      <c r="BO217" s="108"/>
      <c r="BP217" s="108"/>
    </row>
    <row r="218" spans="1:68" ht="12" customHeight="1" x14ac:dyDescent="0.2">
      <c r="A218" s="179"/>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c r="AA218" s="108"/>
      <c r="AB218" s="108"/>
      <c r="AC218" s="108"/>
      <c r="AD218" s="108"/>
      <c r="AE218" s="108"/>
      <c r="AF218" s="108"/>
      <c r="AG218" s="108"/>
      <c r="AH218" s="108"/>
      <c r="AI218" s="108"/>
      <c r="AJ218" s="108"/>
      <c r="AK218" s="108"/>
      <c r="AL218" s="108"/>
      <c r="AM218" s="108"/>
      <c r="AN218" s="108"/>
      <c r="AO218" s="108"/>
      <c r="AP218" s="108"/>
      <c r="AQ218" s="108"/>
      <c r="AR218" s="108"/>
      <c r="AS218" s="108"/>
      <c r="AT218" s="108"/>
      <c r="AU218" s="108"/>
      <c r="AV218" s="108"/>
      <c r="AW218" s="108"/>
      <c r="AX218" s="108"/>
      <c r="AY218" s="108"/>
      <c r="AZ218" s="108"/>
      <c r="BA218" s="108"/>
      <c r="BB218" s="108"/>
      <c r="BC218" s="108"/>
      <c r="BD218" s="108"/>
      <c r="BE218" s="108"/>
      <c r="BF218" s="108"/>
      <c r="BG218" s="108"/>
      <c r="BH218" s="108"/>
      <c r="BI218" s="108"/>
      <c r="BJ218" s="108"/>
      <c r="BK218" s="108"/>
      <c r="BL218" s="108"/>
      <c r="BM218" s="109"/>
      <c r="BN218" s="108"/>
      <c r="BO218" s="108"/>
      <c r="BP218" s="108"/>
    </row>
    <row r="219" spans="1:68" ht="12" customHeight="1" x14ac:dyDescent="0.2">
      <c r="A219" s="179"/>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c r="AA219" s="108"/>
      <c r="AB219" s="108"/>
      <c r="AC219" s="108"/>
      <c r="AD219" s="108"/>
      <c r="AE219" s="108"/>
      <c r="AF219" s="108"/>
      <c r="AG219" s="108"/>
      <c r="AH219" s="108"/>
      <c r="AI219" s="108"/>
      <c r="AJ219" s="108"/>
      <c r="AK219" s="108"/>
      <c r="AL219" s="108"/>
      <c r="AM219" s="108"/>
      <c r="AN219" s="108"/>
      <c r="AO219" s="108"/>
      <c r="AP219" s="108"/>
      <c r="AQ219" s="108"/>
      <c r="AR219" s="108"/>
      <c r="AS219" s="108"/>
      <c r="AT219" s="108"/>
      <c r="AU219" s="108"/>
      <c r="AV219" s="108"/>
      <c r="AW219" s="108"/>
      <c r="AX219" s="108"/>
      <c r="AY219" s="108"/>
      <c r="AZ219" s="108"/>
      <c r="BA219" s="108"/>
      <c r="BB219" s="108"/>
      <c r="BC219" s="108"/>
      <c r="BD219" s="108"/>
      <c r="BE219" s="108"/>
      <c r="BF219" s="108"/>
      <c r="BG219" s="108"/>
      <c r="BH219" s="108"/>
      <c r="BI219" s="108"/>
      <c r="BJ219" s="108"/>
      <c r="BK219" s="108"/>
      <c r="BL219" s="108"/>
      <c r="BM219" s="109"/>
      <c r="BN219" s="108"/>
      <c r="BO219" s="108"/>
      <c r="BP219" s="108"/>
    </row>
    <row r="220" spans="1:68" ht="12" customHeight="1" x14ac:dyDescent="0.2">
      <c r="A220" s="179"/>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c r="AA220" s="108"/>
      <c r="AB220" s="108"/>
      <c r="AC220" s="108"/>
      <c r="AD220" s="108"/>
      <c r="AE220" s="108"/>
      <c r="AF220" s="108"/>
      <c r="AG220" s="108"/>
      <c r="AH220" s="108"/>
      <c r="AI220" s="108"/>
      <c r="AJ220" s="108"/>
      <c r="AK220" s="108"/>
      <c r="AL220" s="108"/>
      <c r="AM220" s="108"/>
      <c r="AN220" s="108"/>
      <c r="AO220" s="108"/>
      <c r="AP220" s="108"/>
      <c r="AQ220" s="108"/>
      <c r="AR220" s="108"/>
      <c r="AS220" s="108"/>
      <c r="AT220" s="108"/>
      <c r="AU220" s="108"/>
      <c r="AV220" s="108"/>
      <c r="AW220" s="108"/>
      <c r="AX220" s="108"/>
      <c r="AY220" s="108"/>
      <c r="AZ220" s="108"/>
      <c r="BA220" s="108"/>
      <c r="BB220" s="108"/>
      <c r="BC220" s="108"/>
      <c r="BD220" s="108"/>
      <c r="BE220" s="108"/>
      <c r="BF220" s="108"/>
      <c r="BG220" s="108"/>
      <c r="BH220" s="108"/>
      <c r="BI220" s="108"/>
      <c r="BJ220" s="108"/>
      <c r="BK220" s="108"/>
      <c r="BL220" s="108"/>
      <c r="BM220" s="109"/>
      <c r="BN220" s="108"/>
      <c r="BO220" s="108"/>
      <c r="BP220" s="108"/>
    </row>
    <row r="221" spans="1:68" ht="12" customHeight="1" x14ac:dyDescent="0.2">
      <c r="A221" s="179"/>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c r="AA221" s="108"/>
      <c r="AB221" s="108"/>
      <c r="AC221" s="108"/>
      <c r="AD221" s="108"/>
      <c r="AE221" s="108"/>
      <c r="AF221" s="108"/>
      <c r="AG221" s="108"/>
      <c r="AH221" s="108"/>
      <c r="AI221" s="108"/>
      <c r="AJ221" s="108"/>
      <c r="AK221" s="108"/>
      <c r="AL221" s="108"/>
      <c r="AM221" s="108"/>
      <c r="AN221" s="108"/>
      <c r="AO221" s="108"/>
      <c r="AP221" s="108"/>
      <c r="AQ221" s="108"/>
      <c r="AR221" s="108"/>
      <c r="AS221" s="108"/>
      <c r="AT221" s="108"/>
      <c r="AU221" s="108"/>
      <c r="AV221" s="108"/>
      <c r="AW221" s="108"/>
      <c r="AX221" s="108"/>
      <c r="AY221" s="108"/>
      <c r="AZ221" s="108"/>
      <c r="BA221" s="108"/>
      <c r="BB221" s="108"/>
      <c r="BC221" s="108"/>
      <c r="BD221" s="108"/>
      <c r="BE221" s="108"/>
      <c r="BF221" s="108"/>
      <c r="BG221" s="108"/>
      <c r="BH221" s="108"/>
      <c r="BI221" s="108"/>
      <c r="BJ221" s="108"/>
      <c r="BK221" s="108"/>
      <c r="BL221" s="108"/>
      <c r="BM221" s="109"/>
      <c r="BN221" s="108"/>
      <c r="BO221" s="108"/>
      <c r="BP221" s="108"/>
    </row>
    <row r="222" spans="1:68" ht="12" customHeight="1" x14ac:dyDescent="0.2">
      <c r="A222" s="179"/>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c r="AA222" s="108"/>
      <c r="AB222" s="108"/>
      <c r="AC222" s="108"/>
      <c r="AD222" s="108"/>
      <c r="AE222" s="108"/>
      <c r="AF222" s="108"/>
      <c r="AG222" s="108"/>
      <c r="AH222" s="108"/>
      <c r="AI222" s="108"/>
      <c r="AJ222" s="108"/>
      <c r="AK222" s="108"/>
      <c r="AL222" s="108"/>
      <c r="AM222" s="108"/>
      <c r="AN222" s="108"/>
      <c r="AO222" s="108"/>
      <c r="AP222" s="108"/>
      <c r="AQ222" s="108"/>
      <c r="AR222" s="108"/>
      <c r="AS222" s="108"/>
      <c r="AT222" s="108"/>
      <c r="AU222" s="108"/>
      <c r="AV222" s="108"/>
      <c r="AW222" s="108"/>
      <c r="AX222" s="108"/>
      <c r="AY222" s="108"/>
      <c r="AZ222" s="108"/>
      <c r="BA222" s="108"/>
      <c r="BB222" s="108"/>
      <c r="BC222" s="108"/>
      <c r="BD222" s="108"/>
      <c r="BE222" s="108"/>
      <c r="BF222" s="108"/>
      <c r="BG222" s="108"/>
      <c r="BH222" s="108"/>
      <c r="BI222" s="108"/>
      <c r="BJ222" s="108"/>
      <c r="BK222" s="108"/>
      <c r="BL222" s="108"/>
      <c r="BM222" s="109"/>
      <c r="BN222" s="108"/>
      <c r="BO222" s="108"/>
      <c r="BP222" s="108"/>
    </row>
    <row r="223" spans="1:68" ht="12" customHeight="1" x14ac:dyDescent="0.2">
      <c r="A223" s="179"/>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c r="AA223" s="108"/>
      <c r="AB223" s="108"/>
      <c r="AC223" s="108"/>
      <c r="AD223" s="108"/>
      <c r="AE223" s="108"/>
      <c r="AF223" s="108"/>
      <c r="AG223" s="108"/>
      <c r="AH223" s="108"/>
      <c r="AI223" s="108"/>
      <c r="AJ223" s="108"/>
      <c r="AK223" s="108"/>
      <c r="AL223" s="108"/>
      <c r="AM223" s="108"/>
      <c r="AN223" s="108"/>
      <c r="AO223" s="108"/>
      <c r="AP223" s="108"/>
      <c r="AQ223" s="108"/>
      <c r="AR223" s="108"/>
      <c r="AS223" s="108"/>
      <c r="AT223" s="108"/>
      <c r="AU223" s="108"/>
      <c r="AV223" s="108"/>
      <c r="AW223" s="108"/>
      <c r="AX223" s="108"/>
      <c r="AY223" s="108"/>
      <c r="AZ223" s="108"/>
      <c r="BA223" s="108"/>
      <c r="BB223" s="108"/>
      <c r="BC223" s="108"/>
      <c r="BD223" s="108"/>
      <c r="BE223" s="108"/>
      <c r="BF223" s="108"/>
      <c r="BG223" s="108"/>
      <c r="BH223" s="108"/>
      <c r="BI223" s="108"/>
      <c r="BJ223" s="108"/>
      <c r="BK223" s="108"/>
      <c r="BL223" s="108"/>
      <c r="BM223" s="109"/>
      <c r="BN223" s="108"/>
      <c r="BO223" s="108"/>
      <c r="BP223" s="108"/>
    </row>
    <row r="224" spans="1:68" ht="12" customHeight="1" x14ac:dyDescent="0.2">
      <c r="A224" s="179"/>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c r="AA224" s="108"/>
      <c r="AB224" s="108"/>
      <c r="AC224" s="108"/>
      <c r="AD224" s="108"/>
      <c r="AE224" s="108"/>
      <c r="AF224" s="108"/>
      <c r="AG224" s="108"/>
      <c r="AH224" s="108"/>
      <c r="AI224" s="108"/>
      <c r="AJ224" s="108"/>
      <c r="AK224" s="108"/>
      <c r="AL224" s="108"/>
      <c r="AM224" s="108"/>
      <c r="AN224" s="108"/>
      <c r="AO224" s="108"/>
      <c r="AP224" s="108"/>
      <c r="AQ224" s="108"/>
      <c r="AR224" s="108"/>
      <c r="AS224" s="108"/>
      <c r="AT224" s="108"/>
      <c r="AU224" s="108"/>
      <c r="AV224" s="108"/>
      <c r="AW224" s="108"/>
      <c r="AX224" s="108"/>
      <c r="AY224" s="108"/>
      <c r="AZ224" s="108"/>
      <c r="BA224" s="108"/>
      <c r="BB224" s="108"/>
      <c r="BC224" s="108"/>
      <c r="BD224" s="108"/>
      <c r="BE224" s="108"/>
      <c r="BF224" s="108"/>
      <c r="BG224" s="108"/>
      <c r="BH224" s="108"/>
      <c r="BI224" s="108"/>
      <c r="BJ224" s="108"/>
      <c r="BK224" s="108"/>
      <c r="BL224" s="108"/>
      <c r="BM224" s="109"/>
      <c r="BN224" s="108"/>
      <c r="BO224" s="108"/>
      <c r="BP224" s="108"/>
    </row>
    <row r="225" spans="1:68" ht="12" customHeight="1" x14ac:dyDescent="0.2">
      <c r="A225" s="179"/>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c r="AA225" s="108"/>
      <c r="AB225" s="108"/>
      <c r="AC225" s="108"/>
      <c r="AD225" s="108"/>
      <c r="AE225" s="108"/>
      <c r="AF225" s="108"/>
      <c r="AG225" s="108"/>
      <c r="AH225" s="108"/>
      <c r="AI225" s="108"/>
      <c r="AJ225" s="108"/>
      <c r="AK225" s="108"/>
      <c r="AL225" s="108"/>
      <c r="AM225" s="108"/>
      <c r="AN225" s="108"/>
      <c r="AO225" s="108"/>
      <c r="AP225" s="108"/>
      <c r="AQ225" s="108"/>
      <c r="AR225" s="108"/>
      <c r="AS225" s="108"/>
      <c r="AT225" s="108"/>
      <c r="AU225" s="108"/>
      <c r="AV225" s="108"/>
      <c r="AW225" s="108"/>
      <c r="AX225" s="108"/>
      <c r="AY225" s="108"/>
      <c r="AZ225" s="108"/>
      <c r="BA225" s="108"/>
      <c r="BB225" s="108"/>
      <c r="BC225" s="108"/>
      <c r="BD225" s="108"/>
      <c r="BE225" s="108"/>
      <c r="BF225" s="108"/>
      <c r="BG225" s="108"/>
      <c r="BH225" s="108"/>
      <c r="BI225" s="108"/>
      <c r="BJ225" s="108"/>
      <c r="BK225" s="108"/>
      <c r="BL225" s="108"/>
      <c r="BM225" s="109"/>
      <c r="BN225" s="108"/>
      <c r="BO225" s="108"/>
      <c r="BP225" s="108"/>
    </row>
    <row r="226" spans="1:68" ht="12" customHeight="1" x14ac:dyDescent="0.2">
      <c r="A226" s="179"/>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c r="AA226" s="108"/>
      <c r="AB226" s="108"/>
      <c r="AC226" s="108"/>
      <c r="AD226" s="108"/>
      <c r="AE226" s="108"/>
      <c r="AF226" s="108"/>
      <c r="AG226" s="108"/>
      <c r="AH226" s="108"/>
      <c r="AI226" s="108"/>
      <c r="AJ226" s="108"/>
      <c r="AK226" s="108"/>
      <c r="AL226" s="108"/>
      <c r="AM226" s="108"/>
      <c r="AN226" s="108"/>
      <c r="AO226" s="108"/>
      <c r="AP226" s="108"/>
      <c r="AQ226" s="108"/>
      <c r="AR226" s="108"/>
      <c r="AS226" s="108"/>
      <c r="AT226" s="108"/>
      <c r="AU226" s="108"/>
      <c r="AV226" s="108"/>
      <c r="AW226" s="108"/>
      <c r="AX226" s="108"/>
      <c r="AY226" s="108"/>
      <c r="AZ226" s="108"/>
      <c r="BA226" s="108"/>
      <c r="BB226" s="108"/>
      <c r="BC226" s="108"/>
      <c r="BD226" s="108"/>
      <c r="BE226" s="108"/>
      <c r="BF226" s="108"/>
      <c r="BG226" s="108"/>
      <c r="BH226" s="108"/>
      <c r="BI226" s="108"/>
      <c r="BJ226" s="108"/>
      <c r="BK226" s="108"/>
      <c r="BL226" s="108"/>
      <c r="BM226" s="109"/>
      <c r="BN226" s="108"/>
      <c r="BO226" s="108"/>
      <c r="BP226" s="108"/>
    </row>
    <row r="227" spans="1:68" ht="12" customHeight="1" x14ac:dyDescent="0.2">
      <c r="A227" s="179"/>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c r="AA227" s="108"/>
      <c r="AB227" s="108"/>
      <c r="AC227" s="108"/>
      <c r="AD227" s="108"/>
      <c r="AE227" s="108"/>
      <c r="AF227" s="108"/>
      <c r="AG227" s="108"/>
      <c r="AH227" s="108"/>
      <c r="AI227" s="108"/>
      <c r="AJ227" s="108"/>
      <c r="AK227" s="108"/>
      <c r="AL227" s="108"/>
      <c r="AM227" s="108"/>
      <c r="AN227" s="108"/>
      <c r="AO227" s="108"/>
      <c r="AP227" s="108"/>
      <c r="AQ227" s="108"/>
      <c r="AR227" s="108"/>
      <c r="AS227" s="108"/>
      <c r="AT227" s="108"/>
      <c r="AU227" s="108"/>
      <c r="AV227" s="108"/>
      <c r="AW227" s="108"/>
      <c r="AX227" s="108"/>
      <c r="AY227" s="108"/>
      <c r="AZ227" s="108"/>
      <c r="BA227" s="108"/>
      <c r="BB227" s="108"/>
      <c r="BC227" s="108"/>
      <c r="BD227" s="108"/>
      <c r="BE227" s="108"/>
      <c r="BF227" s="108"/>
      <c r="BG227" s="108"/>
      <c r="BH227" s="108"/>
      <c r="BI227" s="108"/>
      <c r="BJ227" s="108"/>
      <c r="BK227" s="108"/>
      <c r="BL227" s="108"/>
      <c r="BM227" s="109"/>
      <c r="BN227" s="108"/>
      <c r="BO227" s="108"/>
      <c r="BP227" s="108"/>
    </row>
    <row r="228" spans="1:68" ht="12" customHeight="1" x14ac:dyDescent="0.2">
      <c r="A228" s="179"/>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c r="AA228" s="108"/>
      <c r="AB228" s="108"/>
      <c r="AC228" s="108"/>
      <c r="AD228" s="108"/>
      <c r="AE228" s="108"/>
      <c r="AF228" s="108"/>
      <c r="AG228" s="108"/>
      <c r="AH228" s="108"/>
      <c r="AI228" s="108"/>
      <c r="AJ228" s="108"/>
      <c r="AK228" s="108"/>
      <c r="AL228" s="108"/>
      <c r="AM228" s="108"/>
      <c r="AN228" s="108"/>
      <c r="AO228" s="108"/>
      <c r="AP228" s="108"/>
      <c r="AQ228" s="108"/>
      <c r="AR228" s="108"/>
      <c r="AS228" s="108"/>
      <c r="AT228" s="108"/>
      <c r="AU228" s="108"/>
      <c r="AV228" s="108"/>
      <c r="AW228" s="108"/>
      <c r="AX228" s="108"/>
      <c r="AY228" s="108"/>
      <c r="AZ228" s="108"/>
      <c r="BA228" s="108"/>
      <c r="BB228" s="108"/>
      <c r="BC228" s="108"/>
      <c r="BD228" s="108"/>
      <c r="BE228" s="108"/>
      <c r="BF228" s="108"/>
      <c r="BG228" s="108"/>
      <c r="BH228" s="108"/>
      <c r="BI228" s="108"/>
      <c r="BJ228" s="108"/>
      <c r="BK228" s="108"/>
      <c r="BL228" s="108"/>
      <c r="BM228" s="109"/>
      <c r="BN228" s="108"/>
      <c r="BO228" s="108"/>
      <c r="BP228" s="108"/>
    </row>
    <row r="229" spans="1:68" ht="12" customHeight="1" x14ac:dyDescent="0.2">
      <c r="A229" s="179"/>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c r="AA229" s="108"/>
      <c r="AB229" s="108"/>
      <c r="AC229" s="108"/>
      <c r="AD229" s="108"/>
      <c r="AE229" s="108"/>
      <c r="AF229" s="108"/>
      <c r="AG229" s="108"/>
      <c r="AH229" s="108"/>
      <c r="AI229" s="108"/>
      <c r="AJ229" s="108"/>
      <c r="AK229" s="108"/>
      <c r="AL229" s="108"/>
      <c r="AM229" s="108"/>
      <c r="AN229" s="108"/>
      <c r="AO229" s="108"/>
      <c r="AP229" s="108"/>
      <c r="AQ229" s="108"/>
      <c r="AR229" s="108"/>
      <c r="AS229" s="108"/>
      <c r="AT229" s="108"/>
      <c r="AU229" s="108"/>
      <c r="AV229" s="108"/>
      <c r="AW229" s="108"/>
      <c r="AX229" s="108"/>
      <c r="AY229" s="108"/>
      <c r="AZ229" s="108"/>
      <c r="BA229" s="108"/>
      <c r="BB229" s="108"/>
      <c r="BC229" s="108"/>
      <c r="BD229" s="108"/>
      <c r="BE229" s="108"/>
      <c r="BF229" s="108"/>
      <c r="BG229" s="108"/>
      <c r="BH229" s="108"/>
      <c r="BI229" s="108"/>
      <c r="BJ229" s="108"/>
      <c r="BK229" s="108"/>
      <c r="BL229" s="108"/>
      <c r="BM229" s="109"/>
      <c r="BN229" s="108"/>
      <c r="BO229" s="108"/>
      <c r="BP229" s="108"/>
    </row>
    <row r="230" spans="1:68" ht="12" customHeight="1" x14ac:dyDescent="0.2">
      <c r="A230" s="179"/>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c r="AA230" s="108"/>
      <c r="AB230" s="108"/>
      <c r="AC230" s="108"/>
      <c r="AD230" s="108"/>
      <c r="AE230" s="108"/>
      <c r="AF230" s="108"/>
      <c r="AG230" s="108"/>
      <c r="AH230" s="108"/>
      <c r="AI230" s="108"/>
      <c r="AJ230" s="108"/>
      <c r="AK230" s="108"/>
      <c r="AL230" s="108"/>
      <c r="AM230" s="108"/>
      <c r="AN230" s="108"/>
      <c r="AO230" s="108"/>
      <c r="AP230" s="108"/>
      <c r="AQ230" s="108"/>
      <c r="AR230" s="108"/>
      <c r="AS230" s="108"/>
      <c r="AT230" s="108"/>
      <c r="AU230" s="108"/>
      <c r="AV230" s="108"/>
      <c r="AW230" s="108"/>
      <c r="AX230" s="108"/>
      <c r="AY230" s="108"/>
      <c r="AZ230" s="108"/>
      <c r="BA230" s="108"/>
      <c r="BB230" s="108"/>
      <c r="BC230" s="108"/>
      <c r="BD230" s="108"/>
      <c r="BE230" s="108"/>
      <c r="BF230" s="108"/>
      <c r="BG230" s="108"/>
      <c r="BH230" s="108"/>
      <c r="BI230" s="108"/>
      <c r="BJ230" s="108"/>
      <c r="BK230" s="108"/>
      <c r="BL230" s="108"/>
      <c r="BM230" s="109"/>
      <c r="BN230" s="108"/>
      <c r="BO230" s="108"/>
      <c r="BP230" s="108"/>
    </row>
    <row r="231" spans="1:68" ht="12" customHeight="1" x14ac:dyDescent="0.2">
      <c r="A231" s="179"/>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c r="AA231" s="108"/>
      <c r="AB231" s="108"/>
      <c r="AC231" s="108"/>
      <c r="AD231" s="108"/>
      <c r="AE231" s="108"/>
      <c r="AF231" s="108"/>
      <c r="AG231" s="108"/>
      <c r="AH231" s="108"/>
      <c r="AI231" s="108"/>
      <c r="AJ231" s="108"/>
      <c r="AK231" s="108"/>
      <c r="AL231" s="108"/>
      <c r="AM231" s="108"/>
      <c r="AN231" s="108"/>
      <c r="AO231" s="108"/>
      <c r="AP231" s="108"/>
      <c r="AQ231" s="108"/>
      <c r="AR231" s="108"/>
      <c r="AS231" s="108"/>
      <c r="AT231" s="108"/>
      <c r="AU231" s="108"/>
      <c r="AV231" s="108"/>
      <c r="AW231" s="108"/>
      <c r="AX231" s="108"/>
      <c r="AY231" s="108"/>
      <c r="AZ231" s="108"/>
      <c r="BA231" s="108"/>
      <c r="BB231" s="108"/>
      <c r="BC231" s="108"/>
      <c r="BD231" s="108"/>
      <c r="BE231" s="108"/>
      <c r="BF231" s="108"/>
      <c r="BG231" s="108"/>
      <c r="BH231" s="108"/>
      <c r="BI231" s="108"/>
      <c r="BJ231" s="108"/>
      <c r="BK231" s="108"/>
      <c r="BL231" s="108"/>
      <c r="BM231" s="109"/>
      <c r="BN231" s="108"/>
      <c r="BO231" s="108"/>
      <c r="BP231" s="108"/>
    </row>
    <row r="232" spans="1:68" ht="12" customHeight="1" x14ac:dyDescent="0.2">
      <c r="A232" s="179"/>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c r="AA232" s="108"/>
      <c r="AB232" s="108"/>
      <c r="AC232" s="108"/>
      <c r="AD232" s="108"/>
      <c r="AE232" s="108"/>
      <c r="AF232" s="108"/>
      <c r="AG232" s="108"/>
      <c r="AH232" s="108"/>
      <c r="AI232" s="108"/>
      <c r="AJ232" s="108"/>
      <c r="AK232" s="108"/>
      <c r="AL232" s="108"/>
      <c r="AM232" s="108"/>
      <c r="AN232" s="108"/>
      <c r="AO232" s="108"/>
      <c r="AP232" s="108"/>
      <c r="AQ232" s="108"/>
      <c r="AR232" s="108"/>
      <c r="AS232" s="108"/>
      <c r="AT232" s="108"/>
      <c r="AU232" s="108"/>
      <c r="AV232" s="108"/>
      <c r="AW232" s="108"/>
      <c r="AX232" s="108"/>
      <c r="AY232" s="108"/>
      <c r="AZ232" s="108"/>
      <c r="BA232" s="108"/>
      <c r="BB232" s="108"/>
      <c r="BC232" s="108"/>
      <c r="BD232" s="108"/>
      <c r="BE232" s="108"/>
      <c r="BF232" s="108"/>
      <c r="BG232" s="108"/>
      <c r="BH232" s="108"/>
      <c r="BI232" s="108"/>
      <c r="BJ232" s="108"/>
      <c r="BK232" s="108"/>
      <c r="BL232" s="108"/>
      <c r="BM232" s="109"/>
      <c r="BN232" s="108"/>
      <c r="BO232" s="108"/>
      <c r="BP232" s="108"/>
    </row>
    <row r="233" spans="1:68" ht="12" customHeight="1" x14ac:dyDescent="0.2">
      <c r="A233" s="179"/>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c r="AA233" s="108"/>
      <c r="AB233" s="108"/>
      <c r="AC233" s="108"/>
      <c r="AD233" s="108"/>
      <c r="AE233" s="108"/>
      <c r="AF233" s="108"/>
      <c r="AG233" s="108"/>
      <c r="AH233" s="108"/>
      <c r="AI233" s="108"/>
      <c r="AJ233" s="108"/>
      <c r="AK233" s="108"/>
      <c r="AL233" s="108"/>
      <c r="AM233" s="108"/>
      <c r="AN233" s="108"/>
      <c r="AO233" s="108"/>
      <c r="AP233" s="108"/>
      <c r="AQ233" s="108"/>
      <c r="AR233" s="108"/>
      <c r="AS233" s="108"/>
      <c r="AT233" s="108"/>
      <c r="AU233" s="108"/>
      <c r="AV233" s="108"/>
      <c r="AW233" s="108"/>
      <c r="AX233" s="108"/>
      <c r="AY233" s="108"/>
      <c r="AZ233" s="108"/>
      <c r="BA233" s="108"/>
      <c r="BB233" s="108"/>
      <c r="BC233" s="108"/>
      <c r="BD233" s="108"/>
      <c r="BE233" s="108"/>
      <c r="BF233" s="108"/>
      <c r="BG233" s="108"/>
      <c r="BH233" s="108"/>
      <c r="BI233" s="108"/>
      <c r="BJ233" s="108"/>
      <c r="BK233" s="108"/>
      <c r="BL233" s="108"/>
      <c r="BM233" s="109"/>
      <c r="BN233" s="108"/>
      <c r="BO233" s="108"/>
      <c r="BP233" s="108"/>
    </row>
    <row r="234" spans="1:68" ht="12" customHeight="1" x14ac:dyDescent="0.2">
      <c r="A234" s="179"/>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c r="AA234" s="108"/>
      <c r="AB234" s="108"/>
      <c r="AC234" s="108"/>
      <c r="AD234" s="108"/>
      <c r="AE234" s="108"/>
      <c r="AF234" s="108"/>
      <c r="AG234" s="108"/>
      <c r="AH234" s="108"/>
      <c r="AI234" s="108"/>
      <c r="AJ234" s="108"/>
      <c r="AK234" s="108"/>
      <c r="AL234" s="108"/>
      <c r="AM234" s="108"/>
      <c r="AN234" s="108"/>
      <c r="AO234" s="108"/>
      <c r="AP234" s="108"/>
      <c r="AQ234" s="108"/>
      <c r="AR234" s="108"/>
      <c r="AS234" s="108"/>
      <c r="AT234" s="108"/>
      <c r="AU234" s="108"/>
      <c r="AV234" s="108"/>
      <c r="AW234" s="108"/>
      <c r="AX234" s="108"/>
      <c r="AY234" s="108"/>
      <c r="AZ234" s="108"/>
      <c r="BA234" s="108"/>
      <c r="BB234" s="108"/>
      <c r="BC234" s="108"/>
      <c r="BD234" s="108"/>
      <c r="BE234" s="108"/>
      <c r="BF234" s="108"/>
      <c r="BG234" s="108"/>
      <c r="BH234" s="108"/>
      <c r="BI234" s="108"/>
      <c r="BJ234" s="108"/>
      <c r="BK234" s="108"/>
      <c r="BL234" s="108"/>
      <c r="BM234" s="109"/>
      <c r="BN234" s="108"/>
      <c r="BO234" s="108"/>
      <c r="BP234" s="108"/>
    </row>
    <row r="235" spans="1:68" ht="12" customHeight="1" x14ac:dyDescent="0.2">
      <c r="A235" s="179"/>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c r="AA235" s="108"/>
      <c r="AB235" s="108"/>
      <c r="AC235" s="108"/>
      <c r="AD235" s="108"/>
      <c r="AE235" s="108"/>
      <c r="AF235" s="108"/>
      <c r="AG235" s="108"/>
      <c r="AH235" s="108"/>
      <c r="AI235" s="108"/>
      <c r="AJ235" s="108"/>
      <c r="AK235" s="108"/>
      <c r="AL235" s="108"/>
      <c r="AM235" s="108"/>
      <c r="AN235" s="108"/>
      <c r="AO235" s="108"/>
      <c r="AP235" s="108"/>
      <c r="AQ235" s="108"/>
      <c r="AR235" s="108"/>
      <c r="AS235" s="108"/>
      <c r="AT235" s="108"/>
      <c r="AU235" s="108"/>
      <c r="AV235" s="108"/>
      <c r="AW235" s="108"/>
      <c r="AX235" s="108"/>
      <c r="AY235" s="108"/>
      <c r="AZ235" s="108"/>
      <c r="BA235" s="108"/>
      <c r="BB235" s="108"/>
      <c r="BC235" s="108"/>
      <c r="BD235" s="108"/>
      <c r="BE235" s="108"/>
      <c r="BF235" s="108"/>
      <c r="BG235" s="108"/>
      <c r="BH235" s="108"/>
      <c r="BI235" s="108"/>
      <c r="BJ235" s="108"/>
      <c r="BK235" s="108"/>
      <c r="BL235" s="108"/>
      <c r="BM235" s="109"/>
      <c r="BN235" s="108"/>
      <c r="BO235" s="108"/>
      <c r="BP235" s="108"/>
    </row>
    <row r="236" spans="1:68" ht="12" customHeight="1" x14ac:dyDescent="0.2">
      <c r="A236" s="179"/>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c r="AA236" s="108"/>
      <c r="AB236" s="108"/>
      <c r="AC236" s="108"/>
      <c r="AD236" s="108"/>
      <c r="AE236" s="108"/>
      <c r="AF236" s="108"/>
      <c r="AG236" s="108"/>
      <c r="AH236" s="108"/>
      <c r="AI236" s="108"/>
      <c r="AJ236" s="108"/>
      <c r="AK236" s="108"/>
      <c r="AL236" s="108"/>
      <c r="AM236" s="108"/>
      <c r="AN236" s="108"/>
      <c r="AO236" s="108"/>
      <c r="AP236" s="108"/>
      <c r="AQ236" s="108"/>
      <c r="AR236" s="108"/>
      <c r="AS236" s="108"/>
      <c r="AT236" s="108"/>
      <c r="AU236" s="108"/>
      <c r="AV236" s="108"/>
      <c r="AW236" s="108"/>
      <c r="AX236" s="108"/>
      <c r="AY236" s="108"/>
      <c r="AZ236" s="108"/>
      <c r="BA236" s="108"/>
      <c r="BB236" s="108"/>
      <c r="BC236" s="108"/>
      <c r="BD236" s="108"/>
      <c r="BE236" s="108"/>
      <c r="BF236" s="108"/>
      <c r="BG236" s="108"/>
      <c r="BH236" s="108"/>
      <c r="BI236" s="108"/>
      <c r="BJ236" s="108"/>
      <c r="BK236" s="108"/>
      <c r="BL236" s="108"/>
      <c r="BM236" s="109"/>
      <c r="BN236" s="108"/>
      <c r="BO236" s="108"/>
      <c r="BP236" s="108"/>
    </row>
    <row r="237" spans="1:68" ht="12" customHeight="1" x14ac:dyDescent="0.2">
      <c r="A237" s="179"/>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c r="AA237" s="108"/>
      <c r="AB237" s="108"/>
      <c r="AC237" s="108"/>
      <c r="AD237" s="108"/>
      <c r="AE237" s="108"/>
      <c r="AF237" s="108"/>
      <c r="AG237" s="108"/>
      <c r="AH237" s="108"/>
      <c r="AI237" s="108"/>
      <c r="AJ237" s="108"/>
      <c r="AK237" s="108"/>
      <c r="AL237" s="108"/>
      <c r="AM237" s="108"/>
      <c r="AN237" s="108"/>
      <c r="AO237" s="108"/>
      <c r="AP237" s="108"/>
      <c r="AQ237" s="108"/>
      <c r="AR237" s="108"/>
      <c r="AS237" s="108"/>
      <c r="AT237" s="108"/>
      <c r="AU237" s="108"/>
      <c r="AV237" s="108"/>
      <c r="AW237" s="108"/>
      <c r="AX237" s="108"/>
      <c r="AY237" s="108"/>
      <c r="AZ237" s="108"/>
      <c r="BA237" s="108"/>
      <c r="BB237" s="108"/>
      <c r="BC237" s="108"/>
      <c r="BD237" s="108"/>
      <c r="BE237" s="108"/>
      <c r="BF237" s="108"/>
      <c r="BG237" s="108"/>
      <c r="BH237" s="108"/>
      <c r="BI237" s="108"/>
      <c r="BJ237" s="108"/>
      <c r="BK237" s="108"/>
      <c r="BL237" s="108"/>
      <c r="BM237" s="109"/>
      <c r="BN237" s="108"/>
      <c r="BO237" s="108"/>
      <c r="BP237" s="108"/>
    </row>
    <row r="238" spans="1:68" ht="12" customHeight="1" x14ac:dyDescent="0.2">
      <c r="A238" s="179"/>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c r="AA238" s="108"/>
      <c r="AB238" s="108"/>
      <c r="AC238" s="108"/>
      <c r="AD238" s="108"/>
      <c r="AE238" s="108"/>
      <c r="AF238" s="108"/>
      <c r="AG238" s="108"/>
      <c r="AH238" s="108"/>
      <c r="AI238" s="108"/>
      <c r="AJ238" s="108"/>
      <c r="AK238" s="108"/>
      <c r="AL238" s="108"/>
      <c r="AM238" s="108"/>
      <c r="AN238" s="108"/>
      <c r="AO238" s="108"/>
      <c r="AP238" s="108"/>
      <c r="AQ238" s="108"/>
      <c r="AR238" s="108"/>
      <c r="AS238" s="108"/>
      <c r="AT238" s="108"/>
      <c r="AU238" s="108"/>
      <c r="AV238" s="108"/>
      <c r="AW238" s="108"/>
      <c r="AX238" s="108"/>
      <c r="AY238" s="108"/>
      <c r="AZ238" s="108"/>
      <c r="BA238" s="108"/>
      <c r="BB238" s="108"/>
      <c r="BC238" s="108"/>
      <c r="BD238" s="108"/>
      <c r="BE238" s="108"/>
      <c r="BF238" s="108"/>
      <c r="BG238" s="108"/>
      <c r="BH238" s="108"/>
      <c r="BI238" s="108"/>
      <c r="BJ238" s="108"/>
      <c r="BK238" s="108"/>
      <c r="BL238" s="108"/>
      <c r="BM238" s="109"/>
      <c r="BN238" s="108"/>
      <c r="BO238" s="108"/>
      <c r="BP238" s="108"/>
    </row>
    <row r="239" spans="1:68" ht="12" customHeight="1" x14ac:dyDescent="0.2">
      <c r="A239" s="179"/>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c r="AA239" s="108"/>
      <c r="AB239" s="108"/>
      <c r="AC239" s="108"/>
      <c r="AD239" s="108"/>
      <c r="AE239" s="108"/>
      <c r="AF239" s="108"/>
      <c r="AG239" s="108"/>
      <c r="AH239" s="108"/>
      <c r="AI239" s="108"/>
      <c r="AJ239" s="108"/>
      <c r="AK239" s="108"/>
      <c r="AL239" s="108"/>
      <c r="AM239" s="108"/>
      <c r="AN239" s="108"/>
      <c r="AO239" s="108"/>
      <c r="AP239" s="108"/>
      <c r="AQ239" s="108"/>
      <c r="AR239" s="108"/>
      <c r="AS239" s="108"/>
      <c r="AT239" s="108"/>
      <c r="AU239" s="108"/>
      <c r="AV239" s="108"/>
      <c r="AW239" s="108"/>
      <c r="AX239" s="108"/>
      <c r="AY239" s="108"/>
      <c r="AZ239" s="108"/>
      <c r="BA239" s="108"/>
      <c r="BB239" s="108"/>
      <c r="BC239" s="108"/>
      <c r="BD239" s="108"/>
      <c r="BE239" s="108"/>
      <c r="BF239" s="108"/>
      <c r="BG239" s="108"/>
      <c r="BH239" s="108"/>
      <c r="BI239" s="108"/>
      <c r="BJ239" s="108"/>
      <c r="BK239" s="108"/>
      <c r="BL239" s="108"/>
      <c r="BM239" s="109"/>
      <c r="BN239" s="108"/>
      <c r="BO239" s="108"/>
      <c r="BP239" s="108"/>
    </row>
    <row r="240" spans="1:68" ht="12" customHeight="1" x14ac:dyDescent="0.2">
      <c r="A240" s="179"/>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c r="AA240" s="108"/>
      <c r="AB240" s="108"/>
      <c r="AC240" s="108"/>
      <c r="AD240" s="108"/>
      <c r="AE240" s="108"/>
      <c r="AF240" s="108"/>
      <c r="AG240" s="108"/>
      <c r="AH240" s="108"/>
      <c r="AI240" s="108"/>
      <c r="AJ240" s="108"/>
      <c r="AK240" s="108"/>
      <c r="AL240" s="108"/>
      <c r="AM240" s="108"/>
      <c r="AN240" s="108"/>
      <c r="AO240" s="108"/>
      <c r="AP240" s="108"/>
      <c r="AQ240" s="108"/>
      <c r="AR240" s="108"/>
      <c r="AS240" s="108"/>
      <c r="AT240" s="108"/>
      <c r="AU240" s="108"/>
      <c r="AV240" s="108"/>
      <c r="AW240" s="108"/>
      <c r="AX240" s="108"/>
      <c r="AY240" s="108"/>
      <c r="AZ240" s="108"/>
      <c r="BA240" s="108"/>
      <c r="BB240" s="108"/>
      <c r="BC240" s="108"/>
      <c r="BD240" s="108"/>
      <c r="BE240" s="108"/>
      <c r="BF240" s="108"/>
      <c r="BG240" s="108"/>
      <c r="BH240" s="108"/>
      <c r="BI240" s="108"/>
      <c r="BJ240" s="108"/>
      <c r="BK240" s="108"/>
      <c r="BL240" s="108"/>
      <c r="BM240" s="109"/>
      <c r="BN240" s="108"/>
      <c r="BO240" s="108"/>
      <c r="BP240" s="108"/>
    </row>
    <row r="241" spans="1:68" ht="12" customHeight="1" x14ac:dyDescent="0.2">
      <c r="A241" s="179"/>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c r="AA241" s="108"/>
      <c r="AB241" s="108"/>
      <c r="AC241" s="108"/>
      <c r="AD241" s="108"/>
      <c r="AE241" s="108"/>
      <c r="AF241" s="108"/>
      <c r="AG241" s="108"/>
      <c r="AH241" s="108"/>
      <c r="AI241" s="108"/>
      <c r="AJ241" s="108"/>
      <c r="AK241" s="108"/>
      <c r="AL241" s="108"/>
      <c r="AM241" s="108"/>
      <c r="AN241" s="108"/>
      <c r="AO241" s="108"/>
      <c r="AP241" s="108"/>
      <c r="AQ241" s="108"/>
      <c r="AR241" s="108"/>
      <c r="AS241" s="108"/>
      <c r="AT241" s="108"/>
      <c r="AU241" s="108"/>
      <c r="AV241" s="108"/>
      <c r="AW241" s="108"/>
      <c r="AX241" s="108"/>
      <c r="AY241" s="108"/>
      <c r="AZ241" s="108"/>
      <c r="BA241" s="108"/>
      <c r="BB241" s="108"/>
      <c r="BC241" s="108"/>
      <c r="BD241" s="108"/>
      <c r="BE241" s="108"/>
      <c r="BF241" s="108"/>
      <c r="BG241" s="108"/>
      <c r="BH241" s="108"/>
      <c r="BI241" s="108"/>
      <c r="BJ241" s="108"/>
      <c r="BK241" s="108"/>
      <c r="BL241" s="108"/>
      <c r="BM241" s="109"/>
      <c r="BN241" s="108"/>
      <c r="BO241" s="108"/>
      <c r="BP241" s="108"/>
    </row>
    <row r="242" spans="1:68" ht="12" customHeight="1" x14ac:dyDescent="0.2">
      <c r="A242" s="179"/>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c r="AA242" s="108"/>
      <c r="AB242" s="108"/>
      <c r="AC242" s="108"/>
      <c r="AD242" s="108"/>
      <c r="AE242" s="108"/>
      <c r="AF242" s="108"/>
      <c r="AG242" s="108"/>
      <c r="AH242" s="108"/>
      <c r="AI242" s="108"/>
      <c r="AJ242" s="108"/>
      <c r="AK242" s="108"/>
      <c r="AL242" s="108"/>
      <c r="AM242" s="108"/>
      <c r="AN242" s="108"/>
      <c r="AO242" s="108"/>
      <c r="AP242" s="108"/>
      <c r="AQ242" s="108"/>
      <c r="AR242" s="108"/>
      <c r="AS242" s="108"/>
      <c r="AT242" s="108"/>
      <c r="AU242" s="108"/>
      <c r="AV242" s="108"/>
      <c r="AW242" s="108"/>
      <c r="AX242" s="108"/>
      <c r="AY242" s="108"/>
      <c r="AZ242" s="108"/>
      <c r="BA242" s="108"/>
      <c r="BB242" s="108"/>
      <c r="BC242" s="108"/>
      <c r="BD242" s="108"/>
      <c r="BE242" s="108"/>
      <c r="BF242" s="108"/>
      <c r="BG242" s="108"/>
      <c r="BH242" s="108"/>
      <c r="BI242" s="108"/>
      <c r="BJ242" s="108"/>
      <c r="BK242" s="108"/>
      <c r="BL242" s="108"/>
      <c r="BM242" s="109"/>
      <c r="BN242" s="108"/>
      <c r="BO242" s="108"/>
      <c r="BP242" s="108"/>
    </row>
    <row r="243" spans="1:68" ht="12" customHeight="1" x14ac:dyDescent="0.2">
      <c r="A243" s="179"/>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c r="AA243" s="108"/>
      <c r="AB243" s="108"/>
      <c r="AC243" s="108"/>
      <c r="AD243" s="108"/>
      <c r="AE243" s="108"/>
      <c r="AF243" s="108"/>
      <c r="AG243" s="108"/>
      <c r="AH243" s="108"/>
      <c r="AI243" s="108"/>
      <c r="AJ243" s="108"/>
      <c r="AK243" s="108"/>
      <c r="AL243" s="108"/>
      <c r="AM243" s="108"/>
      <c r="AN243" s="108"/>
      <c r="AO243" s="108"/>
      <c r="AP243" s="108"/>
      <c r="AQ243" s="108"/>
      <c r="AR243" s="108"/>
      <c r="AS243" s="108"/>
      <c r="AT243" s="108"/>
      <c r="AU243" s="108"/>
      <c r="AV243" s="108"/>
      <c r="AW243" s="108"/>
      <c r="AX243" s="108"/>
      <c r="AY243" s="108"/>
      <c r="AZ243" s="108"/>
      <c r="BA243" s="108"/>
      <c r="BB243" s="108"/>
      <c r="BC243" s="108"/>
      <c r="BD243" s="108"/>
      <c r="BE243" s="108"/>
      <c r="BF243" s="108"/>
      <c r="BG243" s="108"/>
      <c r="BH243" s="108"/>
      <c r="BI243" s="108"/>
      <c r="BJ243" s="108"/>
      <c r="BK243" s="108"/>
      <c r="BL243" s="108"/>
      <c r="BM243" s="109"/>
      <c r="BN243" s="108"/>
      <c r="BO243" s="108"/>
      <c r="BP243" s="108"/>
    </row>
    <row r="244" spans="1:68" ht="12" customHeight="1" x14ac:dyDescent="0.2">
      <c r="A244" s="179"/>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c r="AA244" s="108"/>
      <c r="AB244" s="108"/>
      <c r="AC244" s="108"/>
      <c r="AD244" s="108"/>
      <c r="AE244" s="108"/>
      <c r="AF244" s="108"/>
      <c r="AG244" s="108"/>
      <c r="AH244" s="108"/>
      <c r="AI244" s="108"/>
      <c r="AJ244" s="108"/>
      <c r="AK244" s="108"/>
      <c r="AL244" s="108"/>
      <c r="AM244" s="108"/>
      <c r="AN244" s="108"/>
      <c r="AO244" s="108"/>
      <c r="AP244" s="108"/>
      <c r="AQ244" s="108"/>
      <c r="AR244" s="108"/>
      <c r="AS244" s="108"/>
      <c r="AT244" s="108"/>
      <c r="AU244" s="108"/>
      <c r="AV244" s="108"/>
      <c r="AW244" s="108"/>
      <c r="AX244" s="108"/>
      <c r="AY244" s="108"/>
      <c r="AZ244" s="108"/>
      <c r="BA244" s="108"/>
      <c r="BB244" s="108"/>
      <c r="BC244" s="108"/>
      <c r="BD244" s="108"/>
      <c r="BE244" s="108"/>
      <c r="BF244" s="108"/>
      <c r="BG244" s="108"/>
      <c r="BH244" s="108"/>
      <c r="BI244" s="108"/>
      <c r="BJ244" s="108"/>
      <c r="BK244" s="108"/>
      <c r="BL244" s="108"/>
      <c r="BM244" s="109"/>
      <c r="BN244" s="108"/>
      <c r="BO244" s="108"/>
      <c r="BP244" s="108"/>
    </row>
    <row r="245" spans="1:68" ht="12" customHeight="1" x14ac:dyDescent="0.2">
      <c r="A245" s="179"/>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c r="AA245" s="108"/>
      <c r="AB245" s="108"/>
      <c r="AC245" s="108"/>
      <c r="AD245" s="108"/>
      <c r="AE245" s="108"/>
      <c r="AF245" s="108"/>
      <c r="AG245" s="108"/>
      <c r="AH245" s="108"/>
      <c r="AI245" s="108"/>
      <c r="AJ245" s="108"/>
      <c r="AK245" s="108"/>
      <c r="AL245" s="108"/>
      <c r="AM245" s="108"/>
      <c r="AN245" s="108"/>
      <c r="AO245" s="108"/>
      <c r="AP245" s="108"/>
      <c r="AQ245" s="108"/>
      <c r="AR245" s="108"/>
      <c r="AS245" s="108"/>
      <c r="AT245" s="108"/>
      <c r="AU245" s="108"/>
      <c r="AV245" s="108"/>
      <c r="AW245" s="108"/>
      <c r="AX245" s="108"/>
      <c r="AY245" s="108"/>
      <c r="AZ245" s="108"/>
      <c r="BA245" s="108"/>
      <c r="BB245" s="108"/>
      <c r="BC245" s="108"/>
      <c r="BD245" s="108"/>
      <c r="BE245" s="108"/>
      <c r="BF245" s="108"/>
      <c r="BG245" s="108"/>
      <c r="BH245" s="108"/>
      <c r="BI245" s="108"/>
      <c r="BJ245" s="108"/>
      <c r="BK245" s="108"/>
      <c r="BL245" s="108"/>
      <c r="BM245" s="109"/>
      <c r="BN245" s="108"/>
      <c r="BO245" s="108"/>
      <c r="BP245" s="108"/>
    </row>
    <row r="246" spans="1:68" ht="12" customHeight="1" x14ac:dyDescent="0.2">
      <c r="A246" s="179"/>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c r="AA246" s="108"/>
      <c r="AB246" s="108"/>
      <c r="AC246" s="108"/>
      <c r="AD246" s="108"/>
      <c r="AE246" s="108"/>
      <c r="AF246" s="108"/>
      <c r="AG246" s="108"/>
      <c r="AH246" s="108"/>
      <c r="AI246" s="108"/>
      <c r="AJ246" s="108"/>
      <c r="AK246" s="108"/>
      <c r="AL246" s="108"/>
      <c r="AM246" s="108"/>
      <c r="AN246" s="108"/>
      <c r="AO246" s="108"/>
      <c r="AP246" s="108"/>
      <c r="AQ246" s="108"/>
      <c r="AR246" s="108"/>
      <c r="AS246" s="108"/>
      <c r="AT246" s="108"/>
      <c r="AU246" s="108"/>
      <c r="AV246" s="108"/>
      <c r="AW246" s="108"/>
      <c r="AX246" s="108"/>
      <c r="AY246" s="108"/>
      <c r="AZ246" s="108"/>
      <c r="BA246" s="108"/>
      <c r="BB246" s="108"/>
      <c r="BC246" s="108"/>
      <c r="BD246" s="108"/>
      <c r="BE246" s="108"/>
      <c r="BF246" s="108"/>
      <c r="BG246" s="108"/>
      <c r="BH246" s="108"/>
      <c r="BI246" s="108"/>
      <c r="BJ246" s="108"/>
      <c r="BK246" s="108"/>
      <c r="BL246" s="108"/>
      <c r="BM246" s="109"/>
      <c r="BN246" s="108"/>
      <c r="BO246" s="108"/>
      <c r="BP246" s="108"/>
    </row>
    <row r="247" spans="1:68" ht="12" customHeight="1" x14ac:dyDescent="0.2">
      <c r="A247" s="179"/>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c r="AA247" s="108"/>
      <c r="AB247" s="108"/>
      <c r="AC247" s="108"/>
      <c r="AD247" s="108"/>
      <c r="AE247" s="108"/>
      <c r="AF247" s="108"/>
      <c r="AG247" s="108"/>
      <c r="AH247" s="108"/>
      <c r="AI247" s="108"/>
      <c r="AJ247" s="108"/>
      <c r="AK247" s="108"/>
      <c r="AL247" s="108"/>
      <c r="AM247" s="108"/>
      <c r="AN247" s="108"/>
      <c r="AO247" s="108"/>
      <c r="AP247" s="108"/>
      <c r="AQ247" s="108"/>
      <c r="AR247" s="108"/>
      <c r="AS247" s="108"/>
      <c r="AT247" s="108"/>
      <c r="AU247" s="108"/>
      <c r="AV247" s="108"/>
      <c r="AW247" s="108"/>
      <c r="AX247" s="108"/>
      <c r="AY247" s="108"/>
      <c r="AZ247" s="108"/>
      <c r="BA247" s="108"/>
      <c r="BB247" s="108"/>
      <c r="BC247" s="108"/>
      <c r="BD247" s="108"/>
      <c r="BE247" s="108"/>
      <c r="BF247" s="108"/>
      <c r="BG247" s="108"/>
      <c r="BH247" s="108"/>
      <c r="BI247" s="108"/>
      <c r="BJ247" s="108"/>
      <c r="BK247" s="108"/>
      <c r="BL247" s="108"/>
      <c r="BM247" s="109"/>
      <c r="BN247" s="108"/>
      <c r="BO247" s="108"/>
      <c r="BP247" s="108"/>
    </row>
    <row r="248" spans="1:68" ht="12" customHeight="1" x14ac:dyDescent="0.2">
      <c r="A248" s="179"/>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c r="AA248" s="108"/>
      <c r="AB248" s="108"/>
      <c r="AC248" s="108"/>
      <c r="AD248" s="108"/>
      <c r="AE248" s="108"/>
      <c r="AF248" s="108"/>
      <c r="AG248" s="108"/>
      <c r="AH248" s="108"/>
      <c r="AI248" s="108"/>
      <c r="AJ248" s="108"/>
      <c r="AK248" s="108"/>
      <c r="AL248" s="108"/>
      <c r="AM248" s="108"/>
      <c r="AN248" s="108"/>
      <c r="AO248" s="108"/>
      <c r="AP248" s="108"/>
      <c r="AQ248" s="108"/>
      <c r="AR248" s="108"/>
      <c r="AS248" s="108"/>
      <c r="AT248" s="108"/>
      <c r="AU248" s="108"/>
      <c r="AV248" s="108"/>
      <c r="AW248" s="108"/>
      <c r="AX248" s="108"/>
      <c r="AY248" s="108"/>
      <c r="AZ248" s="108"/>
      <c r="BA248" s="108"/>
      <c r="BB248" s="108"/>
      <c r="BC248" s="108"/>
      <c r="BD248" s="108"/>
      <c r="BE248" s="108"/>
      <c r="BF248" s="108"/>
      <c r="BG248" s="108"/>
      <c r="BH248" s="108"/>
      <c r="BI248" s="108"/>
      <c r="BJ248" s="108"/>
      <c r="BK248" s="108"/>
      <c r="BL248" s="108"/>
      <c r="BM248" s="109"/>
      <c r="BN248" s="108"/>
      <c r="BO248" s="108"/>
      <c r="BP248" s="108"/>
    </row>
    <row r="249" spans="1:68" ht="12" customHeight="1" x14ac:dyDescent="0.2">
      <c r="A249" s="179"/>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c r="AA249" s="108"/>
      <c r="AB249" s="108"/>
      <c r="AC249" s="108"/>
      <c r="AD249" s="108"/>
      <c r="AE249" s="108"/>
      <c r="AF249" s="108"/>
      <c r="AG249" s="108"/>
      <c r="AH249" s="108"/>
      <c r="AI249" s="108"/>
      <c r="AJ249" s="108"/>
      <c r="AK249" s="108"/>
      <c r="AL249" s="108"/>
      <c r="AM249" s="108"/>
      <c r="AN249" s="108"/>
      <c r="AO249" s="108"/>
      <c r="AP249" s="108"/>
      <c r="AQ249" s="108"/>
      <c r="AR249" s="108"/>
      <c r="AS249" s="108"/>
      <c r="AT249" s="108"/>
      <c r="AU249" s="108"/>
      <c r="AV249" s="108"/>
      <c r="AW249" s="108"/>
      <c r="AX249" s="108"/>
      <c r="AY249" s="108"/>
      <c r="AZ249" s="108"/>
      <c r="BA249" s="108"/>
      <c r="BB249" s="108"/>
      <c r="BC249" s="108"/>
      <c r="BD249" s="108"/>
      <c r="BE249" s="108"/>
      <c r="BF249" s="108"/>
      <c r="BG249" s="108"/>
      <c r="BH249" s="108"/>
      <c r="BI249" s="108"/>
      <c r="BJ249" s="108"/>
      <c r="BK249" s="108"/>
      <c r="BL249" s="108"/>
      <c r="BM249" s="109"/>
      <c r="BN249" s="108"/>
      <c r="BO249" s="108"/>
      <c r="BP249" s="108"/>
    </row>
    <row r="250" spans="1:68" ht="12" customHeight="1" x14ac:dyDescent="0.2">
      <c r="A250" s="179"/>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c r="AA250" s="108"/>
      <c r="AB250" s="108"/>
      <c r="AC250" s="108"/>
      <c r="AD250" s="108"/>
      <c r="AE250" s="108"/>
      <c r="AF250" s="108"/>
      <c r="AG250" s="108"/>
      <c r="AH250" s="108"/>
      <c r="AI250" s="108"/>
      <c r="AJ250" s="108"/>
      <c r="AK250" s="108"/>
      <c r="AL250" s="108"/>
      <c r="AM250" s="108"/>
      <c r="AN250" s="108"/>
      <c r="AO250" s="108"/>
      <c r="AP250" s="108"/>
      <c r="AQ250" s="108"/>
      <c r="AR250" s="108"/>
      <c r="AS250" s="108"/>
      <c r="AT250" s="108"/>
      <c r="AU250" s="108"/>
      <c r="AV250" s="108"/>
      <c r="AW250" s="108"/>
      <c r="AX250" s="108"/>
      <c r="AY250" s="108"/>
      <c r="AZ250" s="108"/>
      <c r="BA250" s="108"/>
      <c r="BB250" s="108"/>
      <c r="BC250" s="108"/>
      <c r="BD250" s="108"/>
      <c r="BE250" s="108"/>
      <c r="BF250" s="108"/>
      <c r="BG250" s="108"/>
      <c r="BH250" s="108"/>
      <c r="BI250" s="108"/>
      <c r="BJ250" s="108"/>
      <c r="BK250" s="108"/>
      <c r="BL250" s="108"/>
      <c r="BM250" s="109"/>
      <c r="BN250" s="108"/>
      <c r="BO250" s="108"/>
      <c r="BP250" s="108"/>
    </row>
    <row r="251" spans="1:68" ht="12" customHeight="1" x14ac:dyDescent="0.2">
      <c r="A251" s="179"/>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c r="AA251" s="108"/>
      <c r="AB251" s="108"/>
      <c r="AC251" s="108"/>
      <c r="AD251" s="108"/>
      <c r="AE251" s="108"/>
      <c r="AF251" s="108"/>
      <c r="AG251" s="108"/>
      <c r="AH251" s="108"/>
      <c r="AI251" s="108"/>
      <c r="AJ251" s="108"/>
      <c r="AK251" s="108"/>
      <c r="AL251" s="108"/>
      <c r="AM251" s="108"/>
      <c r="AN251" s="108"/>
      <c r="AO251" s="108"/>
      <c r="AP251" s="108"/>
      <c r="AQ251" s="108"/>
      <c r="AR251" s="108"/>
      <c r="AS251" s="108"/>
      <c r="AT251" s="108"/>
      <c r="AU251" s="108"/>
      <c r="AV251" s="108"/>
      <c r="AW251" s="108"/>
      <c r="AX251" s="108"/>
      <c r="AY251" s="108"/>
      <c r="AZ251" s="108"/>
      <c r="BA251" s="108"/>
      <c r="BB251" s="108"/>
      <c r="BC251" s="108"/>
      <c r="BD251" s="108"/>
      <c r="BE251" s="108"/>
      <c r="BF251" s="108"/>
      <c r="BG251" s="108"/>
      <c r="BH251" s="108"/>
      <c r="BI251" s="108"/>
      <c r="BJ251" s="108"/>
      <c r="BK251" s="108"/>
      <c r="BL251" s="108"/>
      <c r="BM251" s="109"/>
      <c r="BN251" s="108"/>
      <c r="BO251" s="108"/>
      <c r="BP251" s="108"/>
    </row>
    <row r="252" spans="1:68" ht="12" customHeight="1" x14ac:dyDescent="0.2">
      <c r="A252" s="179"/>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c r="AA252" s="108"/>
      <c r="AB252" s="108"/>
      <c r="AC252" s="108"/>
      <c r="AD252" s="108"/>
      <c r="AE252" s="108"/>
      <c r="AF252" s="108"/>
      <c r="AG252" s="108"/>
      <c r="AH252" s="108"/>
      <c r="AI252" s="108"/>
      <c r="AJ252" s="108"/>
      <c r="AK252" s="108"/>
      <c r="AL252" s="108"/>
      <c r="AM252" s="108"/>
      <c r="AN252" s="108"/>
      <c r="AO252" s="108"/>
      <c r="AP252" s="108"/>
      <c r="AQ252" s="108"/>
      <c r="AR252" s="108"/>
      <c r="AS252" s="108"/>
      <c r="AT252" s="108"/>
      <c r="AU252" s="108"/>
      <c r="AV252" s="108"/>
      <c r="AW252" s="108"/>
      <c r="AX252" s="108"/>
      <c r="AY252" s="108"/>
      <c r="AZ252" s="108"/>
      <c r="BA252" s="108"/>
      <c r="BB252" s="108"/>
      <c r="BC252" s="108"/>
      <c r="BD252" s="108"/>
      <c r="BE252" s="108"/>
      <c r="BF252" s="108"/>
      <c r="BG252" s="108"/>
      <c r="BH252" s="108"/>
      <c r="BI252" s="108"/>
      <c r="BJ252" s="108"/>
      <c r="BK252" s="108"/>
      <c r="BL252" s="108"/>
      <c r="BM252" s="109"/>
      <c r="BN252" s="108"/>
      <c r="BO252" s="108"/>
      <c r="BP252" s="108"/>
    </row>
    <row r="253" spans="1:68" ht="12" customHeight="1" x14ac:dyDescent="0.2">
      <c r="A253" s="179"/>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c r="AA253" s="108"/>
      <c r="AB253" s="108"/>
      <c r="AC253" s="108"/>
      <c r="AD253" s="108"/>
      <c r="AE253" s="108"/>
      <c r="AF253" s="108"/>
      <c r="AG253" s="108"/>
      <c r="AH253" s="108"/>
      <c r="AI253" s="108"/>
      <c r="AJ253" s="108"/>
      <c r="AK253" s="108"/>
      <c r="AL253" s="108"/>
      <c r="AM253" s="108"/>
      <c r="AN253" s="108"/>
      <c r="AO253" s="108"/>
      <c r="AP253" s="108"/>
      <c r="AQ253" s="108"/>
      <c r="AR253" s="108"/>
      <c r="AS253" s="108"/>
      <c r="AT253" s="108"/>
      <c r="AU253" s="108"/>
      <c r="AV253" s="108"/>
      <c r="AW253" s="108"/>
      <c r="AX253" s="108"/>
      <c r="AY253" s="108"/>
      <c r="AZ253" s="108"/>
      <c r="BA253" s="108"/>
      <c r="BB253" s="108"/>
      <c r="BC253" s="108"/>
      <c r="BD253" s="108"/>
      <c r="BE253" s="108"/>
      <c r="BF253" s="108"/>
      <c r="BG253" s="108"/>
      <c r="BH253" s="108"/>
      <c r="BI253" s="108"/>
      <c r="BJ253" s="108"/>
      <c r="BK253" s="108"/>
      <c r="BL253" s="108"/>
      <c r="BM253" s="109"/>
      <c r="BN253" s="108"/>
      <c r="BO253" s="108"/>
      <c r="BP253" s="108"/>
    </row>
    <row r="254" spans="1:68" ht="12" customHeight="1" x14ac:dyDescent="0.2">
      <c r="A254" s="179"/>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c r="AA254" s="108"/>
      <c r="AB254" s="108"/>
      <c r="AC254" s="108"/>
      <c r="AD254" s="108"/>
      <c r="AE254" s="108"/>
      <c r="AF254" s="108"/>
      <c r="AG254" s="108"/>
      <c r="AH254" s="108"/>
      <c r="AI254" s="108"/>
      <c r="AJ254" s="108"/>
      <c r="AK254" s="108"/>
      <c r="AL254" s="108"/>
      <c r="AM254" s="108"/>
      <c r="AN254" s="108"/>
      <c r="AO254" s="108"/>
      <c r="AP254" s="108"/>
      <c r="AQ254" s="108"/>
      <c r="AR254" s="108"/>
      <c r="AS254" s="108"/>
      <c r="AT254" s="108"/>
      <c r="AU254" s="108"/>
      <c r="AV254" s="108"/>
      <c r="AW254" s="108"/>
      <c r="AX254" s="108"/>
      <c r="AY254" s="108"/>
      <c r="AZ254" s="108"/>
      <c r="BA254" s="108"/>
      <c r="BB254" s="108"/>
      <c r="BC254" s="108"/>
      <c r="BD254" s="108"/>
      <c r="BE254" s="108"/>
      <c r="BF254" s="108"/>
      <c r="BG254" s="108"/>
      <c r="BH254" s="108"/>
      <c r="BI254" s="108"/>
      <c r="BJ254" s="108"/>
      <c r="BK254" s="108"/>
      <c r="BL254" s="108"/>
      <c r="BM254" s="109"/>
      <c r="BN254" s="108"/>
      <c r="BO254" s="108"/>
      <c r="BP254" s="108"/>
    </row>
    <row r="255" spans="1:68" ht="12" customHeight="1" x14ac:dyDescent="0.2">
      <c r="A255" s="179"/>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c r="AA255" s="108"/>
      <c r="AB255" s="108"/>
      <c r="AC255" s="108"/>
      <c r="AD255" s="108"/>
      <c r="AE255" s="108"/>
      <c r="AF255" s="108"/>
      <c r="AG255" s="108"/>
      <c r="AH255" s="108"/>
      <c r="AI255" s="108"/>
      <c r="AJ255" s="108"/>
      <c r="AK255" s="108"/>
      <c r="AL255" s="108"/>
      <c r="AM255" s="108"/>
      <c r="AN255" s="108"/>
      <c r="AO255" s="108"/>
      <c r="AP255" s="108"/>
      <c r="AQ255" s="108"/>
      <c r="AR255" s="108"/>
      <c r="AS255" s="108"/>
      <c r="AT255" s="108"/>
      <c r="AU255" s="108"/>
      <c r="AV255" s="108"/>
      <c r="AW255" s="108"/>
      <c r="AX255" s="108"/>
      <c r="AY255" s="108"/>
      <c r="AZ255" s="108"/>
      <c r="BA255" s="108"/>
      <c r="BB255" s="108"/>
      <c r="BC255" s="108"/>
      <c r="BD255" s="108"/>
      <c r="BE255" s="108"/>
      <c r="BF255" s="108"/>
      <c r="BG255" s="108"/>
      <c r="BH255" s="108"/>
      <c r="BI255" s="108"/>
      <c r="BJ255" s="108"/>
      <c r="BK255" s="108"/>
      <c r="BL255" s="108"/>
      <c r="BM255" s="109"/>
      <c r="BN255" s="108"/>
      <c r="BO255" s="108"/>
      <c r="BP255" s="108"/>
    </row>
    <row r="256" spans="1:68" ht="12" customHeight="1" x14ac:dyDescent="0.2">
      <c r="A256" s="179"/>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c r="AA256" s="108"/>
      <c r="AB256" s="108"/>
      <c r="AC256" s="108"/>
      <c r="AD256" s="108"/>
      <c r="AE256" s="108"/>
      <c r="AF256" s="108"/>
      <c r="AG256" s="108"/>
      <c r="AH256" s="108"/>
      <c r="AI256" s="108"/>
      <c r="AJ256" s="108"/>
      <c r="AK256" s="108"/>
      <c r="AL256" s="108"/>
      <c r="AM256" s="108"/>
      <c r="AN256" s="108"/>
      <c r="AO256" s="108"/>
      <c r="AP256" s="108"/>
      <c r="AQ256" s="108"/>
      <c r="AR256" s="108"/>
      <c r="AS256" s="108"/>
      <c r="AT256" s="108"/>
      <c r="AU256" s="108"/>
      <c r="AV256" s="108"/>
      <c r="AW256" s="108"/>
      <c r="AX256" s="108"/>
      <c r="AY256" s="108"/>
      <c r="AZ256" s="108"/>
      <c r="BA256" s="108"/>
      <c r="BB256" s="108"/>
      <c r="BC256" s="108"/>
      <c r="BD256" s="108"/>
      <c r="BE256" s="108"/>
      <c r="BF256" s="108"/>
      <c r="BG256" s="108"/>
      <c r="BH256" s="108"/>
      <c r="BI256" s="108"/>
      <c r="BJ256" s="108"/>
      <c r="BK256" s="108"/>
      <c r="BL256" s="108"/>
      <c r="BM256" s="109"/>
      <c r="BN256" s="108"/>
      <c r="BO256" s="108"/>
      <c r="BP256" s="108"/>
    </row>
    <row r="257" spans="1:68" ht="12" customHeight="1" x14ac:dyDescent="0.2">
      <c r="A257" s="179"/>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c r="AA257" s="108"/>
      <c r="AB257" s="108"/>
      <c r="AC257" s="108"/>
      <c r="AD257" s="108"/>
      <c r="AE257" s="108"/>
      <c r="AF257" s="108"/>
      <c r="AG257" s="108"/>
      <c r="AH257" s="108"/>
      <c r="AI257" s="108"/>
      <c r="AJ257" s="108"/>
      <c r="AK257" s="108"/>
      <c r="AL257" s="108"/>
      <c r="AM257" s="108"/>
      <c r="AN257" s="108"/>
      <c r="AO257" s="108"/>
      <c r="AP257" s="108"/>
      <c r="AQ257" s="108"/>
      <c r="AR257" s="108"/>
      <c r="AS257" s="108"/>
      <c r="AT257" s="108"/>
      <c r="AU257" s="108"/>
      <c r="AV257" s="108"/>
      <c r="AW257" s="108"/>
      <c r="AX257" s="108"/>
      <c r="AY257" s="108"/>
      <c r="AZ257" s="108"/>
      <c r="BA257" s="108"/>
      <c r="BB257" s="108"/>
      <c r="BC257" s="108"/>
      <c r="BD257" s="108"/>
      <c r="BE257" s="108"/>
      <c r="BF257" s="108"/>
      <c r="BG257" s="108"/>
      <c r="BH257" s="108"/>
      <c r="BI257" s="108"/>
      <c r="BJ257" s="108"/>
      <c r="BK257" s="108"/>
      <c r="BL257" s="108"/>
      <c r="BM257" s="109"/>
      <c r="BN257" s="108"/>
      <c r="BO257" s="108"/>
      <c r="BP257" s="108"/>
    </row>
    <row r="258" spans="1:68" ht="12" customHeight="1" x14ac:dyDescent="0.2">
      <c r="A258" s="179"/>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c r="AA258" s="108"/>
      <c r="AB258" s="108"/>
      <c r="AC258" s="108"/>
      <c r="AD258" s="108"/>
      <c r="AE258" s="108"/>
      <c r="AF258" s="108"/>
      <c r="AG258" s="108"/>
      <c r="AH258" s="108"/>
      <c r="AI258" s="108"/>
      <c r="AJ258" s="108"/>
      <c r="AK258" s="108"/>
      <c r="AL258" s="108"/>
      <c r="AM258" s="108"/>
      <c r="AN258" s="108"/>
      <c r="AO258" s="108"/>
      <c r="AP258" s="108"/>
      <c r="AQ258" s="108"/>
      <c r="AR258" s="108"/>
      <c r="AS258" s="108"/>
      <c r="AT258" s="108"/>
      <c r="AU258" s="108"/>
      <c r="AV258" s="108"/>
      <c r="AW258" s="108"/>
      <c r="AX258" s="108"/>
      <c r="AY258" s="108"/>
      <c r="AZ258" s="108"/>
      <c r="BA258" s="108"/>
      <c r="BB258" s="108"/>
      <c r="BC258" s="108"/>
      <c r="BD258" s="108"/>
      <c r="BE258" s="108"/>
      <c r="BF258" s="108"/>
      <c r="BG258" s="108"/>
      <c r="BH258" s="108"/>
      <c r="BI258" s="108"/>
      <c r="BJ258" s="108"/>
      <c r="BK258" s="108"/>
      <c r="BL258" s="108"/>
      <c r="BM258" s="109"/>
      <c r="BN258" s="108"/>
      <c r="BO258" s="108"/>
      <c r="BP258" s="108"/>
    </row>
    <row r="259" spans="1:68" ht="12" customHeight="1" x14ac:dyDescent="0.2">
      <c r="A259" s="179"/>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c r="AA259" s="108"/>
      <c r="AB259" s="108"/>
      <c r="AC259" s="108"/>
      <c r="AD259" s="108"/>
      <c r="AE259" s="108"/>
      <c r="AF259" s="108"/>
      <c r="AG259" s="108"/>
      <c r="AH259" s="108"/>
      <c r="AI259" s="108"/>
      <c r="AJ259" s="108"/>
      <c r="AK259" s="108"/>
      <c r="AL259" s="108"/>
      <c r="AM259" s="108"/>
      <c r="AN259" s="108"/>
      <c r="AO259" s="108"/>
      <c r="AP259" s="108"/>
      <c r="AQ259" s="108"/>
      <c r="AR259" s="108"/>
      <c r="AS259" s="108"/>
      <c r="AT259" s="108"/>
      <c r="AU259" s="108"/>
      <c r="AV259" s="108"/>
      <c r="AW259" s="108"/>
      <c r="AX259" s="108"/>
      <c r="AY259" s="108"/>
      <c r="AZ259" s="108"/>
      <c r="BA259" s="108"/>
      <c r="BB259" s="108"/>
      <c r="BC259" s="108"/>
      <c r="BD259" s="108"/>
      <c r="BE259" s="108"/>
      <c r="BF259" s="108"/>
      <c r="BG259" s="108"/>
      <c r="BH259" s="108"/>
      <c r="BI259" s="108"/>
      <c r="BJ259" s="108"/>
      <c r="BK259" s="108"/>
      <c r="BL259" s="108"/>
      <c r="BM259" s="109"/>
      <c r="BN259" s="108"/>
      <c r="BO259" s="108"/>
      <c r="BP259" s="108"/>
    </row>
    <row r="260" spans="1:68" ht="12" customHeight="1" x14ac:dyDescent="0.2">
      <c r="A260" s="179"/>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c r="AA260" s="108"/>
      <c r="AB260" s="108"/>
      <c r="AC260" s="108"/>
      <c r="AD260" s="108"/>
      <c r="AE260" s="108"/>
      <c r="AF260" s="108"/>
      <c r="AG260" s="108"/>
      <c r="AH260" s="108"/>
      <c r="AI260" s="108"/>
      <c r="AJ260" s="108"/>
      <c r="AK260" s="108"/>
      <c r="AL260" s="108"/>
      <c r="AM260" s="108"/>
      <c r="AN260" s="108"/>
      <c r="AO260" s="108"/>
      <c r="AP260" s="108"/>
      <c r="AQ260" s="108"/>
      <c r="AR260" s="108"/>
      <c r="AS260" s="108"/>
      <c r="AT260" s="108"/>
      <c r="AU260" s="108"/>
      <c r="AV260" s="108"/>
      <c r="AW260" s="108"/>
      <c r="AX260" s="108"/>
      <c r="AY260" s="108"/>
      <c r="AZ260" s="108"/>
      <c r="BA260" s="108"/>
      <c r="BB260" s="108"/>
      <c r="BC260" s="108"/>
      <c r="BD260" s="108"/>
      <c r="BE260" s="108"/>
      <c r="BF260" s="108"/>
      <c r="BG260" s="108"/>
      <c r="BH260" s="108"/>
      <c r="BI260" s="108"/>
      <c r="BJ260" s="108"/>
      <c r="BK260" s="108"/>
      <c r="BL260" s="108"/>
      <c r="BM260" s="109"/>
      <c r="BN260" s="108"/>
      <c r="BO260" s="108"/>
      <c r="BP260" s="108"/>
    </row>
    <row r="261" spans="1:68" ht="12" customHeight="1" x14ac:dyDescent="0.2">
      <c r="A261" s="179"/>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c r="AA261" s="108"/>
      <c r="AB261" s="108"/>
      <c r="AC261" s="108"/>
      <c r="AD261" s="108"/>
      <c r="AE261" s="108"/>
      <c r="AF261" s="108"/>
      <c r="AG261" s="108"/>
      <c r="AH261" s="108"/>
      <c r="AI261" s="108"/>
      <c r="AJ261" s="108"/>
      <c r="AK261" s="108"/>
      <c r="AL261" s="108"/>
      <c r="AM261" s="108"/>
      <c r="AN261" s="108"/>
      <c r="AO261" s="108"/>
      <c r="AP261" s="108"/>
      <c r="AQ261" s="108"/>
      <c r="AR261" s="108"/>
      <c r="AS261" s="108"/>
      <c r="AT261" s="108"/>
      <c r="AU261" s="108"/>
      <c r="AV261" s="108"/>
      <c r="AW261" s="108"/>
      <c r="AX261" s="108"/>
      <c r="AY261" s="108"/>
      <c r="AZ261" s="108"/>
      <c r="BA261" s="108"/>
      <c r="BB261" s="108"/>
      <c r="BC261" s="108"/>
      <c r="BD261" s="108"/>
      <c r="BE261" s="108"/>
      <c r="BF261" s="108"/>
      <c r="BG261" s="108"/>
      <c r="BH261" s="108"/>
      <c r="BI261" s="108"/>
      <c r="BJ261" s="108"/>
      <c r="BK261" s="108"/>
      <c r="BL261" s="108"/>
      <c r="BM261" s="109"/>
      <c r="BN261" s="108"/>
      <c r="BO261" s="108"/>
      <c r="BP261" s="108"/>
    </row>
    <row r="262" spans="1:68" ht="12" customHeight="1" x14ac:dyDescent="0.2">
      <c r="A262" s="179"/>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c r="AA262" s="108"/>
      <c r="AB262" s="108"/>
      <c r="AC262" s="108"/>
      <c r="AD262" s="108"/>
      <c r="AE262" s="108"/>
      <c r="AF262" s="108"/>
      <c r="AG262" s="108"/>
      <c r="AH262" s="108"/>
      <c r="AI262" s="108"/>
      <c r="AJ262" s="108"/>
      <c r="AK262" s="108"/>
      <c r="AL262" s="108"/>
      <c r="AM262" s="108"/>
      <c r="AN262" s="108"/>
      <c r="AO262" s="108"/>
      <c r="AP262" s="108"/>
      <c r="AQ262" s="108"/>
      <c r="AR262" s="108"/>
      <c r="AS262" s="108"/>
      <c r="AT262" s="108"/>
      <c r="AU262" s="108"/>
      <c r="AV262" s="108"/>
      <c r="AW262" s="108"/>
      <c r="AX262" s="108"/>
      <c r="AY262" s="108"/>
      <c r="AZ262" s="108"/>
      <c r="BA262" s="108"/>
      <c r="BB262" s="108"/>
      <c r="BC262" s="108"/>
      <c r="BD262" s="108"/>
      <c r="BE262" s="108"/>
      <c r="BF262" s="108"/>
      <c r="BG262" s="108"/>
      <c r="BH262" s="108"/>
      <c r="BI262" s="108"/>
      <c r="BJ262" s="108"/>
      <c r="BK262" s="108"/>
      <c r="BL262" s="108"/>
      <c r="BM262" s="109"/>
      <c r="BN262" s="108"/>
      <c r="BO262" s="108"/>
      <c r="BP262" s="108"/>
    </row>
    <row r="263" spans="1:68" ht="12" customHeight="1" x14ac:dyDescent="0.2">
      <c r="A263" s="179"/>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c r="AA263" s="108"/>
      <c r="AB263" s="108"/>
      <c r="AC263" s="108"/>
      <c r="AD263" s="108"/>
      <c r="AE263" s="108"/>
      <c r="AF263" s="108"/>
      <c r="AG263" s="108"/>
      <c r="AH263" s="108"/>
      <c r="AI263" s="108"/>
      <c r="AJ263" s="108"/>
      <c r="AK263" s="108"/>
      <c r="AL263" s="108"/>
      <c r="AM263" s="108"/>
      <c r="AN263" s="108"/>
      <c r="AO263" s="108"/>
      <c r="AP263" s="108"/>
      <c r="AQ263" s="108"/>
      <c r="AR263" s="108"/>
      <c r="AS263" s="108"/>
      <c r="AT263" s="108"/>
      <c r="AU263" s="108"/>
      <c r="AV263" s="108"/>
      <c r="AW263" s="108"/>
      <c r="AX263" s="108"/>
      <c r="AY263" s="108"/>
      <c r="AZ263" s="108"/>
      <c r="BA263" s="108"/>
      <c r="BB263" s="108"/>
      <c r="BC263" s="108"/>
      <c r="BD263" s="108"/>
      <c r="BE263" s="108"/>
      <c r="BF263" s="108"/>
      <c r="BG263" s="108"/>
      <c r="BH263" s="108"/>
      <c r="BI263" s="108"/>
      <c r="BJ263" s="108"/>
      <c r="BK263" s="108"/>
      <c r="BL263" s="108"/>
      <c r="BM263" s="109"/>
      <c r="BN263" s="108"/>
      <c r="BO263" s="108"/>
      <c r="BP263" s="108"/>
    </row>
    <row r="264" spans="1:68" ht="12" customHeight="1" x14ac:dyDescent="0.2">
      <c r="A264" s="179"/>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c r="AA264" s="108"/>
      <c r="AB264" s="108"/>
      <c r="AC264" s="108"/>
      <c r="AD264" s="108"/>
      <c r="AE264" s="108"/>
      <c r="AF264" s="108"/>
      <c r="AG264" s="108"/>
      <c r="AH264" s="108"/>
      <c r="AI264" s="108"/>
      <c r="AJ264" s="108"/>
      <c r="AK264" s="108"/>
      <c r="AL264" s="108"/>
      <c r="AM264" s="108"/>
      <c r="AN264" s="108"/>
      <c r="AO264" s="108"/>
      <c r="AP264" s="108"/>
      <c r="AQ264" s="108"/>
      <c r="AR264" s="108"/>
      <c r="AS264" s="108"/>
      <c r="AT264" s="108"/>
      <c r="AU264" s="108"/>
      <c r="AV264" s="108"/>
      <c r="AW264" s="108"/>
      <c r="AX264" s="108"/>
      <c r="AY264" s="108"/>
      <c r="AZ264" s="108"/>
      <c r="BA264" s="108"/>
      <c r="BB264" s="108"/>
      <c r="BC264" s="108"/>
      <c r="BD264" s="108"/>
      <c r="BE264" s="108"/>
      <c r="BF264" s="108"/>
      <c r="BG264" s="108"/>
      <c r="BH264" s="108"/>
      <c r="BI264" s="108"/>
      <c r="BJ264" s="108"/>
      <c r="BK264" s="108"/>
      <c r="BL264" s="108"/>
      <c r="BM264" s="109"/>
      <c r="BN264" s="108"/>
      <c r="BO264" s="108"/>
      <c r="BP264" s="108"/>
    </row>
    <row r="265" spans="1:68" ht="12" customHeight="1" x14ac:dyDescent="0.2">
      <c r="A265" s="179"/>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c r="AA265" s="108"/>
      <c r="AB265" s="108"/>
      <c r="AC265" s="108"/>
      <c r="AD265" s="108"/>
      <c r="AE265" s="108"/>
      <c r="AF265" s="108"/>
      <c r="AG265" s="108"/>
      <c r="AH265" s="108"/>
      <c r="AI265" s="108"/>
      <c r="AJ265" s="108"/>
      <c r="AK265" s="108"/>
      <c r="AL265" s="108"/>
      <c r="AM265" s="108"/>
      <c r="AN265" s="108"/>
      <c r="AO265" s="108"/>
      <c r="AP265" s="108"/>
      <c r="AQ265" s="108"/>
      <c r="AR265" s="108"/>
      <c r="AS265" s="108"/>
      <c r="AT265" s="108"/>
      <c r="AU265" s="108"/>
      <c r="AV265" s="108"/>
      <c r="AW265" s="108"/>
      <c r="AX265" s="108"/>
      <c r="AY265" s="108"/>
      <c r="AZ265" s="108"/>
      <c r="BA265" s="108"/>
      <c r="BB265" s="108"/>
      <c r="BC265" s="108"/>
      <c r="BD265" s="108"/>
      <c r="BE265" s="108"/>
      <c r="BF265" s="108"/>
      <c r="BG265" s="108"/>
      <c r="BH265" s="108"/>
      <c r="BI265" s="108"/>
      <c r="BJ265" s="108"/>
      <c r="BK265" s="108"/>
      <c r="BL265" s="108"/>
      <c r="BM265" s="109"/>
      <c r="BN265" s="108"/>
      <c r="BO265" s="108"/>
      <c r="BP265" s="108"/>
    </row>
    <row r="266" spans="1:68" ht="12" customHeight="1" x14ac:dyDescent="0.2">
      <c r="A266" s="179"/>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c r="AA266" s="108"/>
      <c r="AB266" s="108"/>
      <c r="AC266" s="108"/>
      <c r="AD266" s="108"/>
      <c r="AE266" s="108"/>
      <c r="AF266" s="108"/>
      <c r="AG266" s="108"/>
      <c r="AH266" s="108"/>
      <c r="AI266" s="108"/>
      <c r="AJ266" s="108"/>
      <c r="AK266" s="108"/>
      <c r="AL266" s="108"/>
      <c r="AM266" s="108"/>
      <c r="AN266" s="108"/>
      <c r="AO266" s="108"/>
      <c r="AP266" s="108"/>
      <c r="AQ266" s="108"/>
      <c r="AR266" s="108"/>
      <c r="AS266" s="108"/>
      <c r="AT266" s="108"/>
      <c r="AU266" s="108"/>
      <c r="AV266" s="108"/>
      <c r="AW266" s="108"/>
      <c r="AX266" s="108"/>
      <c r="AY266" s="108"/>
      <c r="AZ266" s="108"/>
      <c r="BA266" s="108"/>
      <c r="BB266" s="108"/>
      <c r="BC266" s="108"/>
      <c r="BD266" s="108"/>
      <c r="BE266" s="108"/>
      <c r="BF266" s="108"/>
      <c r="BG266" s="108"/>
      <c r="BH266" s="108"/>
      <c r="BI266" s="108"/>
      <c r="BJ266" s="108"/>
      <c r="BK266" s="108"/>
      <c r="BL266" s="108"/>
      <c r="BM266" s="109"/>
      <c r="BN266" s="108"/>
      <c r="BO266" s="108"/>
      <c r="BP266" s="108"/>
    </row>
    <row r="267" spans="1:68" ht="12" customHeight="1" x14ac:dyDescent="0.2">
      <c r="A267" s="179"/>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c r="AA267" s="108"/>
      <c r="AB267" s="108"/>
      <c r="AC267" s="108"/>
      <c r="AD267" s="108"/>
      <c r="AE267" s="108"/>
      <c r="AF267" s="108"/>
      <c r="AG267" s="108"/>
      <c r="AH267" s="108"/>
      <c r="AI267" s="108"/>
      <c r="AJ267" s="108"/>
      <c r="AK267" s="108"/>
      <c r="AL267" s="108"/>
      <c r="AM267" s="108"/>
      <c r="AN267" s="108"/>
      <c r="AO267" s="108"/>
      <c r="AP267" s="108"/>
      <c r="AQ267" s="108"/>
      <c r="AR267" s="108"/>
      <c r="AS267" s="108"/>
      <c r="AT267" s="108"/>
      <c r="AU267" s="108"/>
      <c r="AV267" s="108"/>
      <c r="AW267" s="108"/>
      <c r="AX267" s="108"/>
      <c r="AY267" s="108"/>
      <c r="AZ267" s="108"/>
      <c r="BA267" s="108"/>
      <c r="BB267" s="108"/>
      <c r="BC267" s="108"/>
      <c r="BD267" s="108"/>
      <c r="BE267" s="108"/>
      <c r="BF267" s="108"/>
      <c r="BG267" s="108"/>
      <c r="BH267" s="108"/>
      <c r="BI267" s="108"/>
      <c r="BJ267" s="108"/>
      <c r="BK267" s="108"/>
      <c r="BL267" s="108"/>
      <c r="BM267" s="109"/>
      <c r="BN267" s="108"/>
      <c r="BO267" s="108"/>
      <c r="BP267" s="108"/>
    </row>
    <row r="268" spans="1:68" ht="12" customHeight="1" x14ac:dyDescent="0.2">
      <c r="A268" s="179"/>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c r="AA268" s="108"/>
      <c r="AB268" s="108"/>
      <c r="AC268" s="108"/>
      <c r="AD268" s="108"/>
      <c r="AE268" s="108"/>
      <c r="AF268" s="108"/>
      <c r="AG268" s="108"/>
      <c r="AH268" s="108"/>
      <c r="AI268" s="108"/>
      <c r="AJ268" s="108"/>
      <c r="AK268" s="108"/>
      <c r="AL268" s="108"/>
      <c r="AM268" s="108"/>
      <c r="AN268" s="108"/>
      <c r="AO268" s="108"/>
      <c r="AP268" s="108"/>
      <c r="AQ268" s="108"/>
      <c r="AR268" s="108"/>
      <c r="AS268" s="108"/>
      <c r="AT268" s="108"/>
      <c r="AU268" s="108"/>
      <c r="AV268" s="108"/>
      <c r="AW268" s="108"/>
      <c r="AX268" s="108"/>
      <c r="AY268" s="108"/>
      <c r="AZ268" s="108"/>
      <c r="BA268" s="108"/>
      <c r="BB268" s="108"/>
      <c r="BC268" s="108"/>
      <c r="BD268" s="108"/>
      <c r="BE268" s="108"/>
      <c r="BF268" s="108"/>
      <c r="BG268" s="108"/>
      <c r="BH268" s="108"/>
      <c r="BI268" s="108"/>
      <c r="BJ268" s="108"/>
      <c r="BK268" s="108"/>
      <c r="BL268" s="108"/>
      <c r="BM268" s="109"/>
      <c r="BN268" s="108"/>
      <c r="BO268" s="108"/>
      <c r="BP268" s="108"/>
    </row>
    <row r="269" spans="1:68" ht="12" customHeight="1" x14ac:dyDescent="0.2">
      <c r="A269" s="179"/>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c r="AA269" s="108"/>
      <c r="AB269" s="108"/>
      <c r="AC269" s="108"/>
      <c r="AD269" s="108"/>
      <c r="AE269" s="108"/>
      <c r="AF269" s="108"/>
      <c r="AG269" s="108"/>
      <c r="AH269" s="108"/>
      <c r="AI269" s="108"/>
      <c r="AJ269" s="108"/>
      <c r="AK269" s="108"/>
      <c r="AL269" s="108"/>
      <c r="AM269" s="108"/>
      <c r="AN269" s="108"/>
      <c r="AO269" s="108"/>
      <c r="AP269" s="108"/>
      <c r="AQ269" s="108"/>
      <c r="AR269" s="108"/>
      <c r="AS269" s="108"/>
      <c r="AT269" s="108"/>
      <c r="AU269" s="108"/>
      <c r="AV269" s="108"/>
      <c r="AW269" s="108"/>
      <c r="AX269" s="108"/>
      <c r="AY269" s="108"/>
      <c r="AZ269" s="108"/>
      <c r="BA269" s="108"/>
      <c r="BB269" s="108"/>
      <c r="BC269" s="108"/>
      <c r="BD269" s="108"/>
      <c r="BE269" s="108"/>
      <c r="BF269" s="108"/>
      <c r="BG269" s="108"/>
      <c r="BH269" s="108"/>
      <c r="BI269" s="108"/>
      <c r="BJ269" s="108"/>
      <c r="BK269" s="108"/>
      <c r="BL269" s="108"/>
      <c r="BM269" s="109"/>
      <c r="BN269" s="108"/>
      <c r="BO269" s="108"/>
      <c r="BP269" s="108"/>
    </row>
    <row r="270" spans="1:68" ht="12" customHeight="1" x14ac:dyDescent="0.2">
      <c r="A270" s="179"/>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c r="AA270" s="108"/>
      <c r="AB270" s="108"/>
      <c r="AC270" s="108"/>
      <c r="AD270" s="108"/>
      <c r="AE270" s="108"/>
      <c r="AF270" s="108"/>
      <c r="AG270" s="108"/>
      <c r="AH270" s="108"/>
      <c r="AI270" s="108"/>
      <c r="AJ270" s="108"/>
      <c r="AK270" s="108"/>
      <c r="AL270" s="108"/>
      <c r="AM270" s="108"/>
      <c r="AN270" s="108"/>
      <c r="AO270" s="108"/>
      <c r="AP270" s="108"/>
      <c r="AQ270" s="108"/>
      <c r="AR270" s="108"/>
      <c r="AS270" s="108"/>
      <c r="AT270" s="108"/>
      <c r="AU270" s="108"/>
      <c r="AV270" s="108"/>
      <c r="AW270" s="108"/>
      <c r="AX270" s="108"/>
      <c r="AY270" s="108"/>
      <c r="AZ270" s="108"/>
      <c r="BA270" s="108"/>
      <c r="BB270" s="108"/>
      <c r="BC270" s="108"/>
      <c r="BD270" s="108"/>
      <c r="BE270" s="108"/>
      <c r="BF270" s="108"/>
      <c r="BG270" s="108"/>
      <c r="BH270" s="108"/>
      <c r="BI270" s="108"/>
      <c r="BJ270" s="108"/>
      <c r="BK270" s="108"/>
      <c r="BL270" s="108"/>
      <c r="BM270" s="109"/>
      <c r="BN270" s="108"/>
      <c r="BO270" s="108"/>
      <c r="BP270" s="108"/>
    </row>
    <row r="271" spans="1:68" ht="12" customHeight="1" x14ac:dyDescent="0.2">
      <c r="A271" s="179"/>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c r="AA271" s="108"/>
      <c r="AB271" s="108"/>
      <c r="AC271" s="108"/>
      <c r="AD271" s="108"/>
      <c r="AE271" s="108"/>
      <c r="AF271" s="108"/>
      <c r="AG271" s="108"/>
      <c r="AH271" s="108"/>
      <c r="AI271" s="108"/>
      <c r="AJ271" s="108"/>
      <c r="AK271" s="108"/>
      <c r="AL271" s="108"/>
      <c r="AM271" s="108"/>
      <c r="AN271" s="108"/>
      <c r="AO271" s="108"/>
      <c r="AP271" s="108"/>
      <c r="AQ271" s="108"/>
      <c r="AR271" s="108"/>
      <c r="AS271" s="108"/>
      <c r="AT271" s="108"/>
      <c r="AU271" s="108"/>
      <c r="AV271" s="108"/>
      <c r="AW271" s="108"/>
      <c r="AX271" s="108"/>
      <c r="AY271" s="108"/>
      <c r="AZ271" s="108"/>
      <c r="BA271" s="108"/>
      <c r="BB271" s="108"/>
      <c r="BC271" s="108"/>
      <c r="BD271" s="108"/>
      <c r="BE271" s="108"/>
      <c r="BF271" s="108"/>
      <c r="BG271" s="108"/>
      <c r="BH271" s="108"/>
      <c r="BI271" s="108"/>
      <c r="BJ271" s="108"/>
      <c r="BK271" s="108"/>
      <c r="BL271" s="108"/>
      <c r="BM271" s="109"/>
      <c r="BN271" s="108"/>
      <c r="BO271" s="108"/>
      <c r="BP271" s="108"/>
    </row>
    <row r="272" spans="1:68" ht="12" customHeight="1" x14ac:dyDescent="0.2">
      <c r="A272" s="179"/>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c r="AA272" s="108"/>
      <c r="AB272" s="108"/>
      <c r="AC272" s="108"/>
      <c r="AD272" s="108"/>
      <c r="AE272" s="108"/>
      <c r="AF272" s="108"/>
      <c r="AG272" s="108"/>
      <c r="AH272" s="108"/>
      <c r="AI272" s="108"/>
      <c r="AJ272" s="108"/>
      <c r="AK272" s="108"/>
      <c r="AL272" s="108"/>
      <c r="AM272" s="108"/>
      <c r="AN272" s="108"/>
      <c r="AO272" s="108"/>
      <c r="AP272" s="108"/>
      <c r="AQ272" s="108"/>
      <c r="AR272" s="108"/>
      <c r="AS272" s="108"/>
      <c r="AT272" s="108"/>
      <c r="AU272" s="108"/>
      <c r="AV272" s="108"/>
      <c r="AW272" s="108"/>
      <c r="AX272" s="108"/>
      <c r="AY272" s="108"/>
      <c r="AZ272" s="108"/>
      <c r="BA272" s="108"/>
      <c r="BB272" s="108"/>
      <c r="BC272" s="108"/>
      <c r="BD272" s="108"/>
      <c r="BE272" s="108"/>
      <c r="BF272" s="108"/>
      <c r="BG272" s="108"/>
      <c r="BH272" s="108"/>
      <c r="BI272" s="108"/>
      <c r="BJ272" s="108"/>
      <c r="BK272" s="108"/>
      <c r="BL272" s="108"/>
      <c r="BM272" s="109"/>
      <c r="BN272" s="108"/>
      <c r="BO272" s="108"/>
      <c r="BP272" s="108"/>
    </row>
    <row r="273" spans="1:68" ht="12" customHeight="1" x14ac:dyDescent="0.2">
      <c r="A273" s="179"/>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c r="AA273" s="108"/>
      <c r="AB273" s="108"/>
      <c r="AC273" s="108"/>
      <c r="AD273" s="108"/>
      <c r="AE273" s="108"/>
      <c r="AF273" s="108"/>
      <c r="AG273" s="108"/>
      <c r="AH273" s="108"/>
      <c r="AI273" s="108"/>
      <c r="AJ273" s="108"/>
      <c r="AK273" s="108"/>
      <c r="AL273" s="108"/>
      <c r="AM273" s="108"/>
      <c r="AN273" s="108"/>
      <c r="AO273" s="108"/>
      <c r="AP273" s="108"/>
      <c r="AQ273" s="108"/>
      <c r="AR273" s="108"/>
      <c r="AS273" s="108"/>
      <c r="AT273" s="108"/>
      <c r="AU273" s="108"/>
      <c r="AV273" s="108"/>
      <c r="AW273" s="108"/>
      <c r="AX273" s="108"/>
      <c r="AY273" s="108"/>
      <c r="AZ273" s="108"/>
      <c r="BA273" s="108"/>
      <c r="BB273" s="108"/>
      <c r="BC273" s="108"/>
      <c r="BD273" s="108"/>
      <c r="BE273" s="108"/>
      <c r="BF273" s="108"/>
      <c r="BG273" s="108"/>
      <c r="BH273" s="108"/>
      <c r="BI273" s="108"/>
      <c r="BJ273" s="108"/>
      <c r="BK273" s="108"/>
      <c r="BL273" s="108"/>
      <c r="BM273" s="109"/>
      <c r="BN273" s="108"/>
      <c r="BO273" s="108"/>
      <c r="BP273" s="108"/>
    </row>
    <row r="274" spans="1:68" ht="12" customHeight="1" x14ac:dyDescent="0.2">
      <c r="A274" s="179"/>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c r="AA274" s="108"/>
      <c r="AB274" s="108"/>
      <c r="AC274" s="108"/>
      <c r="AD274" s="108"/>
      <c r="AE274" s="108"/>
      <c r="AF274" s="108"/>
      <c r="AG274" s="108"/>
      <c r="AH274" s="108"/>
      <c r="AI274" s="108"/>
      <c r="AJ274" s="108"/>
      <c r="AK274" s="108"/>
      <c r="AL274" s="108"/>
      <c r="AM274" s="108"/>
      <c r="AN274" s="108"/>
      <c r="AO274" s="108"/>
      <c r="AP274" s="108"/>
      <c r="AQ274" s="108"/>
      <c r="AR274" s="108"/>
      <c r="AS274" s="108"/>
      <c r="AT274" s="108"/>
      <c r="AU274" s="108"/>
      <c r="AV274" s="108"/>
      <c r="AW274" s="108"/>
      <c r="AX274" s="108"/>
      <c r="AY274" s="108"/>
      <c r="AZ274" s="108"/>
      <c r="BA274" s="108"/>
      <c r="BB274" s="108"/>
      <c r="BC274" s="108"/>
      <c r="BD274" s="108"/>
      <c r="BE274" s="108"/>
      <c r="BF274" s="108"/>
      <c r="BG274" s="108"/>
      <c r="BH274" s="108"/>
      <c r="BI274" s="108"/>
      <c r="BJ274" s="108"/>
      <c r="BK274" s="108"/>
      <c r="BL274" s="108"/>
      <c r="BM274" s="109"/>
      <c r="BN274" s="108"/>
      <c r="BO274" s="108"/>
      <c r="BP274" s="108"/>
    </row>
    <row r="275" spans="1:68" ht="12" customHeight="1" x14ac:dyDescent="0.2">
      <c r="A275" s="179"/>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c r="AA275" s="108"/>
      <c r="AB275" s="108"/>
      <c r="AC275" s="108"/>
      <c r="AD275" s="108"/>
      <c r="AE275" s="108"/>
      <c r="AF275" s="108"/>
      <c r="AG275" s="108"/>
      <c r="AH275" s="108"/>
      <c r="AI275" s="108"/>
      <c r="AJ275" s="108"/>
      <c r="AK275" s="108"/>
      <c r="AL275" s="108"/>
      <c r="AM275" s="108"/>
      <c r="AN275" s="108"/>
      <c r="AO275" s="108"/>
      <c r="AP275" s="108"/>
      <c r="AQ275" s="108"/>
      <c r="AR275" s="108"/>
      <c r="AS275" s="108"/>
      <c r="AT275" s="108"/>
      <c r="AU275" s="108"/>
      <c r="AV275" s="108"/>
      <c r="AW275" s="108"/>
      <c r="AX275" s="108"/>
      <c r="AY275" s="108"/>
      <c r="AZ275" s="108"/>
      <c r="BA275" s="108"/>
      <c r="BB275" s="108"/>
      <c r="BC275" s="108"/>
      <c r="BD275" s="108"/>
      <c r="BE275" s="108"/>
      <c r="BF275" s="108"/>
      <c r="BG275" s="108"/>
      <c r="BH275" s="108"/>
      <c r="BI275" s="108"/>
      <c r="BJ275" s="108"/>
      <c r="BK275" s="108"/>
      <c r="BL275" s="108"/>
      <c r="BM275" s="109"/>
      <c r="BN275" s="108"/>
      <c r="BO275" s="108"/>
      <c r="BP275" s="108"/>
    </row>
    <row r="276" spans="1:68" ht="12" customHeight="1" x14ac:dyDescent="0.2">
      <c r="A276" s="179"/>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c r="AA276" s="108"/>
      <c r="AB276" s="108"/>
      <c r="AC276" s="108"/>
      <c r="AD276" s="108"/>
      <c r="AE276" s="108"/>
      <c r="AF276" s="108"/>
      <c r="AG276" s="108"/>
      <c r="AH276" s="108"/>
      <c r="AI276" s="108"/>
      <c r="AJ276" s="108"/>
      <c r="AK276" s="108"/>
      <c r="AL276" s="108"/>
      <c r="AM276" s="108"/>
      <c r="AN276" s="108"/>
      <c r="AO276" s="108"/>
      <c r="AP276" s="108"/>
      <c r="AQ276" s="108"/>
      <c r="AR276" s="108"/>
      <c r="AS276" s="108"/>
      <c r="AT276" s="108"/>
      <c r="AU276" s="108"/>
      <c r="AV276" s="108"/>
      <c r="AW276" s="108"/>
      <c r="AX276" s="108"/>
      <c r="AY276" s="108"/>
      <c r="AZ276" s="108"/>
      <c r="BA276" s="108"/>
      <c r="BB276" s="108"/>
      <c r="BC276" s="108"/>
      <c r="BD276" s="108"/>
      <c r="BE276" s="108"/>
      <c r="BF276" s="108"/>
      <c r="BG276" s="108"/>
      <c r="BH276" s="108"/>
      <c r="BI276" s="108"/>
      <c r="BJ276" s="108"/>
      <c r="BK276" s="108"/>
      <c r="BL276" s="108"/>
      <c r="BM276" s="109"/>
      <c r="BN276" s="108"/>
      <c r="BO276" s="108"/>
      <c r="BP276" s="108"/>
    </row>
    <row r="277" spans="1:68" ht="12" customHeight="1" x14ac:dyDescent="0.2">
      <c r="A277" s="179"/>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c r="AA277" s="108"/>
      <c r="AB277" s="108"/>
      <c r="AC277" s="108"/>
      <c r="AD277" s="108"/>
      <c r="AE277" s="108"/>
      <c r="AF277" s="108"/>
      <c r="AG277" s="108"/>
      <c r="AH277" s="108"/>
      <c r="AI277" s="108"/>
      <c r="AJ277" s="108"/>
      <c r="AK277" s="108"/>
      <c r="AL277" s="108"/>
      <c r="AM277" s="108"/>
      <c r="AN277" s="108"/>
      <c r="AO277" s="108"/>
      <c r="AP277" s="108"/>
      <c r="AQ277" s="108"/>
      <c r="AR277" s="108"/>
      <c r="AS277" s="108"/>
      <c r="AT277" s="108"/>
      <c r="AU277" s="108"/>
      <c r="AV277" s="108"/>
      <c r="AW277" s="108"/>
      <c r="AX277" s="108"/>
      <c r="AY277" s="108"/>
      <c r="AZ277" s="108"/>
      <c r="BA277" s="108"/>
      <c r="BB277" s="108"/>
      <c r="BC277" s="108"/>
      <c r="BD277" s="108"/>
      <c r="BE277" s="108"/>
      <c r="BF277" s="108"/>
      <c r="BG277" s="108"/>
      <c r="BH277" s="108"/>
      <c r="BI277" s="108"/>
      <c r="BJ277" s="108"/>
      <c r="BK277" s="108"/>
      <c r="BL277" s="108"/>
      <c r="BM277" s="109"/>
      <c r="BN277" s="108"/>
      <c r="BO277" s="108"/>
      <c r="BP277" s="108"/>
    </row>
    <row r="278" spans="1:68" ht="12" customHeight="1" x14ac:dyDescent="0.2">
      <c r="A278" s="179"/>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c r="AA278" s="108"/>
      <c r="AB278" s="108"/>
      <c r="AC278" s="108"/>
      <c r="AD278" s="108"/>
      <c r="AE278" s="108"/>
      <c r="AF278" s="108"/>
      <c r="AG278" s="108"/>
      <c r="AH278" s="108"/>
      <c r="AI278" s="108"/>
      <c r="AJ278" s="108"/>
      <c r="AK278" s="108"/>
      <c r="AL278" s="108"/>
      <c r="AM278" s="108"/>
      <c r="AN278" s="108"/>
      <c r="AO278" s="108"/>
      <c r="AP278" s="108"/>
      <c r="AQ278" s="108"/>
      <c r="AR278" s="108"/>
      <c r="AS278" s="108"/>
      <c r="AT278" s="108"/>
      <c r="AU278" s="108"/>
      <c r="AV278" s="108"/>
      <c r="AW278" s="108"/>
      <c r="AX278" s="108"/>
      <c r="AY278" s="108"/>
      <c r="AZ278" s="108"/>
      <c r="BA278" s="108"/>
      <c r="BB278" s="108"/>
      <c r="BC278" s="108"/>
      <c r="BD278" s="108"/>
      <c r="BE278" s="108"/>
      <c r="BF278" s="108"/>
      <c r="BG278" s="108"/>
      <c r="BH278" s="108"/>
      <c r="BI278" s="108"/>
      <c r="BJ278" s="108"/>
      <c r="BK278" s="108"/>
      <c r="BL278" s="108"/>
      <c r="BM278" s="109"/>
      <c r="BN278" s="108"/>
      <c r="BO278" s="108"/>
      <c r="BP278" s="108"/>
    </row>
    <row r="279" spans="1:68" ht="12" customHeight="1" x14ac:dyDescent="0.2">
      <c r="A279" s="179"/>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c r="AA279" s="108"/>
      <c r="AB279" s="108"/>
      <c r="AC279" s="108"/>
      <c r="AD279" s="108"/>
      <c r="AE279" s="108"/>
      <c r="AF279" s="108"/>
      <c r="AG279" s="108"/>
      <c r="AH279" s="108"/>
      <c r="AI279" s="108"/>
      <c r="AJ279" s="108"/>
      <c r="AK279" s="108"/>
      <c r="AL279" s="108"/>
      <c r="AM279" s="108"/>
      <c r="AN279" s="108"/>
      <c r="AO279" s="108"/>
      <c r="AP279" s="108"/>
      <c r="AQ279" s="108"/>
      <c r="AR279" s="108"/>
      <c r="AS279" s="108"/>
      <c r="AT279" s="108"/>
      <c r="AU279" s="108"/>
      <c r="AV279" s="108"/>
      <c r="AW279" s="108"/>
      <c r="AX279" s="108"/>
      <c r="AY279" s="108"/>
      <c r="AZ279" s="108"/>
      <c r="BA279" s="108"/>
      <c r="BB279" s="108"/>
      <c r="BC279" s="108"/>
      <c r="BD279" s="108"/>
      <c r="BE279" s="108"/>
      <c r="BF279" s="108"/>
      <c r="BG279" s="108"/>
      <c r="BH279" s="108"/>
      <c r="BI279" s="108"/>
      <c r="BJ279" s="108"/>
      <c r="BK279" s="108"/>
      <c r="BL279" s="108"/>
      <c r="BM279" s="109"/>
      <c r="BN279" s="108"/>
      <c r="BO279" s="108"/>
      <c r="BP279" s="108"/>
    </row>
    <row r="280" spans="1:68" ht="12" customHeight="1" x14ac:dyDescent="0.2">
      <c r="A280" s="179"/>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c r="AA280" s="108"/>
      <c r="AB280" s="108"/>
      <c r="AC280" s="108"/>
      <c r="AD280" s="108"/>
      <c r="AE280" s="108"/>
      <c r="AF280" s="108"/>
      <c r="AG280" s="108"/>
      <c r="AH280" s="108"/>
      <c r="AI280" s="108"/>
      <c r="AJ280" s="108"/>
      <c r="AK280" s="108"/>
      <c r="AL280" s="108"/>
      <c r="AM280" s="108"/>
      <c r="AN280" s="108"/>
      <c r="AO280" s="108"/>
      <c r="AP280" s="108"/>
      <c r="AQ280" s="108"/>
      <c r="AR280" s="108"/>
      <c r="AS280" s="108"/>
      <c r="AT280" s="108"/>
      <c r="AU280" s="108"/>
      <c r="AV280" s="108"/>
      <c r="AW280" s="108"/>
      <c r="AX280" s="108"/>
      <c r="AY280" s="108"/>
      <c r="AZ280" s="108"/>
      <c r="BA280" s="108"/>
      <c r="BB280" s="108"/>
      <c r="BC280" s="108"/>
      <c r="BD280" s="108"/>
      <c r="BE280" s="108"/>
      <c r="BF280" s="108"/>
      <c r="BG280" s="108"/>
      <c r="BH280" s="108"/>
      <c r="BI280" s="108"/>
      <c r="BJ280" s="108"/>
      <c r="BK280" s="108"/>
      <c r="BL280" s="108"/>
      <c r="BM280" s="109"/>
      <c r="BN280" s="108"/>
      <c r="BO280" s="108"/>
      <c r="BP280" s="108"/>
    </row>
    <row r="281" spans="1:68" ht="12" customHeight="1" x14ac:dyDescent="0.2">
      <c r="A281" s="179"/>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c r="AA281" s="108"/>
      <c r="AB281" s="108"/>
      <c r="AC281" s="108"/>
      <c r="AD281" s="108"/>
      <c r="AE281" s="108"/>
      <c r="AF281" s="108"/>
      <c r="AG281" s="108"/>
      <c r="AH281" s="108"/>
      <c r="AI281" s="108"/>
      <c r="AJ281" s="108"/>
      <c r="AK281" s="108"/>
      <c r="AL281" s="108"/>
      <c r="AM281" s="108"/>
      <c r="AN281" s="108"/>
      <c r="AO281" s="108"/>
      <c r="AP281" s="108"/>
      <c r="AQ281" s="108"/>
      <c r="AR281" s="108"/>
      <c r="AS281" s="108"/>
      <c r="AT281" s="108"/>
      <c r="AU281" s="108"/>
      <c r="AV281" s="108"/>
      <c r="AW281" s="108"/>
      <c r="AX281" s="108"/>
      <c r="AY281" s="108"/>
      <c r="AZ281" s="108"/>
      <c r="BA281" s="108"/>
      <c r="BB281" s="108"/>
      <c r="BC281" s="108"/>
      <c r="BD281" s="108"/>
      <c r="BE281" s="108"/>
      <c r="BF281" s="108"/>
      <c r="BG281" s="108"/>
      <c r="BH281" s="108"/>
      <c r="BI281" s="108"/>
      <c r="BJ281" s="108"/>
      <c r="BK281" s="108"/>
      <c r="BL281" s="108"/>
      <c r="BM281" s="109"/>
      <c r="BN281" s="108"/>
      <c r="BO281" s="108"/>
      <c r="BP281" s="108"/>
    </row>
    <row r="282" spans="1:68" ht="12" customHeight="1" x14ac:dyDescent="0.2">
      <c r="A282" s="179"/>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c r="AA282" s="108"/>
      <c r="AB282" s="108"/>
      <c r="AC282" s="108"/>
      <c r="AD282" s="108"/>
      <c r="AE282" s="108"/>
      <c r="AF282" s="108"/>
      <c r="AG282" s="108"/>
      <c r="AH282" s="108"/>
      <c r="AI282" s="108"/>
      <c r="AJ282" s="108"/>
      <c r="AK282" s="108"/>
      <c r="AL282" s="108"/>
      <c r="AM282" s="108"/>
      <c r="AN282" s="108"/>
      <c r="AO282" s="108"/>
      <c r="AP282" s="108"/>
      <c r="AQ282" s="108"/>
      <c r="AR282" s="108"/>
      <c r="AS282" s="108"/>
      <c r="AT282" s="108"/>
      <c r="AU282" s="108"/>
      <c r="AV282" s="108"/>
      <c r="AW282" s="108"/>
      <c r="AX282" s="108"/>
      <c r="AY282" s="108"/>
      <c r="AZ282" s="108"/>
      <c r="BA282" s="108"/>
      <c r="BB282" s="108"/>
      <c r="BC282" s="108"/>
      <c r="BD282" s="108"/>
      <c r="BE282" s="108"/>
      <c r="BF282" s="108"/>
      <c r="BG282" s="108"/>
      <c r="BH282" s="108"/>
      <c r="BI282" s="108"/>
      <c r="BJ282" s="108"/>
      <c r="BK282" s="108"/>
      <c r="BL282" s="108"/>
      <c r="BM282" s="109"/>
      <c r="BN282" s="108"/>
      <c r="BO282" s="108"/>
      <c r="BP282" s="108"/>
    </row>
    <row r="283" spans="1:68" ht="12" customHeight="1" x14ac:dyDescent="0.2">
      <c r="A283" s="179"/>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c r="AA283" s="108"/>
      <c r="AB283" s="108"/>
      <c r="AC283" s="108"/>
      <c r="AD283" s="108"/>
      <c r="AE283" s="108"/>
      <c r="AF283" s="108"/>
      <c r="AG283" s="108"/>
      <c r="AH283" s="108"/>
      <c r="AI283" s="108"/>
      <c r="AJ283" s="108"/>
      <c r="AK283" s="108"/>
      <c r="AL283" s="108"/>
      <c r="AM283" s="108"/>
      <c r="AN283" s="108"/>
      <c r="AO283" s="108"/>
      <c r="AP283" s="108"/>
      <c r="AQ283" s="108"/>
      <c r="AR283" s="108"/>
      <c r="AS283" s="108"/>
      <c r="AT283" s="108"/>
      <c r="AU283" s="108"/>
      <c r="AV283" s="108"/>
      <c r="AW283" s="108"/>
      <c r="AX283" s="108"/>
      <c r="AY283" s="108"/>
      <c r="AZ283" s="108"/>
      <c r="BA283" s="108"/>
      <c r="BB283" s="108"/>
      <c r="BC283" s="108"/>
      <c r="BD283" s="108"/>
      <c r="BE283" s="108"/>
      <c r="BF283" s="108"/>
      <c r="BG283" s="108"/>
      <c r="BH283" s="108"/>
      <c r="BI283" s="108"/>
      <c r="BJ283" s="108"/>
      <c r="BK283" s="108"/>
      <c r="BL283" s="108"/>
      <c r="BM283" s="109"/>
      <c r="BN283" s="108"/>
      <c r="BO283" s="108"/>
      <c r="BP283" s="108"/>
    </row>
    <row r="284" spans="1:68" ht="12" customHeight="1" x14ac:dyDescent="0.2">
      <c r="A284" s="179"/>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c r="AA284" s="108"/>
      <c r="AB284" s="108"/>
      <c r="AC284" s="108"/>
      <c r="AD284" s="108"/>
      <c r="AE284" s="108"/>
      <c r="AF284" s="108"/>
      <c r="AG284" s="108"/>
      <c r="AH284" s="108"/>
      <c r="AI284" s="108"/>
      <c r="AJ284" s="108"/>
      <c r="AK284" s="108"/>
      <c r="AL284" s="108"/>
      <c r="AM284" s="108"/>
      <c r="AN284" s="108"/>
      <c r="AO284" s="108"/>
      <c r="AP284" s="108"/>
      <c r="AQ284" s="108"/>
      <c r="AR284" s="108"/>
      <c r="AS284" s="108"/>
      <c r="AT284" s="108"/>
      <c r="AU284" s="108"/>
      <c r="AV284" s="108"/>
      <c r="AW284" s="108"/>
      <c r="AX284" s="108"/>
      <c r="AY284" s="108"/>
      <c r="AZ284" s="108"/>
      <c r="BA284" s="108"/>
      <c r="BB284" s="108"/>
      <c r="BC284" s="108"/>
      <c r="BD284" s="108"/>
      <c r="BE284" s="108"/>
      <c r="BF284" s="108"/>
      <c r="BG284" s="108"/>
      <c r="BH284" s="108"/>
      <c r="BI284" s="108"/>
      <c r="BJ284" s="108"/>
      <c r="BK284" s="108"/>
      <c r="BL284" s="108"/>
      <c r="BM284" s="109"/>
      <c r="BN284" s="108"/>
      <c r="BO284" s="108"/>
      <c r="BP284" s="108"/>
    </row>
    <row r="285" spans="1:68" ht="12" customHeight="1" x14ac:dyDescent="0.2">
      <c r="A285" s="179"/>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c r="AA285" s="108"/>
      <c r="AB285" s="108"/>
      <c r="AC285" s="108"/>
      <c r="AD285" s="108"/>
      <c r="AE285" s="108"/>
      <c r="AF285" s="108"/>
      <c r="AG285" s="108"/>
      <c r="AH285" s="108"/>
      <c r="AI285" s="108"/>
      <c r="AJ285" s="108"/>
      <c r="AK285" s="108"/>
      <c r="AL285" s="108"/>
      <c r="AM285" s="108"/>
      <c r="AN285" s="108"/>
      <c r="AO285" s="108"/>
      <c r="AP285" s="108"/>
      <c r="AQ285" s="108"/>
      <c r="AR285" s="108"/>
      <c r="AS285" s="108"/>
      <c r="AT285" s="108"/>
      <c r="AU285" s="108"/>
      <c r="AV285" s="108"/>
      <c r="AW285" s="108"/>
      <c r="AX285" s="108"/>
      <c r="AY285" s="108"/>
      <c r="AZ285" s="108"/>
      <c r="BA285" s="108"/>
      <c r="BB285" s="108"/>
      <c r="BC285" s="108"/>
      <c r="BD285" s="108"/>
      <c r="BE285" s="108"/>
      <c r="BF285" s="108"/>
      <c r="BG285" s="108"/>
      <c r="BH285" s="108"/>
      <c r="BI285" s="108"/>
      <c r="BJ285" s="108"/>
      <c r="BK285" s="108"/>
      <c r="BL285" s="108"/>
      <c r="BM285" s="109"/>
      <c r="BN285" s="108"/>
      <c r="BO285" s="108"/>
      <c r="BP285" s="108"/>
    </row>
    <row r="286" spans="1:68" ht="12" customHeight="1" x14ac:dyDescent="0.2">
      <c r="A286" s="179"/>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c r="AA286" s="108"/>
      <c r="AB286" s="108"/>
      <c r="AC286" s="108"/>
      <c r="AD286" s="108"/>
      <c r="AE286" s="108"/>
      <c r="AF286" s="108"/>
      <c r="AG286" s="108"/>
      <c r="AH286" s="108"/>
      <c r="AI286" s="108"/>
      <c r="AJ286" s="108"/>
      <c r="AK286" s="108"/>
      <c r="AL286" s="108"/>
      <c r="AM286" s="108"/>
      <c r="AN286" s="108"/>
      <c r="AO286" s="108"/>
      <c r="AP286" s="108"/>
      <c r="AQ286" s="108"/>
      <c r="AR286" s="108"/>
      <c r="AS286" s="108"/>
      <c r="AT286" s="108"/>
      <c r="AU286" s="108"/>
      <c r="AV286" s="108"/>
      <c r="AW286" s="108"/>
      <c r="AX286" s="108"/>
      <c r="AY286" s="108"/>
      <c r="AZ286" s="108"/>
      <c r="BA286" s="108"/>
      <c r="BB286" s="108"/>
      <c r="BC286" s="108"/>
      <c r="BD286" s="108"/>
      <c r="BE286" s="108"/>
      <c r="BF286" s="108"/>
      <c r="BG286" s="108"/>
      <c r="BH286" s="108"/>
      <c r="BI286" s="108"/>
      <c r="BJ286" s="108"/>
      <c r="BK286" s="108"/>
      <c r="BL286" s="108"/>
      <c r="BM286" s="109"/>
      <c r="BN286" s="108"/>
      <c r="BO286" s="108"/>
      <c r="BP286" s="108"/>
    </row>
    <row r="287" spans="1:68" ht="12" customHeight="1" x14ac:dyDescent="0.2">
      <c r="A287" s="179"/>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c r="AA287" s="108"/>
      <c r="AB287" s="108"/>
      <c r="AC287" s="108"/>
      <c r="AD287" s="108"/>
      <c r="AE287" s="108"/>
      <c r="AF287" s="108"/>
      <c r="AG287" s="108"/>
      <c r="AH287" s="108"/>
      <c r="AI287" s="108"/>
      <c r="AJ287" s="108"/>
      <c r="AK287" s="108"/>
      <c r="AL287" s="108"/>
      <c r="AM287" s="108"/>
      <c r="AN287" s="108"/>
      <c r="AO287" s="108"/>
      <c r="AP287" s="108"/>
      <c r="AQ287" s="108"/>
      <c r="AR287" s="108"/>
      <c r="AS287" s="108"/>
      <c r="AT287" s="108"/>
      <c r="AU287" s="108"/>
      <c r="AV287" s="108"/>
      <c r="AW287" s="108"/>
      <c r="AX287" s="108"/>
      <c r="AY287" s="108"/>
      <c r="AZ287" s="108"/>
      <c r="BA287" s="108"/>
      <c r="BB287" s="108"/>
      <c r="BC287" s="108"/>
      <c r="BD287" s="108"/>
      <c r="BE287" s="108"/>
      <c r="BF287" s="108"/>
      <c r="BG287" s="108"/>
      <c r="BH287" s="108"/>
      <c r="BI287" s="108"/>
      <c r="BJ287" s="108"/>
      <c r="BK287" s="108"/>
      <c r="BL287" s="108"/>
      <c r="BM287" s="109"/>
      <c r="BN287" s="108"/>
      <c r="BO287" s="108"/>
      <c r="BP287" s="108"/>
    </row>
    <row r="288" spans="1:68" ht="12" customHeight="1" x14ac:dyDescent="0.2">
      <c r="A288" s="179"/>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c r="AA288" s="108"/>
      <c r="AB288" s="108"/>
      <c r="AC288" s="108"/>
      <c r="AD288" s="108"/>
      <c r="AE288" s="108"/>
      <c r="AF288" s="108"/>
      <c r="AG288" s="108"/>
      <c r="AH288" s="108"/>
      <c r="AI288" s="108"/>
      <c r="AJ288" s="108"/>
      <c r="AK288" s="108"/>
      <c r="AL288" s="108"/>
      <c r="AM288" s="108"/>
      <c r="AN288" s="108"/>
      <c r="AO288" s="108"/>
      <c r="AP288" s="108"/>
      <c r="AQ288" s="108"/>
      <c r="AR288" s="108"/>
      <c r="AS288" s="108"/>
      <c r="AT288" s="108"/>
      <c r="AU288" s="108"/>
      <c r="AV288" s="108"/>
      <c r="AW288" s="108"/>
      <c r="AX288" s="108"/>
      <c r="AY288" s="108"/>
      <c r="AZ288" s="108"/>
      <c r="BA288" s="108"/>
      <c r="BB288" s="108"/>
      <c r="BC288" s="108"/>
      <c r="BD288" s="108"/>
      <c r="BE288" s="108"/>
      <c r="BF288" s="108"/>
      <c r="BG288" s="108"/>
      <c r="BH288" s="108"/>
      <c r="BI288" s="108"/>
      <c r="BJ288" s="108"/>
      <c r="BK288" s="108"/>
      <c r="BL288" s="108"/>
      <c r="BM288" s="109"/>
      <c r="BN288" s="108"/>
      <c r="BO288" s="108"/>
      <c r="BP288" s="108"/>
    </row>
    <row r="289" spans="1:68" ht="12" customHeight="1" x14ac:dyDescent="0.2">
      <c r="A289" s="179"/>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c r="AA289" s="108"/>
      <c r="AB289" s="108"/>
      <c r="AC289" s="108"/>
      <c r="AD289" s="108"/>
      <c r="AE289" s="108"/>
      <c r="AF289" s="108"/>
      <c r="AG289" s="108"/>
      <c r="AH289" s="108"/>
      <c r="AI289" s="108"/>
      <c r="AJ289" s="108"/>
      <c r="AK289" s="108"/>
      <c r="AL289" s="108"/>
      <c r="AM289" s="108"/>
      <c r="AN289" s="108"/>
      <c r="AO289" s="108"/>
      <c r="AP289" s="108"/>
      <c r="AQ289" s="108"/>
      <c r="AR289" s="108"/>
      <c r="AS289" s="108"/>
      <c r="AT289" s="108"/>
      <c r="AU289" s="108"/>
      <c r="AV289" s="108"/>
      <c r="AW289" s="108"/>
      <c r="AX289" s="108"/>
      <c r="AY289" s="108"/>
      <c r="AZ289" s="108"/>
      <c r="BA289" s="108"/>
      <c r="BB289" s="108"/>
      <c r="BC289" s="108"/>
      <c r="BD289" s="108"/>
      <c r="BE289" s="108"/>
      <c r="BF289" s="108"/>
      <c r="BG289" s="108"/>
      <c r="BH289" s="108"/>
      <c r="BI289" s="108"/>
      <c r="BJ289" s="108"/>
      <c r="BK289" s="108"/>
      <c r="BL289" s="108"/>
      <c r="BM289" s="109"/>
      <c r="BN289" s="108"/>
      <c r="BO289" s="108"/>
      <c r="BP289" s="108"/>
    </row>
    <row r="290" spans="1:68" ht="12" customHeight="1" x14ac:dyDescent="0.2">
      <c r="A290" s="179"/>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c r="AA290" s="108"/>
      <c r="AB290" s="108"/>
      <c r="AC290" s="108"/>
      <c r="AD290" s="108"/>
      <c r="AE290" s="108"/>
      <c r="AF290" s="108"/>
      <c r="AG290" s="108"/>
      <c r="AH290" s="108"/>
      <c r="AI290" s="108"/>
      <c r="AJ290" s="108"/>
      <c r="AK290" s="108"/>
      <c r="AL290" s="108"/>
      <c r="AM290" s="108"/>
      <c r="AN290" s="108"/>
      <c r="AO290" s="108"/>
      <c r="AP290" s="108"/>
      <c r="AQ290" s="108"/>
      <c r="AR290" s="108"/>
      <c r="AS290" s="108"/>
      <c r="AT290" s="108"/>
      <c r="AU290" s="108"/>
      <c r="AV290" s="108"/>
      <c r="AW290" s="108"/>
      <c r="AX290" s="108"/>
      <c r="AY290" s="108"/>
      <c r="AZ290" s="108"/>
      <c r="BA290" s="108"/>
      <c r="BB290" s="108"/>
      <c r="BC290" s="108"/>
      <c r="BD290" s="108"/>
      <c r="BE290" s="108"/>
      <c r="BF290" s="108"/>
      <c r="BG290" s="108"/>
      <c r="BH290" s="108"/>
      <c r="BI290" s="108"/>
      <c r="BJ290" s="108"/>
      <c r="BK290" s="108"/>
      <c r="BL290" s="108"/>
      <c r="BM290" s="109"/>
      <c r="BN290" s="108"/>
      <c r="BO290" s="108"/>
      <c r="BP290" s="108"/>
    </row>
    <row r="291" spans="1:68" ht="12" customHeight="1" x14ac:dyDescent="0.2">
      <c r="A291" s="179"/>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c r="AA291" s="108"/>
      <c r="AB291" s="108"/>
      <c r="AC291" s="108"/>
      <c r="AD291" s="108"/>
      <c r="AE291" s="108"/>
      <c r="AF291" s="108"/>
      <c r="AG291" s="108"/>
      <c r="AH291" s="108"/>
      <c r="AI291" s="108"/>
      <c r="AJ291" s="108"/>
      <c r="AK291" s="108"/>
      <c r="AL291" s="108"/>
      <c r="AM291" s="108"/>
      <c r="AN291" s="108"/>
      <c r="AO291" s="108"/>
      <c r="AP291" s="108"/>
      <c r="AQ291" s="108"/>
      <c r="AR291" s="108"/>
      <c r="AS291" s="108"/>
      <c r="AT291" s="108"/>
      <c r="AU291" s="108"/>
      <c r="AV291" s="108"/>
      <c r="AW291" s="108"/>
      <c r="AX291" s="108"/>
      <c r="AY291" s="108"/>
      <c r="AZ291" s="108"/>
      <c r="BA291" s="108"/>
      <c r="BB291" s="108"/>
      <c r="BC291" s="108"/>
      <c r="BD291" s="108"/>
      <c r="BE291" s="108"/>
      <c r="BF291" s="108"/>
      <c r="BG291" s="108"/>
      <c r="BH291" s="108"/>
      <c r="BI291" s="108"/>
      <c r="BJ291" s="108"/>
      <c r="BK291" s="108"/>
      <c r="BL291" s="108"/>
      <c r="BM291" s="109"/>
      <c r="BN291" s="108"/>
      <c r="BO291" s="108"/>
      <c r="BP291" s="108"/>
    </row>
    <row r="292" spans="1:68" ht="12" customHeight="1" x14ac:dyDescent="0.2">
      <c r="A292" s="179"/>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c r="AA292" s="108"/>
      <c r="AB292" s="108"/>
      <c r="AC292" s="108"/>
      <c r="AD292" s="108"/>
      <c r="AE292" s="108"/>
      <c r="AF292" s="108"/>
      <c r="AG292" s="108"/>
      <c r="AH292" s="108"/>
      <c r="AI292" s="108"/>
      <c r="AJ292" s="108"/>
      <c r="AK292" s="108"/>
      <c r="AL292" s="108"/>
      <c r="AM292" s="108"/>
      <c r="AN292" s="108"/>
      <c r="AO292" s="108"/>
      <c r="AP292" s="108"/>
      <c r="AQ292" s="108"/>
      <c r="AR292" s="108"/>
      <c r="AS292" s="108"/>
      <c r="AT292" s="108"/>
      <c r="AU292" s="108"/>
      <c r="AV292" s="108"/>
      <c r="AW292" s="108"/>
      <c r="AX292" s="108"/>
      <c r="AY292" s="108"/>
      <c r="AZ292" s="108"/>
      <c r="BA292" s="108"/>
      <c r="BB292" s="108"/>
      <c r="BC292" s="108"/>
      <c r="BD292" s="108"/>
      <c r="BE292" s="108"/>
      <c r="BF292" s="108"/>
      <c r="BG292" s="108"/>
      <c r="BH292" s="108"/>
      <c r="BI292" s="108"/>
      <c r="BJ292" s="108"/>
      <c r="BK292" s="108"/>
      <c r="BL292" s="108"/>
      <c r="BM292" s="109"/>
      <c r="BN292" s="108"/>
      <c r="BO292" s="108"/>
      <c r="BP292" s="108"/>
    </row>
    <row r="293" spans="1:68" ht="12" customHeight="1" x14ac:dyDescent="0.2">
      <c r="A293" s="179"/>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c r="AA293" s="108"/>
      <c r="AB293" s="108"/>
      <c r="AC293" s="108"/>
      <c r="AD293" s="108"/>
      <c r="AE293" s="108"/>
      <c r="AF293" s="108"/>
      <c r="AG293" s="108"/>
      <c r="AH293" s="108"/>
      <c r="AI293" s="108"/>
      <c r="AJ293" s="108"/>
      <c r="AK293" s="108"/>
      <c r="AL293" s="108"/>
      <c r="AM293" s="108"/>
      <c r="AN293" s="108"/>
      <c r="AO293" s="108"/>
      <c r="AP293" s="108"/>
      <c r="AQ293" s="108"/>
      <c r="AR293" s="108"/>
      <c r="AS293" s="108"/>
      <c r="AT293" s="108"/>
      <c r="AU293" s="108"/>
      <c r="AV293" s="108"/>
      <c r="AW293" s="108"/>
      <c r="AX293" s="108"/>
      <c r="AY293" s="108"/>
      <c r="AZ293" s="108"/>
      <c r="BA293" s="108"/>
      <c r="BB293" s="108"/>
      <c r="BC293" s="108"/>
      <c r="BD293" s="108"/>
      <c r="BE293" s="108"/>
      <c r="BF293" s="108"/>
      <c r="BG293" s="108"/>
      <c r="BH293" s="108"/>
      <c r="BI293" s="108"/>
      <c r="BJ293" s="108"/>
      <c r="BK293" s="108"/>
      <c r="BL293" s="108"/>
      <c r="BM293" s="109"/>
      <c r="BN293" s="108"/>
      <c r="BO293" s="108"/>
      <c r="BP293" s="108"/>
    </row>
    <row r="294" spans="1:68" ht="12" customHeight="1" x14ac:dyDescent="0.2">
      <c r="A294" s="179"/>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c r="AA294" s="108"/>
      <c r="AB294" s="108"/>
      <c r="AC294" s="108"/>
      <c r="AD294" s="108"/>
      <c r="AE294" s="108"/>
      <c r="AF294" s="108"/>
      <c r="AG294" s="108"/>
      <c r="AH294" s="108"/>
      <c r="AI294" s="108"/>
      <c r="AJ294" s="108"/>
      <c r="AK294" s="108"/>
      <c r="AL294" s="108"/>
      <c r="AM294" s="108"/>
      <c r="AN294" s="108"/>
      <c r="AO294" s="108"/>
      <c r="AP294" s="108"/>
      <c r="AQ294" s="108"/>
      <c r="AR294" s="108"/>
      <c r="AS294" s="108"/>
      <c r="AT294" s="108"/>
      <c r="AU294" s="108"/>
      <c r="AV294" s="108"/>
      <c r="AW294" s="108"/>
      <c r="AX294" s="108"/>
      <c r="AY294" s="108"/>
      <c r="AZ294" s="108"/>
      <c r="BA294" s="108"/>
      <c r="BB294" s="108"/>
      <c r="BC294" s="108"/>
      <c r="BD294" s="108"/>
      <c r="BE294" s="108"/>
      <c r="BF294" s="108"/>
      <c r="BG294" s="108"/>
      <c r="BH294" s="108"/>
      <c r="BI294" s="108"/>
      <c r="BJ294" s="108"/>
      <c r="BK294" s="108"/>
      <c r="BL294" s="108"/>
      <c r="BM294" s="109"/>
      <c r="BN294" s="108"/>
      <c r="BO294" s="108"/>
      <c r="BP294" s="108"/>
    </row>
    <row r="295" spans="1:68" ht="12" customHeight="1" x14ac:dyDescent="0.2">
      <c r="A295" s="179"/>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c r="AA295" s="108"/>
      <c r="AB295" s="108"/>
      <c r="AC295" s="108"/>
      <c r="AD295" s="108"/>
      <c r="AE295" s="108"/>
      <c r="AF295" s="108"/>
      <c r="AG295" s="108"/>
      <c r="AH295" s="108"/>
      <c r="AI295" s="108"/>
      <c r="AJ295" s="108"/>
      <c r="AK295" s="108"/>
      <c r="AL295" s="108"/>
      <c r="AM295" s="108"/>
      <c r="AN295" s="108"/>
      <c r="AO295" s="108"/>
      <c r="AP295" s="108"/>
      <c r="AQ295" s="108"/>
      <c r="AR295" s="108"/>
      <c r="AS295" s="108"/>
      <c r="AT295" s="108"/>
      <c r="AU295" s="108"/>
      <c r="AV295" s="108"/>
      <c r="AW295" s="108"/>
      <c r="AX295" s="108"/>
      <c r="AY295" s="108"/>
      <c r="AZ295" s="108"/>
      <c r="BA295" s="108"/>
      <c r="BB295" s="108"/>
      <c r="BC295" s="108"/>
      <c r="BD295" s="108"/>
      <c r="BE295" s="108"/>
      <c r="BF295" s="108"/>
      <c r="BG295" s="108"/>
      <c r="BH295" s="108"/>
      <c r="BI295" s="108"/>
      <c r="BJ295" s="108"/>
      <c r="BK295" s="108"/>
      <c r="BL295" s="108"/>
      <c r="BM295" s="109"/>
      <c r="BN295" s="108"/>
      <c r="BO295" s="108"/>
      <c r="BP295" s="108"/>
    </row>
    <row r="296" spans="1:68" ht="12" customHeight="1" x14ac:dyDescent="0.2">
      <c r="A296" s="179"/>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c r="AA296" s="108"/>
      <c r="AB296" s="108"/>
      <c r="AC296" s="108"/>
      <c r="AD296" s="108"/>
      <c r="AE296" s="108"/>
      <c r="AF296" s="108"/>
      <c r="AG296" s="108"/>
      <c r="AH296" s="108"/>
      <c r="AI296" s="108"/>
      <c r="AJ296" s="108"/>
      <c r="AK296" s="108"/>
      <c r="AL296" s="108"/>
      <c r="AM296" s="108"/>
      <c r="AN296" s="108"/>
      <c r="AO296" s="108"/>
      <c r="AP296" s="108"/>
      <c r="AQ296" s="108"/>
      <c r="AR296" s="108"/>
      <c r="AS296" s="108"/>
      <c r="AT296" s="108"/>
      <c r="AU296" s="108"/>
      <c r="AV296" s="108"/>
      <c r="AW296" s="108"/>
      <c r="AX296" s="108"/>
      <c r="AY296" s="108"/>
      <c r="AZ296" s="108"/>
      <c r="BA296" s="108"/>
      <c r="BB296" s="108"/>
      <c r="BC296" s="108"/>
      <c r="BD296" s="108"/>
      <c r="BE296" s="108"/>
      <c r="BF296" s="108"/>
      <c r="BG296" s="108"/>
      <c r="BH296" s="108"/>
      <c r="BI296" s="108"/>
      <c r="BJ296" s="108"/>
      <c r="BK296" s="108"/>
      <c r="BL296" s="108"/>
      <c r="BM296" s="109"/>
      <c r="BN296" s="108"/>
      <c r="BO296" s="108"/>
      <c r="BP296" s="108"/>
    </row>
    <row r="297" spans="1:68" ht="12" customHeight="1" x14ac:dyDescent="0.2">
      <c r="A297" s="179"/>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c r="AA297" s="108"/>
      <c r="AB297" s="108"/>
      <c r="AC297" s="108"/>
      <c r="AD297" s="108"/>
      <c r="AE297" s="108"/>
      <c r="AF297" s="108"/>
      <c r="AG297" s="108"/>
      <c r="AH297" s="108"/>
      <c r="AI297" s="108"/>
      <c r="AJ297" s="108"/>
      <c r="AK297" s="108"/>
      <c r="AL297" s="108"/>
      <c r="AM297" s="108"/>
      <c r="AN297" s="108"/>
      <c r="AO297" s="108"/>
      <c r="AP297" s="108"/>
      <c r="AQ297" s="108"/>
      <c r="AR297" s="108"/>
      <c r="AS297" s="108"/>
      <c r="AT297" s="108"/>
      <c r="AU297" s="108"/>
      <c r="AV297" s="108"/>
      <c r="AW297" s="108"/>
      <c r="AX297" s="108"/>
      <c r="AY297" s="108"/>
      <c r="AZ297" s="108"/>
      <c r="BA297" s="108"/>
      <c r="BB297" s="108"/>
      <c r="BC297" s="108"/>
      <c r="BD297" s="108"/>
      <c r="BE297" s="108"/>
      <c r="BF297" s="108"/>
      <c r="BG297" s="108"/>
      <c r="BH297" s="108"/>
      <c r="BI297" s="108"/>
      <c r="BJ297" s="108"/>
      <c r="BK297" s="108"/>
      <c r="BL297" s="108"/>
      <c r="BM297" s="109"/>
      <c r="BN297" s="108"/>
      <c r="BO297" s="108"/>
      <c r="BP297" s="108"/>
    </row>
    <row r="298" spans="1:68" ht="12" customHeight="1" x14ac:dyDescent="0.2">
      <c r="A298" s="179"/>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c r="AA298" s="108"/>
      <c r="AB298" s="108"/>
      <c r="AC298" s="108"/>
      <c r="AD298" s="108"/>
      <c r="AE298" s="108"/>
      <c r="AF298" s="108"/>
      <c r="AG298" s="108"/>
      <c r="AH298" s="108"/>
      <c r="AI298" s="108"/>
      <c r="AJ298" s="108"/>
      <c r="AK298" s="108"/>
      <c r="AL298" s="108"/>
      <c r="AM298" s="108"/>
      <c r="AN298" s="108"/>
      <c r="AO298" s="108"/>
      <c r="AP298" s="108"/>
      <c r="AQ298" s="108"/>
      <c r="AR298" s="108"/>
      <c r="AS298" s="108"/>
      <c r="AT298" s="108"/>
      <c r="AU298" s="108"/>
      <c r="AV298" s="108"/>
      <c r="AW298" s="108"/>
      <c r="AX298" s="108"/>
      <c r="AY298" s="108"/>
      <c r="AZ298" s="108"/>
      <c r="BA298" s="108"/>
      <c r="BB298" s="108"/>
      <c r="BC298" s="108"/>
      <c r="BD298" s="108"/>
      <c r="BE298" s="108"/>
      <c r="BF298" s="108"/>
      <c r="BG298" s="108"/>
      <c r="BH298" s="108"/>
      <c r="BI298" s="108"/>
      <c r="BJ298" s="108"/>
      <c r="BK298" s="108"/>
      <c r="BL298" s="108"/>
      <c r="BM298" s="109"/>
      <c r="BN298" s="108"/>
      <c r="BO298" s="108"/>
      <c r="BP298" s="108"/>
    </row>
    <row r="299" spans="1:68" ht="12" customHeight="1" x14ac:dyDescent="0.2">
      <c r="A299" s="179"/>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c r="AA299" s="108"/>
      <c r="AB299" s="108"/>
      <c r="AC299" s="108"/>
      <c r="AD299" s="108"/>
      <c r="AE299" s="108"/>
      <c r="AF299" s="108"/>
      <c r="AG299" s="108"/>
      <c r="AH299" s="108"/>
      <c r="AI299" s="108"/>
      <c r="AJ299" s="108"/>
      <c r="AK299" s="108"/>
      <c r="AL299" s="108"/>
      <c r="AM299" s="108"/>
      <c r="AN299" s="108"/>
      <c r="AO299" s="108"/>
      <c r="AP299" s="108"/>
      <c r="AQ299" s="108"/>
      <c r="AR299" s="108"/>
      <c r="AS299" s="108"/>
      <c r="AT299" s="108"/>
      <c r="AU299" s="108"/>
      <c r="AV299" s="108"/>
      <c r="AW299" s="108"/>
      <c r="AX299" s="108"/>
      <c r="AY299" s="108"/>
      <c r="AZ299" s="108"/>
      <c r="BA299" s="108"/>
      <c r="BB299" s="108"/>
      <c r="BC299" s="108"/>
      <c r="BD299" s="108"/>
      <c r="BE299" s="108"/>
      <c r="BF299" s="108"/>
      <c r="BG299" s="108"/>
      <c r="BH299" s="108"/>
      <c r="BI299" s="108"/>
      <c r="BJ299" s="108"/>
      <c r="BK299" s="108"/>
      <c r="BL299" s="108"/>
      <c r="BM299" s="109"/>
      <c r="BN299" s="108"/>
      <c r="BO299" s="108"/>
      <c r="BP299" s="108"/>
    </row>
    <row r="300" spans="1:68" ht="12" customHeight="1" x14ac:dyDescent="0.2">
      <c r="A300" s="179"/>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c r="AA300" s="108"/>
      <c r="AB300" s="108"/>
      <c r="AC300" s="108"/>
      <c r="AD300" s="108"/>
      <c r="AE300" s="108"/>
      <c r="AF300" s="108"/>
      <c r="AG300" s="108"/>
      <c r="AH300" s="108"/>
      <c r="AI300" s="108"/>
      <c r="AJ300" s="108"/>
      <c r="AK300" s="108"/>
      <c r="AL300" s="108"/>
      <c r="AM300" s="108"/>
      <c r="AN300" s="108"/>
      <c r="AO300" s="108"/>
      <c r="AP300" s="108"/>
      <c r="AQ300" s="108"/>
      <c r="AR300" s="108"/>
      <c r="AS300" s="108"/>
      <c r="AT300" s="108"/>
      <c r="AU300" s="108"/>
      <c r="AV300" s="108"/>
      <c r="AW300" s="108"/>
      <c r="AX300" s="108"/>
      <c r="AY300" s="108"/>
      <c r="AZ300" s="108"/>
      <c r="BA300" s="108"/>
      <c r="BB300" s="108"/>
      <c r="BC300" s="108"/>
      <c r="BD300" s="108"/>
      <c r="BE300" s="108"/>
      <c r="BF300" s="108"/>
      <c r="BG300" s="108"/>
      <c r="BH300" s="108"/>
      <c r="BI300" s="108"/>
      <c r="BJ300" s="108"/>
      <c r="BK300" s="108"/>
      <c r="BL300" s="108"/>
      <c r="BM300" s="109"/>
      <c r="BN300" s="108"/>
      <c r="BO300" s="108"/>
      <c r="BP300" s="108"/>
    </row>
    <row r="301" spans="1:68" ht="12" customHeight="1" x14ac:dyDescent="0.2">
      <c r="A301" s="179"/>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c r="AA301" s="108"/>
      <c r="AB301" s="108"/>
      <c r="AC301" s="108"/>
      <c r="AD301" s="108"/>
      <c r="AE301" s="108"/>
      <c r="AF301" s="108"/>
      <c r="AG301" s="108"/>
      <c r="AH301" s="108"/>
      <c r="AI301" s="108"/>
      <c r="AJ301" s="108"/>
      <c r="AK301" s="108"/>
      <c r="AL301" s="108"/>
      <c r="AM301" s="108"/>
      <c r="AN301" s="108"/>
      <c r="AO301" s="108"/>
      <c r="AP301" s="108"/>
      <c r="AQ301" s="108"/>
      <c r="AR301" s="108"/>
      <c r="AS301" s="108"/>
      <c r="AT301" s="108"/>
      <c r="AU301" s="108"/>
      <c r="AV301" s="108"/>
      <c r="AW301" s="108"/>
      <c r="AX301" s="108"/>
      <c r="AY301" s="108"/>
      <c r="AZ301" s="108"/>
      <c r="BA301" s="108"/>
      <c r="BB301" s="108"/>
      <c r="BC301" s="108"/>
      <c r="BD301" s="108"/>
      <c r="BE301" s="108"/>
      <c r="BF301" s="108"/>
      <c r="BG301" s="108"/>
      <c r="BH301" s="108"/>
      <c r="BI301" s="108"/>
      <c r="BJ301" s="108"/>
      <c r="BK301" s="108"/>
      <c r="BL301" s="108"/>
      <c r="BM301" s="109"/>
      <c r="BN301" s="108"/>
      <c r="BO301" s="108"/>
      <c r="BP301" s="108"/>
    </row>
    <row r="302" spans="1:68" ht="12" customHeight="1" x14ac:dyDescent="0.2">
      <c r="A302" s="179"/>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c r="AA302" s="108"/>
      <c r="AB302" s="108"/>
      <c r="AC302" s="108"/>
      <c r="AD302" s="108"/>
      <c r="AE302" s="108"/>
      <c r="AF302" s="108"/>
      <c r="AG302" s="108"/>
      <c r="AH302" s="108"/>
      <c r="AI302" s="108"/>
      <c r="AJ302" s="108"/>
      <c r="AK302" s="108"/>
      <c r="AL302" s="108"/>
      <c r="AM302" s="108"/>
      <c r="AN302" s="108"/>
      <c r="AO302" s="108"/>
      <c r="AP302" s="108"/>
      <c r="AQ302" s="108"/>
      <c r="AR302" s="108"/>
      <c r="AS302" s="108"/>
      <c r="AT302" s="108"/>
      <c r="AU302" s="108"/>
      <c r="AV302" s="108"/>
      <c r="AW302" s="108"/>
      <c r="AX302" s="108"/>
      <c r="AY302" s="108"/>
      <c r="AZ302" s="108"/>
      <c r="BA302" s="108"/>
      <c r="BB302" s="108"/>
      <c r="BC302" s="108"/>
      <c r="BD302" s="108"/>
      <c r="BE302" s="108"/>
      <c r="BF302" s="108"/>
      <c r="BG302" s="108"/>
      <c r="BH302" s="108"/>
      <c r="BI302" s="108"/>
      <c r="BJ302" s="108"/>
      <c r="BK302" s="108"/>
      <c r="BL302" s="108"/>
      <c r="BM302" s="109"/>
      <c r="BN302" s="108"/>
      <c r="BO302" s="108"/>
      <c r="BP302" s="108"/>
    </row>
    <row r="303" spans="1:68" ht="12" customHeight="1" x14ac:dyDescent="0.2">
      <c r="A303" s="179"/>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c r="AA303" s="108"/>
      <c r="AB303" s="108"/>
      <c r="AC303" s="108"/>
      <c r="AD303" s="108"/>
      <c r="AE303" s="108"/>
      <c r="AF303" s="108"/>
      <c r="AG303" s="108"/>
      <c r="AH303" s="108"/>
      <c r="AI303" s="108"/>
      <c r="AJ303" s="108"/>
      <c r="AK303" s="108"/>
      <c r="AL303" s="108"/>
      <c r="AM303" s="108"/>
      <c r="AN303" s="108"/>
      <c r="AO303" s="108"/>
      <c r="AP303" s="108"/>
      <c r="AQ303" s="108"/>
      <c r="AR303" s="108"/>
      <c r="AS303" s="108"/>
      <c r="AT303" s="108"/>
      <c r="AU303" s="108"/>
      <c r="AV303" s="108"/>
      <c r="AW303" s="108"/>
      <c r="AX303" s="108"/>
      <c r="AY303" s="108"/>
      <c r="AZ303" s="108"/>
      <c r="BA303" s="108"/>
      <c r="BB303" s="108"/>
      <c r="BC303" s="108"/>
      <c r="BD303" s="108"/>
      <c r="BE303" s="108"/>
      <c r="BF303" s="108"/>
      <c r="BG303" s="108"/>
      <c r="BH303" s="108"/>
      <c r="BI303" s="108"/>
      <c r="BJ303" s="108"/>
      <c r="BK303" s="108"/>
      <c r="BL303" s="108"/>
      <c r="BM303" s="109"/>
      <c r="BN303" s="108"/>
      <c r="BO303" s="108"/>
      <c r="BP303" s="108"/>
    </row>
    <row r="304" spans="1:68" ht="12" customHeight="1" x14ac:dyDescent="0.2">
      <c r="A304" s="179"/>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c r="AA304" s="108"/>
      <c r="AB304" s="108"/>
      <c r="AC304" s="108"/>
      <c r="AD304" s="108"/>
      <c r="AE304" s="108"/>
      <c r="AF304" s="108"/>
      <c r="AG304" s="108"/>
      <c r="AH304" s="108"/>
      <c r="AI304" s="108"/>
      <c r="AJ304" s="108"/>
      <c r="AK304" s="108"/>
      <c r="AL304" s="108"/>
      <c r="AM304" s="108"/>
      <c r="AN304" s="108"/>
      <c r="AO304" s="108"/>
      <c r="AP304" s="108"/>
      <c r="AQ304" s="108"/>
      <c r="AR304" s="108"/>
      <c r="AS304" s="108"/>
      <c r="AT304" s="108"/>
      <c r="AU304" s="108"/>
      <c r="AV304" s="108"/>
      <c r="AW304" s="108"/>
      <c r="AX304" s="108"/>
      <c r="AY304" s="108"/>
      <c r="AZ304" s="108"/>
      <c r="BA304" s="108"/>
      <c r="BB304" s="108"/>
      <c r="BC304" s="108"/>
      <c r="BD304" s="108"/>
      <c r="BE304" s="108"/>
      <c r="BF304" s="108"/>
      <c r="BG304" s="108"/>
      <c r="BH304" s="108"/>
      <c r="BI304" s="108"/>
      <c r="BJ304" s="108"/>
      <c r="BK304" s="108"/>
      <c r="BL304" s="108"/>
      <c r="BM304" s="109"/>
      <c r="BN304" s="108"/>
      <c r="BO304" s="108"/>
      <c r="BP304" s="108"/>
    </row>
    <row r="305" spans="1:68" ht="12" customHeight="1" x14ac:dyDescent="0.2">
      <c r="A305" s="179"/>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c r="AA305" s="108"/>
      <c r="AB305" s="108"/>
      <c r="AC305" s="108"/>
      <c r="AD305" s="108"/>
      <c r="AE305" s="108"/>
      <c r="AF305" s="108"/>
      <c r="AG305" s="108"/>
      <c r="AH305" s="108"/>
      <c r="AI305" s="108"/>
      <c r="AJ305" s="108"/>
      <c r="AK305" s="108"/>
      <c r="AL305" s="108"/>
      <c r="AM305" s="108"/>
      <c r="AN305" s="108"/>
      <c r="AO305" s="108"/>
      <c r="AP305" s="108"/>
      <c r="AQ305" s="108"/>
      <c r="AR305" s="108"/>
      <c r="AS305" s="108"/>
      <c r="AT305" s="108"/>
      <c r="AU305" s="108"/>
      <c r="AV305" s="108"/>
      <c r="AW305" s="108"/>
      <c r="AX305" s="108"/>
      <c r="AY305" s="108"/>
      <c r="AZ305" s="108"/>
      <c r="BA305" s="108"/>
      <c r="BB305" s="108"/>
      <c r="BC305" s="108"/>
      <c r="BD305" s="108"/>
      <c r="BE305" s="108"/>
      <c r="BF305" s="108"/>
      <c r="BG305" s="108"/>
      <c r="BH305" s="108"/>
      <c r="BI305" s="108"/>
      <c r="BJ305" s="108"/>
      <c r="BK305" s="108"/>
      <c r="BL305" s="108"/>
      <c r="BM305" s="109"/>
      <c r="BN305" s="108"/>
      <c r="BO305" s="108"/>
      <c r="BP305" s="108"/>
    </row>
    <row r="306" spans="1:68" ht="12" customHeight="1" x14ac:dyDescent="0.2">
      <c r="A306" s="179"/>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c r="AA306" s="108"/>
      <c r="AB306" s="108"/>
      <c r="AC306" s="108"/>
      <c r="AD306" s="108"/>
      <c r="AE306" s="108"/>
      <c r="AF306" s="108"/>
      <c r="AG306" s="108"/>
      <c r="AH306" s="108"/>
      <c r="AI306" s="108"/>
      <c r="AJ306" s="108"/>
      <c r="AK306" s="108"/>
      <c r="AL306" s="108"/>
      <c r="AM306" s="108"/>
      <c r="AN306" s="108"/>
      <c r="AO306" s="108"/>
      <c r="AP306" s="108"/>
      <c r="AQ306" s="108"/>
      <c r="AR306" s="108"/>
      <c r="AS306" s="108"/>
      <c r="AT306" s="108"/>
      <c r="AU306" s="108"/>
      <c r="AV306" s="108"/>
      <c r="AW306" s="108"/>
      <c r="AX306" s="108"/>
      <c r="AY306" s="108"/>
      <c r="AZ306" s="108"/>
      <c r="BA306" s="108"/>
      <c r="BB306" s="108"/>
      <c r="BC306" s="108"/>
      <c r="BD306" s="108"/>
      <c r="BE306" s="108"/>
      <c r="BF306" s="108"/>
      <c r="BG306" s="108"/>
      <c r="BH306" s="108"/>
      <c r="BI306" s="108"/>
      <c r="BJ306" s="108"/>
      <c r="BK306" s="108"/>
      <c r="BL306" s="108"/>
      <c r="BM306" s="109"/>
      <c r="BN306" s="108"/>
      <c r="BO306" s="108"/>
      <c r="BP306" s="108"/>
    </row>
    <row r="307" spans="1:68" ht="12" customHeight="1" x14ac:dyDescent="0.2">
      <c r="A307" s="179"/>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c r="AA307" s="108"/>
      <c r="AB307" s="108"/>
      <c r="AC307" s="108"/>
      <c r="AD307" s="108"/>
      <c r="AE307" s="108"/>
      <c r="AF307" s="108"/>
      <c r="AG307" s="108"/>
      <c r="AH307" s="108"/>
      <c r="AI307" s="108"/>
      <c r="AJ307" s="108"/>
      <c r="AK307" s="108"/>
      <c r="AL307" s="108"/>
      <c r="AM307" s="108"/>
      <c r="AN307" s="108"/>
      <c r="AO307" s="108"/>
      <c r="AP307" s="108"/>
      <c r="AQ307" s="108"/>
      <c r="AR307" s="108"/>
      <c r="AS307" s="108"/>
      <c r="AT307" s="108"/>
      <c r="AU307" s="108"/>
      <c r="AV307" s="108"/>
      <c r="AW307" s="108"/>
      <c r="AX307" s="108"/>
      <c r="AY307" s="108"/>
      <c r="AZ307" s="108"/>
      <c r="BA307" s="108"/>
      <c r="BB307" s="108"/>
      <c r="BC307" s="108"/>
      <c r="BD307" s="108"/>
      <c r="BE307" s="108"/>
      <c r="BF307" s="108"/>
      <c r="BG307" s="108"/>
      <c r="BH307" s="108"/>
      <c r="BI307" s="108"/>
      <c r="BJ307" s="108"/>
      <c r="BK307" s="108"/>
      <c r="BL307" s="108"/>
      <c r="BM307" s="109"/>
      <c r="BN307" s="108"/>
      <c r="BO307" s="108"/>
      <c r="BP307" s="108"/>
    </row>
    <row r="308" spans="1:68" ht="12" customHeight="1" x14ac:dyDescent="0.2">
      <c r="A308" s="179"/>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c r="AA308" s="108"/>
      <c r="AB308" s="108"/>
      <c r="AC308" s="108"/>
      <c r="AD308" s="108"/>
      <c r="AE308" s="108"/>
      <c r="AF308" s="108"/>
      <c r="AG308" s="108"/>
      <c r="AH308" s="108"/>
      <c r="AI308" s="108"/>
      <c r="AJ308" s="108"/>
      <c r="AK308" s="108"/>
      <c r="AL308" s="108"/>
      <c r="AM308" s="108"/>
      <c r="AN308" s="108"/>
      <c r="AO308" s="108"/>
      <c r="AP308" s="108"/>
      <c r="AQ308" s="108"/>
      <c r="AR308" s="108"/>
      <c r="AS308" s="108"/>
      <c r="AT308" s="108"/>
      <c r="AU308" s="108"/>
      <c r="AV308" s="108"/>
      <c r="AW308" s="108"/>
      <c r="AX308" s="108"/>
      <c r="AY308" s="108"/>
      <c r="AZ308" s="108"/>
      <c r="BA308" s="108"/>
      <c r="BB308" s="108"/>
      <c r="BC308" s="108"/>
      <c r="BD308" s="108"/>
      <c r="BE308" s="108"/>
      <c r="BF308" s="108"/>
      <c r="BG308" s="108"/>
      <c r="BH308" s="108"/>
      <c r="BI308" s="108"/>
      <c r="BJ308" s="108"/>
      <c r="BK308" s="108"/>
      <c r="BL308" s="108"/>
      <c r="BM308" s="109"/>
      <c r="BN308" s="108"/>
      <c r="BO308" s="108"/>
      <c r="BP308" s="108"/>
    </row>
    <row r="309" spans="1:68" ht="12" customHeight="1" x14ac:dyDescent="0.2">
      <c r="A309" s="179"/>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c r="AA309" s="108"/>
      <c r="AB309" s="108"/>
      <c r="AC309" s="108"/>
      <c r="AD309" s="108"/>
      <c r="AE309" s="108"/>
      <c r="AF309" s="108"/>
      <c r="AG309" s="108"/>
      <c r="AH309" s="108"/>
      <c r="AI309" s="108"/>
      <c r="AJ309" s="108"/>
      <c r="AK309" s="108"/>
      <c r="AL309" s="108"/>
      <c r="AM309" s="108"/>
      <c r="AN309" s="108"/>
      <c r="AO309" s="108"/>
      <c r="AP309" s="108"/>
      <c r="AQ309" s="108"/>
      <c r="AR309" s="108"/>
      <c r="AS309" s="108"/>
      <c r="AT309" s="108"/>
      <c r="AU309" s="108"/>
      <c r="AV309" s="108"/>
      <c r="AW309" s="108"/>
      <c r="AX309" s="108"/>
      <c r="AY309" s="108"/>
      <c r="AZ309" s="108"/>
      <c r="BA309" s="108"/>
      <c r="BB309" s="108"/>
      <c r="BC309" s="108"/>
      <c r="BD309" s="108"/>
      <c r="BE309" s="108"/>
      <c r="BF309" s="108"/>
      <c r="BG309" s="108"/>
      <c r="BH309" s="108"/>
      <c r="BI309" s="108"/>
      <c r="BJ309" s="108"/>
      <c r="BK309" s="108"/>
      <c r="BL309" s="108"/>
      <c r="BM309" s="109"/>
      <c r="BN309" s="108"/>
      <c r="BO309" s="108"/>
      <c r="BP309" s="108"/>
    </row>
    <row r="310" spans="1:68" ht="12" customHeight="1" x14ac:dyDescent="0.2">
      <c r="A310" s="179"/>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c r="AA310" s="108"/>
      <c r="AB310" s="108"/>
      <c r="AC310" s="108"/>
      <c r="AD310" s="108"/>
      <c r="AE310" s="108"/>
      <c r="AF310" s="108"/>
      <c r="AG310" s="108"/>
      <c r="AH310" s="108"/>
      <c r="AI310" s="108"/>
      <c r="AJ310" s="108"/>
      <c r="AK310" s="108"/>
      <c r="AL310" s="108"/>
      <c r="AM310" s="108"/>
      <c r="AN310" s="108"/>
      <c r="AO310" s="108"/>
      <c r="AP310" s="108"/>
      <c r="AQ310" s="108"/>
      <c r="AR310" s="108"/>
      <c r="AS310" s="108"/>
      <c r="AT310" s="108"/>
      <c r="AU310" s="108"/>
      <c r="AV310" s="108"/>
      <c r="AW310" s="108"/>
      <c r="AX310" s="108"/>
      <c r="AY310" s="108"/>
      <c r="AZ310" s="108"/>
      <c r="BA310" s="108"/>
      <c r="BB310" s="108"/>
      <c r="BC310" s="108"/>
      <c r="BD310" s="108"/>
      <c r="BE310" s="108"/>
      <c r="BF310" s="108"/>
      <c r="BG310" s="108"/>
      <c r="BH310" s="108"/>
      <c r="BI310" s="108"/>
      <c r="BJ310" s="108"/>
      <c r="BK310" s="108"/>
      <c r="BL310" s="108"/>
      <c r="BM310" s="109"/>
      <c r="BN310" s="108"/>
      <c r="BO310" s="108"/>
      <c r="BP310" s="108"/>
    </row>
    <row r="311" spans="1:68" ht="12" customHeight="1" x14ac:dyDescent="0.2">
      <c r="A311" s="179"/>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c r="AA311" s="108"/>
      <c r="AB311" s="108"/>
      <c r="AC311" s="108"/>
      <c r="AD311" s="108"/>
      <c r="AE311" s="108"/>
      <c r="AF311" s="108"/>
      <c r="AG311" s="108"/>
      <c r="AH311" s="108"/>
      <c r="AI311" s="108"/>
      <c r="AJ311" s="108"/>
      <c r="AK311" s="108"/>
      <c r="AL311" s="108"/>
      <c r="AM311" s="108"/>
      <c r="AN311" s="108"/>
      <c r="AO311" s="108"/>
      <c r="AP311" s="108"/>
      <c r="AQ311" s="108"/>
      <c r="AR311" s="108"/>
      <c r="AS311" s="108"/>
      <c r="AT311" s="108"/>
      <c r="AU311" s="108"/>
      <c r="AV311" s="108"/>
      <c r="AW311" s="108"/>
      <c r="AX311" s="108"/>
      <c r="AY311" s="108"/>
      <c r="AZ311" s="108"/>
      <c r="BA311" s="108"/>
      <c r="BB311" s="108"/>
      <c r="BC311" s="108"/>
      <c r="BD311" s="108"/>
      <c r="BE311" s="108"/>
      <c r="BF311" s="108"/>
      <c r="BG311" s="108"/>
      <c r="BH311" s="108"/>
      <c r="BI311" s="108"/>
      <c r="BJ311" s="108"/>
      <c r="BK311" s="108"/>
      <c r="BL311" s="108"/>
      <c r="BM311" s="109"/>
      <c r="BN311" s="108"/>
      <c r="BO311" s="108"/>
      <c r="BP311" s="108"/>
    </row>
    <row r="312" spans="1:68" ht="12" customHeight="1" x14ac:dyDescent="0.2">
      <c r="A312" s="179"/>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c r="AA312" s="108"/>
      <c r="AB312" s="108"/>
      <c r="AC312" s="108"/>
      <c r="AD312" s="108"/>
      <c r="AE312" s="108"/>
      <c r="AF312" s="108"/>
      <c r="AG312" s="108"/>
      <c r="AH312" s="108"/>
      <c r="AI312" s="108"/>
      <c r="AJ312" s="108"/>
      <c r="AK312" s="108"/>
      <c r="AL312" s="108"/>
      <c r="AM312" s="108"/>
      <c r="AN312" s="108"/>
      <c r="AO312" s="108"/>
      <c r="AP312" s="108"/>
      <c r="AQ312" s="108"/>
      <c r="AR312" s="108"/>
      <c r="AS312" s="108"/>
      <c r="AT312" s="108"/>
      <c r="AU312" s="108"/>
      <c r="AV312" s="108"/>
      <c r="AW312" s="108"/>
      <c r="AX312" s="108"/>
      <c r="AY312" s="108"/>
      <c r="AZ312" s="108"/>
      <c r="BA312" s="108"/>
      <c r="BB312" s="108"/>
      <c r="BC312" s="108"/>
      <c r="BD312" s="108"/>
      <c r="BE312" s="108"/>
      <c r="BF312" s="108"/>
      <c r="BG312" s="108"/>
      <c r="BH312" s="108"/>
      <c r="BI312" s="108"/>
      <c r="BJ312" s="108"/>
      <c r="BK312" s="108"/>
      <c r="BL312" s="108"/>
      <c r="BM312" s="109"/>
      <c r="BN312" s="108"/>
      <c r="BO312" s="108"/>
      <c r="BP312" s="108"/>
    </row>
    <row r="313" spans="1:68" ht="12" customHeight="1" x14ac:dyDescent="0.2">
      <c r="A313" s="179"/>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c r="AA313" s="108"/>
      <c r="AB313" s="108"/>
      <c r="AC313" s="108"/>
      <c r="AD313" s="108"/>
      <c r="AE313" s="108"/>
      <c r="AF313" s="108"/>
      <c r="AG313" s="108"/>
      <c r="AH313" s="108"/>
      <c r="AI313" s="108"/>
      <c r="AJ313" s="108"/>
      <c r="AK313" s="108"/>
      <c r="AL313" s="108"/>
      <c r="AM313" s="108"/>
      <c r="AN313" s="108"/>
      <c r="AO313" s="108"/>
      <c r="AP313" s="108"/>
      <c r="AQ313" s="108"/>
      <c r="AR313" s="108"/>
      <c r="AS313" s="108"/>
      <c r="AT313" s="108"/>
      <c r="AU313" s="108"/>
      <c r="AV313" s="108"/>
      <c r="AW313" s="108"/>
      <c r="AX313" s="108"/>
      <c r="AY313" s="108"/>
      <c r="AZ313" s="108"/>
      <c r="BA313" s="108"/>
      <c r="BB313" s="108"/>
      <c r="BC313" s="108"/>
      <c r="BD313" s="108"/>
      <c r="BE313" s="108"/>
      <c r="BF313" s="108"/>
      <c r="BG313" s="108"/>
      <c r="BH313" s="108"/>
      <c r="BI313" s="108"/>
      <c r="BJ313" s="108"/>
      <c r="BK313" s="108"/>
      <c r="BL313" s="108"/>
      <c r="BM313" s="109"/>
      <c r="BN313" s="108"/>
      <c r="BO313" s="108"/>
      <c r="BP313" s="108"/>
    </row>
    <row r="314" spans="1:68" ht="12" customHeight="1" x14ac:dyDescent="0.2">
      <c r="A314" s="179"/>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c r="AA314" s="108"/>
      <c r="AB314" s="108"/>
      <c r="AC314" s="108"/>
      <c r="AD314" s="108"/>
      <c r="AE314" s="108"/>
      <c r="AF314" s="108"/>
      <c r="AG314" s="108"/>
      <c r="AH314" s="108"/>
      <c r="AI314" s="108"/>
      <c r="AJ314" s="108"/>
      <c r="AK314" s="108"/>
      <c r="AL314" s="108"/>
      <c r="AM314" s="108"/>
      <c r="AN314" s="108"/>
      <c r="AO314" s="108"/>
      <c r="AP314" s="108"/>
      <c r="AQ314" s="108"/>
      <c r="AR314" s="108"/>
      <c r="AS314" s="108"/>
      <c r="AT314" s="108"/>
      <c r="AU314" s="108"/>
      <c r="AV314" s="108"/>
      <c r="AW314" s="108"/>
      <c r="AX314" s="108"/>
      <c r="AY314" s="108"/>
      <c r="AZ314" s="108"/>
      <c r="BA314" s="108"/>
      <c r="BB314" s="108"/>
      <c r="BC314" s="108"/>
      <c r="BD314" s="108"/>
      <c r="BE314" s="108"/>
      <c r="BF314" s="108"/>
      <c r="BG314" s="108"/>
      <c r="BH314" s="108"/>
      <c r="BI314" s="108"/>
      <c r="BJ314" s="108"/>
      <c r="BK314" s="108"/>
      <c r="BL314" s="108"/>
      <c r="BM314" s="109"/>
      <c r="BN314" s="108"/>
      <c r="BO314" s="108"/>
      <c r="BP314" s="108"/>
    </row>
    <row r="315" spans="1:68" ht="12" customHeight="1" x14ac:dyDescent="0.2">
      <c r="A315" s="179"/>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c r="AA315" s="108"/>
      <c r="AB315" s="108"/>
      <c r="AC315" s="108"/>
      <c r="AD315" s="108"/>
      <c r="AE315" s="108"/>
      <c r="AF315" s="108"/>
      <c r="AG315" s="108"/>
      <c r="AH315" s="108"/>
      <c r="AI315" s="108"/>
      <c r="AJ315" s="108"/>
      <c r="AK315" s="108"/>
      <c r="AL315" s="108"/>
      <c r="AM315" s="108"/>
      <c r="AN315" s="108"/>
      <c r="AO315" s="108"/>
      <c r="AP315" s="108"/>
      <c r="AQ315" s="108"/>
      <c r="AR315" s="108"/>
      <c r="AS315" s="108"/>
      <c r="AT315" s="108"/>
      <c r="AU315" s="108"/>
      <c r="AV315" s="108"/>
      <c r="AW315" s="108"/>
      <c r="AX315" s="108"/>
      <c r="AY315" s="108"/>
      <c r="AZ315" s="108"/>
      <c r="BA315" s="108"/>
      <c r="BB315" s="108"/>
      <c r="BC315" s="108"/>
      <c r="BD315" s="108"/>
      <c r="BE315" s="108"/>
      <c r="BF315" s="108"/>
      <c r="BG315" s="108"/>
      <c r="BH315" s="108"/>
      <c r="BI315" s="108"/>
      <c r="BJ315" s="108"/>
      <c r="BK315" s="108"/>
      <c r="BL315" s="108"/>
      <c r="BM315" s="109"/>
      <c r="BN315" s="108"/>
      <c r="BO315" s="108"/>
      <c r="BP315" s="108"/>
    </row>
    <row r="316" spans="1:68" ht="12" customHeight="1" x14ac:dyDescent="0.2">
      <c r="A316" s="179"/>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c r="AA316" s="108"/>
      <c r="AB316" s="108"/>
      <c r="AC316" s="108"/>
      <c r="AD316" s="108"/>
      <c r="AE316" s="108"/>
      <c r="AF316" s="108"/>
      <c r="AG316" s="108"/>
      <c r="AH316" s="108"/>
      <c r="AI316" s="108"/>
      <c r="AJ316" s="108"/>
      <c r="AK316" s="108"/>
      <c r="AL316" s="108"/>
      <c r="AM316" s="108"/>
      <c r="AN316" s="108"/>
      <c r="AO316" s="108"/>
      <c r="AP316" s="108"/>
      <c r="AQ316" s="108"/>
      <c r="AR316" s="108"/>
      <c r="AS316" s="108"/>
      <c r="AT316" s="108"/>
      <c r="AU316" s="108"/>
      <c r="AV316" s="108"/>
      <c r="AW316" s="108"/>
      <c r="AX316" s="108"/>
      <c r="AY316" s="108"/>
      <c r="AZ316" s="108"/>
      <c r="BA316" s="108"/>
      <c r="BB316" s="108"/>
      <c r="BC316" s="108"/>
      <c r="BD316" s="108"/>
      <c r="BE316" s="108"/>
      <c r="BF316" s="108"/>
      <c r="BG316" s="108"/>
      <c r="BH316" s="108"/>
      <c r="BI316" s="108"/>
      <c r="BJ316" s="108"/>
      <c r="BK316" s="108"/>
      <c r="BL316" s="108"/>
      <c r="BM316" s="109"/>
      <c r="BN316" s="108"/>
      <c r="BO316" s="108"/>
      <c r="BP316" s="108"/>
    </row>
    <row r="317" spans="1:68" ht="12" customHeight="1" x14ac:dyDescent="0.2">
      <c r="A317" s="179"/>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c r="AA317" s="108"/>
      <c r="AB317" s="108"/>
      <c r="AC317" s="108"/>
      <c r="AD317" s="108"/>
      <c r="AE317" s="108"/>
      <c r="AF317" s="108"/>
      <c r="AG317" s="108"/>
      <c r="AH317" s="108"/>
      <c r="AI317" s="108"/>
      <c r="AJ317" s="108"/>
      <c r="AK317" s="108"/>
      <c r="AL317" s="108"/>
      <c r="AM317" s="108"/>
      <c r="AN317" s="108"/>
      <c r="AO317" s="108"/>
      <c r="AP317" s="108"/>
      <c r="AQ317" s="108"/>
      <c r="AR317" s="108"/>
      <c r="AS317" s="108"/>
      <c r="AT317" s="108"/>
      <c r="AU317" s="108"/>
      <c r="AV317" s="108"/>
      <c r="AW317" s="108"/>
      <c r="AX317" s="108"/>
      <c r="AY317" s="108"/>
      <c r="AZ317" s="108"/>
      <c r="BA317" s="108"/>
      <c r="BB317" s="108"/>
      <c r="BC317" s="108"/>
      <c r="BD317" s="108"/>
      <c r="BE317" s="108"/>
      <c r="BF317" s="108"/>
      <c r="BG317" s="108"/>
      <c r="BH317" s="108"/>
      <c r="BI317" s="108"/>
      <c r="BJ317" s="108"/>
      <c r="BK317" s="108"/>
      <c r="BL317" s="108"/>
      <c r="BM317" s="109"/>
      <c r="BN317" s="108"/>
      <c r="BO317" s="108"/>
      <c r="BP317" s="108"/>
    </row>
    <row r="318" spans="1:68" ht="12" customHeight="1" x14ac:dyDescent="0.2">
      <c r="A318" s="179"/>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c r="AA318" s="108"/>
      <c r="AB318" s="108"/>
      <c r="AC318" s="108"/>
      <c r="AD318" s="108"/>
      <c r="AE318" s="108"/>
      <c r="AF318" s="108"/>
      <c r="AG318" s="108"/>
      <c r="AH318" s="108"/>
      <c r="AI318" s="108"/>
      <c r="AJ318" s="108"/>
      <c r="AK318" s="108"/>
      <c r="AL318" s="108"/>
      <c r="AM318" s="108"/>
      <c r="AN318" s="108"/>
      <c r="AO318" s="108"/>
      <c r="AP318" s="108"/>
      <c r="AQ318" s="108"/>
      <c r="AR318" s="108"/>
      <c r="AS318" s="108"/>
      <c r="AT318" s="108"/>
      <c r="AU318" s="108"/>
      <c r="AV318" s="108"/>
      <c r="AW318" s="108"/>
      <c r="AX318" s="108"/>
      <c r="AY318" s="108"/>
      <c r="AZ318" s="108"/>
      <c r="BA318" s="108"/>
      <c r="BB318" s="108"/>
      <c r="BC318" s="108"/>
      <c r="BD318" s="108"/>
      <c r="BE318" s="108"/>
      <c r="BF318" s="108"/>
      <c r="BG318" s="108"/>
      <c r="BH318" s="108"/>
      <c r="BI318" s="108"/>
      <c r="BJ318" s="108"/>
      <c r="BK318" s="108"/>
      <c r="BL318" s="108"/>
      <c r="BM318" s="109"/>
      <c r="BN318" s="108"/>
      <c r="BO318" s="108"/>
      <c r="BP318" s="108"/>
    </row>
    <row r="319" spans="1:68" ht="12" customHeight="1" x14ac:dyDescent="0.2">
      <c r="A319" s="179"/>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c r="AA319" s="108"/>
      <c r="AB319" s="108"/>
      <c r="AC319" s="108"/>
      <c r="AD319" s="108"/>
      <c r="AE319" s="108"/>
      <c r="AF319" s="108"/>
      <c r="AG319" s="108"/>
      <c r="AH319" s="108"/>
      <c r="AI319" s="108"/>
      <c r="AJ319" s="108"/>
      <c r="AK319" s="108"/>
      <c r="AL319" s="108"/>
      <c r="AM319" s="108"/>
      <c r="AN319" s="108"/>
      <c r="AO319" s="108"/>
      <c r="AP319" s="108"/>
      <c r="AQ319" s="108"/>
      <c r="AR319" s="108"/>
      <c r="AS319" s="108"/>
      <c r="AT319" s="108"/>
      <c r="AU319" s="108"/>
      <c r="AV319" s="108"/>
      <c r="AW319" s="108"/>
      <c r="AX319" s="108"/>
      <c r="AY319" s="108"/>
      <c r="AZ319" s="108"/>
      <c r="BA319" s="108"/>
      <c r="BB319" s="108"/>
      <c r="BC319" s="108"/>
      <c r="BD319" s="108"/>
      <c r="BE319" s="108"/>
      <c r="BF319" s="108"/>
      <c r="BG319" s="108"/>
      <c r="BH319" s="108"/>
      <c r="BI319" s="108"/>
      <c r="BJ319" s="108"/>
      <c r="BK319" s="108"/>
      <c r="BL319" s="108"/>
      <c r="BM319" s="109"/>
      <c r="BN319" s="108"/>
      <c r="BO319" s="108"/>
      <c r="BP319" s="108"/>
    </row>
    <row r="320" spans="1:68" ht="12" customHeight="1" x14ac:dyDescent="0.2">
      <c r="A320" s="179"/>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c r="AA320" s="108"/>
      <c r="AB320" s="108"/>
      <c r="AC320" s="108"/>
      <c r="AD320" s="108"/>
      <c r="AE320" s="108"/>
      <c r="AF320" s="108"/>
      <c r="AG320" s="108"/>
      <c r="AH320" s="108"/>
      <c r="AI320" s="108"/>
      <c r="AJ320" s="108"/>
      <c r="AK320" s="108"/>
      <c r="AL320" s="108"/>
      <c r="AM320" s="108"/>
      <c r="AN320" s="108"/>
      <c r="AO320" s="108"/>
      <c r="AP320" s="108"/>
      <c r="AQ320" s="108"/>
      <c r="AR320" s="108"/>
      <c r="AS320" s="108"/>
      <c r="AT320" s="108"/>
      <c r="AU320" s="108"/>
      <c r="AV320" s="108"/>
      <c r="AW320" s="108"/>
      <c r="AX320" s="108"/>
      <c r="AY320" s="108"/>
      <c r="AZ320" s="108"/>
      <c r="BA320" s="108"/>
      <c r="BB320" s="108"/>
      <c r="BC320" s="108"/>
      <c r="BD320" s="108"/>
      <c r="BE320" s="108"/>
      <c r="BF320" s="108"/>
      <c r="BG320" s="108"/>
      <c r="BH320" s="108"/>
      <c r="BI320" s="108"/>
      <c r="BJ320" s="108"/>
      <c r="BK320" s="108"/>
      <c r="BL320" s="108"/>
      <c r="BM320" s="109"/>
      <c r="BN320" s="108"/>
      <c r="BO320" s="108"/>
      <c r="BP320" s="108"/>
    </row>
    <row r="321" spans="1:68" ht="12" customHeight="1" x14ac:dyDescent="0.2">
      <c r="A321" s="179"/>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c r="AA321" s="108"/>
      <c r="AB321" s="108"/>
      <c r="AC321" s="108"/>
      <c r="AD321" s="108"/>
      <c r="AE321" s="108"/>
      <c r="AF321" s="108"/>
      <c r="AG321" s="108"/>
      <c r="AH321" s="108"/>
      <c r="AI321" s="108"/>
      <c r="AJ321" s="108"/>
      <c r="AK321" s="108"/>
      <c r="AL321" s="108"/>
      <c r="AM321" s="108"/>
      <c r="AN321" s="108"/>
      <c r="AO321" s="108"/>
      <c r="AP321" s="108"/>
      <c r="AQ321" s="108"/>
      <c r="AR321" s="108"/>
      <c r="AS321" s="108"/>
      <c r="AT321" s="108"/>
      <c r="AU321" s="108"/>
      <c r="AV321" s="108"/>
      <c r="AW321" s="108"/>
      <c r="AX321" s="108"/>
      <c r="AY321" s="108"/>
      <c r="AZ321" s="108"/>
      <c r="BA321" s="108"/>
      <c r="BB321" s="108"/>
      <c r="BC321" s="108"/>
      <c r="BD321" s="108"/>
      <c r="BE321" s="108"/>
      <c r="BF321" s="108"/>
      <c r="BG321" s="108"/>
      <c r="BH321" s="108"/>
      <c r="BI321" s="108"/>
      <c r="BJ321" s="108"/>
      <c r="BK321" s="108"/>
      <c r="BL321" s="108"/>
      <c r="BM321" s="109"/>
      <c r="BN321" s="108"/>
      <c r="BO321" s="108"/>
      <c r="BP321" s="108"/>
    </row>
    <row r="322" spans="1:68" ht="12" customHeight="1" x14ac:dyDescent="0.2">
      <c r="A322" s="179"/>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c r="AA322" s="108"/>
      <c r="AB322" s="108"/>
      <c r="AC322" s="108"/>
      <c r="AD322" s="108"/>
      <c r="AE322" s="108"/>
      <c r="AF322" s="108"/>
      <c r="AG322" s="108"/>
      <c r="AH322" s="108"/>
      <c r="AI322" s="108"/>
      <c r="AJ322" s="108"/>
      <c r="AK322" s="108"/>
      <c r="AL322" s="108"/>
      <c r="AM322" s="108"/>
      <c r="AN322" s="108"/>
      <c r="AO322" s="108"/>
      <c r="AP322" s="108"/>
      <c r="AQ322" s="108"/>
      <c r="AR322" s="108"/>
      <c r="AS322" s="108"/>
      <c r="AT322" s="108"/>
      <c r="AU322" s="108"/>
      <c r="AV322" s="108"/>
      <c r="AW322" s="108"/>
      <c r="AX322" s="108"/>
      <c r="AY322" s="108"/>
      <c r="AZ322" s="108"/>
      <c r="BA322" s="108"/>
      <c r="BB322" s="108"/>
      <c r="BC322" s="108"/>
      <c r="BD322" s="108"/>
      <c r="BE322" s="108"/>
      <c r="BF322" s="108"/>
      <c r="BG322" s="108"/>
      <c r="BH322" s="108"/>
      <c r="BI322" s="108"/>
      <c r="BJ322" s="108"/>
      <c r="BK322" s="108"/>
      <c r="BL322" s="108"/>
      <c r="BM322" s="109"/>
      <c r="BN322" s="108"/>
      <c r="BO322" s="108"/>
      <c r="BP322" s="108"/>
    </row>
    <row r="323" spans="1:68" ht="12" customHeight="1" x14ac:dyDescent="0.2">
      <c r="A323" s="179"/>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c r="AA323" s="108"/>
      <c r="AB323" s="108"/>
      <c r="AC323" s="108"/>
      <c r="AD323" s="108"/>
      <c r="AE323" s="108"/>
      <c r="AF323" s="108"/>
      <c r="AG323" s="108"/>
      <c r="AH323" s="108"/>
      <c r="AI323" s="108"/>
      <c r="AJ323" s="108"/>
      <c r="AK323" s="108"/>
      <c r="AL323" s="108"/>
      <c r="AM323" s="108"/>
      <c r="AN323" s="108"/>
      <c r="AO323" s="108"/>
      <c r="AP323" s="108"/>
      <c r="AQ323" s="108"/>
      <c r="AR323" s="108"/>
      <c r="AS323" s="108"/>
      <c r="AT323" s="108"/>
      <c r="AU323" s="108"/>
      <c r="AV323" s="108"/>
      <c r="AW323" s="108"/>
      <c r="AX323" s="108"/>
      <c r="AY323" s="108"/>
      <c r="AZ323" s="108"/>
      <c r="BA323" s="108"/>
      <c r="BB323" s="108"/>
      <c r="BC323" s="108"/>
      <c r="BD323" s="108"/>
      <c r="BE323" s="108"/>
      <c r="BF323" s="108"/>
      <c r="BG323" s="108"/>
      <c r="BH323" s="108"/>
      <c r="BI323" s="108"/>
      <c r="BJ323" s="108"/>
      <c r="BK323" s="108"/>
      <c r="BL323" s="108"/>
      <c r="BM323" s="109"/>
      <c r="BN323" s="108"/>
      <c r="BO323" s="108"/>
      <c r="BP323" s="108"/>
    </row>
    <row r="324" spans="1:68" ht="12" customHeight="1" x14ac:dyDescent="0.2">
      <c r="A324" s="179"/>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c r="AA324" s="108"/>
      <c r="AB324" s="108"/>
      <c r="AC324" s="108"/>
      <c r="AD324" s="108"/>
      <c r="AE324" s="108"/>
      <c r="AF324" s="108"/>
      <c r="AG324" s="108"/>
      <c r="AH324" s="108"/>
      <c r="AI324" s="108"/>
      <c r="AJ324" s="108"/>
      <c r="AK324" s="108"/>
      <c r="AL324" s="108"/>
      <c r="AM324" s="108"/>
      <c r="AN324" s="108"/>
      <c r="AO324" s="108"/>
      <c r="AP324" s="108"/>
      <c r="AQ324" s="108"/>
      <c r="AR324" s="108"/>
      <c r="AS324" s="108"/>
      <c r="AT324" s="108"/>
      <c r="AU324" s="108"/>
      <c r="AV324" s="108"/>
      <c r="AW324" s="108"/>
      <c r="AX324" s="108"/>
      <c r="AY324" s="108"/>
      <c r="AZ324" s="108"/>
      <c r="BA324" s="108"/>
      <c r="BB324" s="108"/>
      <c r="BC324" s="108"/>
      <c r="BD324" s="108"/>
      <c r="BE324" s="108"/>
      <c r="BF324" s="108"/>
      <c r="BG324" s="108"/>
      <c r="BH324" s="108"/>
      <c r="BI324" s="108"/>
      <c r="BJ324" s="108"/>
      <c r="BK324" s="108"/>
      <c r="BL324" s="108"/>
      <c r="BM324" s="109"/>
      <c r="BN324" s="108"/>
      <c r="BO324" s="108"/>
      <c r="BP324" s="108"/>
    </row>
    <row r="325" spans="1:68" ht="12" customHeight="1" x14ac:dyDescent="0.2">
      <c r="A325" s="179"/>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c r="AA325" s="108"/>
      <c r="AB325" s="108"/>
      <c r="AC325" s="108"/>
      <c r="AD325" s="108"/>
      <c r="AE325" s="108"/>
      <c r="AF325" s="108"/>
      <c r="AG325" s="108"/>
      <c r="AH325" s="108"/>
      <c r="AI325" s="108"/>
      <c r="AJ325" s="108"/>
      <c r="AK325" s="108"/>
      <c r="AL325" s="108"/>
      <c r="AM325" s="108"/>
      <c r="AN325" s="108"/>
      <c r="AO325" s="108"/>
      <c r="AP325" s="108"/>
      <c r="AQ325" s="108"/>
      <c r="AR325" s="108"/>
      <c r="AS325" s="108"/>
      <c r="AT325" s="108"/>
      <c r="AU325" s="108"/>
      <c r="AV325" s="108"/>
      <c r="AW325" s="108"/>
      <c r="AX325" s="108"/>
      <c r="AY325" s="108"/>
      <c r="AZ325" s="108"/>
      <c r="BA325" s="108"/>
      <c r="BB325" s="108"/>
      <c r="BC325" s="108"/>
      <c r="BD325" s="108"/>
      <c r="BE325" s="108"/>
      <c r="BF325" s="108"/>
      <c r="BG325" s="108"/>
      <c r="BH325" s="108"/>
      <c r="BI325" s="108"/>
      <c r="BJ325" s="108"/>
      <c r="BK325" s="108"/>
      <c r="BL325" s="108"/>
      <c r="BM325" s="109"/>
      <c r="BN325" s="108"/>
      <c r="BO325" s="108"/>
      <c r="BP325" s="108"/>
    </row>
    <row r="326" spans="1:68" ht="12" customHeight="1" x14ac:dyDescent="0.2">
      <c r="A326" s="179"/>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c r="AA326" s="108"/>
      <c r="AB326" s="108"/>
      <c r="AC326" s="108"/>
      <c r="AD326" s="108"/>
      <c r="AE326" s="108"/>
      <c r="AF326" s="108"/>
      <c r="AG326" s="108"/>
      <c r="AH326" s="108"/>
      <c r="AI326" s="108"/>
      <c r="AJ326" s="108"/>
      <c r="AK326" s="108"/>
      <c r="AL326" s="108"/>
      <c r="AM326" s="108"/>
      <c r="AN326" s="108"/>
      <c r="AO326" s="108"/>
      <c r="AP326" s="108"/>
      <c r="AQ326" s="108"/>
      <c r="AR326" s="108"/>
      <c r="AS326" s="108"/>
      <c r="AT326" s="108"/>
      <c r="AU326" s="108"/>
      <c r="AV326" s="108"/>
      <c r="AW326" s="108"/>
      <c r="AX326" s="108"/>
      <c r="AY326" s="108"/>
      <c r="AZ326" s="108"/>
      <c r="BA326" s="108"/>
      <c r="BB326" s="108"/>
      <c r="BC326" s="108"/>
      <c r="BD326" s="108"/>
      <c r="BE326" s="108"/>
      <c r="BF326" s="108"/>
      <c r="BG326" s="108"/>
      <c r="BH326" s="108"/>
      <c r="BI326" s="108"/>
      <c r="BJ326" s="108"/>
      <c r="BK326" s="108"/>
      <c r="BL326" s="108"/>
      <c r="BM326" s="109"/>
      <c r="BN326" s="108"/>
      <c r="BO326" s="108"/>
      <c r="BP326" s="108"/>
    </row>
    <row r="327" spans="1:68" ht="12" customHeight="1" x14ac:dyDescent="0.2">
      <c r="A327" s="179"/>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c r="AA327" s="108"/>
      <c r="AB327" s="108"/>
      <c r="AC327" s="108"/>
      <c r="AD327" s="108"/>
      <c r="AE327" s="108"/>
      <c r="AF327" s="108"/>
      <c r="AG327" s="108"/>
      <c r="AH327" s="108"/>
      <c r="AI327" s="108"/>
      <c r="AJ327" s="108"/>
      <c r="AK327" s="108"/>
      <c r="AL327" s="108"/>
      <c r="AM327" s="108"/>
      <c r="AN327" s="108"/>
      <c r="AO327" s="108"/>
      <c r="AP327" s="108"/>
      <c r="AQ327" s="108"/>
      <c r="AR327" s="108"/>
      <c r="AS327" s="108"/>
      <c r="AT327" s="108"/>
      <c r="AU327" s="108"/>
      <c r="AV327" s="108"/>
      <c r="AW327" s="108"/>
      <c r="AX327" s="108"/>
      <c r="AY327" s="108"/>
      <c r="AZ327" s="108"/>
      <c r="BA327" s="108"/>
      <c r="BB327" s="108"/>
      <c r="BC327" s="108"/>
      <c r="BD327" s="108"/>
      <c r="BE327" s="108"/>
      <c r="BF327" s="108"/>
      <c r="BG327" s="108"/>
      <c r="BH327" s="108"/>
      <c r="BI327" s="108"/>
      <c r="BJ327" s="108"/>
      <c r="BK327" s="108"/>
      <c r="BL327" s="108"/>
      <c r="BM327" s="109"/>
      <c r="BN327" s="108"/>
      <c r="BO327" s="108"/>
      <c r="BP327" s="108"/>
    </row>
    <row r="328" spans="1:68" ht="12" customHeight="1" x14ac:dyDescent="0.2">
      <c r="A328" s="179"/>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c r="AA328" s="108"/>
      <c r="AB328" s="108"/>
      <c r="AC328" s="108"/>
      <c r="AD328" s="108"/>
      <c r="AE328" s="108"/>
      <c r="AF328" s="108"/>
      <c r="AG328" s="108"/>
      <c r="AH328" s="108"/>
      <c r="AI328" s="108"/>
      <c r="AJ328" s="108"/>
      <c r="AK328" s="108"/>
      <c r="AL328" s="108"/>
      <c r="AM328" s="108"/>
      <c r="AN328" s="108"/>
      <c r="AO328" s="108"/>
      <c r="AP328" s="108"/>
      <c r="AQ328" s="108"/>
      <c r="AR328" s="108"/>
      <c r="AS328" s="108"/>
      <c r="AT328" s="108"/>
      <c r="AU328" s="108"/>
      <c r="AV328" s="108"/>
      <c r="AW328" s="108"/>
      <c r="AX328" s="108"/>
      <c r="AY328" s="108"/>
      <c r="AZ328" s="108"/>
      <c r="BA328" s="108"/>
      <c r="BB328" s="108"/>
      <c r="BC328" s="108"/>
      <c r="BD328" s="108"/>
      <c r="BE328" s="108"/>
      <c r="BF328" s="108"/>
      <c r="BG328" s="108"/>
      <c r="BH328" s="108"/>
      <c r="BI328" s="108"/>
      <c r="BJ328" s="108"/>
      <c r="BK328" s="108"/>
      <c r="BL328" s="108"/>
      <c r="BM328" s="109"/>
      <c r="BN328" s="108"/>
      <c r="BO328" s="108"/>
      <c r="BP328" s="108"/>
    </row>
    <row r="329" spans="1:68" ht="12" customHeight="1" x14ac:dyDescent="0.2">
      <c r="A329" s="179"/>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c r="AA329" s="108"/>
      <c r="AB329" s="108"/>
      <c r="AC329" s="108"/>
      <c r="AD329" s="108"/>
      <c r="AE329" s="108"/>
      <c r="AF329" s="108"/>
      <c r="AG329" s="108"/>
      <c r="AH329" s="108"/>
      <c r="AI329" s="108"/>
      <c r="AJ329" s="108"/>
      <c r="AK329" s="108"/>
      <c r="AL329" s="108"/>
      <c r="AM329" s="108"/>
      <c r="AN329" s="108"/>
      <c r="AO329" s="108"/>
      <c r="AP329" s="108"/>
      <c r="AQ329" s="108"/>
      <c r="AR329" s="108"/>
      <c r="AS329" s="108"/>
      <c r="AT329" s="108"/>
      <c r="AU329" s="108"/>
      <c r="AV329" s="108"/>
      <c r="AW329" s="108"/>
      <c r="AX329" s="108"/>
      <c r="AY329" s="108"/>
      <c r="AZ329" s="108"/>
      <c r="BA329" s="108"/>
      <c r="BB329" s="108"/>
      <c r="BC329" s="108"/>
      <c r="BD329" s="108"/>
      <c r="BE329" s="108"/>
      <c r="BF329" s="108"/>
      <c r="BG329" s="108"/>
      <c r="BH329" s="108"/>
      <c r="BI329" s="108"/>
      <c r="BJ329" s="108"/>
      <c r="BK329" s="108"/>
      <c r="BL329" s="108"/>
      <c r="BM329" s="109"/>
      <c r="BN329" s="108"/>
      <c r="BO329" s="108"/>
      <c r="BP329" s="108"/>
    </row>
    <row r="330" spans="1:68" ht="12" customHeight="1" x14ac:dyDescent="0.2">
      <c r="A330" s="179"/>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c r="AA330" s="108"/>
      <c r="AB330" s="108"/>
      <c r="AC330" s="108"/>
      <c r="AD330" s="108"/>
      <c r="AE330" s="108"/>
      <c r="AF330" s="108"/>
      <c r="AG330" s="108"/>
      <c r="AH330" s="108"/>
      <c r="AI330" s="108"/>
      <c r="AJ330" s="108"/>
      <c r="AK330" s="108"/>
      <c r="AL330" s="108"/>
      <c r="AM330" s="108"/>
      <c r="AN330" s="108"/>
      <c r="AO330" s="108"/>
      <c r="AP330" s="108"/>
      <c r="AQ330" s="108"/>
      <c r="AR330" s="108"/>
      <c r="AS330" s="108"/>
      <c r="AT330" s="108"/>
      <c r="AU330" s="108"/>
      <c r="AV330" s="108"/>
      <c r="AW330" s="108"/>
      <c r="AX330" s="108"/>
      <c r="AY330" s="108"/>
      <c r="AZ330" s="108"/>
      <c r="BA330" s="108"/>
      <c r="BB330" s="108"/>
      <c r="BC330" s="108"/>
      <c r="BD330" s="108"/>
      <c r="BE330" s="108"/>
      <c r="BF330" s="108"/>
      <c r="BG330" s="108"/>
      <c r="BH330" s="108"/>
      <c r="BI330" s="108"/>
      <c r="BJ330" s="108"/>
      <c r="BK330" s="108"/>
      <c r="BL330" s="108"/>
      <c r="BM330" s="109"/>
      <c r="BN330" s="108"/>
      <c r="BO330" s="108"/>
      <c r="BP330" s="108"/>
    </row>
    <row r="331" spans="1:68" ht="12" customHeight="1" x14ac:dyDescent="0.2">
      <c r="A331" s="179"/>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c r="AA331" s="108"/>
      <c r="AB331" s="108"/>
      <c r="AC331" s="108"/>
      <c r="AD331" s="108"/>
      <c r="AE331" s="108"/>
      <c r="AF331" s="108"/>
      <c r="AG331" s="108"/>
      <c r="AH331" s="108"/>
      <c r="AI331" s="108"/>
      <c r="AJ331" s="108"/>
      <c r="AK331" s="108"/>
      <c r="AL331" s="108"/>
      <c r="AM331" s="108"/>
      <c r="AN331" s="108"/>
      <c r="AO331" s="108"/>
      <c r="AP331" s="108"/>
      <c r="AQ331" s="108"/>
      <c r="AR331" s="108"/>
      <c r="AS331" s="108"/>
      <c r="AT331" s="108"/>
      <c r="AU331" s="108"/>
      <c r="AV331" s="108"/>
      <c r="AW331" s="108"/>
      <c r="AX331" s="108"/>
      <c r="AY331" s="108"/>
      <c r="AZ331" s="108"/>
      <c r="BA331" s="108"/>
      <c r="BB331" s="108"/>
      <c r="BC331" s="108"/>
      <c r="BD331" s="108"/>
      <c r="BE331" s="108"/>
      <c r="BF331" s="108"/>
      <c r="BG331" s="108"/>
      <c r="BH331" s="108"/>
      <c r="BI331" s="108"/>
      <c r="BJ331" s="108"/>
      <c r="BK331" s="108"/>
      <c r="BL331" s="108"/>
      <c r="BM331" s="109"/>
      <c r="BN331" s="108"/>
      <c r="BO331" s="108"/>
      <c r="BP331" s="108"/>
    </row>
    <row r="332" spans="1:68" ht="12" customHeight="1" x14ac:dyDescent="0.2">
      <c r="A332" s="179"/>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c r="AA332" s="108"/>
      <c r="AB332" s="108"/>
      <c r="AC332" s="108"/>
      <c r="AD332" s="108"/>
      <c r="AE332" s="108"/>
      <c r="AF332" s="108"/>
      <c r="AG332" s="108"/>
      <c r="AH332" s="108"/>
      <c r="AI332" s="108"/>
      <c r="AJ332" s="108"/>
      <c r="AK332" s="108"/>
      <c r="AL332" s="108"/>
      <c r="AM332" s="108"/>
      <c r="AN332" s="108"/>
      <c r="AO332" s="108"/>
      <c r="AP332" s="108"/>
      <c r="AQ332" s="108"/>
      <c r="AR332" s="108"/>
      <c r="AS332" s="108"/>
      <c r="AT332" s="108"/>
      <c r="AU332" s="108"/>
      <c r="AV332" s="108"/>
      <c r="AW332" s="108"/>
      <c r="AX332" s="108"/>
      <c r="AY332" s="108"/>
      <c r="AZ332" s="108"/>
      <c r="BA332" s="108"/>
      <c r="BB332" s="108"/>
      <c r="BC332" s="108"/>
      <c r="BD332" s="108"/>
      <c r="BE332" s="108"/>
      <c r="BF332" s="108"/>
      <c r="BG332" s="108"/>
      <c r="BH332" s="108"/>
      <c r="BI332" s="108"/>
      <c r="BJ332" s="108"/>
      <c r="BK332" s="108"/>
      <c r="BL332" s="108"/>
      <c r="BM332" s="109"/>
      <c r="BN332" s="108"/>
      <c r="BO332" s="108"/>
      <c r="BP332" s="108"/>
    </row>
    <row r="333" spans="1:68" ht="12" customHeight="1" x14ac:dyDescent="0.2">
      <c r="A333" s="179"/>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c r="AA333" s="108"/>
      <c r="AB333" s="108"/>
      <c r="AC333" s="108"/>
      <c r="AD333" s="108"/>
      <c r="AE333" s="108"/>
      <c r="AF333" s="108"/>
      <c r="AG333" s="108"/>
      <c r="AH333" s="108"/>
      <c r="AI333" s="108"/>
      <c r="AJ333" s="108"/>
      <c r="AK333" s="108"/>
      <c r="AL333" s="108"/>
      <c r="AM333" s="108"/>
      <c r="AN333" s="108"/>
      <c r="AO333" s="108"/>
      <c r="AP333" s="108"/>
      <c r="AQ333" s="108"/>
      <c r="AR333" s="108"/>
      <c r="AS333" s="108"/>
      <c r="AT333" s="108"/>
      <c r="AU333" s="108"/>
      <c r="AV333" s="108"/>
      <c r="AW333" s="108"/>
      <c r="AX333" s="108"/>
      <c r="AY333" s="108"/>
      <c r="AZ333" s="108"/>
      <c r="BA333" s="108"/>
      <c r="BB333" s="108"/>
      <c r="BC333" s="108"/>
      <c r="BD333" s="108"/>
      <c r="BE333" s="108"/>
      <c r="BF333" s="108"/>
      <c r="BG333" s="108"/>
      <c r="BH333" s="108"/>
      <c r="BI333" s="108"/>
      <c r="BJ333" s="108"/>
      <c r="BK333" s="108"/>
      <c r="BL333" s="108"/>
      <c r="BM333" s="109"/>
      <c r="BN333" s="108"/>
      <c r="BO333" s="108"/>
      <c r="BP333" s="108"/>
    </row>
    <row r="334" spans="1:68" ht="12" customHeight="1" x14ac:dyDescent="0.2">
      <c r="A334" s="179"/>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c r="AA334" s="108"/>
      <c r="AB334" s="108"/>
      <c r="AC334" s="108"/>
      <c r="AD334" s="108"/>
      <c r="AE334" s="108"/>
      <c r="AF334" s="108"/>
      <c r="AG334" s="108"/>
      <c r="AH334" s="108"/>
      <c r="AI334" s="108"/>
      <c r="AJ334" s="108"/>
      <c r="AK334" s="108"/>
      <c r="AL334" s="108"/>
      <c r="AM334" s="108"/>
      <c r="AN334" s="108"/>
      <c r="AO334" s="108"/>
      <c r="AP334" s="108"/>
      <c r="AQ334" s="108"/>
      <c r="AR334" s="108"/>
      <c r="AS334" s="108"/>
      <c r="AT334" s="108"/>
      <c r="AU334" s="108"/>
      <c r="AV334" s="108"/>
      <c r="AW334" s="108"/>
      <c r="AX334" s="108"/>
      <c r="AY334" s="108"/>
      <c r="AZ334" s="108"/>
      <c r="BA334" s="108"/>
      <c r="BB334" s="108"/>
      <c r="BC334" s="108"/>
      <c r="BD334" s="108"/>
      <c r="BE334" s="108"/>
      <c r="BF334" s="108"/>
      <c r="BG334" s="108"/>
      <c r="BH334" s="108"/>
      <c r="BI334" s="108"/>
      <c r="BJ334" s="108"/>
      <c r="BK334" s="108"/>
      <c r="BL334" s="108"/>
      <c r="BM334" s="109"/>
      <c r="BN334" s="108"/>
      <c r="BO334" s="108"/>
      <c r="BP334" s="108"/>
    </row>
    <row r="335" spans="1:68" ht="12" customHeight="1" x14ac:dyDescent="0.2">
      <c r="A335" s="179"/>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c r="AA335" s="108"/>
      <c r="AB335" s="108"/>
      <c r="AC335" s="108"/>
      <c r="AD335" s="108"/>
      <c r="AE335" s="108"/>
      <c r="AF335" s="108"/>
      <c r="AG335" s="108"/>
      <c r="AH335" s="108"/>
      <c r="AI335" s="108"/>
      <c r="AJ335" s="108"/>
      <c r="AK335" s="108"/>
      <c r="AL335" s="108"/>
      <c r="AM335" s="108"/>
      <c r="AN335" s="108"/>
      <c r="AO335" s="108"/>
      <c r="AP335" s="108"/>
      <c r="AQ335" s="108"/>
      <c r="AR335" s="108"/>
      <c r="AS335" s="108"/>
      <c r="AT335" s="108"/>
      <c r="AU335" s="108"/>
      <c r="AV335" s="108"/>
      <c r="AW335" s="108"/>
      <c r="AX335" s="108"/>
      <c r="AY335" s="108"/>
      <c r="AZ335" s="108"/>
      <c r="BA335" s="108"/>
      <c r="BB335" s="108"/>
      <c r="BC335" s="108"/>
      <c r="BD335" s="108"/>
      <c r="BE335" s="108"/>
      <c r="BF335" s="108"/>
      <c r="BG335" s="108"/>
      <c r="BH335" s="108"/>
      <c r="BI335" s="108"/>
      <c r="BJ335" s="108"/>
      <c r="BK335" s="108"/>
      <c r="BL335" s="108"/>
      <c r="BM335" s="109"/>
      <c r="BN335" s="108"/>
      <c r="BO335" s="108"/>
      <c r="BP335" s="108"/>
    </row>
    <row r="336" spans="1:68" ht="12" customHeight="1" x14ac:dyDescent="0.2">
      <c r="A336" s="179"/>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c r="AA336" s="108"/>
      <c r="AB336" s="108"/>
      <c r="AC336" s="108"/>
      <c r="AD336" s="108"/>
      <c r="AE336" s="108"/>
      <c r="AF336" s="108"/>
      <c r="AG336" s="108"/>
      <c r="AH336" s="108"/>
      <c r="AI336" s="108"/>
      <c r="AJ336" s="108"/>
      <c r="AK336" s="108"/>
      <c r="AL336" s="108"/>
      <c r="AM336" s="108"/>
      <c r="AN336" s="108"/>
      <c r="AO336" s="108"/>
      <c r="AP336" s="108"/>
      <c r="AQ336" s="108"/>
      <c r="AR336" s="108"/>
      <c r="AS336" s="108"/>
      <c r="AT336" s="108"/>
      <c r="AU336" s="108"/>
      <c r="AV336" s="108"/>
      <c r="AW336" s="108"/>
      <c r="AX336" s="108"/>
      <c r="AY336" s="108"/>
      <c r="AZ336" s="108"/>
      <c r="BA336" s="108"/>
      <c r="BB336" s="108"/>
      <c r="BC336" s="108"/>
      <c r="BD336" s="108"/>
      <c r="BE336" s="108"/>
      <c r="BF336" s="108"/>
      <c r="BG336" s="108"/>
      <c r="BH336" s="108"/>
      <c r="BI336" s="108"/>
      <c r="BJ336" s="108"/>
      <c r="BK336" s="108"/>
      <c r="BL336" s="108"/>
      <c r="BM336" s="109"/>
      <c r="BN336" s="108"/>
      <c r="BO336" s="108"/>
      <c r="BP336" s="108"/>
    </row>
    <row r="337" spans="1:68" ht="12" customHeight="1" x14ac:dyDescent="0.2">
      <c r="A337" s="179"/>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c r="AA337" s="108"/>
      <c r="AB337" s="108"/>
      <c r="AC337" s="108"/>
      <c r="AD337" s="108"/>
      <c r="AE337" s="108"/>
      <c r="AF337" s="108"/>
      <c r="AG337" s="108"/>
      <c r="AH337" s="108"/>
      <c r="AI337" s="108"/>
      <c r="AJ337" s="108"/>
      <c r="AK337" s="108"/>
      <c r="AL337" s="108"/>
      <c r="AM337" s="108"/>
      <c r="AN337" s="108"/>
      <c r="AO337" s="108"/>
      <c r="AP337" s="108"/>
      <c r="AQ337" s="108"/>
      <c r="AR337" s="108"/>
      <c r="AS337" s="108"/>
      <c r="AT337" s="108"/>
      <c r="AU337" s="108"/>
      <c r="AV337" s="108"/>
      <c r="AW337" s="108"/>
      <c r="AX337" s="108"/>
      <c r="AY337" s="108"/>
      <c r="AZ337" s="108"/>
      <c r="BA337" s="108"/>
      <c r="BB337" s="108"/>
      <c r="BC337" s="108"/>
      <c r="BD337" s="108"/>
      <c r="BE337" s="108"/>
      <c r="BF337" s="108"/>
      <c r="BG337" s="108"/>
      <c r="BH337" s="108"/>
      <c r="BI337" s="108"/>
      <c r="BJ337" s="108"/>
      <c r="BK337" s="108"/>
      <c r="BL337" s="108"/>
      <c r="BM337" s="109"/>
      <c r="BN337" s="108"/>
      <c r="BO337" s="108"/>
      <c r="BP337" s="108"/>
    </row>
    <row r="338" spans="1:68" ht="12" customHeight="1" x14ac:dyDescent="0.2">
      <c r="A338" s="179"/>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c r="AA338" s="108"/>
      <c r="AB338" s="108"/>
      <c r="AC338" s="108"/>
      <c r="AD338" s="108"/>
      <c r="AE338" s="108"/>
      <c r="AF338" s="108"/>
      <c r="AG338" s="108"/>
      <c r="AH338" s="108"/>
      <c r="AI338" s="108"/>
      <c r="AJ338" s="108"/>
      <c r="AK338" s="108"/>
      <c r="AL338" s="108"/>
      <c r="AM338" s="108"/>
      <c r="AN338" s="108"/>
      <c r="AO338" s="108"/>
      <c r="AP338" s="108"/>
      <c r="AQ338" s="108"/>
      <c r="AR338" s="108"/>
      <c r="AS338" s="108"/>
      <c r="AT338" s="108"/>
      <c r="AU338" s="108"/>
      <c r="AV338" s="108"/>
      <c r="AW338" s="108"/>
      <c r="AX338" s="108"/>
      <c r="AY338" s="108"/>
      <c r="AZ338" s="108"/>
      <c r="BA338" s="108"/>
      <c r="BB338" s="108"/>
      <c r="BC338" s="108"/>
      <c r="BD338" s="108"/>
      <c r="BE338" s="108"/>
      <c r="BF338" s="108"/>
      <c r="BG338" s="108"/>
      <c r="BH338" s="108"/>
      <c r="BI338" s="108"/>
      <c r="BJ338" s="108"/>
      <c r="BK338" s="108"/>
      <c r="BL338" s="108"/>
      <c r="BM338" s="109"/>
      <c r="BN338" s="108"/>
      <c r="BO338" s="108"/>
      <c r="BP338" s="108"/>
    </row>
    <row r="339" spans="1:68" ht="12" customHeight="1" x14ac:dyDescent="0.2">
      <c r="A339" s="179"/>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c r="AA339" s="108"/>
      <c r="AB339" s="108"/>
      <c r="AC339" s="108"/>
      <c r="AD339" s="108"/>
      <c r="AE339" s="108"/>
      <c r="AF339" s="108"/>
      <c r="AG339" s="108"/>
      <c r="AH339" s="108"/>
      <c r="AI339" s="108"/>
      <c r="AJ339" s="108"/>
      <c r="AK339" s="108"/>
      <c r="AL339" s="108"/>
      <c r="AM339" s="108"/>
      <c r="AN339" s="108"/>
      <c r="AO339" s="108"/>
      <c r="AP339" s="108"/>
      <c r="AQ339" s="108"/>
      <c r="AR339" s="108"/>
      <c r="AS339" s="108"/>
      <c r="AT339" s="108"/>
      <c r="AU339" s="108"/>
      <c r="AV339" s="108"/>
      <c r="AW339" s="108"/>
      <c r="AX339" s="108"/>
      <c r="AY339" s="108"/>
      <c r="AZ339" s="108"/>
      <c r="BA339" s="108"/>
      <c r="BB339" s="108"/>
      <c r="BC339" s="108"/>
      <c r="BD339" s="108"/>
      <c r="BE339" s="108"/>
      <c r="BF339" s="108"/>
      <c r="BG339" s="108"/>
      <c r="BH339" s="108"/>
      <c r="BI339" s="108"/>
      <c r="BJ339" s="108"/>
      <c r="BK339" s="108"/>
      <c r="BL339" s="108"/>
      <c r="BM339" s="109"/>
      <c r="BN339" s="108"/>
      <c r="BO339" s="108"/>
      <c r="BP339" s="108"/>
    </row>
    <row r="340" spans="1:68" ht="12" customHeight="1" x14ac:dyDescent="0.2">
      <c r="A340" s="179"/>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c r="AA340" s="108"/>
      <c r="AB340" s="108"/>
      <c r="AC340" s="108"/>
      <c r="AD340" s="108"/>
      <c r="AE340" s="108"/>
      <c r="AF340" s="108"/>
      <c r="AG340" s="108"/>
      <c r="AH340" s="108"/>
      <c r="AI340" s="108"/>
      <c r="AJ340" s="108"/>
      <c r="AK340" s="108"/>
      <c r="AL340" s="108"/>
      <c r="AM340" s="108"/>
      <c r="AN340" s="108"/>
      <c r="AO340" s="108"/>
      <c r="AP340" s="108"/>
      <c r="AQ340" s="108"/>
      <c r="AR340" s="108"/>
      <c r="AS340" s="108"/>
      <c r="AT340" s="108"/>
      <c r="AU340" s="108"/>
      <c r="AV340" s="108"/>
      <c r="AW340" s="108"/>
      <c r="AX340" s="108"/>
      <c r="AY340" s="108"/>
      <c r="AZ340" s="108"/>
      <c r="BA340" s="108"/>
      <c r="BB340" s="108"/>
      <c r="BC340" s="108"/>
      <c r="BD340" s="108"/>
      <c r="BE340" s="108"/>
      <c r="BF340" s="108"/>
      <c r="BG340" s="108"/>
      <c r="BH340" s="108"/>
      <c r="BI340" s="108"/>
      <c r="BJ340" s="108"/>
      <c r="BK340" s="108"/>
      <c r="BL340" s="108"/>
      <c r="BM340" s="109"/>
      <c r="BN340" s="108"/>
      <c r="BO340" s="108"/>
      <c r="BP340" s="108"/>
    </row>
    <row r="341" spans="1:68" ht="12" customHeight="1" x14ac:dyDescent="0.2">
      <c r="A341" s="179"/>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c r="AA341" s="108"/>
      <c r="AB341" s="108"/>
      <c r="AC341" s="108"/>
      <c r="AD341" s="108"/>
      <c r="AE341" s="108"/>
      <c r="AF341" s="108"/>
      <c r="AG341" s="108"/>
      <c r="AH341" s="108"/>
      <c r="AI341" s="108"/>
      <c r="AJ341" s="108"/>
      <c r="AK341" s="108"/>
      <c r="AL341" s="108"/>
      <c r="AM341" s="108"/>
      <c r="AN341" s="108"/>
      <c r="AO341" s="108"/>
      <c r="AP341" s="108"/>
      <c r="AQ341" s="108"/>
      <c r="AR341" s="108"/>
      <c r="AS341" s="108"/>
      <c r="AT341" s="108"/>
      <c r="AU341" s="108"/>
      <c r="AV341" s="108"/>
      <c r="AW341" s="108"/>
      <c r="AX341" s="108"/>
      <c r="AY341" s="108"/>
      <c r="AZ341" s="108"/>
      <c r="BA341" s="108"/>
      <c r="BB341" s="108"/>
      <c r="BC341" s="108"/>
      <c r="BD341" s="108"/>
      <c r="BE341" s="108"/>
      <c r="BF341" s="108"/>
      <c r="BG341" s="108"/>
      <c r="BH341" s="108"/>
      <c r="BI341" s="108"/>
      <c r="BJ341" s="108"/>
      <c r="BK341" s="108"/>
      <c r="BL341" s="108"/>
      <c r="BM341" s="109"/>
      <c r="BN341" s="108"/>
      <c r="BO341" s="108"/>
      <c r="BP341" s="108"/>
    </row>
    <row r="342" spans="1:68" ht="12" customHeight="1" x14ac:dyDescent="0.2">
      <c r="A342" s="179"/>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c r="AA342" s="108"/>
      <c r="AB342" s="108"/>
      <c r="AC342" s="108"/>
      <c r="AD342" s="108"/>
      <c r="AE342" s="108"/>
      <c r="AF342" s="108"/>
      <c r="AG342" s="108"/>
      <c r="AH342" s="108"/>
      <c r="AI342" s="108"/>
      <c r="AJ342" s="108"/>
      <c r="AK342" s="108"/>
      <c r="AL342" s="108"/>
      <c r="AM342" s="108"/>
      <c r="AN342" s="108"/>
      <c r="AO342" s="108"/>
      <c r="AP342" s="108"/>
      <c r="AQ342" s="108"/>
      <c r="AR342" s="108"/>
      <c r="AS342" s="108"/>
      <c r="AT342" s="108"/>
      <c r="AU342" s="108"/>
      <c r="AV342" s="108"/>
      <c r="AW342" s="108"/>
      <c r="AX342" s="108"/>
      <c r="AY342" s="108"/>
      <c r="AZ342" s="108"/>
      <c r="BA342" s="108"/>
      <c r="BB342" s="108"/>
      <c r="BC342" s="108"/>
      <c r="BD342" s="108"/>
      <c r="BE342" s="108"/>
      <c r="BF342" s="108"/>
      <c r="BG342" s="108"/>
      <c r="BH342" s="108"/>
      <c r="BI342" s="108"/>
      <c r="BJ342" s="108"/>
      <c r="BK342" s="108"/>
      <c r="BL342" s="108"/>
      <c r="BM342" s="109"/>
      <c r="BN342" s="108"/>
      <c r="BO342" s="108"/>
      <c r="BP342" s="108"/>
    </row>
    <row r="343" spans="1:68" ht="12" customHeight="1" x14ac:dyDescent="0.2">
      <c r="A343" s="179"/>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c r="AA343" s="108"/>
      <c r="AB343" s="108"/>
      <c r="AC343" s="108"/>
      <c r="AD343" s="108"/>
      <c r="AE343" s="108"/>
      <c r="AF343" s="108"/>
      <c r="AG343" s="108"/>
      <c r="AH343" s="108"/>
      <c r="AI343" s="108"/>
      <c r="AJ343" s="108"/>
      <c r="AK343" s="108"/>
      <c r="AL343" s="108"/>
      <c r="AM343" s="108"/>
      <c r="AN343" s="108"/>
      <c r="AO343" s="108"/>
      <c r="AP343" s="108"/>
      <c r="AQ343" s="108"/>
      <c r="AR343" s="108"/>
      <c r="AS343" s="108"/>
      <c r="AT343" s="108"/>
      <c r="AU343" s="108"/>
      <c r="AV343" s="108"/>
      <c r="AW343" s="108"/>
      <c r="AX343" s="108"/>
      <c r="AY343" s="108"/>
      <c r="AZ343" s="108"/>
      <c r="BA343" s="108"/>
      <c r="BB343" s="108"/>
      <c r="BC343" s="108"/>
      <c r="BD343" s="108"/>
      <c r="BE343" s="108"/>
      <c r="BF343" s="108"/>
      <c r="BG343" s="108"/>
      <c r="BH343" s="108"/>
      <c r="BI343" s="108"/>
      <c r="BJ343" s="108"/>
      <c r="BK343" s="108"/>
      <c r="BL343" s="108"/>
      <c r="BM343" s="109"/>
      <c r="BN343" s="108"/>
      <c r="BO343" s="108"/>
      <c r="BP343" s="108"/>
    </row>
    <row r="344" spans="1:68" ht="12" customHeight="1" x14ac:dyDescent="0.2">
      <c r="A344" s="179"/>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c r="AA344" s="108"/>
      <c r="AB344" s="108"/>
      <c r="AC344" s="108"/>
      <c r="AD344" s="108"/>
      <c r="AE344" s="108"/>
      <c r="AF344" s="108"/>
      <c r="AG344" s="108"/>
      <c r="AH344" s="108"/>
      <c r="AI344" s="108"/>
      <c r="AJ344" s="108"/>
      <c r="AK344" s="108"/>
      <c r="AL344" s="108"/>
      <c r="AM344" s="108"/>
      <c r="AN344" s="108"/>
      <c r="AO344" s="108"/>
      <c r="AP344" s="108"/>
      <c r="AQ344" s="108"/>
      <c r="AR344" s="108"/>
      <c r="AS344" s="108"/>
      <c r="AT344" s="108"/>
      <c r="AU344" s="108"/>
      <c r="AV344" s="108"/>
      <c r="AW344" s="108"/>
      <c r="AX344" s="108"/>
      <c r="AY344" s="108"/>
      <c r="AZ344" s="108"/>
      <c r="BA344" s="108"/>
      <c r="BB344" s="108"/>
      <c r="BC344" s="108"/>
      <c r="BD344" s="108"/>
      <c r="BE344" s="108"/>
      <c r="BF344" s="108"/>
      <c r="BG344" s="108"/>
      <c r="BH344" s="108"/>
      <c r="BI344" s="108"/>
      <c r="BJ344" s="108"/>
      <c r="BK344" s="108"/>
      <c r="BL344" s="108"/>
      <c r="BM344" s="109"/>
      <c r="BN344" s="108"/>
      <c r="BO344" s="108"/>
      <c r="BP344" s="108"/>
    </row>
    <row r="345" spans="1:68" ht="12" customHeight="1" x14ac:dyDescent="0.2">
      <c r="A345" s="179"/>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c r="AA345" s="108"/>
      <c r="AB345" s="108"/>
      <c r="AC345" s="108"/>
      <c r="AD345" s="108"/>
      <c r="AE345" s="108"/>
      <c r="AF345" s="108"/>
      <c r="AG345" s="108"/>
      <c r="AH345" s="108"/>
      <c r="AI345" s="108"/>
      <c r="AJ345" s="108"/>
      <c r="AK345" s="108"/>
      <c r="AL345" s="108"/>
      <c r="AM345" s="108"/>
      <c r="AN345" s="108"/>
      <c r="AO345" s="108"/>
      <c r="AP345" s="108"/>
      <c r="AQ345" s="108"/>
      <c r="AR345" s="108"/>
      <c r="AS345" s="108"/>
      <c r="AT345" s="108"/>
      <c r="AU345" s="108"/>
      <c r="AV345" s="108"/>
      <c r="AW345" s="108"/>
      <c r="AX345" s="108"/>
      <c r="AY345" s="108"/>
      <c r="AZ345" s="108"/>
      <c r="BA345" s="108"/>
      <c r="BB345" s="108"/>
      <c r="BC345" s="108"/>
      <c r="BD345" s="108"/>
      <c r="BE345" s="108"/>
      <c r="BF345" s="108"/>
      <c r="BG345" s="108"/>
      <c r="BH345" s="108"/>
      <c r="BI345" s="108"/>
      <c r="BJ345" s="108"/>
      <c r="BK345" s="108"/>
      <c r="BL345" s="108"/>
      <c r="BM345" s="109"/>
      <c r="BN345" s="108"/>
      <c r="BO345" s="108"/>
      <c r="BP345" s="108"/>
    </row>
    <row r="346" spans="1:68" ht="12" customHeight="1" x14ac:dyDescent="0.2">
      <c r="A346" s="179"/>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c r="AA346" s="108"/>
      <c r="AB346" s="108"/>
      <c r="AC346" s="108"/>
      <c r="AD346" s="108"/>
      <c r="AE346" s="108"/>
      <c r="AF346" s="108"/>
      <c r="AG346" s="108"/>
      <c r="AH346" s="108"/>
      <c r="AI346" s="108"/>
      <c r="AJ346" s="108"/>
      <c r="AK346" s="108"/>
      <c r="AL346" s="108"/>
      <c r="AM346" s="108"/>
      <c r="AN346" s="108"/>
      <c r="AO346" s="108"/>
      <c r="AP346" s="108"/>
      <c r="AQ346" s="108"/>
      <c r="AR346" s="108"/>
      <c r="AS346" s="108"/>
      <c r="AT346" s="108"/>
      <c r="AU346" s="108"/>
      <c r="AV346" s="108"/>
      <c r="AW346" s="108"/>
      <c r="AX346" s="108"/>
      <c r="AY346" s="108"/>
      <c r="AZ346" s="108"/>
      <c r="BA346" s="108"/>
      <c r="BB346" s="108"/>
      <c r="BC346" s="108"/>
      <c r="BD346" s="108"/>
      <c r="BE346" s="108"/>
      <c r="BF346" s="108"/>
      <c r="BG346" s="108"/>
      <c r="BH346" s="108"/>
      <c r="BI346" s="108"/>
      <c r="BJ346" s="108"/>
      <c r="BK346" s="108"/>
      <c r="BL346" s="108"/>
      <c r="BM346" s="109"/>
      <c r="BN346" s="108"/>
      <c r="BO346" s="108"/>
      <c r="BP346" s="108"/>
    </row>
    <row r="347" spans="1:68" ht="12" customHeight="1" x14ac:dyDescent="0.2">
      <c r="A347" s="179"/>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c r="AA347" s="108"/>
      <c r="AB347" s="108"/>
      <c r="AC347" s="108"/>
      <c r="AD347" s="108"/>
      <c r="AE347" s="108"/>
      <c r="AF347" s="108"/>
      <c r="AG347" s="108"/>
      <c r="AH347" s="108"/>
      <c r="AI347" s="108"/>
      <c r="AJ347" s="108"/>
      <c r="AK347" s="108"/>
      <c r="AL347" s="108"/>
      <c r="AM347" s="108"/>
      <c r="AN347" s="108"/>
      <c r="AO347" s="108"/>
      <c r="AP347" s="108"/>
      <c r="AQ347" s="108"/>
      <c r="AR347" s="108"/>
      <c r="AS347" s="108"/>
      <c r="AT347" s="108"/>
      <c r="AU347" s="108"/>
      <c r="AV347" s="108"/>
      <c r="AW347" s="108"/>
      <c r="AX347" s="108"/>
      <c r="AY347" s="108"/>
      <c r="AZ347" s="108"/>
      <c r="BA347" s="108"/>
      <c r="BB347" s="108"/>
      <c r="BC347" s="108"/>
      <c r="BD347" s="108"/>
      <c r="BE347" s="108"/>
      <c r="BF347" s="108"/>
      <c r="BG347" s="108"/>
      <c r="BH347" s="108"/>
      <c r="BI347" s="108"/>
      <c r="BJ347" s="108"/>
      <c r="BK347" s="108"/>
      <c r="BL347" s="108"/>
      <c r="BM347" s="109"/>
      <c r="BN347" s="108"/>
      <c r="BO347" s="108"/>
      <c r="BP347" s="108"/>
    </row>
    <row r="348" spans="1:68" ht="12" customHeight="1" x14ac:dyDescent="0.2">
      <c r="A348" s="179"/>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c r="AA348" s="108"/>
      <c r="AB348" s="108"/>
      <c r="AC348" s="108"/>
      <c r="AD348" s="108"/>
      <c r="AE348" s="108"/>
      <c r="AF348" s="108"/>
      <c r="AG348" s="108"/>
      <c r="AH348" s="108"/>
      <c r="AI348" s="108"/>
      <c r="AJ348" s="108"/>
      <c r="AK348" s="108"/>
      <c r="AL348" s="108"/>
      <c r="AM348" s="108"/>
      <c r="AN348" s="108"/>
      <c r="AO348" s="108"/>
      <c r="AP348" s="108"/>
      <c r="AQ348" s="108"/>
      <c r="AR348" s="108"/>
      <c r="AS348" s="108"/>
      <c r="AT348" s="108"/>
      <c r="AU348" s="108"/>
      <c r="AV348" s="108"/>
      <c r="AW348" s="108"/>
      <c r="AX348" s="108"/>
      <c r="AY348" s="108"/>
      <c r="AZ348" s="108"/>
      <c r="BA348" s="108"/>
      <c r="BB348" s="108"/>
      <c r="BC348" s="108"/>
      <c r="BD348" s="108"/>
      <c r="BE348" s="108"/>
      <c r="BF348" s="108"/>
      <c r="BG348" s="108"/>
      <c r="BH348" s="108"/>
      <c r="BI348" s="108"/>
      <c r="BJ348" s="108"/>
      <c r="BK348" s="108"/>
      <c r="BL348" s="108"/>
      <c r="BM348" s="109"/>
      <c r="BN348" s="108"/>
      <c r="BO348" s="108"/>
      <c r="BP348" s="108"/>
    </row>
    <row r="349" spans="1:68" ht="12" customHeight="1" x14ac:dyDescent="0.2">
      <c r="A349" s="179"/>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c r="AA349" s="108"/>
      <c r="AB349" s="108"/>
      <c r="AC349" s="108"/>
      <c r="AD349" s="108"/>
      <c r="AE349" s="108"/>
      <c r="AF349" s="108"/>
      <c r="AG349" s="108"/>
      <c r="AH349" s="108"/>
      <c r="AI349" s="108"/>
      <c r="AJ349" s="108"/>
      <c r="AK349" s="108"/>
      <c r="AL349" s="108"/>
      <c r="AM349" s="108"/>
      <c r="AN349" s="108"/>
      <c r="AO349" s="108"/>
      <c r="AP349" s="108"/>
      <c r="AQ349" s="108"/>
      <c r="AR349" s="108"/>
      <c r="AS349" s="108"/>
      <c r="AT349" s="108"/>
      <c r="AU349" s="108"/>
      <c r="AV349" s="108"/>
      <c r="AW349" s="108"/>
      <c r="AX349" s="108"/>
      <c r="AY349" s="108"/>
      <c r="AZ349" s="108"/>
      <c r="BA349" s="108"/>
      <c r="BB349" s="108"/>
      <c r="BC349" s="108"/>
      <c r="BD349" s="108"/>
      <c r="BE349" s="108"/>
      <c r="BF349" s="108"/>
      <c r="BG349" s="108"/>
      <c r="BH349" s="108"/>
      <c r="BI349" s="108"/>
      <c r="BJ349" s="108"/>
      <c r="BK349" s="108"/>
      <c r="BL349" s="108"/>
      <c r="BM349" s="109"/>
      <c r="BN349" s="108"/>
      <c r="BO349" s="108"/>
      <c r="BP349" s="108"/>
    </row>
    <row r="350" spans="1:68" ht="12" customHeight="1" x14ac:dyDescent="0.2">
      <c r="A350" s="179"/>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c r="AA350" s="108"/>
      <c r="AB350" s="108"/>
      <c r="AC350" s="108"/>
      <c r="AD350" s="108"/>
      <c r="AE350" s="108"/>
      <c r="AF350" s="108"/>
      <c r="AG350" s="108"/>
      <c r="AH350" s="108"/>
      <c r="AI350" s="108"/>
      <c r="AJ350" s="108"/>
      <c r="AK350" s="108"/>
      <c r="AL350" s="108"/>
      <c r="AM350" s="108"/>
      <c r="AN350" s="108"/>
      <c r="AO350" s="108"/>
      <c r="AP350" s="108"/>
      <c r="AQ350" s="108"/>
      <c r="AR350" s="108"/>
      <c r="AS350" s="108"/>
      <c r="AT350" s="108"/>
      <c r="AU350" s="108"/>
      <c r="AV350" s="108"/>
      <c r="AW350" s="108"/>
      <c r="AX350" s="108"/>
      <c r="AY350" s="108"/>
      <c r="AZ350" s="108"/>
      <c r="BA350" s="108"/>
      <c r="BB350" s="108"/>
      <c r="BC350" s="108"/>
      <c r="BD350" s="108"/>
      <c r="BE350" s="108"/>
      <c r="BF350" s="108"/>
      <c r="BG350" s="108"/>
      <c r="BH350" s="108"/>
      <c r="BI350" s="108"/>
      <c r="BJ350" s="108"/>
      <c r="BK350" s="108"/>
      <c r="BL350" s="108"/>
      <c r="BM350" s="109"/>
      <c r="BN350" s="108"/>
      <c r="BO350" s="108"/>
      <c r="BP350" s="108"/>
    </row>
    <row r="351" spans="1:68" ht="12" customHeight="1" x14ac:dyDescent="0.2">
      <c r="A351" s="179"/>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c r="AA351" s="108"/>
      <c r="AB351" s="108"/>
      <c r="AC351" s="108"/>
      <c r="AD351" s="108"/>
      <c r="AE351" s="108"/>
      <c r="AF351" s="108"/>
      <c r="AG351" s="108"/>
      <c r="AH351" s="108"/>
      <c r="AI351" s="108"/>
      <c r="AJ351" s="108"/>
      <c r="AK351" s="108"/>
      <c r="AL351" s="108"/>
      <c r="AM351" s="108"/>
      <c r="AN351" s="108"/>
      <c r="AO351" s="108"/>
      <c r="AP351" s="108"/>
      <c r="AQ351" s="108"/>
      <c r="AR351" s="108"/>
      <c r="AS351" s="108"/>
      <c r="AT351" s="108"/>
      <c r="AU351" s="108"/>
      <c r="AV351" s="108"/>
      <c r="AW351" s="108"/>
      <c r="AX351" s="108"/>
      <c r="AY351" s="108"/>
      <c r="AZ351" s="108"/>
      <c r="BA351" s="108"/>
      <c r="BB351" s="108"/>
      <c r="BC351" s="108"/>
      <c r="BD351" s="108"/>
      <c r="BE351" s="108"/>
      <c r="BF351" s="108"/>
      <c r="BG351" s="108"/>
      <c r="BH351" s="108"/>
      <c r="BI351" s="108"/>
      <c r="BJ351" s="108"/>
      <c r="BK351" s="108"/>
      <c r="BL351" s="108"/>
      <c r="BM351" s="109"/>
      <c r="BN351" s="108"/>
      <c r="BO351" s="108"/>
      <c r="BP351" s="108"/>
    </row>
    <row r="352" spans="1:68" ht="12" customHeight="1" x14ac:dyDescent="0.2">
      <c r="A352" s="179"/>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c r="AA352" s="108"/>
      <c r="AB352" s="108"/>
      <c r="AC352" s="108"/>
      <c r="AD352" s="108"/>
      <c r="AE352" s="108"/>
      <c r="AF352" s="108"/>
      <c r="AG352" s="108"/>
      <c r="AH352" s="108"/>
      <c r="AI352" s="108"/>
      <c r="AJ352" s="108"/>
      <c r="AK352" s="108"/>
      <c r="AL352" s="108"/>
      <c r="AM352" s="108"/>
      <c r="AN352" s="108"/>
      <c r="AO352" s="108"/>
      <c r="AP352" s="108"/>
      <c r="AQ352" s="108"/>
      <c r="AR352" s="108"/>
      <c r="AS352" s="108"/>
      <c r="AT352" s="108"/>
      <c r="AU352" s="108"/>
      <c r="AV352" s="108"/>
      <c r="AW352" s="108"/>
      <c r="AX352" s="108"/>
      <c r="AY352" s="108"/>
      <c r="AZ352" s="108"/>
      <c r="BA352" s="108"/>
      <c r="BB352" s="108"/>
      <c r="BC352" s="108"/>
      <c r="BD352" s="108"/>
      <c r="BE352" s="108"/>
      <c r="BF352" s="108"/>
      <c r="BG352" s="108"/>
      <c r="BH352" s="108"/>
      <c r="BI352" s="108"/>
      <c r="BJ352" s="108"/>
      <c r="BK352" s="108"/>
      <c r="BL352" s="108"/>
      <c r="BM352" s="109"/>
      <c r="BN352" s="108"/>
      <c r="BO352" s="108"/>
      <c r="BP352" s="108"/>
    </row>
    <row r="353" spans="1:68" ht="12" customHeight="1" x14ac:dyDescent="0.2">
      <c r="A353" s="179"/>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c r="AA353" s="108"/>
      <c r="AB353" s="108"/>
      <c r="AC353" s="108"/>
      <c r="AD353" s="108"/>
      <c r="AE353" s="108"/>
      <c r="AF353" s="108"/>
      <c r="AG353" s="108"/>
      <c r="AH353" s="108"/>
      <c r="AI353" s="108"/>
      <c r="AJ353" s="108"/>
      <c r="AK353" s="108"/>
      <c r="AL353" s="108"/>
      <c r="AM353" s="108"/>
      <c r="AN353" s="108"/>
      <c r="AO353" s="108"/>
      <c r="AP353" s="108"/>
      <c r="AQ353" s="108"/>
      <c r="AR353" s="108"/>
      <c r="AS353" s="108"/>
      <c r="AT353" s="108"/>
      <c r="AU353" s="108"/>
      <c r="AV353" s="108"/>
      <c r="AW353" s="108"/>
      <c r="AX353" s="108"/>
      <c r="AY353" s="108"/>
      <c r="AZ353" s="108"/>
      <c r="BA353" s="108"/>
      <c r="BB353" s="108"/>
      <c r="BC353" s="108"/>
      <c r="BD353" s="108"/>
      <c r="BE353" s="108"/>
      <c r="BF353" s="108"/>
      <c r="BG353" s="108"/>
      <c r="BH353" s="108"/>
      <c r="BI353" s="108"/>
      <c r="BJ353" s="108"/>
      <c r="BK353" s="108"/>
      <c r="BL353" s="108"/>
      <c r="BM353" s="109"/>
      <c r="BN353" s="108"/>
      <c r="BO353" s="108"/>
      <c r="BP353" s="108"/>
    </row>
    <row r="354" spans="1:68" ht="12" customHeight="1" x14ac:dyDescent="0.2">
      <c r="A354" s="179"/>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c r="AA354" s="108"/>
      <c r="AB354" s="108"/>
      <c r="AC354" s="108"/>
      <c r="AD354" s="108"/>
      <c r="AE354" s="108"/>
      <c r="AF354" s="108"/>
      <c r="AG354" s="108"/>
      <c r="AH354" s="108"/>
      <c r="AI354" s="108"/>
      <c r="AJ354" s="108"/>
      <c r="AK354" s="108"/>
      <c r="AL354" s="108"/>
      <c r="AM354" s="108"/>
      <c r="AN354" s="108"/>
      <c r="AO354" s="108"/>
      <c r="AP354" s="108"/>
      <c r="AQ354" s="108"/>
      <c r="AR354" s="108"/>
      <c r="AS354" s="108"/>
      <c r="AT354" s="108"/>
      <c r="AU354" s="108"/>
      <c r="AV354" s="108"/>
      <c r="AW354" s="108"/>
      <c r="AX354" s="108"/>
      <c r="AY354" s="108"/>
      <c r="AZ354" s="108"/>
      <c r="BA354" s="108"/>
      <c r="BB354" s="108"/>
      <c r="BC354" s="108"/>
      <c r="BD354" s="108"/>
      <c r="BE354" s="108"/>
      <c r="BF354" s="108"/>
      <c r="BG354" s="108"/>
      <c r="BH354" s="108"/>
      <c r="BI354" s="108"/>
      <c r="BJ354" s="108"/>
      <c r="BK354" s="108"/>
      <c r="BL354" s="108"/>
      <c r="BM354" s="109"/>
      <c r="BN354" s="108"/>
      <c r="BO354" s="108"/>
      <c r="BP354" s="108"/>
    </row>
    <row r="355" spans="1:68" ht="12" customHeight="1" x14ac:dyDescent="0.2">
      <c r="A355" s="179"/>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c r="AA355" s="108"/>
      <c r="AB355" s="108"/>
      <c r="AC355" s="108"/>
      <c r="AD355" s="108"/>
      <c r="AE355" s="108"/>
      <c r="AF355" s="108"/>
      <c r="AG355" s="108"/>
      <c r="AH355" s="108"/>
      <c r="AI355" s="108"/>
      <c r="AJ355" s="108"/>
      <c r="AK355" s="108"/>
      <c r="AL355" s="108"/>
      <c r="AM355" s="108"/>
      <c r="AN355" s="108"/>
      <c r="AO355" s="108"/>
      <c r="AP355" s="108"/>
      <c r="AQ355" s="108"/>
      <c r="AR355" s="108"/>
      <c r="AS355" s="108"/>
      <c r="AT355" s="108"/>
      <c r="AU355" s="108"/>
      <c r="AV355" s="108"/>
      <c r="AW355" s="108"/>
      <c r="AX355" s="108"/>
      <c r="AY355" s="108"/>
      <c r="AZ355" s="108"/>
      <c r="BA355" s="108"/>
      <c r="BB355" s="108"/>
      <c r="BC355" s="108"/>
      <c r="BD355" s="108"/>
      <c r="BE355" s="108"/>
      <c r="BF355" s="108"/>
      <c r="BG355" s="108"/>
      <c r="BH355" s="108"/>
      <c r="BI355" s="108"/>
      <c r="BJ355" s="108"/>
      <c r="BK355" s="108"/>
      <c r="BL355" s="108"/>
      <c r="BM355" s="109"/>
      <c r="BN355" s="108"/>
      <c r="BO355" s="108"/>
      <c r="BP355" s="108"/>
    </row>
    <row r="356" spans="1:68" ht="12" customHeight="1" x14ac:dyDescent="0.2">
      <c r="A356" s="179"/>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c r="AA356" s="108"/>
      <c r="AB356" s="108"/>
      <c r="AC356" s="108"/>
      <c r="AD356" s="108"/>
      <c r="AE356" s="108"/>
      <c r="AF356" s="108"/>
      <c r="AG356" s="108"/>
      <c r="AH356" s="108"/>
      <c r="AI356" s="108"/>
      <c r="AJ356" s="108"/>
      <c r="AK356" s="108"/>
      <c r="AL356" s="108"/>
      <c r="AM356" s="108"/>
      <c r="AN356" s="108"/>
      <c r="AO356" s="108"/>
      <c r="AP356" s="108"/>
      <c r="AQ356" s="108"/>
      <c r="AR356" s="108"/>
      <c r="AS356" s="108"/>
      <c r="AT356" s="108"/>
      <c r="AU356" s="108"/>
      <c r="AV356" s="108"/>
      <c r="AW356" s="108"/>
      <c r="AX356" s="108"/>
      <c r="AY356" s="108"/>
      <c r="AZ356" s="108"/>
      <c r="BA356" s="108"/>
      <c r="BB356" s="108"/>
      <c r="BC356" s="108"/>
      <c r="BD356" s="108"/>
      <c r="BE356" s="108"/>
      <c r="BF356" s="108"/>
      <c r="BG356" s="108"/>
      <c r="BH356" s="108"/>
      <c r="BI356" s="108"/>
      <c r="BJ356" s="108"/>
      <c r="BK356" s="108"/>
      <c r="BL356" s="108"/>
      <c r="BM356" s="109"/>
      <c r="BN356" s="108"/>
      <c r="BO356" s="108"/>
      <c r="BP356" s="108"/>
    </row>
    <row r="357" spans="1:68" ht="12" customHeight="1" x14ac:dyDescent="0.2">
      <c r="A357" s="179"/>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c r="AA357" s="108"/>
      <c r="AB357" s="108"/>
      <c r="AC357" s="108"/>
      <c r="AD357" s="108"/>
      <c r="AE357" s="108"/>
      <c r="AF357" s="108"/>
      <c r="AG357" s="108"/>
      <c r="AH357" s="108"/>
      <c r="AI357" s="108"/>
      <c r="AJ357" s="108"/>
      <c r="AK357" s="108"/>
      <c r="AL357" s="108"/>
      <c r="AM357" s="108"/>
      <c r="AN357" s="108"/>
      <c r="AO357" s="108"/>
      <c r="AP357" s="108"/>
      <c r="AQ357" s="108"/>
      <c r="AR357" s="108"/>
      <c r="AS357" s="108"/>
      <c r="AT357" s="108"/>
      <c r="AU357" s="108"/>
      <c r="AV357" s="108"/>
      <c r="AW357" s="108"/>
      <c r="AX357" s="108"/>
      <c r="AY357" s="108"/>
      <c r="AZ357" s="108"/>
      <c r="BA357" s="108"/>
      <c r="BB357" s="108"/>
      <c r="BC357" s="108"/>
      <c r="BD357" s="108"/>
      <c r="BE357" s="108"/>
      <c r="BF357" s="108"/>
      <c r="BG357" s="108"/>
      <c r="BH357" s="108"/>
      <c r="BI357" s="108"/>
      <c r="BJ357" s="108"/>
      <c r="BK357" s="108"/>
      <c r="BL357" s="108"/>
      <c r="BM357" s="109"/>
      <c r="BN357" s="108"/>
      <c r="BO357" s="108"/>
      <c r="BP357" s="108"/>
    </row>
    <row r="358" spans="1:68" ht="12" customHeight="1" x14ac:dyDescent="0.2">
      <c r="A358" s="179"/>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c r="AA358" s="108"/>
      <c r="AB358" s="108"/>
      <c r="AC358" s="108"/>
      <c r="AD358" s="108"/>
      <c r="AE358" s="108"/>
      <c r="AF358" s="108"/>
      <c r="AG358" s="108"/>
      <c r="AH358" s="108"/>
      <c r="AI358" s="108"/>
      <c r="AJ358" s="108"/>
      <c r="AK358" s="108"/>
      <c r="AL358" s="108"/>
      <c r="AM358" s="108"/>
      <c r="AN358" s="108"/>
      <c r="AO358" s="108"/>
      <c r="AP358" s="108"/>
      <c r="AQ358" s="108"/>
      <c r="AR358" s="108"/>
      <c r="AS358" s="108"/>
      <c r="AT358" s="108"/>
      <c r="AU358" s="108"/>
      <c r="AV358" s="108"/>
      <c r="AW358" s="108"/>
      <c r="AX358" s="108"/>
      <c r="AY358" s="108"/>
      <c r="AZ358" s="108"/>
      <c r="BA358" s="108"/>
      <c r="BB358" s="108"/>
      <c r="BC358" s="108"/>
      <c r="BD358" s="108"/>
      <c r="BE358" s="108"/>
      <c r="BF358" s="108"/>
      <c r="BG358" s="108"/>
      <c r="BH358" s="108"/>
      <c r="BI358" s="108"/>
      <c r="BJ358" s="108"/>
      <c r="BK358" s="108"/>
      <c r="BL358" s="108"/>
      <c r="BM358" s="109"/>
      <c r="BN358" s="108"/>
      <c r="BO358" s="108"/>
      <c r="BP358" s="108"/>
    </row>
    <row r="359" spans="1:68" ht="12" customHeight="1" x14ac:dyDescent="0.2">
      <c r="A359" s="179"/>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c r="AA359" s="108"/>
      <c r="AB359" s="108"/>
      <c r="AC359" s="108"/>
      <c r="AD359" s="108"/>
      <c r="AE359" s="108"/>
      <c r="AF359" s="108"/>
      <c r="AG359" s="108"/>
      <c r="AH359" s="108"/>
      <c r="AI359" s="108"/>
      <c r="AJ359" s="108"/>
      <c r="AK359" s="108"/>
      <c r="AL359" s="108"/>
      <c r="AM359" s="108"/>
      <c r="AN359" s="108"/>
      <c r="AO359" s="108"/>
      <c r="AP359" s="108"/>
      <c r="AQ359" s="108"/>
      <c r="AR359" s="108"/>
      <c r="AS359" s="108"/>
      <c r="AT359" s="108"/>
      <c r="AU359" s="108"/>
      <c r="AV359" s="108"/>
      <c r="AW359" s="108"/>
      <c r="AX359" s="108"/>
      <c r="AY359" s="108"/>
      <c r="AZ359" s="108"/>
      <c r="BA359" s="108"/>
      <c r="BB359" s="108"/>
      <c r="BC359" s="108"/>
      <c r="BD359" s="108"/>
      <c r="BE359" s="108"/>
      <c r="BF359" s="108"/>
      <c r="BG359" s="108"/>
      <c r="BH359" s="108"/>
      <c r="BI359" s="108"/>
      <c r="BJ359" s="108"/>
      <c r="BK359" s="108"/>
      <c r="BL359" s="108"/>
      <c r="BM359" s="109"/>
      <c r="BN359" s="108"/>
      <c r="BO359" s="108"/>
      <c r="BP359" s="108"/>
    </row>
    <row r="360" spans="1:68" ht="12" customHeight="1" x14ac:dyDescent="0.2">
      <c r="A360" s="179"/>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c r="AA360" s="108"/>
      <c r="AB360" s="108"/>
      <c r="AC360" s="108"/>
      <c r="AD360" s="108"/>
      <c r="AE360" s="108"/>
      <c r="AF360" s="108"/>
      <c r="AG360" s="108"/>
      <c r="AH360" s="108"/>
      <c r="AI360" s="108"/>
      <c r="AJ360" s="108"/>
      <c r="AK360" s="108"/>
      <c r="AL360" s="108"/>
      <c r="AM360" s="108"/>
      <c r="AN360" s="108"/>
      <c r="AO360" s="108"/>
      <c r="AP360" s="108"/>
      <c r="AQ360" s="108"/>
      <c r="AR360" s="108"/>
      <c r="AS360" s="108"/>
      <c r="AT360" s="108"/>
      <c r="AU360" s="108"/>
      <c r="AV360" s="108"/>
      <c r="AW360" s="108"/>
      <c r="AX360" s="108"/>
      <c r="AY360" s="108"/>
      <c r="AZ360" s="108"/>
      <c r="BA360" s="108"/>
      <c r="BB360" s="108"/>
      <c r="BC360" s="108"/>
      <c r="BD360" s="108"/>
      <c r="BE360" s="108"/>
      <c r="BF360" s="108"/>
      <c r="BG360" s="108"/>
      <c r="BH360" s="108"/>
      <c r="BI360" s="108"/>
      <c r="BJ360" s="108"/>
      <c r="BK360" s="108"/>
      <c r="BL360" s="108"/>
      <c r="BM360" s="109"/>
      <c r="BN360" s="108"/>
      <c r="BO360" s="108"/>
      <c r="BP360" s="108"/>
    </row>
    <row r="361" spans="1:68" ht="12" customHeight="1" x14ac:dyDescent="0.2">
      <c r="A361" s="179"/>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c r="AA361" s="108"/>
      <c r="AB361" s="108"/>
      <c r="AC361" s="108"/>
      <c r="AD361" s="108"/>
      <c r="AE361" s="108"/>
      <c r="AF361" s="108"/>
      <c r="AG361" s="108"/>
      <c r="AH361" s="108"/>
      <c r="AI361" s="108"/>
      <c r="AJ361" s="108"/>
      <c r="AK361" s="108"/>
      <c r="AL361" s="108"/>
      <c r="AM361" s="108"/>
      <c r="AN361" s="108"/>
      <c r="AO361" s="108"/>
      <c r="AP361" s="108"/>
      <c r="AQ361" s="108"/>
      <c r="AR361" s="108"/>
      <c r="AS361" s="108"/>
      <c r="AT361" s="108"/>
      <c r="AU361" s="108"/>
      <c r="AV361" s="108"/>
      <c r="AW361" s="108"/>
      <c r="AX361" s="108"/>
      <c r="AY361" s="108"/>
      <c r="AZ361" s="108"/>
      <c r="BA361" s="108"/>
      <c r="BB361" s="108"/>
      <c r="BC361" s="108"/>
      <c r="BD361" s="108"/>
      <c r="BE361" s="108"/>
      <c r="BF361" s="108"/>
      <c r="BG361" s="108"/>
      <c r="BH361" s="108"/>
      <c r="BI361" s="108"/>
      <c r="BJ361" s="108"/>
      <c r="BK361" s="108"/>
      <c r="BL361" s="108"/>
      <c r="BM361" s="109"/>
      <c r="BN361" s="108"/>
      <c r="BO361" s="108"/>
      <c r="BP361" s="108"/>
    </row>
    <row r="362" spans="1:68" ht="12" customHeight="1" x14ac:dyDescent="0.2">
      <c r="A362" s="179"/>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c r="AA362" s="108"/>
      <c r="AB362" s="108"/>
      <c r="AC362" s="108"/>
      <c r="AD362" s="108"/>
      <c r="AE362" s="108"/>
      <c r="AF362" s="108"/>
      <c r="AG362" s="108"/>
      <c r="AH362" s="108"/>
      <c r="AI362" s="108"/>
      <c r="AJ362" s="108"/>
      <c r="AK362" s="108"/>
      <c r="AL362" s="108"/>
      <c r="AM362" s="108"/>
      <c r="AN362" s="108"/>
      <c r="AO362" s="108"/>
      <c r="AP362" s="108"/>
      <c r="AQ362" s="108"/>
      <c r="AR362" s="108"/>
      <c r="AS362" s="108"/>
      <c r="AT362" s="108"/>
      <c r="AU362" s="108"/>
      <c r="AV362" s="108"/>
      <c r="AW362" s="108"/>
      <c r="AX362" s="108"/>
      <c r="AY362" s="108"/>
      <c r="AZ362" s="108"/>
      <c r="BA362" s="108"/>
      <c r="BB362" s="108"/>
      <c r="BC362" s="108"/>
      <c r="BD362" s="108"/>
      <c r="BE362" s="108"/>
      <c r="BF362" s="108"/>
      <c r="BG362" s="108"/>
      <c r="BH362" s="108"/>
      <c r="BI362" s="108"/>
      <c r="BJ362" s="108"/>
      <c r="BK362" s="108"/>
      <c r="BL362" s="108"/>
      <c r="BM362" s="109"/>
      <c r="BN362" s="108"/>
      <c r="BO362" s="108"/>
      <c r="BP362" s="108"/>
    </row>
    <row r="363" spans="1:68" ht="12" customHeight="1" x14ac:dyDescent="0.2">
      <c r="A363" s="179"/>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c r="AA363" s="108"/>
      <c r="AB363" s="108"/>
      <c r="AC363" s="108"/>
      <c r="AD363" s="108"/>
      <c r="AE363" s="108"/>
      <c r="AF363" s="108"/>
      <c r="AG363" s="108"/>
      <c r="AH363" s="108"/>
      <c r="AI363" s="108"/>
      <c r="AJ363" s="108"/>
      <c r="AK363" s="108"/>
      <c r="AL363" s="108"/>
      <c r="AM363" s="108"/>
      <c r="AN363" s="108"/>
      <c r="AO363" s="108"/>
      <c r="AP363" s="108"/>
      <c r="AQ363" s="108"/>
      <c r="AR363" s="108"/>
      <c r="AS363" s="108"/>
      <c r="AT363" s="108"/>
      <c r="AU363" s="108"/>
      <c r="AV363" s="108"/>
      <c r="AW363" s="108"/>
      <c r="AX363" s="108"/>
      <c r="AY363" s="108"/>
      <c r="AZ363" s="108"/>
      <c r="BA363" s="108"/>
      <c r="BB363" s="108"/>
      <c r="BC363" s="108"/>
      <c r="BD363" s="108"/>
      <c r="BE363" s="108"/>
      <c r="BF363" s="108"/>
      <c r="BG363" s="108"/>
      <c r="BH363" s="108"/>
      <c r="BI363" s="108"/>
      <c r="BJ363" s="108"/>
      <c r="BK363" s="108"/>
      <c r="BL363" s="108"/>
      <c r="BM363" s="109"/>
      <c r="BN363" s="108"/>
      <c r="BO363" s="108"/>
      <c r="BP363" s="108"/>
    </row>
    <row r="364" spans="1:68" ht="12" customHeight="1" x14ac:dyDescent="0.2">
      <c r="A364" s="179"/>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c r="AA364" s="108"/>
      <c r="AB364" s="108"/>
      <c r="AC364" s="108"/>
      <c r="AD364" s="108"/>
      <c r="AE364" s="108"/>
      <c r="AF364" s="108"/>
      <c r="AG364" s="108"/>
      <c r="AH364" s="108"/>
      <c r="AI364" s="108"/>
      <c r="AJ364" s="108"/>
      <c r="AK364" s="108"/>
      <c r="AL364" s="108"/>
      <c r="AM364" s="108"/>
      <c r="AN364" s="108"/>
      <c r="AO364" s="108"/>
      <c r="AP364" s="108"/>
      <c r="AQ364" s="108"/>
      <c r="AR364" s="108"/>
      <c r="AS364" s="108"/>
      <c r="AT364" s="108"/>
      <c r="AU364" s="108"/>
      <c r="AV364" s="108"/>
      <c r="AW364" s="108"/>
      <c r="AX364" s="108"/>
      <c r="AY364" s="108"/>
      <c r="AZ364" s="108"/>
      <c r="BA364" s="108"/>
      <c r="BB364" s="108"/>
      <c r="BC364" s="108"/>
      <c r="BD364" s="108"/>
      <c r="BE364" s="108"/>
      <c r="BF364" s="108"/>
      <c r="BG364" s="108"/>
      <c r="BH364" s="108"/>
      <c r="BI364" s="108"/>
      <c r="BJ364" s="108"/>
      <c r="BK364" s="108"/>
      <c r="BL364" s="108"/>
      <c r="BM364" s="109"/>
      <c r="BN364" s="108"/>
      <c r="BO364" s="108"/>
      <c r="BP364" s="108"/>
    </row>
    <row r="365" spans="1:68" ht="12" customHeight="1" x14ac:dyDescent="0.2">
      <c r="A365" s="179"/>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c r="AA365" s="108"/>
      <c r="AB365" s="108"/>
      <c r="AC365" s="108"/>
      <c r="AD365" s="108"/>
      <c r="AE365" s="108"/>
      <c r="AF365" s="108"/>
      <c r="AG365" s="108"/>
      <c r="AH365" s="108"/>
      <c r="AI365" s="108"/>
      <c r="AJ365" s="108"/>
      <c r="AK365" s="108"/>
      <c r="AL365" s="108"/>
      <c r="AM365" s="108"/>
      <c r="AN365" s="108"/>
      <c r="AO365" s="108"/>
      <c r="AP365" s="108"/>
      <c r="AQ365" s="108"/>
      <c r="AR365" s="108"/>
      <c r="AS365" s="108"/>
      <c r="AT365" s="108"/>
      <c r="AU365" s="108"/>
      <c r="AV365" s="108"/>
      <c r="AW365" s="108"/>
      <c r="AX365" s="108"/>
      <c r="AY365" s="108"/>
      <c r="AZ365" s="108"/>
      <c r="BA365" s="108"/>
      <c r="BB365" s="108"/>
      <c r="BC365" s="108"/>
      <c r="BD365" s="108"/>
      <c r="BE365" s="108"/>
      <c r="BF365" s="108"/>
      <c r="BG365" s="108"/>
      <c r="BH365" s="108"/>
      <c r="BI365" s="108"/>
      <c r="BJ365" s="108"/>
      <c r="BK365" s="108"/>
      <c r="BL365" s="108"/>
      <c r="BM365" s="109"/>
      <c r="BN365" s="108"/>
      <c r="BO365" s="108"/>
      <c r="BP365" s="108"/>
    </row>
    <row r="366" spans="1:68" ht="12" customHeight="1" x14ac:dyDescent="0.2">
      <c r="A366" s="179"/>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c r="AA366" s="108"/>
      <c r="AB366" s="108"/>
      <c r="AC366" s="108"/>
      <c r="AD366" s="108"/>
      <c r="AE366" s="108"/>
      <c r="AF366" s="108"/>
      <c r="AG366" s="108"/>
      <c r="AH366" s="108"/>
      <c r="AI366" s="108"/>
      <c r="AJ366" s="108"/>
      <c r="AK366" s="108"/>
      <c r="AL366" s="108"/>
      <c r="AM366" s="108"/>
      <c r="AN366" s="108"/>
      <c r="AO366" s="108"/>
      <c r="AP366" s="108"/>
      <c r="AQ366" s="108"/>
      <c r="AR366" s="108"/>
      <c r="AS366" s="108"/>
      <c r="AT366" s="108"/>
      <c r="AU366" s="108"/>
      <c r="AV366" s="108"/>
      <c r="AW366" s="108"/>
      <c r="AX366" s="108"/>
      <c r="AY366" s="108"/>
      <c r="AZ366" s="108"/>
      <c r="BA366" s="108"/>
      <c r="BB366" s="108"/>
      <c r="BC366" s="108"/>
      <c r="BD366" s="108"/>
      <c r="BE366" s="108"/>
      <c r="BF366" s="108"/>
      <c r="BG366" s="108"/>
      <c r="BH366" s="108"/>
      <c r="BI366" s="108"/>
      <c r="BJ366" s="108"/>
      <c r="BK366" s="108"/>
      <c r="BL366" s="108"/>
      <c r="BM366" s="109"/>
      <c r="BN366" s="108"/>
      <c r="BO366" s="108"/>
      <c r="BP366" s="108"/>
    </row>
    <row r="367" spans="1:68" ht="12" customHeight="1" x14ac:dyDescent="0.2">
      <c r="A367" s="179"/>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c r="AA367" s="108"/>
      <c r="AB367" s="108"/>
      <c r="AC367" s="108"/>
      <c r="AD367" s="108"/>
      <c r="AE367" s="108"/>
      <c r="AF367" s="108"/>
      <c r="AG367" s="108"/>
      <c r="AH367" s="108"/>
      <c r="AI367" s="108"/>
      <c r="AJ367" s="108"/>
      <c r="AK367" s="108"/>
      <c r="AL367" s="108"/>
      <c r="AM367" s="108"/>
      <c r="AN367" s="108"/>
      <c r="AO367" s="108"/>
      <c r="AP367" s="108"/>
      <c r="AQ367" s="108"/>
      <c r="AR367" s="108"/>
      <c r="AS367" s="108"/>
      <c r="AT367" s="108"/>
      <c r="AU367" s="108"/>
      <c r="AV367" s="108"/>
      <c r="AW367" s="108"/>
      <c r="AX367" s="108"/>
      <c r="AY367" s="108"/>
      <c r="AZ367" s="108"/>
      <c r="BA367" s="108"/>
      <c r="BB367" s="108"/>
      <c r="BC367" s="108"/>
      <c r="BD367" s="108"/>
      <c r="BE367" s="108"/>
      <c r="BF367" s="108"/>
      <c r="BG367" s="108"/>
      <c r="BH367" s="108"/>
      <c r="BI367" s="108"/>
      <c r="BJ367" s="108"/>
      <c r="BK367" s="108"/>
      <c r="BL367" s="108"/>
      <c r="BM367" s="109"/>
      <c r="BN367" s="108"/>
      <c r="BO367" s="108"/>
      <c r="BP367" s="108"/>
    </row>
    <row r="368" spans="1:68" ht="12" customHeight="1" x14ac:dyDescent="0.2">
      <c r="A368" s="179"/>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c r="AA368" s="108"/>
      <c r="AB368" s="108"/>
      <c r="AC368" s="108"/>
      <c r="AD368" s="108"/>
      <c r="AE368" s="108"/>
      <c r="AF368" s="108"/>
      <c r="AG368" s="108"/>
      <c r="AH368" s="108"/>
      <c r="AI368" s="108"/>
      <c r="AJ368" s="108"/>
      <c r="AK368" s="108"/>
      <c r="AL368" s="108"/>
      <c r="AM368" s="108"/>
      <c r="AN368" s="108"/>
      <c r="AO368" s="108"/>
      <c r="AP368" s="108"/>
      <c r="AQ368" s="108"/>
      <c r="AR368" s="108"/>
      <c r="AS368" s="108"/>
      <c r="AT368" s="108"/>
      <c r="AU368" s="108"/>
      <c r="AV368" s="108"/>
      <c r="AW368" s="108"/>
      <c r="AX368" s="108"/>
      <c r="AY368" s="108"/>
      <c r="AZ368" s="108"/>
      <c r="BA368" s="108"/>
      <c r="BB368" s="108"/>
      <c r="BC368" s="108"/>
      <c r="BD368" s="108"/>
      <c r="BE368" s="108"/>
      <c r="BF368" s="108"/>
      <c r="BG368" s="108"/>
      <c r="BH368" s="108"/>
      <c r="BI368" s="108"/>
      <c r="BJ368" s="108"/>
      <c r="BK368" s="108"/>
      <c r="BL368" s="108"/>
      <c r="BM368" s="109"/>
      <c r="BN368" s="108"/>
      <c r="BO368" s="108"/>
      <c r="BP368" s="108"/>
    </row>
    <row r="369" spans="1:68" ht="12" customHeight="1" x14ac:dyDescent="0.2">
      <c r="A369" s="179"/>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c r="AA369" s="108"/>
      <c r="AB369" s="108"/>
      <c r="AC369" s="108"/>
      <c r="AD369" s="108"/>
      <c r="AE369" s="108"/>
      <c r="AF369" s="108"/>
      <c r="AG369" s="108"/>
      <c r="AH369" s="108"/>
      <c r="AI369" s="108"/>
      <c r="AJ369" s="108"/>
      <c r="AK369" s="108"/>
      <c r="AL369" s="108"/>
      <c r="AM369" s="108"/>
      <c r="AN369" s="108"/>
      <c r="AO369" s="108"/>
      <c r="AP369" s="108"/>
      <c r="AQ369" s="108"/>
      <c r="AR369" s="108"/>
      <c r="AS369" s="108"/>
      <c r="AT369" s="108"/>
      <c r="AU369" s="108"/>
      <c r="AV369" s="108"/>
      <c r="AW369" s="108"/>
      <c r="AX369" s="108"/>
      <c r="AY369" s="108"/>
      <c r="AZ369" s="108"/>
      <c r="BA369" s="108"/>
      <c r="BB369" s="108"/>
      <c r="BC369" s="108"/>
      <c r="BD369" s="108"/>
      <c r="BE369" s="108"/>
      <c r="BF369" s="108"/>
      <c r="BG369" s="108"/>
      <c r="BH369" s="108"/>
      <c r="BI369" s="108"/>
      <c r="BJ369" s="108"/>
      <c r="BK369" s="108"/>
      <c r="BL369" s="108"/>
      <c r="BM369" s="109"/>
      <c r="BN369" s="108"/>
      <c r="BO369" s="108"/>
      <c r="BP369" s="108"/>
    </row>
    <row r="370" spans="1:68" ht="12" customHeight="1" x14ac:dyDescent="0.2">
      <c r="A370" s="179"/>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c r="AA370" s="108"/>
      <c r="AB370" s="108"/>
      <c r="AC370" s="108"/>
      <c r="AD370" s="108"/>
      <c r="AE370" s="108"/>
      <c r="AF370" s="108"/>
      <c r="AG370" s="108"/>
      <c r="AH370" s="108"/>
      <c r="AI370" s="108"/>
      <c r="AJ370" s="108"/>
      <c r="AK370" s="108"/>
      <c r="AL370" s="108"/>
      <c r="AM370" s="108"/>
      <c r="AN370" s="108"/>
      <c r="AO370" s="108"/>
      <c r="AP370" s="108"/>
      <c r="AQ370" s="108"/>
      <c r="AR370" s="108"/>
      <c r="AS370" s="108"/>
      <c r="AT370" s="108"/>
      <c r="AU370" s="108"/>
      <c r="AV370" s="108"/>
      <c r="AW370" s="108"/>
      <c r="AX370" s="108"/>
      <c r="AY370" s="108"/>
      <c r="AZ370" s="108"/>
      <c r="BA370" s="108"/>
      <c r="BB370" s="108"/>
      <c r="BC370" s="108"/>
      <c r="BD370" s="108"/>
      <c r="BE370" s="108"/>
      <c r="BF370" s="108"/>
      <c r="BG370" s="108"/>
      <c r="BH370" s="108"/>
      <c r="BI370" s="108"/>
      <c r="BJ370" s="108"/>
      <c r="BK370" s="108"/>
      <c r="BL370" s="108"/>
      <c r="BM370" s="109"/>
      <c r="BN370" s="108"/>
      <c r="BO370" s="108"/>
      <c r="BP370" s="108"/>
    </row>
    <row r="371" spans="1:68" ht="12" customHeight="1" x14ac:dyDescent="0.2">
      <c r="A371" s="179"/>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c r="AA371" s="108"/>
      <c r="AB371" s="108"/>
      <c r="AC371" s="108"/>
      <c r="AD371" s="108"/>
      <c r="AE371" s="108"/>
      <c r="AF371" s="108"/>
      <c r="AG371" s="108"/>
      <c r="AH371" s="108"/>
      <c r="AI371" s="108"/>
      <c r="AJ371" s="108"/>
      <c r="AK371" s="108"/>
      <c r="AL371" s="108"/>
      <c r="AM371" s="108"/>
      <c r="AN371" s="108"/>
      <c r="AO371" s="108"/>
      <c r="AP371" s="108"/>
      <c r="AQ371" s="108"/>
      <c r="AR371" s="108"/>
      <c r="AS371" s="108"/>
      <c r="AT371" s="108"/>
      <c r="AU371" s="108"/>
      <c r="AV371" s="108"/>
      <c r="AW371" s="108"/>
      <c r="AX371" s="108"/>
      <c r="AY371" s="108"/>
      <c r="AZ371" s="108"/>
      <c r="BA371" s="108"/>
      <c r="BB371" s="108"/>
      <c r="BC371" s="108"/>
      <c r="BD371" s="108"/>
      <c r="BE371" s="108"/>
      <c r="BF371" s="108"/>
      <c r="BG371" s="108"/>
      <c r="BH371" s="108"/>
      <c r="BI371" s="108"/>
      <c r="BJ371" s="108"/>
      <c r="BK371" s="108"/>
      <c r="BL371" s="108"/>
      <c r="BM371" s="109"/>
      <c r="BN371" s="108"/>
      <c r="BO371" s="108"/>
      <c r="BP371" s="108"/>
    </row>
    <row r="372" spans="1:68" ht="12" customHeight="1" x14ac:dyDescent="0.2">
      <c r="A372" s="179"/>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c r="AA372" s="108"/>
      <c r="AB372" s="108"/>
      <c r="AC372" s="108"/>
      <c r="AD372" s="108"/>
      <c r="AE372" s="108"/>
      <c r="AF372" s="108"/>
      <c r="AG372" s="108"/>
      <c r="AH372" s="108"/>
      <c r="AI372" s="108"/>
      <c r="AJ372" s="108"/>
      <c r="AK372" s="108"/>
      <c r="AL372" s="108"/>
      <c r="AM372" s="108"/>
      <c r="AN372" s="108"/>
      <c r="AO372" s="108"/>
      <c r="AP372" s="108"/>
      <c r="AQ372" s="108"/>
      <c r="AR372" s="108"/>
      <c r="AS372" s="108"/>
      <c r="AT372" s="108"/>
      <c r="AU372" s="108"/>
      <c r="AV372" s="108"/>
      <c r="AW372" s="108"/>
      <c r="AX372" s="108"/>
      <c r="AY372" s="108"/>
      <c r="AZ372" s="108"/>
      <c r="BA372" s="108"/>
      <c r="BB372" s="108"/>
      <c r="BC372" s="108"/>
      <c r="BD372" s="108"/>
      <c r="BE372" s="108"/>
      <c r="BF372" s="108"/>
      <c r="BG372" s="108"/>
      <c r="BH372" s="108"/>
      <c r="BI372" s="108"/>
      <c r="BJ372" s="108"/>
      <c r="BK372" s="108"/>
      <c r="BL372" s="108"/>
      <c r="BM372" s="109"/>
      <c r="BN372" s="108"/>
      <c r="BO372" s="108"/>
      <c r="BP372" s="108"/>
    </row>
    <row r="373" spans="1:68" ht="12" customHeight="1" x14ac:dyDescent="0.2">
      <c r="A373" s="179"/>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c r="AA373" s="108"/>
      <c r="AB373" s="108"/>
      <c r="AC373" s="108"/>
      <c r="AD373" s="108"/>
      <c r="AE373" s="108"/>
      <c r="AF373" s="108"/>
      <c r="AG373" s="108"/>
      <c r="AH373" s="108"/>
      <c r="AI373" s="108"/>
      <c r="AJ373" s="108"/>
      <c r="AK373" s="108"/>
      <c r="AL373" s="108"/>
      <c r="AM373" s="108"/>
      <c r="AN373" s="108"/>
      <c r="AO373" s="108"/>
      <c r="AP373" s="108"/>
      <c r="AQ373" s="108"/>
      <c r="AR373" s="108"/>
      <c r="AS373" s="108"/>
      <c r="AT373" s="108"/>
      <c r="AU373" s="108"/>
      <c r="AV373" s="108"/>
      <c r="AW373" s="108"/>
      <c r="AX373" s="108"/>
      <c r="AY373" s="108"/>
      <c r="AZ373" s="108"/>
      <c r="BA373" s="108"/>
      <c r="BB373" s="108"/>
      <c r="BC373" s="108"/>
      <c r="BD373" s="108"/>
      <c r="BE373" s="108"/>
      <c r="BF373" s="108"/>
      <c r="BG373" s="108"/>
      <c r="BH373" s="108"/>
      <c r="BI373" s="108"/>
      <c r="BJ373" s="108"/>
      <c r="BK373" s="108"/>
      <c r="BL373" s="108"/>
      <c r="BM373" s="109"/>
      <c r="BN373" s="108"/>
      <c r="BO373" s="108"/>
      <c r="BP373" s="108"/>
    </row>
    <row r="374" spans="1:68" ht="12" customHeight="1" x14ac:dyDescent="0.2">
      <c r="A374" s="179"/>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c r="AA374" s="108"/>
      <c r="AB374" s="108"/>
      <c r="AC374" s="108"/>
      <c r="AD374" s="108"/>
      <c r="AE374" s="108"/>
      <c r="AF374" s="108"/>
      <c r="AG374" s="108"/>
      <c r="AH374" s="108"/>
      <c r="AI374" s="108"/>
      <c r="AJ374" s="108"/>
      <c r="AK374" s="108"/>
      <c r="AL374" s="108"/>
      <c r="AM374" s="108"/>
      <c r="AN374" s="108"/>
      <c r="AO374" s="108"/>
      <c r="AP374" s="108"/>
      <c r="AQ374" s="108"/>
      <c r="AR374" s="108"/>
      <c r="AS374" s="108"/>
      <c r="AT374" s="108"/>
      <c r="AU374" s="108"/>
      <c r="AV374" s="108"/>
      <c r="AW374" s="108"/>
      <c r="AX374" s="108"/>
      <c r="AY374" s="108"/>
      <c r="AZ374" s="108"/>
      <c r="BA374" s="108"/>
      <c r="BB374" s="108"/>
      <c r="BC374" s="108"/>
      <c r="BD374" s="108"/>
      <c r="BE374" s="108"/>
      <c r="BF374" s="108"/>
      <c r="BG374" s="108"/>
      <c r="BH374" s="108"/>
      <c r="BI374" s="108"/>
      <c r="BJ374" s="108"/>
      <c r="BK374" s="108"/>
      <c r="BL374" s="108"/>
      <c r="BM374" s="109"/>
      <c r="BN374" s="108"/>
      <c r="BO374" s="108"/>
      <c r="BP374" s="108"/>
    </row>
    <row r="375" spans="1:68" ht="12" customHeight="1" x14ac:dyDescent="0.2">
      <c r="A375" s="179"/>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c r="AA375" s="108"/>
      <c r="AB375" s="108"/>
      <c r="AC375" s="108"/>
      <c r="AD375" s="108"/>
      <c r="AE375" s="108"/>
      <c r="AF375" s="108"/>
      <c r="AG375" s="108"/>
      <c r="AH375" s="108"/>
      <c r="AI375" s="108"/>
      <c r="AJ375" s="108"/>
      <c r="AK375" s="108"/>
      <c r="AL375" s="108"/>
      <c r="AM375" s="108"/>
      <c r="AN375" s="108"/>
      <c r="AO375" s="108"/>
      <c r="AP375" s="108"/>
      <c r="AQ375" s="108"/>
      <c r="AR375" s="108"/>
      <c r="AS375" s="108"/>
      <c r="AT375" s="108"/>
      <c r="AU375" s="108"/>
      <c r="AV375" s="108"/>
      <c r="AW375" s="108"/>
      <c r="AX375" s="108"/>
      <c r="AY375" s="108"/>
      <c r="AZ375" s="108"/>
      <c r="BA375" s="108"/>
      <c r="BB375" s="108"/>
      <c r="BC375" s="108"/>
      <c r="BD375" s="108"/>
      <c r="BE375" s="108"/>
      <c r="BF375" s="108"/>
      <c r="BG375" s="108"/>
      <c r="BH375" s="108"/>
      <c r="BI375" s="108"/>
      <c r="BJ375" s="108"/>
      <c r="BK375" s="108"/>
      <c r="BL375" s="108"/>
      <c r="BM375" s="109"/>
      <c r="BN375" s="108"/>
      <c r="BO375" s="108"/>
      <c r="BP375" s="108"/>
    </row>
    <row r="376" spans="1:68" ht="12" customHeight="1" x14ac:dyDescent="0.2">
      <c r="A376" s="179"/>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c r="AA376" s="108"/>
      <c r="AB376" s="108"/>
      <c r="AC376" s="108"/>
      <c r="AD376" s="108"/>
      <c r="AE376" s="108"/>
      <c r="AF376" s="108"/>
      <c r="AG376" s="108"/>
      <c r="AH376" s="108"/>
      <c r="AI376" s="108"/>
      <c r="AJ376" s="108"/>
      <c r="AK376" s="108"/>
      <c r="AL376" s="108"/>
      <c r="AM376" s="108"/>
      <c r="AN376" s="108"/>
      <c r="AO376" s="108"/>
      <c r="AP376" s="108"/>
      <c r="AQ376" s="108"/>
      <c r="AR376" s="108"/>
      <c r="AS376" s="108"/>
      <c r="AT376" s="108"/>
      <c r="AU376" s="108"/>
      <c r="AV376" s="108"/>
      <c r="AW376" s="108"/>
      <c r="AX376" s="108"/>
      <c r="AY376" s="108"/>
      <c r="AZ376" s="108"/>
      <c r="BA376" s="108"/>
      <c r="BB376" s="108"/>
      <c r="BC376" s="108"/>
      <c r="BD376" s="108"/>
      <c r="BE376" s="108"/>
      <c r="BF376" s="108"/>
      <c r="BG376" s="108"/>
      <c r="BH376" s="108"/>
      <c r="BI376" s="108"/>
      <c r="BJ376" s="108"/>
      <c r="BK376" s="108"/>
      <c r="BL376" s="108"/>
      <c r="BM376" s="109"/>
      <c r="BN376" s="108"/>
      <c r="BO376" s="108"/>
      <c r="BP376" s="108"/>
    </row>
    <row r="377" spans="1:68" ht="12" customHeight="1" x14ac:dyDescent="0.2">
      <c r="A377" s="179"/>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c r="AA377" s="108"/>
      <c r="AB377" s="108"/>
      <c r="AC377" s="108"/>
      <c r="AD377" s="108"/>
      <c r="AE377" s="108"/>
      <c r="AF377" s="108"/>
      <c r="AG377" s="108"/>
      <c r="AH377" s="108"/>
      <c r="AI377" s="108"/>
      <c r="AJ377" s="108"/>
      <c r="AK377" s="108"/>
      <c r="AL377" s="108"/>
      <c r="AM377" s="108"/>
      <c r="AN377" s="108"/>
      <c r="AO377" s="108"/>
      <c r="AP377" s="108"/>
      <c r="AQ377" s="108"/>
      <c r="AR377" s="108"/>
      <c r="AS377" s="108"/>
      <c r="AT377" s="108"/>
      <c r="AU377" s="108"/>
      <c r="AV377" s="108"/>
      <c r="AW377" s="108"/>
      <c r="AX377" s="108"/>
      <c r="AY377" s="108"/>
      <c r="AZ377" s="108"/>
      <c r="BA377" s="108"/>
      <c r="BB377" s="108"/>
      <c r="BC377" s="108"/>
      <c r="BD377" s="108"/>
      <c r="BE377" s="108"/>
      <c r="BF377" s="108"/>
      <c r="BG377" s="108"/>
      <c r="BH377" s="108"/>
      <c r="BI377" s="108"/>
      <c r="BJ377" s="108"/>
      <c r="BK377" s="108"/>
      <c r="BL377" s="108"/>
      <c r="BM377" s="109"/>
      <c r="BN377" s="108"/>
      <c r="BO377" s="108"/>
      <c r="BP377" s="108"/>
    </row>
    <row r="378" spans="1:68" ht="12" customHeight="1" x14ac:dyDescent="0.2">
      <c r="A378" s="179"/>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c r="AA378" s="108"/>
      <c r="AB378" s="108"/>
      <c r="AC378" s="108"/>
      <c r="AD378" s="108"/>
      <c r="AE378" s="108"/>
      <c r="AF378" s="108"/>
      <c r="AG378" s="108"/>
      <c r="AH378" s="108"/>
      <c r="AI378" s="108"/>
      <c r="AJ378" s="108"/>
      <c r="AK378" s="108"/>
      <c r="AL378" s="108"/>
      <c r="AM378" s="108"/>
      <c r="AN378" s="108"/>
      <c r="AO378" s="108"/>
      <c r="AP378" s="108"/>
      <c r="AQ378" s="108"/>
      <c r="AR378" s="108"/>
      <c r="AS378" s="108"/>
      <c r="AT378" s="108"/>
      <c r="AU378" s="108"/>
      <c r="AV378" s="108"/>
      <c r="AW378" s="108"/>
      <c r="AX378" s="108"/>
      <c r="AY378" s="108"/>
      <c r="AZ378" s="108"/>
      <c r="BA378" s="108"/>
      <c r="BB378" s="108"/>
      <c r="BC378" s="108"/>
      <c r="BD378" s="108"/>
      <c r="BE378" s="108"/>
      <c r="BF378" s="108"/>
      <c r="BG378" s="108"/>
      <c r="BH378" s="108"/>
      <c r="BI378" s="108"/>
      <c r="BJ378" s="108"/>
      <c r="BK378" s="108"/>
      <c r="BL378" s="108"/>
      <c r="BM378" s="109"/>
      <c r="BN378" s="108"/>
      <c r="BO378" s="108"/>
      <c r="BP378" s="108"/>
    </row>
    <row r="379" spans="1:68" ht="12" customHeight="1" x14ac:dyDescent="0.2">
      <c r="A379" s="179"/>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c r="AA379" s="108"/>
      <c r="AB379" s="108"/>
      <c r="AC379" s="108"/>
      <c r="AD379" s="108"/>
      <c r="AE379" s="108"/>
      <c r="AF379" s="108"/>
      <c r="AG379" s="108"/>
      <c r="AH379" s="108"/>
      <c r="AI379" s="108"/>
      <c r="AJ379" s="108"/>
      <c r="AK379" s="108"/>
      <c r="AL379" s="108"/>
      <c r="AM379" s="108"/>
      <c r="AN379" s="108"/>
      <c r="AO379" s="108"/>
      <c r="AP379" s="108"/>
      <c r="AQ379" s="108"/>
      <c r="AR379" s="108"/>
      <c r="AS379" s="108"/>
      <c r="AT379" s="108"/>
      <c r="AU379" s="108"/>
      <c r="AV379" s="108"/>
      <c r="AW379" s="108"/>
      <c r="AX379" s="108"/>
      <c r="AY379" s="108"/>
      <c r="AZ379" s="108"/>
      <c r="BA379" s="108"/>
      <c r="BB379" s="108"/>
      <c r="BC379" s="108"/>
      <c r="BD379" s="108"/>
      <c r="BE379" s="108"/>
      <c r="BF379" s="108"/>
      <c r="BG379" s="108"/>
      <c r="BH379" s="108"/>
      <c r="BI379" s="108"/>
      <c r="BJ379" s="108"/>
      <c r="BK379" s="108"/>
      <c r="BL379" s="108"/>
      <c r="BM379" s="109"/>
      <c r="BN379" s="108"/>
      <c r="BO379" s="108"/>
      <c r="BP379" s="108"/>
    </row>
    <row r="380" spans="1:68" ht="12" customHeight="1" x14ac:dyDescent="0.2">
      <c r="A380" s="179"/>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c r="AA380" s="108"/>
      <c r="AB380" s="108"/>
      <c r="AC380" s="108"/>
      <c r="AD380" s="108"/>
      <c r="AE380" s="108"/>
      <c r="AF380" s="108"/>
      <c r="AG380" s="108"/>
      <c r="AH380" s="108"/>
      <c r="AI380" s="108"/>
      <c r="AJ380" s="108"/>
      <c r="AK380" s="108"/>
      <c r="AL380" s="108"/>
      <c r="AM380" s="108"/>
      <c r="AN380" s="108"/>
      <c r="AO380" s="108"/>
      <c r="AP380" s="108"/>
      <c r="AQ380" s="108"/>
      <c r="AR380" s="108"/>
      <c r="AS380" s="108"/>
      <c r="AT380" s="108"/>
      <c r="AU380" s="108"/>
      <c r="AV380" s="108"/>
      <c r="AW380" s="108"/>
      <c r="AX380" s="108"/>
      <c r="AY380" s="108"/>
      <c r="AZ380" s="108"/>
      <c r="BA380" s="108"/>
      <c r="BB380" s="108"/>
      <c r="BC380" s="108"/>
      <c r="BD380" s="108"/>
      <c r="BE380" s="108"/>
      <c r="BF380" s="108"/>
      <c r="BG380" s="108"/>
      <c r="BH380" s="108"/>
      <c r="BI380" s="108"/>
      <c r="BJ380" s="108"/>
      <c r="BK380" s="108"/>
      <c r="BL380" s="108"/>
      <c r="BM380" s="109"/>
      <c r="BN380" s="108"/>
      <c r="BO380" s="108"/>
      <c r="BP380" s="108"/>
    </row>
    <row r="381" spans="1:68" ht="12" customHeight="1" x14ac:dyDescent="0.2">
      <c r="A381" s="179"/>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c r="AA381" s="108"/>
      <c r="AB381" s="108"/>
      <c r="AC381" s="108"/>
      <c r="AD381" s="108"/>
      <c r="AE381" s="108"/>
      <c r="AF381" s="108"/>
      <c r="AG381" s="108"/>
      <c r="AH381" s="108"/>
      <c r="AI381" s="108"/>
      <c r="AJ381" s="108"/>
      <c r="AK381" s="108"/>
      <c r="AL381" s="108"/>
      <c r="AM381" s="108"/>
      <c r="AN381" s="108"/>
      <c r="AO381" s="108"/>
      <c r="AP381" s="108"/>
      <c r="AQ381" s="108"/>
      <c r="AR381" s="108"/>
      <c r="AS381" s="108"/>
      <c r="AT381" s="108"/>
      <c r="AU381" s="108"/>
      <c r="AV381" s="108"/>
      <c r="AW381" s="108"/>
      <c r="AX381" s="108"/>
      <c r="AY381" s="108"/>
      <c r="AZ381" s="108"/>
      <c r="BA381" s="108"/>
      <c r="BB381" s="108"/>
      <c r="BC381" s="108"/>
      <c r="BD381" s="108"/>
      <c r="BE381" s="108"/>
      <c r="BF381" s="108"/>
      <c r="BG381" s="108"/>
      <c r="BH381" s="108"/>
      <c r="BI381" s="108"/>
      <c r="BJ381" s="108"/>
      <c r="BK381" s="108"/>
      <c r="BL381" s="108"/>
      <c r="BM381" s="109"/>
      <c r="BN381" s="108"/>
      <c r="BO381" s="108"/>
      <c r="BP381" s="108"/>
    </row>
    <row r="382" spans="1:68" ht="12" customHeight="1" x14ac:dyDescent="0.2">
      <c r="A382" s="179"/>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c r="AA382" s="108"/>
      <c r="AB382" s="108"/>
      <c r="AC382" s="108"/>
      <c r="AD382" s="108"/>
      <c r="AE382" s="108"/>
      <c r="AF382" s="108"/>
      <c r="AG382" s="108"/>
      <c r="AH382" s="108"/>
      <c r="AI382" s="108"/>
      <c r="AJ382" s="108"/>
      <c r="AK382" s="108"/>
      <c r="AL382" s="108"/>
      <c r="AM382" s="108"/>
      <c r="AN382" s="108"/>
      <c r="AO382" s="108"/>
      <c r="AP382" s="108"/>
      <c r="AQ382" s="108"/>
      <c r="AR382" s="108"/>
      <c r="AS382" s="108"/>
      <c r="AT382" s="108"/>
      <c r="AU382" s="108"/>
      <c r="AV382" s="108"/>
      <c r="AW382" s="108"/>
      <c r="AX382" s="108"/>
      <c r="AY382" s="108"/>
      <c r="AZ382" s="108"/>
      <c r="BA382" s="108"/>
      <c r="BB382" s="108"/>
      <c r="BC382" s="108"/>
      <c r="BD382" s="108"/>
      <c r="BE382" s="108"/>
      <c r="BF382" s="108"/>
      <c r="BG382" s="108"/>
      <c r="BH382" s="108"/>
      <c r="BI382" s="108"/>
      <c r="BJ382" s="108"/>
      <c r="BK382" s="108"/>
      <c r="BL382" s="108"/>
      <c r="BM382" s="109"/>
      <c r="BN382" s="108"/>
      <c r="BO382" s="108"/>
      <c r="BP382" s="108"/>
    </row>
    <row r="383" spans="1:68" ht="12" customHeight="1" x14ac:dyDescent="0.2">
      <c r="A383" s="179"/>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c r="AA383" s="108"/>
      <c r="AB383" s="108"/>
      <c r="AC383" s="108"/>
      <c r="AD383" s="108"/>
      <c r="AE383" s="108"/>
      <c r="AF383" s="108"/>
      <c r="AG383" s="108"/>
      <c r="AH383" s="108"/>
      <c r="AI383" s="108"/>
      <c r="AJ383" s="108"/>
      <c r="AK383" s="108"/>
      <c r="AL383" s="108"/>
      <c r="AM383" s="108"/>
      <c r="AN383" s="108"/>
      <c r="AO383" s="108"/>
      <c r="AP383" s="108"/>
      <c r="AQ383" s="108"/>
      <c r="AR383" s="108"/>
      <c r="AS383" s="108"/>
      <c r="AT383" s="108"/>
      <c r="AU383" s="108"/>
      <c r="AV383" s="108"/>
      <c r="AW383" s="108"/>
      <c r="AX383" s="108"/>
      <c r="AY383" s="108"/>
      <c r="AZ383" s="108"/>
      <c r="BA383" s="108"/>
      <c r="BB383" s="108"/>
      <c r="BC383" s="108"/>
      <c r="BD383" s="108"/>
      <c r="BE383" s="108"/>
      <c r="BF383" s="108"/>
      <c r="BG383" s="108"/>
      <c r="BH383" s="108"/>
      <c r="BI383" s="108"/>
      <c r="BJ383" s="108"/>
      <c r="BK383" s="108"/>
      <c r="BL383" s="108"/>
      <c r="BM383" s="109"/>
      <c r="BN383" s="108"/>
      <c r="BO383" s="108"/>
      <c r="BP383" s="108"/>
    </row>
    <row r="384" spans="1:68" ht="12" customHeight="1" x14ac:dyDescent="0.2">
      <c r="A384" s="179"/>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c r="AA384" s="108"/>
      <c r="AB384" s="108"/>
      <c r="AC384" s="108"/>
      <c r="AD384" s="108"/>
      <c r="AE384" s="108"/>
      <c r="AF384" s="108"/>
      <c r="AG384" s="108"/>
      <c r="AH384" s="108"/>
      <c r="AI384" s="108"/>
      <c r="AJ384" s="108"/>
      <c r="AK384" s="108"/>
      <c r="AL384" s="108"/>
      <c r="AM384" s="108"/>
      <c r="AN384" s="108"/>
      <c r="AO384" s="108"/>
      <c r="AP384" s="108"/>
      <c r="AQ384" s="108"/>
      <c r="AR384" s="108"/>
      <c r="AS384" s="108"/>
      <c r="AT384" s="108"/>
      <c r="AU384" s="108"/>
      <c r="AV384" s="108"/>
      <c r="AW384" s="108"/>
      <c r="AX384" s="108"/>
      <c r="AY384" s="108"/>
      <c r="AZ384" s="108"/>
      <c r="BA384" s="108"/>
      <c r="BB384" s="108"/>
      <c r="BC384" s="108"/>
      <c r="BD384" s="108"/>
      <c r="BE384" s="108"/>
      <c r="BF384" s="108"/>
      <c r="BG384" s="108"/>
      <c r="BH384" s="108"/>
      <c r="BI384" s="108"/>
      <c r="BJ384" s="108"/>
      <c r="BK384" s="108"/>
      <c r="BL384" s="108"/>
      <c r="BM384" s="109"/>
      <c r="BN384" s="108"/>
      <c r="BO384" s="108"/>
      <c r="BP384" s="108"/>
    </row>
    <row r="385" spans="1:68" ht="12" customHeight="1" x14ac:dyDescent="0.2">
      <c r="A385" s="179"/>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c r="AA385" s="108"/>
      <c r="AB385" s="108"/>
      <c r="AC385" s="108"/>
      <c r="AD385" s="108"/>
      <c r="AE385" s="108"/>
      <c r="AF385" s="108"/>
      <c r="AG385" s="108"/>
      <c r="AH385" s="108"/>
      <c r="AI385" s="108"/>
      <c r="AJ385" s="108"/>
      <c r="AK385" s="108"/>
      <c r="AL385" s="108"/>
      <c r="AM385" s="108"/>
      <c r="AN385" s="108"/>
      <c r="AO385" s="108"/>
      <c r="AP385" s="108"/>
      <c r="AQ385" s="108"/>
      <c r="AR385" s="108"/>
      <c r="AS385" s="108"/>
      <c r="AT385" s="108"/>
      <c r="AU385" s="108"/>
      <c r="AV385" s="108"/>
      <c r="AW385" s="108"/>
      <c r="AX385" s="108"/>
      <c r="AY385" s="108"/>
      <c r="AZ385" s="108"/>
      <c r="BA385" s="108"/>
      <c r="BB385" s="108"/>
      <c r="BC385" s="108"/>
      <c r="BD385" s="108"/>
      <c r="BE385" s="108"/>
      <c r="BF385" s="108"/>
      <c r="BG385" s="108"/>
      <c r="BH385" s="108"/>
      <c r="BI385" s="108"/>
      <c r="BJ385" s="108"/>
      <c r="BK385" s="108"/>
      <c r="BL385" s="108"/>
      <c r="BM385" s="109"/>
      <c r="BN385" s="108"/>
      <c r="BO385" s="108"/>
      <c r="BP385" s="108"/>
    </row>
    <row r="386" spans="1:68" ht="12" customHeight="1" x14ac:dyDescent="0.2">
      <c r="A386" s="179"/>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c r="AA386" s="108"/>
      <c r="AB386" s="108"/>
      <c r="AC386" s="108"/>
      <c r="AD386" s="108"/>
      <c r="AE386" s="108"/>
      <c r="AF386" s="108"/>
      <c r="AG386" s="108"/>
      <c r="AH386" s="108"/>
      <c r="AI386" s="108"/>
      <c r="AJ386" s="108"/>
      <c r="AK386" s="108"/>
      <c r="AL386" s="108"/>
      <c r="AM386" s="108"/>
      <c r="AN386" s="108"/>
      <c r="AO386" s="108"/>
      <c r="AP386" s="108"/>
      <c r="AQ386" s="108"/>
      <c r="AR386" s="108"/>
      <c r="AS386" s="108"/>
      <c r="AT386" s="108"/>
      <c r="AU386" s="108"/>
      <c r="AV386" s="108"/>
      <c r="AW386" s="108"/>
      <c r="AX386" s="108"/>
      <c r="AY386" s="108"/>
      <c r="AZ386" s="108"/>
      <c r="BA386" s="108"/>
      <c r="BB386" s="108"/>
      <c r="BC386" s="108"/>
      <c r="BD386" s="108"/>
      <c r="BE386" s="108"/>
      <c r="BF386" s="108"/>
      <c r="BG386" s="108"/>
      <c r="BH386" s="108"/>
      <c r="BI386" s="108"/>
      <c r="BJ386" s="108"/>
      <c r="BK386" s="108"/>
      <c r="BL386" s="108"/>
      <c r="BM386" s="109"/>
      <c r="BN386" s="108"/>
      <c r="BO386" s="108"/>
      <c r="BP386" s="108"/>
    </row>
    <row r="387" spans="1:68" ht="12" customHeight="1" x14ac:dyDescent="0.2">
      <c r="A387" s="179"/>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c r="AA387" s="108"/>
      <c r="AB387" s="108"/>
      <c r="AC387" s="108"/>
      <c r="AD387" s="108"/>
      <c r="AE387" s="108"/>
      <c r="AF387" s="108"/>
      <c r="AG387" s="108"/>
      <c r="AH387" s="108"/>
      <c r="AI387" s="108"/>
      <c r="AJ387" s="108"/>
      <c r="AK387" s="108"/>
      <c r="AL387" s="108"/>
      <c r="AM387" s="108"/>
      <c r="AN387" s="108"/>
      <c r="AO387" s="108"/>
      <c r="AP387" s="108"/>
      <c r="AQ387" s="108"/>
      <c r="AR387" s="108"/>
      <c r="AS387" s="108"/>
      <c r="AT387" s="108"/>
      <c r="AU387" s="108"/>
      <c r="AV387" s="108"/>
      <c r="AW387" s="108"/>
      <c r="AX387" s="108"/>
      <c r="AY387" s="108"/>
      <c r="AZ387" s="108"/>
      <c r="BA387" s="108"/>
      <c r="BB387" s="108"/>
      <c r="BC387" s="108"/>
      <c r="BD387" s="108"/>
      <c r="BE387" s="108"/>
      <c r="BF387" s="108"/>
      <c r="BG387" s="108"/>
      <c r="BH387" s="108"/>
      <c r="BI387" s="108"/>
      <c r="BJ387" s="108"/>
      <c r="BK387" s="108"/>
      <c r="BL387" s="108"/>
      <c r="BM387" s="109"/>
      <c r="BN387" s="108"/>
      <c r="BO387" s="108"/>
      <c r="BP387" s="108"/>
    </row>
    <row r="388" spans="1:68" ht="12" customHeight="1" x14ac:dyDescent="0.2">
      <c r="A388" s="179"/>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c r="AA388" s="108"/>
      <c r="AB388" s="108"/>
      <c r="AC388" s="108"/>
      <c r="AD388" s="108"/>
      <c r="AE388" s="108"/>
      <c r="AF388" s="108"/>
      <c r="AG388" s="108"/>
      <c r="AH388" s="108"/>
      <c r="AI388" s="108"/>
      <c r="AJ388" s="108"/>
      <c r="AK388" s="108"/>
      <c r="AL388" s="108"/>
      <c r="AM388" s="108"/>
      <c r="AN388" s="108"/>
      <c r="AO388" s="108"/>
      <c r="AP388" s="108"/>
      <c r="AQ388" s="108"/>
      <c r="AR388" s="108"/>
      <c r="AS388" s="108"/>
      <c r="AT388" s="108"/>
      <c r="AU388" s="108"/>
      <c r="AV388" s="108"/>
      <c r="AW388" s="108"/>
      <c r="AX388" s="108"/>
      <c r="AY388" s="108"/>
      <c r="AZ388" s="108"/>
      <c r="BA388" s="108"/>
      <c r="BB388" s="108"/>
      <c r="BC388" s="108"/>
      <c r="BD388" s="108"/>
      <c r="BE388" s="108"/>
      <c r="BF388" s="108"/>
      <c r="BG388" s="108"/>
      <c r="BH388" s="108"/>
      <c r="BI388" s="108"/>
      <c r="BJ388" s="108"/>
      <c r="BK388" s="108"/>
      <c r="BL388" s="108"/>
      <c r="BM388" s="109"/>
      <c r="BN388" s="108"/>
      <c r="BO388" s="108"/>
      <c r="BP388" s="108"/>
    </row>
    <row r="389" spans="1:68" ht="12" customHeight="1" x14ac:dyDescent="0.2">
      <c r="A389" s="179"/>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c r="AA389" s="108"/>
      <c r="AB389" s="108"/>
      <c r="AC389" s="108"/>
      <c r="AD389" s="108"/>
      <c r="AE389" s="108"/>
      <c r="AF389" s="108"/>
      <c r="AG389" s="108"/>
      <c r="AH389" s="108"/>
      <c r="AI389" s="108"/>
      <c r="AJ389" s="108"/>
      <c r="AK389" s="108"/>
      <c r="AL389" s="108"/>
      <c r="AM389" s="108"/>
      <c r="AN389" s="108"/>
      <c r="AO389" s="108"/>
      <c r="AP389" s="108"/>
      <c r="AQ389" s="108"/>
      <c r="AR389" s="108"/>
      <c r="AS389" s="108"/>
      <c r="AT389" s="108"/>
      <c r="AU389" s="108"/>
      <c r="AV389" s="108"/>
      <c r="AW389" s="108"/>
      <c r="AX389" s="108"/>
      <c r="AY389" s="108"/>
      <c r="AZ389" s="108"/>
      <c r="BA389" s="108"/>
      <c r="BB389" s="108"/>
      <c r="BC389" s="108"/>
      <c r="BD389" s="108"/>
      <c r="BE389" s="108"/>
      <c r="BF389" s="108"/>
      <c r="BG389" s="108"/>
      <c r="BH389" s="108"/>
      <c r="BI389" s="108"/>
      <c r="BJ389" s="108"/>
      <c r="BK389" s="108"/>
      <c r="BL389" s="108"/>
      <c r="BM389" s="109"/>
      <c r="BN389" s="108"/>
      <c r="BO389" s="108"/>
      <c r="BP389" s="108"/>
    </row>
    <row r="390" spans="1:68" ht="12" customHeight="1" x14ac:dyDescent="0.2">
      <c r="A390" s="179"/>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c r="AA390" s="108"/>
      <c r="AB390" s="108"/>
      <c r="AC390" s="108"/>
      <c r="AD390" s="108"/>
      <c r="AE390" s="108"/>
      <c r="AF390" s="108"/>
      <c r="AG390" s="108"/>
      <c r="AH390" s="108"/>
      <c r="AI390" s="108"/>
      <c r="AJ390" s="108"/>
      <c r="AK390" s="108"/>
      <c r="AL390" s="108"/>
      <c r="AM390" s="108"/>
      <c r="AN390" s="108"/>
      <c r="AO390" s="108"/>
      <c r="AP390" s="108"/>
      <c r="AQ390" s="108"/>
      <c r="AR390" s="108"/>
      <c r="AS390" s="108"/>
      <c r="AT390" s="108"/>
      <c r="AU390" s="108"/>
      <c r="AV390" s="108"/>
      <c r="AW390" s="108"/>
      <c r="AX390" s="108"/>
      <c r="AY390" s="108"/>
      <c r="AZ390" s="108"/>
      <c r="BA390" s="108"/>
      <c r="BB390" s="108"/>
      <c r="BC390" s="108"/>
      <c r="BD390" s="108"/>
      <c r="BE390" s="108"/>
      <c r="BF390" s="108"/>
      <c r="BG390" s="108"/>
      <c r="BH390" s="108"/>
      <c r="BI390" s="108"/>
      <c r="BJ390" s="108"/>
      <c r="BK390" s="108"/>
      <c r="BL390" s="108"/>
      <c r="BM390" s="109"/>
      <c r="BN390" s="108"/>
      <c r="BO390" s="108"/>
      <c r="BP390" s="108"/>
    </row>
    <row r="391" spans="1:68" ht="12" customHeight="1" x14ac:dyDescent="0.2">
      <c r="A391" s="179"/>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c r="AA391" s="108"/>
      <c r="AB391" s="108"/>
      <c r="AC391" s="108"/>
      <c r="AD391" s="108"/>
      <c r="AE391" s="108"/>
      <c r="AF391" s="108"/>
      <c r="AG391" s="108"/>
      <c r="AH391" s="108"/>
      <c r="AI391" s="108"/>
      <c r="AJ391" s="108"/>
      <c r="AK391" s="108"/>
      <c r="AL391" s="108"/>
      <c r="AM391" s="108"/>
      <c r="AN391" s="108"/>
      <c r="AO391" s="108"/>
      <c r="AP391" s="108"/>
      <c r="AQ391" s="108"/>
      <c r="AR391" s="108"/>
      <c r="AS391" s="108"/>
      <c r="AT391" s="108"/>
      <c r="AU391" s="108"/>
      <c r="AV391" s="108"/>
      <c r="AW391" s="108"/>
      <c r="AX391" s="108"/>
      <c r="AY391" s="108"/>
      <c r="AZ391" s="108"/>
      <c r="BA391" s="108"/>
      <c r="BB391" s="108"/>
      <c r="BC391" s="108"/>
      <c r="BD391" s="108"/>
      <c r="BE391" s="108"/>
      <c r="BF391" s="108"/>
      <c r="BG391" s="108"/>
      <c r="BH391" s="108"/>
      <c r="BI391" s="108"/>
      <c r="BJ391" s="108"/>
      <c r="BK391" s="108"/>
      <c r="BL391" s="108"/>
      <c r="BM391" s="109"/>
      <c r="BN391" s="108"/>
      <c r="BO391" s="108"/>
      <c r="BP391" s="108"/>
    </row>
    <row r="392" spans="1:68" ht="12" customHeight="1" x14ac:dyDescent="0.2">
      <c r="A392" s="179"/>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c r="AA392" s="108"/>
      <c r="AB392" s="108"/>
      <c r="AC392" s="108"/>
      <c r="AD392" s="108"/>
      <c r="AE392" s="108"/>
      <c r="AF392" s="108"/>
      <c r="AG392" s="108"/>
      <c r="AH392" s="108"/>
      <c r="AI392" s="108"/>
      <c r="AJ392" s="108"/>
      <c r="AK392" s="108"/>
      <c r="AL392" s="108"/>
      <c r="AM392" s="108"/>
      <c r="AN392" s="108"/>
      <c r="AO392" s="108"/>
      <c r="AP392" s="108"/>
      <c r="AQ392" s="108"/>
      <c r="AR392" s="108"/>
      <c r="AS392" s="108"/>
      <c r="AT392" s="108"/>
      <c r="AU392" s="108"/>
      <c r="AV392" s="108"/>
      <c r="AW392" s="108"/>
      <c r="AX392" s="108"/>
      <c r="AY392" s="108"/>
      <c r="AZ392" s="108"/>
      <c r="BA392" s="108"/>
      <c r="BB392" s="108"/>
      <c r="BC392" s="108"/>
      <c r="BD392" s="108"/>
      <c r="BE392" s="108"/>
      <c r="BF392" s="108"/>
      <c r="BG392" s="108"/>
      <c r="BH392" s="108"/>
      <c r="BI392" s="108"/>
      <c r="BJ392" s="108"/>
      <c r="BK392" s="108"/>
      <c r="BL392" s="108"/>
      <c r="BM392" s="109"/>
      <c r="BN392" s="108"/>
      <c r="BO392" s="108"/>
      <c r="BP392" s="108"/>
    </row>
    <row r="393" spans="1:68" ht="12" customHeight="1" x14ac:dyDescent="0.2">
      <c r="A393" s="179"/>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c r="AA393" s="108"/>
      <c r="AB393" s="108"/>
      <c r="AC393" s="108"/>
      <c r="AD393" s="108"/>
      <c r="AE393" s="108"/>
      <c r="AF393" s="108"/>
      <c r="AG393" s="108"/>
      <c r="AH393" s="108"/>
      <c r="AI393" s="108"/>
      <c r="AJ393" s="108"/>
      <c r="AK393" s="108"/>
      <c r="AL393" s="108"/>
      <c r="AM393" s="108"/>
      <c r="AN393" s="108"/>
      <c r="AO393" s="108"/>
      <c r="AP393" s="108"/>
      <c r="AQ393" s="108"/>
      <c r="AR393" s="108"/>
      <c r="AS393" s="108"/>
      <c r="AT393" s="108"/>
      <c r="AU393" s="108"/>
      <c r="AV393" s="108"/>
      <c r="AW393" s="108"/>
      <c r="AX393" s="108"/>
      <c r="AY393" s="108"/>
      <c r="AZ393" s="108"/>
      <c r="BA393" s="108"/>
      <c r="BB393" s="108"/>
      <c r="BC393" s="108"/>
      <c r="BD393" s="108"/>
      <c r="BE393" s="108"/>
      <c r="BF393" s="108"/>
      <c r="BG393" s="108"/>
      <c r="BH393" s="108"/>
      <c r="BI393" s="108"/>
      <c r="BJ393" s="108"/>
      <c r="BK393" s="108"/>
      <c r="BL393" s="108"/>
      <c r="BM393" s="109"/>
      <c r="BN393" s="108"/>
      <c r="BO393" s="108"/>
      <c r="BP393" s="108"/>
    </row>
    <row r="394" spans="1:68" ht="12" customHeight="1" x14ac:dyDescent="0.2">
      <c r="A394" s="179"/>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c r="AA394" s="108"/>
      <c r="AB394" s="108"/>
      <c r="AC394" s="108"/>
      <c r="AD394" s="108"/>
      <c r="AE394" s="108"/>
      <c r="AF394" s="108"/>
      <c r="AG394" s="108"/>
      <c r="AH394" s="108"/>
      <c r="AI394" s="108"/>
      <c r="AJ394" s="108"/>
      <c r="AK394" s="108"/>
      <c r="AL394" s="108"/>
      <c r="AM394" s="108"/>
      <c r="AN394" s="108"/>
      <c r="AO394" s="108"/>
      <c r="AP394" s="108"/>
      <c r="AQ394" s="108"/>
      <c r="AR394" s="108"/>
      <c r="AS394" s="108"/>
      <c r="AT394" s="108"/>
      <c r="AU394" s="108"/>
      <c r="AV394" s="108"/>
      <c r="AW394" s="108"/>
      <c r="AX394" s="108"/>
      <c r="AY394" s="108"/>
      <c r="AZ394" s="108"/>
      <c r="BA394" s="108"/>
      <c r="BB394" s="108"/>
      <c r="BC394" s="108"/>
      <c r="BD394" s="108"/>
      <c r="BE394" s="108"/>
      <c r="BF394" s="108"/>
      <c r="BG394" s="108"/>
      <c r="BH394" s="108"/>
      <c r="BI394" s="108"/>
      <c r="BJ394" s="108"/>
      <c r="BK394" s="108"/>
      <c r="BL394" s="108"/>
      <c r="BM394" s="109"/>
      <c r="BN394" s="108"/>
      <c r="BO394" s="108"/>
      <c r="BP394" s="108"/>
    </row>
    <row r="395" spans="1:68" ht="12" customHeight="1" x14ac:dyDescent="0.2">
      <c r="A395" s="179"/>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c r="AA395" s="108"/>
      <c r="AB395" s="108"/>
      <c r="AC395" s="108"/>
      <c r="AD395" s="108"/>
      <c r="AE395" s="108"/>
      <c r="AF395" s="108"/>
      <c r="AG395" s="108"/>
      <c r="AH395" s="108"/>
      <c r="AI395" s="108"/>
      <c r="AJ395" s="108"/>
      <c r="AK395" s="108"/>
      <c r="AL395" s="108"/>
      <c r="AM395" s="108"/>
      <c r="AN395" s="108"/>
      <c r="AO395" s="108"/>
      <c r="AP395" s="108"/>
      <c r="AQ395" s="108"/>
      <c r="AR395" s="108"/>
      <c r="AS395" s="108"/>
      <c r="AT395" s="108"/>
      <c r="AU395" s="108"/>
      <c r="AV395" s="108"/>
      <c r="AW395" s="108"/>
      <c r="AX395" s="108"/>
      <c r="AY395" s="108"/>
      <c r="AZ395" s="108"/>
      <c r="BA395" s="108"/>
      <c r="BB395" s="108"/>
      <c r="BC395" s="108"/>
      <c r="BD395" s="108"/>
      <c r="BE395" s="108"/>
      <c r="BF395" s="108"/>
      <c r="BG395" s="108"/>
      <c r="BH395" s="108"/>
      <c r="BI395" s="108"/>
      <c r="BJ395" s="108"/>
      <c r="BK395" s="108"/>
      <c r="BL395" s="108"/>
      <c r="BM395" s="109"/>
      <c r="BN395" s="108"/>
      <c r="BO395" s="108"/>
      <c r="BP395" s="108"/>
    </row>
    <row r="396" spans="1:68" ht="12" customHeight="1" x14ac:dyDescent="0.2">
      <c r="A396" s="179"/>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c r="AA396" s="108"/>
      <c r="AB396" s="108"/>
      <c r="AC396" s="108"/>
      <c r="AD396" s="108"/>
      <c r="AE396" s="108"/>
      <c r="AF396" s="108"/>
      <c r="AG396" s="108"/>
      <c r="AH396" s="108"/>
      <c r="AI396" s="108"/>
      <c r="AJ396" s="108"/>
      <c r="AK396" s="108"/>
      <c r="AL396" s="108"/>
      <c r="AM396" s="108"/>
      <c r="AN396" s="108"/>
      <c r="AO396" s="108"/>
      <c r="AP396" s="108"/>
      <c r="AQ396" s="108"/>
      <c r="AR396" s="108"/>
      <c r="AS396" s="108"/>
      <c r="AT396" s="108"/>
      <c r="AU396" s="108"/>
      <c r="AV396" s="108"/>
      <c r="AW396" s="108"/>
      <c r="AX396" s="108"/>
      <c r="AY396" s="108"/>
      <c r="AZ396" s="108"/>
      <c r="BA396" s="108"/>
      <c r="BB396" s="108"/>
      <c r="BC396" s="108"/>
      <c r="BD396" s="108"/>
      <c r="BE396" s="108"/>
      <c r="BF396" s="108"/>
      <c r="BG396" s="108"/>
      <c r="BH396" s="108"/>
      <c r="BI396" s="108"/>
      <c r="BJ396" s="108"/>
      <c r="BK396" s="108"/>
      <c r="BL396" s="108"/>
      <c r="BM396" s="109"/>
      <c r="BN396" s="108"/>
      <c r="BO396" s="108"/>
      <c r="BP396" s="108"/>
    </row>
    <row r="397" spans="1:68" ht="12" customHeight="1" x14ac:dyDescent="0.2">
      <c r="A397" s="179"/>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c r="AA397" s="108"/>
      <c r="AB397" s="108"/>
      <c r="AC397" s="108"/>
      <c r="AD397" s="108"/>
      <c r="AE397" s="108"/>
      <c r="AF397" s="108"/>
      <c r="AG397" s="108"/>
      <c r="AH397" s="108"/>
      <c r="AI397" s="108"/>
      <c r="AJ397" s="108"/>
      <c r="AK397" s="108"/>
      <c r="AL397" s="108"/>
      <c r="AM397" s="108"/>
      <c r="AN397" s="108"/>
      <c r="AO397" s="108"/>
      <c r="AP397" s="108"/>
      <c r="AQ397" s="108"/>
      <c r="AR397" s="108"/>
      <c r="AS397" s="108"/>
      <c r="AT397" s="108"/>
      <c r="AU397" s="108"/>
      <c r="AV397" s="108"/>
      <c r="AW397" s="108"/>
      <c r="AX397" s="108"/>
      <c r="AY397" s="108"/>
      <c r="AZ397" s="108"/>
      <c r="BA397" s="108"/>
      <c r="BB397" s="108"/>
      <c r="BC397" s="108"/>
      <c r="BD397" s="108"/>
      <c r="BE397" s="108"/>
      <c r="BF397" s="108"/>
      <c r="BG397" s="108"/>
      <c r="BH397" s="108"/>
      <c r="BI397" s="108"/>
      <c r="BJ397" s="108"/>
      <c r="BK397" s="108"/>
      <c r="BL397" s="108"/>
      <c r="BM397" s="109"/>
      <c r="BN397" s="108"/>
      <c r="BO397" s="108"/>
      <c r="BP397" s="108"/>
    </row>
    <row r="398" spans="1:68" ht="12" customHeight="1" x14ac:dyDescent="0.2">
      <c r="A398" s="179"/>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c r="AA398" s="108"/>
      <c r="AB398" s="108"/>
      <c r="AC398" s="108"/>
      <c r="AD398" s="108"/>
      <c r="AE398" s="108"/>
      <c r="AF398" s="108"/>
      <c r="AG398" s="108"/>
      <c r="AH398" s="108"/>
      <c r="AI398" s="108"/>
      <c r="AJ398" s="108"/>
      <c r="AK398" s="108"/>
      <c r="AL398" s="108"/>
      <c r="AM398" s="108"/>
      <c r="AN398" s="108"/>
      <c r="AO398" s="108"/>
      <c r="AP398" s="108"/>
      <c r="AQ398" s="108"/>
      <c r="AR398" s="108"/>
      <c r="AS398" s="108"/>
      <c r="AT398" s="108"/>
      <c r="AU398" s="108"/>
      <c r="AV398" s="108"/>
      <c r="AW398" s="108"/>
      <c r="AX398" s="108"/>
      <c r="AY398" s="108"/>
      <c r="AZ398" s="108"/>
      <c r="BA398" s="108"/>
      <c r="BB398" s="108"/>
      <c r="BC398" s="108"/>
      <c r="BD398" s="108"/>
      <c r="BE398" s="108"/>
      <c r="BF398" s="108"/>
      <c r="BG398" s="108"/>
      <c r="BH398" s="108"/>
      <c r="BI398" s="108"/>
      <c r="BJ398" s="108"/>
      <c r="BK398" s="108"/>
      <c r="BL398" s="108"/>
      <c r="BM398" s="109"/>
      <c r="BN398" s="108"/>
      <c r="BO398" s="108"/>
      <c r="BP398" s="108"/>
    </row>
    <row r="399" spans="1:68" ht="12" customHeight="1" x14ac:dyDescent="0.2">
      <c r="A399" s="179"/>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c r="AA399" s="108"/>
      <c r="AB399" s="108"/>
      <c r="AC399" s="108"/>
      <c r="AD399" s="108"/>
      <c r="AE399" s="108"/>
      <c r="AF399" s="108"/>
      <c r="AG399" s="108"/>
      <c r="AH399" s="108"/>
      <c r="AI399" s="108"/>
      <c r="AJ399" s="108"/>
      <c r="AK399" s="108"/>
      <c r="AL399" s="108"/>
      <c r="AM399" s="108"/>
      <c r="AN399" s="108"/>
      <c r="AO399" s="108"/>
      <c r="AP399" s="108"/>
      <c r="AQ399" s="108"/>
      <c r="AR399" s="108"/>
      <c r="AS399" s="108"/>
      <c r="AT399" s="108"/>
      <c r="AU399" s="108"/>
      <c r="AV399" s="108"/>
      <c r="AW399" s="108"/>
      <c r="AX399" s="108"/>
      <c r="AY399" s="108"/>
      <c r="AZ399" s="108"/>
      <c r="BA399" s="108"/>
      <c r="BB399" s="108"/>
      <c r="BC399" s="108"/>
      <c r="BD399" s="108"/>
      <c r="BE399" s="108"/>
      <c r="BF399" s="108"/>
      <c r="BG399" s="108"/>
      <c r="BH399" s="108"/>
      <c r="BI399" s="108"/>
      <c r="BJ399" s="108"/>
      <c r="BK399" s="108"/>
      <c r="BL399" s="108"/>
      <c r="BM399" s="109"/>
      <c r="BN399" s="108"/>
      <c r="BO399" s="108"/>
      <c r="BP399" s="108"/>
    </row>
    <row r="400" spans="1:68" ht="12" customHeight="1" x14ac:dyDescent="0.2">
      <c r="A400" s="179"/>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c r="AA400" s="108"/>
      <c r="AB400" s="108"/>
      <c r="AC400" s="108"/>
      <c r="AD400" s="108"/>
      <c r="AE400" s="108"/>
      <c r="AF400" s="108"/>
      <c r="AG400" s="108"/>
      <c r="AH400" s="108"/>
      <c r="AI400" s="108"/>
      <c r="AJ400" s="108"/>
      <c r="AK400" s="108"/>
      <c r="AL400" s="108"/>
      <c r="AM400" s="108"/>
      <c r="AN400" s="108"/>
      <c r="AO400" s="108"/>
      <c r="AP400" s="108"/>
      <c r="AQ400" s="108"/>
      <c r="AR400" s="108"/>
      <c r="AS400" s="108"/>
      <c r="AT400" s="108"/>
      <c r="AU400" s="108"/>
      <c r="AV400" s="108"/>
      <c r="AW400" s="108"/>
      <c r="AX400" s="108"/>
      <c r="AY400" s="108"/>
      <c r="AZ400" s="108"/>
      <c r="BA400" s="108"/>
      <c r="BB400" s="108"/>
      <c r="BC400" s="108"/>
      <c r="BD400" s="108"/>
      <c r="BE400" s="108"/>
      <c r="BF400" s="108"/>
      <c r="BG400" s="108"/>
      <c r="BH400" s="108"/>
      <c r="BI400" s="108"/>
      <c r="BJ400" s="108"/>
      <c r="BK400" s="108"/>
      <c r="BL400" s="108"/>
      <c r="BM400" s="109"/>
      <c r="BN400" s="108"/>
      <c r="BO400" s="108"/>
      <c r="BP400" s="108"/>
    </row>
    <row r="401" spans="1:68" ht="12" customHeight="1" x14ac:dyDescent="0.2">
      <c r="A401" s="179"/>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c r="AA401" s="108"/>
      <c r="AB401" s="108"/>
      <c r="AC401" s="108"/>
      <c r="AD401" s="108"/>
      <c r="AE401" s="108"/>
      <c r="AF401" s="108"/>
      <c r="AG401" s="108"/>
      <c r="AH401" s="108"/>
      <c r="AI401" s="108"/>
      <c r="AJ401" s="108"/>
      <c r="AK401" s="108"/>
      <c r="AL401" s="108"/>
      <c r="AM401" s="108"/>
      <c r="AN401" s="108"/>
      <c r="AO401" s="108"/>
      <c r="AP401" s="108"/>
      <c r="AQ401" s="108"/>
      <c r="AR401" s="108"/>
      <c r="AS401" s="108"/>
      <c r="AT401" s="108"/>
      <c r="AU401" s="108"/>
      <c r="AV401" s="108"/>
      <c r="AW401" s="108"/>
      <c r="AX401" s="108"/>
      <c r="AY401" s="108"/>
      <c r="AZ401" s="108"/>
      <c r="BA401" s="108"/>
      <c r="BB401" s="108"/>
      <c r="BC401" s="108"/>
      <c r="BD401" s="108"/>
      <c r="BE401" s="108"/>
      <c r="BF401" s="108"/>
      <c r="BG401" s="108"/>
      <c r="BH401" s="108"/>
      <c r="BI401" s="108"/>
      <c r="BJ401" s="108"/>
      <c r="BK401" s="108"/>
      <c r="BL401" s="108"/>
      <c r="BM401" s="109"/>
      <c r="BN401" s="108"/>
      <c r="BO401" s="108"/>
      <c r="BP401" s="108"/>
    </row>
    <row r="402" spans="1:68" ht="12" customHeight="1" x14ac:dyDescent="0.2">
      <c r="A402" s="179"/>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c r="AA402" s="108"/>
      <c r="AB402" s="108"/>
      <c r="AC402" s="108"/>
      <c r="AD402" s="108"/>
      <c r="AE402" s="108"/>
      <c r="AF402" s="108"/>
      <c r="AG402" s="108"/>
      <c r="AH402" s="108"/>
      <c r="AI402" s="108"/>
      <c r="AJ402" s="108"/>
      <c r="AK402" s="108"/>
      <c r="AL402" s="108"/>
      <c r="AM402" s="108"/>
      <c r="AN402" s="108"/>
      <c r="AO402" s="108"/>
      <c r="AP402" s="108"/>
      <c r="AQ402" s="108"/>
      <c r="AR402" s="108"/>
      <c r="AS402" s="108"/>
      <c r="AT402" s="108"/>
      <c r="AU402" s="108"/>
      <c r="AV402" s="108"/>
      <c r="AW402" s="108"/>
      <c r="AX402" s="108"/>
      <c r="AY402" s="108"/>
      <c r="AZ402" s="108"/>
      <c r="BA402" s="108"/>
      <c r="BB402" s="108"/>
      <c r="BC402" s="108"/>
      <c r="BD402" s="108"/>
      <c r="BE402" s="108"/>
      <c r="BF402" s="108"/>
      <c r="BG402" s="108"/>
      <c r="BH402" s="108"/>
      <c r="BI402" s="108"/>
      <c r="BJ402" s="108"/>
      <c r="BK402" s="108"/>
      <c r="BL402" s="108"/>
      <c r="BM402" s="109"/>
      <c r="BN402" s="108"/>
      <c r="BO402" s="108"/>
      <c r="BP402" s="108"/>
    </row>
    <row r="403" spans="1:68" ht="12" customHeight="1" x14ac:dyDescent="0.2">
      <c r="A403" s="179"/>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c r="AA403" s="108"/>
      <c r="AB403" s="108"/>
      <c r="AC403" s="108"/>
      <c r="AD403" s="108"/>
      <c r="AE403" s="108"/>
      <c r="AF403" s="108"/>
      <c r="AG403" s="108"/>
      <c r="AH403" s="108"/>
      <c r="AI403" s="108"/>
      <c r="AJ403" s="108"/>
      <c r="AK403" s="108"/>
      <c r="AL403" s="108"/>
      <c r="AM403" s="108"/>
      <c r="AN403" s="108"/>
      <c r="AO403" s="108"/>
      <c r="AP403" s="108"/>
      <c r="AQ403" s="108"/>
      <c r="AR403" s="108"/>
      <c r="AS403" s="108"/>
      <c r="AT403" s="108"/>
      <c r="AU403" s="108"/>
      <c r="AV403" s="108"/>
      <c r="AW403" s="108"/>
      <c r="AX403" s="108"/>
      <c r="AY403" s="108"/>
      <c r="AZ403" s="108"/>
      <c r="BA403" s="108"/>
      <c r="BB403" s="108"/>
      <c r="BC403" s="108"/>
      <c r="BD403" s="108"/>
      <c r="BE403" s="108"/>
      <c r="BF403" s="108"/>
      <c r="BG403" s="108"/>
      <c r="BH403" s="108"/>
      <c r="BI403" s="108"/>
      <c r="BJ403" s="108"/>
      <c r="BK403" s="108"/>
      <c r="BL403" s="108"/>
      <c r="BM403" s="109"/>
      <c r="BN403" s="108"/>
      <c r="BO403" s="108"/>
      <c r="BP403" s="108"/>
    </row>
    <row r="404" spans="1:68" ht="12" customHeight="1" x14ac:dyDescent="0.2">
      <c r="A404" s="179"/>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c r="AA404" s="108"/>
      <c r="AB404" s="108"/>
      <c r="AC404" s="108"/>
      <c r="AD404" s="108"/>
      <c r="AE404" s="108"/>
      <c r="AF404" s="108"/>
      <c r="AG404" s="108"/>
      <c r="AH404" s="108"/>
      <c r="AI404" s="108"/>
      <c r="AJ404" s="108"/>
      <c r="AK404" s="108"/>
      <c r="AL404" s="108"/>
      <c r="AM404" s="108"/>
      <c r="AN404" s="108"/>
      <c r="AO404" s="108"/>
      <c r="AP404" s="108"/>
      <c r="AQ404" s="108"/>
      <c r="AR404" s="108"/>
      <c r="AS404" s="108"/>
      <c r="AT404" s="108"/>
      <c r="AU404" s="108"/>
      <c r="AV404" s="108"/>
      <c r="AW404" s="108"/>
      <c r="AX404" s="108"/>
      <c r="AY404" s="108"/>
      <c r="AZ404" s="108"/>
      <c r="BA404" s="108"/>
      <c r="BB404" s="108"/>
      <c r="BC404" s="108"/>
      <c r="BD404" s="108"/>
      <c r="BE404" s="108"/>
      <c r="BF404" s="108"/>
      <c r="BG404" s="108"/>
      <c r="BH404" s="108"/>
      <c r="BI404" s="108"/>
      <c r="BJ404" s="108"/>
      <c r="BK404" s="108"/>
      <c r="BL404" s="108"/>
      <c r="BM404" s="109"/>
      <c r="BN404" s="108"/>
      <c r="BO404" s="108"/>
      <c r="BP404" s="108"/>
    </row>
    <row r="405" spans="1:68" ht="12" customHeight="1" x14ac:dyDescent="0.2">
      <c r="A405" s="179"/>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c r="AA405" s="108"/>
      <c r="AB405" s="108"/>
      <c r="AC405" s="108"/>
      <c r="AD405" s="108"/>
      <c r="AE405" s="108"/>
      <c r="AF405" s="108"/>
      <c r="AG405" s="108"/>
      <c r="AH405" s="108"/>
      <c r="AI405" s="108"/>
      <c r="AJ405" s="108"/>
      <c r="AK405" s="108"/>
      <c r="AL405" s="108"/>
      <c r="AM405" s="108"/>
      <c r="AN405" s="108"/>
      <c r="AO405" s="108"/>
      <c r="AP405" s="108"/>
      <c r="AQ405" s="108"/>
      <c r="AR405" s="108"/>
      <c r="AS405" s="108"/>
      <c r="AT405" s="108"/>
      <c r="AU405" s="108"/>
      <c r="AV405" s="108"/>
      <c r="AW405" s="108"/>
      <c r="AX405" s="108"/>
      <c r="AY405" s="108"/>
      <c r="AZ405" s="108"/>
      <c r="BA405" s="108"/>
      <c r="BB405" s="108"/>
      <c r="BC405" s="108"/>
      <c r="BD405" s="108"/>
      <c r="BE405" s="108"/>
      <c r="BF405" s="108"/>
      <c r="BG405" s="108"/>
      <c r="BH405" s="108"/>
      <c r="BI405" s="108"/>
      <c r="BJ405" s="108"/>
      <c r="BK405" s="108"/>
      <c r="BL405" s="108"/>
      <c r="BM405" s="109"/>
      <c r="BN405" s="108"/>
      <c r="BO405" s="108"/>
      <c r="BP405" s="108"/>
    </row>
    <row r="406" spans="1:68" ht="12" customHeight="1" x14ac:dyDescent="0.2">
      <c r="A406" s="179"/>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c r="AA406" s="108"/>
      <c r="AB406" s="108"/>
      <c r="AC406" s="108"/>
      <c r="AD406" s="108"/>
      <c r="AE406" s="108"/>
      <c r="AF406" s="108"/>
      <c r="AG406" s="108"/>
      <c r="AH406" s="108"/>
      <c r="AI406" s="108"/>
      <c r="AJ406" s="108"/>
      <c r="AK406" s="108"/>
      <c r="AL406" s="108"/>
      <c r="AM406" s="108"/>
      <c r="AN406" s="108"/>
      <c r="AO406" s="108"/>
      <c r="AP406" s="108"/>
      <c r="AQ406" s="108"/>
      <c r="AR406" s="108"/>
      <c r="AS406" s="108"/>
      <c r="AT406" s="108"/>
      <c r="AU406" s="108"/>
      <c r="AV406" s="108"/>
      <c r="AW406" s="108"/>
      <c r="AX406" s="108"/>
      <c r="AY406" s="108"/>
      <c r="AZ406" s="108"/>
      <c r="BA406" s="108"/>
      <c r="BB406" s="108"/>
      <c r="BC406" s="108"/>
      <c r="BD406" s="108"/>
      <c r="BE406" s="108"/>
      <c r="BF406" s="108"/>
      <c r="BG406" s="108"/>
      <c r="BH406" s="108"/>
      <c r="BI406" s="108"/>
      <c r="BJ406" s="108"/>
      <c r="BK406" s="108"/>
      <c r="BL406" s="108"/>
      <c r="BM406" s="109"/>
      <c r="BN406" s="108"/>
      <c r="BO406" s="108"/>
      <c r="BP406" s="108"/>
    </row>
    <row r="407" spans="1:68" ht="12" customHeight="1" x14ac:dyDescent="0.2">
      <c r="A407" s="179"/>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c r="AA407" s="108"/>
      <c r="AB407" s="108"/>
      <c r="AC407" s="108"/>
      <c r="AD407" s="108"/>
      <c r="AE407" s="108"/>
      <c r="AF407" s="108"/>
      <c r="AG407" s="108"/>
      <c r="AH407" s="108"/>
      <c r="AI407" s="108"/>
      <c r="AJ407" s="108"/>
      <c r="AK407" s="108"/>
      <c r="AL407" s="108"/>
      <c r="AM407" s="108"/>
      <c r="AN407" s="108"/>
      <c r="AO407" s="108"/>
      <c r="AP407" s="108"/>
      <c r="AQ407" s="108"/>
      <c r="AR407" s="108"/>
      <c r="AS407" s="108"/>
      <c r="AT407" s="108"/>
      <c r="AU407" s="108"/>
      <c r="AV407" s="108"/>
      <c r="AW407" s="108"/>
      <c r="AX407" s="108"/>
      <c r="AY407" s="108"/>
      <c r="AZ407" s="108"/>
      <c r="BA407" s="108"/>
      <c r="BB407" s="108"/>
      <c r="BC407" s="108"/>
      <c r="BD407" s="108"/>
      <c r="BE407" s="108"/>
      <c r="BF407" s="108"/>
      <c r="BG407" s="108"/>
      <c r="BH407" s="108"/>
      <c r="BI407" s="108"/>
      <c r="BJ407" s="108"/>
      <c r="BK407" s="108"/>
      <c r="BL407" s="108"/>
      <c r="BM407" s="109"/>
      <c r="BN407" s="108"/>
      <c r="BO407" s="108"/>
      <c r="BP407" s="108"/>
    </row>
    <row r="408" spans="1:68" ht="12" customHeight="1" x14ac:dyDescent="0.2">
      <c r="A408" s="179"/>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c r="AA408" s="108"/>
      <c r="AB408" s="108"/>
      <c r="AC408" s="108"/>
      <c r="AD408" s="108"/>
      <c r="AE408" s="108"/>
      <c r="AF408" s="108"/>
      <c r="AG408" s="108"/>
      <c r="AH408" s="108"/>
      <c r="AI408" s="108"/>
      <c r="AJ408" s="108"/>
      <c r="AK408" s="108"/>
      <c r="AL408" s="108"/>
      <c r="AM408" s="108"/>
      <c r="AN408" s="108"/>
      <c r="AO408" s="108"/>
      <c r="AP408" s="108"/>
      <c r="AQ408" s="108"/>
      <c r="AR408" s="108"/>
      <c r="AS408" s="108"/>
      <c r="AT408" s="108"/>
      <c r="AU408" s="108"/>
      <c r="AV408" s="108"/>
      <c r="AW408" s="108"/>
      <c r="AX408" s="108"/>
      <c r="AY408" s="108"/>
      <c r="AZ408" s="108"/>
      <c r="BA408" s="108"/>
      <c r="BB408" s="108"/>
      <c r="BC408" s="108"/>
      <c r="BD408" s="108"/>
      <c r="BE408" s="108"/>
      <c r="BF408" s="108"/>
      <c r="BG408" s="108"/>
      <c r="BH408" s="108"/>
      <c r="BI408" s="108"/>
      <c r="BJ408" s="108"/>
      <c r="BK408" s="108"/>
      <c r="BL408" s="108"/>
      <c r="BM408" s="109"/>
      <c r="BN408" s="108"/>
      <c r="BO408" s="108"/>
      <c r="BP408" s="108"/>
    </row>
    <row r="409" spans="1:68" ht="12" customHeight="1" x14ac:dyDescent="0.2">
      <c r="A409" s="179"/>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c r="AA409" s="108"/>
      <c r="AB409" s="108"/>
      <c r="AC409" s="108"/>
      <c r="AD409" s="108"/>
      <c r="AE409" s="108"/>
      <c r="AF409" s="108"/>
      <c r="AG409" s="108"/>
      <c r="AH409" s="108"/>
      <c r="AI409" s="108"/>
      <c r="AJ409" s="108"/>
      <c r="AK409" s="108"/>
      <c r="AL409" s="108"/>
      <c r="AM409" s="108"/>
      <c r="AN409" s="108"/>
      <c r="AO409" s="108"/>
      <c r="AP409" s="108"/>
      <c r="AQ409" s="108"/>
      <c r="AR409" s="108"/>
      <c r="AS409" s="108"/>
      <c r="AT409" s="108"/>
      <c r="AU409" s="108"/>
      <c r="AV409" s="108"/>
      <c r="AW409" s="108"/>
      <c r="AX409" s="108"/>
      <c r="AY409" s="108"/>
      <c r="AZ409" s="108"/>
      <c r="BA409" s="108"/>
      <c r="BB409" s="108"/>
      <c r="BC409" s="108"/>
      <c r="BD409" s="108"/>
      <c r="BE409" s="108"/>
      <c r="BF409" s="108"/>
      <c r="BG409" s="108"/>
      <c r="BH409" s="108"/>
      <c r="BI409" s="108"/>
      <c r="BJ409" s="108"/>
      <c r="BK409" s="108"/>
      <c r="BL409" s="108"/>
      <c r="BM409" s="109"/>
      <c r="BN409" s="108"/>
      <c r="BO409" s="108"/>
      <c r="BP409" s="108"/>
    </row>
    <row r="410" spans="1:68" ht="12" customHeight="1" x14ac:dyDescent="0.2">
      <c r="A410" s="179"/>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c r="AA410" s="108"/>
      <c r="AB410" s="108"/>
      <c r="AC410" s="108"/>
      <c r="AD410" s="108"/>
      <c r="AE410" s="108"/>
      <c r="AF410" s="108"/>
      <c r="AG410" s="108"/>
      <c r="AH410" s="108"/>
      <c r="AI410" s="108"/>
      <c r="AJ410" s="108"/>
      <c r="AK410" s="108"/>
      <c r="AL410" s="108"/>
      <c r="AM410" s="108"/>
      <c r="AN410" s="108"/>
      <c r="AO410" s="108"/>
      <c r="AP410" s="108"/>
      <c r="AQ410" s="108"/>
      <c r="AR410" s="108"/>
      <c r="AS410" s="108"/>
      <c r="AT410" s="108"/>
      <c r="AU410" s="108"/>
      <c r="AV410" s="108"/>
      <c r="AW410" s="108"/>
      <c r="AX410" s="108"/>
      <c r="AY410" s="108"/>
      <c r="AZ410" s="108"/>
      <c r="BA410" s="108"/>
      <c r="BB410" s="108"/>
      <c r="BC410" s="108"/>
      <c r="BD410" s="108"/>
      <c r="BE410" s="108"/>
      <c r="BF410" s="108"/>
      <c r="BG410" s="108"/>
      <c r="BH410" s="108"/>
      <c r="BI410" s="108"/>
      <c r="BJ410" s="108"/>
      <c r="BK410" s="108"/>
      <c r="BL410" s="108"/>
      <c r="BM410" s="109"/>
      <c r="BN410" s="108"/>
      <c r="BO410" s="108"/>
      <c r="BP410" s="108"/>
    </row>
    <row r="411" spans="1:68" ht="12" customHeight="1" x14ac:dyDescent="0.2">
      <c r="A411" s="179"/>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c r="AA411" s="108"/>
      <c r="AB411" s="108"/>
      <c r="AC411" s="108"/>
      <c r="AD411" s="108"/>
      <c r="AE411" s="108"/>
      <c r="AF411" s="108"/>
      <c r="AG411" s="108"/>
      <c r="AH411" s="108"/>
      <c r="AI411" s="108"/>
      <c r="AJ411" s="108"/>
      <c r="AK411" s="108"/>
      <c r="AL411" s="108"/>
      <c r="AM411" s="108"/>
      <c r="AN411" s="108"/>
      <c r="AO411" s="108"/>
      <c r="AP411" s="108"/>
      <c r="AQ411" s="108"/>
      <c r="AR411" s="108"/>
      <c r="AS411" s="108"/>
      <c r="AT411" s="108"/>
      <c r="AU411" s="108"/>
      <c r="AV411" s="108"/>
      <c r="AW411" s="108"/>
      <c r="AX411" s="108"/>
      <c r="AY411" s="108"/>
      <c r="AZ411" s="108"/>
      <c r="BA411" s="108"/>
      <c r="BB411" s="108"/>
      <c r="BC411" s="108"/>
      <c r="BD411" s="108"/>
      <c r="BE411" s="108"/>
      <c r="BF411" s="108"/>
      <c r="BG411" s="108"/>
      <c r="BH411" s="108"/>
      <c r="BI411" s="108"/>
      <c r="BJ411" s="108"/>
      <c r="BK411" s="108"/>
      <c r="BL411" s="108"/>
      <c r="BM411" s="109"/>
      <c r="BN411" s="108"/>
      <c r="BO411" s="108"/>
      <c r="BP411" s="108"/>
    </row>
    <row r="412" spans="1:68" ht="12" customHeight="1" x14ac:dyDescent="0.2">
      <c r="A412" s="179"/>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c r="AA412" s="108"/>
      <c r="AB412" s="108"/>
      <c r="AC412" s="108"/>
      <c r="AD412" s="108"/>
      <c r="AE412" s="108"/>
      <c r="AF412" s="108"/>
      <c r="AG412" s="108"/>
      <c r="AH412" s="108"/>
      <c r="AI412" s="108"/>
      <c r="AJ412" s="108"/>
      <c r="AK412" s="108"/>
      <c r="AL412" s="108"/>
      <c r="AM412" s="108"/>
      <c r="AN412" s="108"/>
      <c r="AO412" s="108"/>
      <c r="AP412" s="108"/>
      <c r="AQ412" s="108"/>
      <c r="AR412" s="108"/>
      <c r="AS412" s="108"/>
      <c r="AT412" s="108"/>
      <c r="AU412" s="108"/>
      <c r="AV412" s="108"/>
      <c r="AW412" s="108"/>
      <c r="AX412" s="108"/>
      <c r="AY412" s="108"/>
      <c r="AZ412" s="108"/>
      <c r="BA412" s="108"/>
      <c r="BB412" s="108"/>
      <c r="BC412" s="108"/>
      <c r="BD412" s="108"/>
      <c r="BE412" s="108"/>
      <c r="BF412" s="108"/>
      <c r="BG412" s="108"/>
      <c r="BH412" s="108"/>
      <c r="BI412" s="108"/>
      <c r="BJ412" s="108"/>
      <c r="BK412" s="108"/>
      <c r="BL412" s="108"/>
      <c r="BM412" s="109"/>
      <c r="BN412" s="108"/>
      <c r="BO412" s="108"/>
      <c r="BP412" s="108"/>
    </row>
    <row r="413" spans="1:68" ht="12" customHeight="1" x14ac:dyDescent="0.2">
      <c r="A413" s="179"/>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c r="AA413" s="108"/>
      <c r="AB413" s="108"/>
      <c r="AC413" s="108"/>
      <c r="AD413" s="108"/>
      <c r="AE413" s="108"/>
      <c r="AF413" s="108"/>
      <c r="AG413" s="108"/>
      <c r="AH413" s="108"/>
      <c r="AI413" s="108"/>
      <c r="AJ413" s="108"/>
      <c r="AK413" s="108"/>
      <c r="AL413" s="108"/>
      <c r="AM413" s="108"/>
      <c r="AN413" s="108"/>
      <c r="AO413" s="108"/>
      <c r="AP413" s="108"/>
      <c r="AQ413" s="108"/>
      <c r="AR413" s="108"/>
      <c r="AS413" s="108"/>
      <c r="AT413" s="108"/>
      <c r="AU413" s="108"/>
      <c r="AV413" s="108"/>
      <c r="AW413" s="108"/>
      <c r="AX413" s="108"/>
      <c r="AY413" s="108"/>
      <c r="AZ413" s="108"/>
      <c r="BA413" s="108"/>
      <c r="BB413" s="108"/>
      <c r="BC413" s="108"/>
      <c r="BD413" s="108"/>
      <c r="BE413" s="108"/>
      <c r="BF413" s="108"/>
      <c r="BG413" s="108"/>
      <c r="BH413" s="108"/>
      <c r="BI413" s="108"/>
      <c r="BJ413" s="108"/>
      <c r="BK413" s="108"/>
      <c r="BL413" s="108"/>
      <c r="BM413" s="109"/>
      <c r="BN413" s="108"/>
      <c r="BO413" s="108"/>
      <c r="BP413" s="108"/>
    </row>
    <row r="414" spans="1:68" ht="12" customHeight="1" x14ac:dyDescent="0.2">
      <c r="A414" s="179"/>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c r="AA414" s="108"/>
      <c r="AB414" s="108"/>
      <c r="AC414" s="108"/>
      <c r="AD414" s="108"/>
      <c r="AE414" s="108"/>
      <c r="AF414" s="108"/>
      <c r="AG414" s="108"/>
      <c r="AH414" s="108"/>
      <c r="AI414" s="108"/>
      <c r="AJ414" s="108"/>
      <c r="AK414" s="108"/>
      <c r="AL414" s="108"/>
      <c r="AM414" s="108"/>
      <c r="AN414" s="108"/>
      <c r="AO414" s="108"/>
      <c r="AP414" s="108"/>
      <c r="AQ414" s="108"/>
      <c r="AR414" s="108"/>
      <c r="AS414" s="108"/>
      <c r="AT414" s="108"/>
      <c r="AU414" s="108"/>
      <c r="AV414" s="108"/>
      <c r="AW414" s="108"/>
      <c r="AX414" s="108"/>
      <c r="AY414" s="108"/>
      <c r="AZ414" s="108"/>
      <c r="BA414" s="108"/>
      <c r="BB414" s="108"/>
      <c r="BC414" s="108"/>
      <c r="BD414" s="108"/>
      <c r="BE414" s="108"/>
      <c r="BF414" s="108"/>
      <c r="BG414" s="108"/>
      <c r="BH414" s="108"/>
      <c r="BI414" s="108"/>
      <c r="BJ414" s="108"/>
      <c r="BK414" s="108"/>
      <c r="BL414" s="108"/>
      <c r="BM414" s="109"/>
      <c r="BN414" s="108"/>
      <c r="BO414" s="108"/>
      <c r="BP414" s="108"/>
    </row>
    <row r="415" spans="1:68" ht="12" customHeight="1" x14ac:dyDescent="0.2">
      <c r="A415" s="179"/>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c r="AA415" s="108"/>
      <c r="AB415" s="108"/>
      <c r="AC415" s="108"/>
      <c r="AD415" s="108"/>
      <c r="AE415" s="108"/>
      <c r="AF415" s="108"/>
      <c r="AG415" s="108"/>
      <c r="AH415" s="108"/>
      <c r="AI415" s="108"/>
      <c r="AJ415" s="108"/>
      <c r="AK415" s="108"/>
      <c r="AL415" s="108"/>
      <c r="AM415" s="108"/>
      <c r="AN415" s="108"/>
      <c r="AO415" s="108"/>
      <c r="AP415" s="108"/>
      <c r="AQ415" s="108"/>
      <c r="AR415" s="108"/>
      <c r="AS415" s="108"/>
      <c r="AT415" s="108"/>
      <c r="AU415" s="108"/>
      <c r="AV415" s="108"/>
      <c r="AW415" s="108"/>
      <c r="AX415" s="108"/>
      <c r="AY415" s="108"/>
      <c r="AZ415" s="108"/>
      <c r="BA415" s="108"/>
      <c r="BB415" s="108"/>
      <c r="BC415" s="108"/>
      <c r="BD415" s="108"/>
      <c r="BE415" s="108"/>
      <c r="BF415" s="108"/>
      <c r="BG415" s="108"/>
      <c r="BH415" s="108"/>
      <c r="BI415" s="108"/>
      <c r="BJ415" s="108"/>
      <c r="BK415" s="108"/>
      <c r="BL415" s="108"/>
      <c r="BM415" s="109"/>
      <c r="BN415" s="108"/>
      <c r="BO415" s="108"/>
      <c r="BP415" s="108"/>
    </row>
    <row r="416" spans="1:68" ht="12" customHeight="1" x14ac:dyDescent="0.2">
      <c r="A416" s="179"/>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c r="AA416" s="108"/>
      <c r="AB416" s="108"/>
      <c r="AC416" s="108"/>
      <c r="AD416" s="108"/>
      <c r="AE416" s="108"/>
      <c r="AF416" s="108"/>
      <c r="AG416" s="108"/>
      <c r="AH416" s="108"/>
      <c r="AI416" s="108"/>
      <c r="AJ416" s="108"/>
      <c r="AK416" s="108"/>
      <c r="AL416" s="108"/>
      <c r="AM416" s="108"/>
      <c r="AN416" s="108"/>
      <c r="AO416" s="108"/>
      <c r="AP416" s="108"/>
      <c r="AQ416" s="108"/>
      <c r="AR416" s="108"/>
      <c r="AS416" s="108"/>
      <c r="AT416" s="108"/>
      <c r="AU416" s="108"/>
      <c r="AV416" s="108"/>
      <c r="AW416" s="108"/>
      <c r="AX416" s="108"/>
      <c r="AY416" s="108"/>
      <c r="AZ416" s="108"/>
      <c r="BA416" s="108"/>
      <c r="BB416" s="108"/>
      <c r="BC416" s="108"/>
      <c r="BD416" s="108"/>
      <c r="BE416" s="108"/>
      <c r="BF416" s="108"/>
      <c r="BG416" s="108"/>
      <c r="BH416" s="108"/>
      <c r="BI416" s="108"/>
      <c r="BJ416" s="108"/>
      <c r="BK416" s="108"/>
      <c r="BL416" s="108"/>
      <c r="BM416" s="109"/>
      <c r="BN416" s="108"/>
      <c r="BO416" s="108"/>
      <c r="BP416" s="108"/>
    </row>
    <row r="417" spans="1:68" ht="12" customHeight="1" x14ac:dyDescent="0.2">
      <c r="A417" s="179"/>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c r="AA417" s="108"/>
      <c r="AB417" s="108"/>
      <c r="AC417" s="108"/>
      <c r="AD417" s="108"/>
      <c r="AE417" s="108"/>
      <c r="AF417" s="108"/>
      <c r="AG417" s="108"/>
      <c r="AH417" s="108"/>
      <c r="AI417" s="108"/>
      <c r="AJ417" s="108"/>
      <c r="AK417" s="108"/>
      <c r="AL417" s="108"/>
      <c r="AM417" s="108"/>
      <c r="AN417" s="108"/>
      <c r="AO417" s="108"/>
      <c r="AP417" s="108"/>
      <c r="AQ417" s="108"/>
      <c r="AR417" s="108"/>
      <c r="AS417" s="108"/>
      <c r="AT417" s="108"/>
      <c r="AU417" s="108"/>
      <c r="AV417" s="108"/>
      <c r="AW417" s="108"/>
      <c r="AX417" s="108"/>
      <c r="AY417" s="108"/>
      <c r="AZ417" s="108"/>
      <c r="BA417" s="108"/>
      <c r="BB417" s="108"/>
      <c r="BC417" s="108"/>
      <c r="BD417" s="108"/>
      <c r="BE417" s="108"/>
      <c r="BF417" s="108"/>
      <c r="BG417" s="108"/>
      <c r="BH417" s="108"/>
      <c r="BI417" s="108"/>
      <c r="BJ417" s="108"/>
      <c r="BK417" s="108"/>
      <c r="BL417" s="108"/>
      <c r="BM417" s="109"/>
      <c r="BN417" s="108"/>
      <c r="BO417" s="108"/>
      <c r="BP417" s="108"/>
    </row>
    <row r="418" spans="1:68" ht="12" customHeight="1" x14ac:dyDescent="0.2">
      <c r="A418" s="179"/>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c r="AA418" s="108"/>
      <c r="AB418" s="108"/>
      <c r="AC418" s="108"/>
      <c r="AD418" s="108"/>
      <c r="AE418" s="108"/>
      <c r="AF418" s="108"/>
      <c r="AG418" s="108"/>
      <c r="AH418" s="108"/>
      <c r="AI418" s="108"/>
      <c r="AJ418" s="108"/>
      <c r="AK418" s="108"/>
      <c r="AL418" s="108"/>
      <c r="AM418" s="108"/>
      <c r="AN418" s="108"/>
      <c r="AO418" s="108"/>
      <c r="AP418" s="108"/>
      <c r="AQ418" s="108"/>
      <c r="AR418" s="108"/>
      <c r="AS418" s="108"/>
      <c r="AT418" s="108"/>
      <c r="AU418" s="108"/>
      <c r="AV418" s="108"/>
      <c r="AW418" s="108"/>
      <c r="AX418" s="108"/>
      <c r="AY418" s="108"/>
      <c r="AZ418" s="108"/>
      <c r="BA418" s="108"/>
      <c r="BB418" s="108"/>
      <c r="BC418" s="108"/>
      <c r="BD418" s="108"/>
      <c r="BE418" s="108"/>
      <c r="BF418" s="108"/>
      <c r="BG418" s="108"/>
      <c r="BH418" s="108"/>
      <c r="BI418" s="108"/>
      <c r="BJ418" s="108"/>
      <c r="BK418" s="108"/>
      <c r="BL418" s="108"/>
      <c r="BM418" s="109"/>
      <c r="BN418" s="108"/>
      <c r="BO418" s="108"/>
      <c r="BP418" s="108"/>
    </row>
    <row r="419" spans="1:68" ht="12" customHeight="1" x14ac:dyDescent="0.2">
      <c r="A419" s="179"/>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c r="AA419" s="108"/>
      <c r="AB419" s="108"/>
      <c r="AC419" s="108"/>
      <c r="AD419" s="108"/>
      <c r="AE419" s="108"/>
      <c r="AF419" s="108"/>
      <c r="AG419" s="108"/>
      <c r="AH419" s="108"/>
      <c r="AI419" s="108"/>
      <c r="AJ419" s="108"/>
      <c r="AK419" s="108"/>
      <c r="AL419" s="108"/>
      <c r="AM419" s="108"/>
      <c r="AN419" s="108"/>
      <c r="AO419" s="108"/>
      <c r="AP419" s="108"/>
      <c r="AQ419" s="108"/>
      <c r="AR419" s="108"/>
      <c r="AS419" s="108"/>
      <c r="AT419" s="108"/>
      <c r="AU419" s="108"/>
      <c r="AV419" s="108"/>
      <c r="AW419" s="108"/>
      <c r="AX419" s="108"/>
      <c r="AY419" s="108"/>
      <c r="AZ419" s="108"/>
      <c r="BA419" s="108"/>
      <c r="BB419" s="108"/>
      <c r="BC419" s="108"/>
      <c r="BD419" s="108"/>
      <c r="BE419" s="108"/>
      <c r="BF419" s="108"/>
      <c r="BG419" s="108"/>
      <c r="BH419" s="108"/>
      <c r="BI419" s="108"/>
      <c r="BJ419" s="108"/>
      <c r="BK419" s="108"/>
      <c r="BL419" s="108"/>
      <c r="BM419" s="109"/>
      <c r="BN419" s="108"/>
      <c r="BO419" s="108"/>
      <c r="BP419" s="108"/>
    </row>
    <row r="420" spans="1:68" ht="12" customHeight="1" x14ac:dyDescent="0.2">
      <c r="A420" s="179"/>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c r="AA420" s="108"/>
      <c r="AB420" s="108"/>
      <c r="AC420" s="108"/>
      <c r="AD420" s="108"/>
      <c r="AE420" s="108"/>
      <c r="AF420" s="108"/>
      <c r="AG420" s="108"/>
      <c r="AH420" s="108"/>
      <c r="AI420" s="108"/>
      <c r="AJ420" s="108"/>
      <c r="AK420" s="108"/>
      <c r="AL420" s="108"/>
      <c r="AM420" s="108"/>
      <c r="AN420" s="108"/>
      <c r="AO420" s="108"/>
      <c r="AP420" s="108"/>
      <c r="AQ420" s="108"/>
      <c r="AR420" s="108"/>
      <c r="AS420" s="108"/>
      <c r="AT420" s="108"/>
      <c r="AU420" s="108"/>
      <c r="AV420" s="108"/>
      <c r="AW420" s="108"/>
      <c r="AX420" s="108"/>
      <c r="AY420" s="108"/>
      <c r="AZ420" s="108"/>
      <c r="BA420" s="108"/>
      <c r="BB420" s="108"/>
      <c r="BC420" s="108"/>
      <c r="BD420" s="108"/>
      <c r="BE420" s="108"/>
      <c r="BF420" s="108"/>
      <c r="BG420" s="108"/>
      <c r="BH420" s="108"/>
      <c r="BI420" s="108"/>
      <c r="BJ420" s="108"/>
      <c r="BK420" s="108"/>
      <c r="BL420" s="108"/>
      <c r="BM420" s="109"/>
      <c r="BN420" s="108"/>
      <c r="BO420" s="108"/>
      <c r="BP420" s="108"/>
    </row>
    <row r="421" spans="1:68" ht="12" customHeight="1" x14ac:dyDescent="0.2">
      <c r="A421" s="179"/>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c r="AA421" s="108"/>
      <c r="AB421" s="108"/>
      <c r="AC421" s="108"/>
      <c r="AD421" s="108"/>
      <c r="AE421" s="108"/>
      <c r="AF421" s="108"/>
      <c r="AG421" s="108"/>
      <c r="AH421" s="108"/>
      <c r="AI421" s="108"/>
      <c r="AJ421" s="108"/>
      <c r="AK421" s="108"/>
      <c r="AL421" s="108"/>
      <c r="AM421" s="108"/>
      <c r="AN421" s="108"/>
      <c r="AO421" s="108"/>
      <c r="AP421" s="108"/>
      <c r="AQ421" s="108"/>
      <c r="AR421" s="108"/>
      <c r="AS421" s="108"/>
      <c r="AT421" s="108"/>
      <c r="AU421" s="108"/>
      <c r="AV421" s="108"/>
      <c r="AW421" s="108"/>
      <c r="AX421" s="108"/>
      <c r="AY421" s="108"/>
      <c r="AZ421" s="108"/>
      <c r="BA421" s="108"/>
      <c r="BB421" s="108"/>
      <c r="BC421" s="108"/>
      <c r="BD421" s="108"/>
      <c r="BE421" s="108"/>
      <c r="BF421" s="108"/>
      <c r="BG421" s="108"/>
      <c r="BH421" s="108"/>
      <c r="BI421" s="108"/>
      <c r="BJ421" s="108"/>
      <c r="BK421" s="108"/>
      <c r="BL421" s="108"/>
      <c r="BM421" s="109"/>
      <c r="BN421" s="108"/>
      <c r="BO421" s="108"/>
      <c r="BP421" s="108"/>
    </row>
    <row r="422" spans="1:68" ht="12" customHeight="1" x14ac:dyDescent="0.2">
      <c r="A422" s="179"/>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c r="AA422" s="108"/>
      <c r="AB422" s="108"/>
      <c r="AC422" s="108"/>
      <c r="AD422" s="108"/>
      <c r="AE422" s="108"/>
      <c r="AF422" s="108"/>
      <c r="AG422" s="108"/>
      <c r="AH422" s="108"/>
      <c r="AI422" s="108"/>
      <c r="AJ422" s="108"/>
      <c r="AK422" s="108"/>
      <c r="AL422" s="108"/>
      <c r="AM422" s="108"/>
      <c r="AN422" s="108"/>
      <c r="AO422" s="108"/>
      <c r="AP422" s="108"/>
      <c r="AQ422" s="108"/>
      <c r="AR422" s="108"/>
      <c r="AS422" s="108"/>
      <c r="AT422" s="108"/>
      <c r="AU422" s="108"/>
      <c r="AV422" s="108"/>
      <c r="AW422" s="108"/>
      <c r="AX422" s="108"/>
      <c r="AY422" s="108"/>
      <c r="AZ422" s="108"/>
      <c r="BA422" s="108"/>
      <c r="BB422" s="108"/>
      <c r="BC422" s="108"/>
      <c r="BD422" s="108"/>
      <c r="BE422" s="108"/>
      <c r="BF422" s="108"/>
      <c r="BG422" s="108"/>
      <c r="BH422" s="108"/>
      <c r="BI422" s="108"/>
      <c r="BJ422" s="108"/>
      <c r="BK422" s="108"/>
      <c r="BL422" s="108"/>
      <c r="BM422" s="109"/>
      <c r="BN422" s="108"/>
      <c r="BO422" s="108"/>
      <c r="BP422" s="108"/>
    </row>
    <row r="423" spans="1:68" ht="12" customHeight="1" x14ac:dyDescent="0.2">
      <c r="A423" s="179"/>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c r="AA423" s="108"/>
      <c r="AB423" s="108"/>
      <c r="AC423" s="108"/>
      <c r="AD423" s="108"/>
      <c r="AE423" s="108"/>
      <c r="AF423" s="108"/>
      <c r="AG423" s="108"/>
      <c r="AH423" s="108"/>
      <c r="AI423" s="108"/>
      <c r="AJ423" s="108"/>
      <c r="AK423" s="108"/>
      <c r="AL423" s="108"/>
      <c r="AM423" s="108"/>
      <c r="AN423" s="108"/>
      <c r="AO423" s="108"/>
      <c r="AP423" s="108"/>
      <c r="AQ423" s="108"/>
      <c r="AR423" s="108"/>
      <c r="AS423" s="108"/>
      <c r="AT423" s="108"/>
      <c r="AU423" s="108"/>
      <c r="AV423" s="108"/>
      <c r="AW423" s="108"/>
      <c r="AX423" s="108"/>
      <c r="AY423" s="108"/>
      <c r="AZ423" s="108"/>
      <c r="BA423" s="108"/>
      <c r="BB423" s="108"/>
      <c r="BC423" s="108"/>
      <c r="BD423" s="108"/>
      <c r="BE423" s="108"/>
      <c r="BF423" s="108"/>
      <c r="BG423" s="108"/>
      <c r="BH423" s="108"/>
      <c r="BI423" s="108"/>
      <c r="BJ423" s="108"/>
      <c r="BK423" s="108"/>
      <c r="BL423" s="108"/>
      <c r="BM423" s="109"/>
      <c r="BN423" s="108"/>
      <c r="BO423" s="108"/>
      <c r="BP423" s="108"/>
    </row>
    <row r="424" spans="1:68" ht="12" customHeight="1" x14ac:dyDescent="0.2">
      <c r="A424" s="179"/>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c r="AA424" s="108"/>
      <c r="AB424" s="108"/>
      <c r="AC424" s="108"/>
      <c r="AD424" s="108"/>
      <c r="AE424" s="108"/>
      <c r="AF424" s="108"/>
      <c r="AG424" s="108"/>
      <c r="AH424" s="108"/>
      <c r="AI424" s="108"/>
      <c r="AJ424" s="108"/>
      <c r="AK424" s="108"/>
      <c r="AL424" s="108"/>
      <c r="AM424" s="108"/>
      <c r="AN424" s="108"/>
      <c r="AO424" s="108"/>
      <c r="AP424" s="108"/>
      <c r="AQ424" s="108"/>
      <c r="AR424" s="108"/>
      <c r="AS424" s="108"/>
      <c r="AT424" s="108"/>
      <c r="AU424" s="108"/>
      <c r="AV424" s="108"/>
      <c r="AW424" s="108"/>
      <c r="AX424" s="108"/>
      <c r="AY424" s="108"/>
      <c r="AZ424" s="108"/>
      <c r="BA424" s="108"/>
      <c r="BB424" s="108"/>
      <c r="BC424" s="108"/>
      <c r="BD424" s="108"/>
      <c r="BE424" s="108"/>
      <c r="BF424" s="108"/>
      <c r="BG424" s="108"/>
      <c r="BH424" s="108"/>
      <c r="BI424" s="108"/>
      <c r="BJ424" s="108"/>
      <c r="BK424" s="108"/>
      <c r="BL424" s="108"/>
      <c r="BM424" s="109"/>
      <c r="BN424" s="108"/>
      <c r="BO424" s="108"/>
      <c r="BP424" s="108"/>
    </row>
    <row r="425" spans="1:68" ht="12" customHeight="1" x14ac:dyDescent="0.2">
      <c r="A425" s="179"/>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c r="AA425" s="108"/>
      <c r="AB425" s="108"/>
      <c r="AC425" s="108"/>
      <c r="AD425" s="108"/>
      <c r="AE425" s="108"/>
      <c r="AF425" s="108"/>
      <c r="AG425" s="108"/>
      <c r="AH425" s="108"/>
      <c r="AI425" s="108"/>
      <c r="AJ425" s="108"/>
      <c r="AK425" s="108"/>
      <c r="AL425" s="108"/>
      <c r="AM425" s="108"/>
      <c r="AN425" s="108"/>
      <c r="AO425" s="108"/>
      <c r="AP425" s="108"/>
      <c r="AQ425" s="108"/>
      <c r="AR425" s="108"/>
      <c r="AS425" s="108"/>
      <c r="AT425" s="108"/>
      <c r="AU425" s="108"/>
      <c r="AV425" s="108"/>
      <c r="AW425" s="108"/>
      <c r="AX425" s="108"/>
      <c r="AY425" s="108"/>
      <c r="AZ425" s="108"/>
      <c r="BA425" s="108"/>
      <c r="BB425" s="108"/>
      <c r="BC425" s="108"/>
      <c r="BD425" s="108"/>
      <c r="BE425" s="108"/>
      <c r="BF425" s="108"/>
      <c r="BG425" s="108"/>
      <c r="BH425" s="108"/>
      <c r="BI425" s="108"/>
      <c r="BJ425" s="108"/>
      <c r="BK425" s="108"/>
      <c r="BL425" s="108"/>
      <c r="BM425" s="109"/>
      <c r="BN425" s="108"/>
      <c r="BO425" s="108"/>
      <c r="BP425" s="108"/>
    </row>
    <row r="426" spans="1:68" ht="12" customHeight="1" x14ac:dyDescent="0.2">
      <c r="A426" s="179"/>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c r="AA426" s="108"/>
      <c r="AB426" s="108"/>
      <c r="AC426" s="108"/>
      <c r="AD426" s="108"/>
      <c r="AE426" s="108"/>
      <c r="AF426" s="108"/>
      <c r="AG426" s="108"/>
      <c r="AH426" s="108"/>
      <c r="AI426" s="108"/>
      <c r="AJ426" s="108"/>
      <c r="AK426" s="108"/>
      <c r="AL426" s="108"/>
      <c r="AM426" s="108"/>
      <c r="AN426" s="108"/>
      <c r="AO426" s="108"/>
      <c r="AP426" s="108"/>
      <c r="AQ426" s="108"/>
      <c r="AR426" s="108"/>
      <c r="AS426" s="108"/>
      <c r="AT426" s="108"/>
      <c r="AU426" s="108"/>
      <c r="AV426" s="108"/>
      <c r="AW426" s="108"/>
      <c r="AX426" s="108"/>
      <c r="AY426" s="108"/>
      <c r="AZ426" s="108"/>
      <c r="BA426" s="108"/>
      <c r="BB426" s="108"/>
      <c r="BC426" s="108"/>
      <c r="BD426" s="108"/>
      <c r="BE426" s="108"/>
      <c r="BF426" s="108"/>
      <c r="BG426" s="108"/>
      <c r="BH426" s="108"/>
      <c r="BI426" s="108"/>
      <c r="BJ426" s="108"/>
      <c r="BK426" s="108"/>
      <c r="BL426" s="108"/>
      <c r="BM426" s="109"/>
      <c r="BN426" s="108"/>
      <c r="BO426" s="108"/>
      <c r="BP426" s="108"/>
    </row>
    <row r="427" spans="1:68" ht="12" customHeight="1" x14ac:dyDescent="0.2">
      <c r="A427" s="179"/>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c r="AA427" s="108"/>
      <c r="AB427" s="108"/>
      <c r="AC427" s="108"/>
      <c r="AD427" s="108"/>
      <c r="AE427" s="108"/>
      <c r="AF427" s="108"/>
      <c r="AG427" s="108"/>
      <c r="AH427" s="108"/>
      <c r="AI427" s="108"/>
      <c r="AJ427" s="108"/>
      <c r="AK427" s="108"/>
      <c r="AL427" s="108"/>
      <c r="AM427" s="108"/>
      <c r="AN427" s="108"/>
      <c r="AO427" s="108"/>
      <c r="AP427" s="108"/>
      <c r="AQ427" s="108"/>
      <c r="AR427" s="108"/>
      <c r="AS427" s="108"/>
      <c r="AT427" s="108"/>
      <c r="AU427" s="108"/>
      <c r="AV427" s="108"/>
      <c r="AW427" s="108"/>
      <c r="AX427" s="108"/>
      <c r="AY427" s="108"/>
      <c r="AZ427" s="108"/>
      <c r="BA427" s="108"/>
      <c r="BB427" s="108"/>
      <c r="BC427" s="108"/>
      <c r="BD427" s="108"/>
      <c r="BE427" s="108"/>
      <c r="BF427" s="108"/>
      <c r="BG427" s="108"/>
      <c r="BH427" s="108"/>
      <c r="BI427" s="108"/>
      <c r="BJ427" s="108"/>
      <c r="BK427" s="108"/>
      <c r="BL427" s="108"/>
      <c r="BM427" s="109"/>
      <c r="BN427" s="108"/>
      <c r="BO427" s="108"/>
      <c r="BP427" s="108"/>
    </row>
    <row r="428" spans="1:68" ht="12" customHeight="1" x14ac:dyDescent="0.2">
      <c r="A428" s="179"/>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c r="AA428" s="108"/>
      <c r="AB428" s="108"/>
      <c r="AC428" s="108"/>
      <c r="AD428" s="108"/>
      <c r="AE428" s="108"/>
      <c r="AF428" s="108"/>
      <c r="AG428" s="108"/>
      <c r="AH428" s="108"/>
      <c r="AI428" s="108"/>
      <c r="AJ428" s="108"/>
      <c r="AK428" s="108"/>
      <c r="AL428" s="108"/>
      <c r="AM428" s="108"/>
      <c r="AN428" s="108"/>
      <c r="AO428" s="108"/>
      <c r="AP428" s="108"/>
      <c r="AQ428" s="108"/>
      <c r="AR428" s="108"/>
      <c r="AS428" s="108"/>
      <c r="AT428" s="108"/>
      <c r="AU428" s="108"/>
      <c r="AV428" s="108"/>
      <c r="AW428" s="108"/>
      <c r="AX428" s="108"/>
      <c r="AY428" s="108"/>
      <c r="AZ428" s="108"/>
      <c r="BA428" s="108"/>
      <c r="BB428" s="108"/>
      <c r="BC428" s="108"/>
      <c r="BD428" s="108"/>
      <c r="BE428" s="108"/>
      <c r="BF428" s="108"/>
      <c r="BG428" s="108"/>
      <c r="BH428" s="108"/>
      <c r="BI428" s="108"/>
      <c r="BJ428" s="108"/>
      <c r="BK428" s="108"/>
      <c r="BL428" s="108"/>
      <c r="BM428" s="109"/>
      <c r="BN428" s="108"/>
      <c r="BO428" s="108"/>
      <c r="BP428" s="108"/>
    </row>
    <row r="429" spans="1:68" ht="12" customHeight="1" x14ac:dyDescent="0.2">
      <c r="A429" s="179"/>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c r="AA429" s="108"/>
      <c r="AB429" s="108"/>
      <c r="AC429" s="108"/>
      <c r="AD429" s="108"/>
      <c r="AE429" s="108"/>
      <c r="AF429" s="108"/>
      <c r="AG429" s="108"/>
      <c r="AH429" s="108"/>
      <c r="AI429" s="108"/>
      <c r="AJ429" s="108"/>
      <c r="AK429" s="108"/>
      <c r="AL429" s="108"/>
      <c r="AM429" s="108"/>
      <c r="AN429" s="108"/>
      <c r="AO429" s="108"/>
      <c r="AP429" s="108"/>
      <c r="AQ429" s="108"/>
      <c r="AR429" s="108"/>
      <c r="AS429" s="108"/>
      <c r="AT429" s="108"/>
      <c r="AU429" s="108"/>
      <c r="AV429" s="108"/>
      <c r="AW429" s="108"/>
      <c r="AX429" s="108"/>
      <c r="AY429" s="108"/>
      <c r="AZ429" s="108"/>
      <c r="BA429" s="108"/>
      <c r="BB429" s="108"/>
      <c r="BC429" s="108"/>
      <c r="BD429" s="108"/>
      <c r="BE429" s="108"/>
      <c r="BF429" s="108"/>
      <c r="BG429" s="108"/>
      <c r="BH429" s="108"/>
      <c r="BI429" s="108"/>
      <c r="BJ429" s="108"/>
      <c r="BK429" s="108"/>
      <c r="BL429" s="108"/>
      <c r="BM429" s="109"/>
      <c r="BN429" s="108"/>
      <c r="BO429" s="108"/>
      <c r="BP429" s="108"/>
    </row>
    <row r="430" spans="1:68" ht="12" customHeight="1" x14ac:dyDescent="0.2">
      <c r="A430" s="179"/>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c r="AA430" s="108"/>
      <c r="AB430" s="108"/>
      <c r="AC430" s="108"/>
      <c r="AD430" s="108"/>
      <c r="AE430" s="108"/>
      <c r="AF430" s="108"/>
      <c r="AG430" s="108"/>
      <c r="AH430" s="108"/>
      <c r="AI430" s="108"/>
      <c r="AJ430" s="108"/>
      <c r="AK430" s="108"/>
      <c r="AL430" s="108"/>
      <c r="AM430" s="108"/>
      <c r="AN430" s="108"/>
      <c r="AO430" s="108"/>
      <c r="AP430" s="108"/>
      <c r="AQ430" s="108"/>
      <c r="AR430" s="108"/>
      <c r="AS430" s="108"/>
      <c r="AT430" s="108"/>
      <c r="AU430" s="108"/>
      <c r="AV430" s="108"/>
      <c r="AW430" s="108"/>
      <c r="AX430" s="108"/>
      <c r="AY430" s="108"/>
      <c r="AZ430" s="108"/>
      <c r="BA430" s="108"/>
      <c r="BB430" s="108"/>
      <c r="BC430" s="108"/>
      <c r="BD430" s="108"/>
      <c r="BE430" s="108"/>
      <c r="BF430" s="108"/>
      <c r="BG430" s="108"/>
      <c r="BH430" s="108"/>
      <c r="BI430" s="108"/>
      <c r="BJ430" s="108"/>
      <c r="BK430" s="108"/>
      <c r="BL430" s="108"/>
      <c r="BM430" s="109"/>
      <c r="BN430" s="108"/>
      <c r="BO430" s="108"/>
      <c r="BP430" s="108"/>
    </row>
    <row r="431" spans="1:68" ht="12" customHeight="1" x14ac:dyDescent="0.2">
      <c r="A431" s="179"/>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c r="AA431" s="108"/>
      <c r="AB431" s="108"/>
      <c r="AC431" s="108"/>
      <c r="AD431" s="108"/>
      <c r="AE431" s="108"/>
      <c r="AF431" s="108"/>
      <c r="AG431" s="108"/>
      <c r="AH431" s="108"/>
      <c r="AI431" s="108"/>
      <c r="AJ431" s="108"/>
      <c r="AK431" s="108"/>
      <c r="AL431" s="108"/>
      <c r="AM431" s="108"/>
      <c r="AN431" s="108"/>
      <c r="AO431" s="108"/>
      <c r="AP431" s="108"/>
      <c r="AQ431" s="108"/>
      <c r="AR431" s="108"/>
      <c r="AS431" s="108"/>
      <c r="AT431" s="108"/>
      <c r="AU431" s="108"/>
      <c r="AV431" s="108"/>
      <c r="AW431" s="108"/>
      <c r="AX431" s="108"/>
      <c r="AY431" s="108"/>
      <c r="AZ431" s="108"/>
      <c r="BA431" s="108"/>
      <c r="BB431" s="108"/>
      <c r="BC431" s="108"/>
      <c r="BD431" s="108"/>
      <c r="BE431" s="108"/>
      <c r="BF431" s="108"/>
      <c r="BG431" s="108"/>
      <c r="BH431" s="108"/>
      <c r="BI431" s="108"/>
      <c r="BJ431" s="108"/>
      <c r="BK431" s="108"/>
      <c r="BL431" s="108"/>
      <c r="BM431" s="109"/>
      <c r="BN431" s="108"/>
      <c r="BO431" s="108"/>
      <c r="BP431" s="108"/>
    </row>
    <row r="432" spans="1:68" ht="12" customHeight="1" x14ac:dyDescent="0.2">
      <c r="A432" s="179"/>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c r="AA432" s="108"/>
      <c r="AB432" s="108"/>
      <c r="AC432" s="108"/>
      <c r="AD432" s="108"/>
      <c r="AE432" s="108"/>
      <c r="AF432" s="108"/>
      <c r="AG432" s="108"/>
      <c r="AH432" s="108"/>
      <c r="AI432" s="108"/>
      <c r="AJ432" s="108"/>
      <c r="AK432" s="108"/>
      <c r="AL432" s="108"/>
      <c r="AM432" s="108"/>
      <c r="AN432" s="108"/>
      <c r="AO432" s="108"/>
      <c r="AP432" s="108"/>
      <c r="AQ432" s="108"/>
      <c r="AR432" s="108"/>
      <c r="AS432" s="108"/>
      <c r="AT432" s="108"/>
      <c r="AU432" s="108"/>
      <c r="AV432" s="108"/>
      <c r="AW432" s="108"/>
      <c r="AX432" s="108"/>
      <c r="AY432" s="108"/>
      <c r="AZ432" s="108"/>
      <c r="BA432" s="108"/>
      <c r="BB432" s="108"/>
      <c r="BC432" s="108"/>
      <c r="BD432" s="108"/>
      <c r="BE432" s="108"/>
      <c r="BF432" s="108"/>
      <c r="BG432" s="108"/>
      <c r="BH432" s="108"/>
      <c r="BI432" s="108"/>
      <c r="BJ432" s="108"/>
      <c r="BK432" s="108"/>
      <c r="BL432" s="108"/>
      <c r="BM432" s="109"/>
      <c r="BN432" s="108"/>
      <c r="BO432" s="108"/>
      <c r="BP432" s="108"/>
    </row>
    <row r="433" spans="1:68" ht="12" customHeight="1" x14ac:dyDescent="0.2">
      <c r="A433" s="179"/>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c r="AA433" s="108"/>
      <c r="AB433" s="108"/>
      <c r="AC433" s="108"/>
      <c r="AD433" s="108"/>
      <c r="AE433" s="108"/>
      <c r="AF433" s="108"/>
      <c r="AG433" s="108"/>
      <c r="AH433" s="108"/>
      <c r="AI433" s="108"/>
      <c r="AJ433" s="108"/>
      <c r="AK433" s="108"/>
      <c r="AL433" s="108"/>
      <c r="AM433" s="108"/>
      <c r="AN433" s="108"/>
      <c r="AO433" s="108"/>
      <c r="AP433" s="108"/>
      <c r="AQ433" s="108"/>
      <c r="AR433" s="108"/>
      <c r="AS433" s="108"/>
      <c r="AT433" s="108"/>
      <c r="AU433" s="108"/>
      <c r="AV433" s="108"/>
      <c r="AW433" s="108"/>
      <c r="AX433" s="108"/>
      <c r="AY433" s="108"/>
      <c r="AZ433" s="108"/>
      <c r="BA433" s="108"/>
      <c r="BB433" s="108"/>
      <c r="BC433" s="108"/>
      <c r="BD433" s="108"/>
      <c r="BE433" s="108"/>
      <c r="BF433" s="108"/>
      <c r="BG433" s="108"/>
      <c r="BH433" s="108"/>
      <c r="BI433" s="108"/>
      <c r="BJ433" s="108"/>
      <c r="BK433" s="108"/>
      <c r="BL433" s="108"/>
      <c r="BM433" s="109"/>
      <c r="BN433" s="108"/>
      <c r="BO433" s="108"/>
      <c r="BP433" s="108"/>
    </row>
    <row r="434" spans="1:68" ht="12" customHeight="1" x14ac:dyDescent="0.2">
      <c r="A434" s="179"/>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c r="AA434" s="108"/>
      <c r="AB434" s="108"/>
      <c r="AC434" s="108"/>
      <c r="AD434" s="108"/>
      <c r="AE434" s="108"/>
      <c r="AF434" s="108"/>
      <c r="AG434" s="108"/>
      <c r="AH434" s="108"/>
      <c r="AI434" s="108"/>
      <c r="AJ434" s="108"/>
      <c r="AK434" s="108"/>
      <c r="AL434" s="108"/>
      <c r="AM434" s="108"/>
      <c r="AN434" s="108"/>
      <c r="AO434" s="108"/>
      <c r="AP434" s="108"/>
      <c r="AQ434" s="108"/>
      <c r="AR434" s="108"/>
      <c r="AS434" s="108"/>
      <c r="AT434" s="108"/>
      <c r="AU434" s="108"/>
      <c r="AV434" s="108"/>
      <c r="AW434" s="108"/>
      <c r="AX434" s="108"/>
      <c r="AY434" s="108"/>
      <c r="AZ434" s="108"/>
      <c r="BA434" s="108"/>
      <c r="BB434" s="108"/>
      <c r="BC434" s="108"/>
      <c r="BD434" s="108"/>
      <c r="BE434" s="108"/>
      <c r="BF434" s="108"/>
      <c r="BG434" s="108"/>
      <c r="BH434" s="108"/>
      <c r="BI434" s="108"/>
      <c r="BJ434" s="108"/>
      <c r="BK434" s="108"/>
      <c r="BL434" s="108"/>
      <c r="BM434" s="109"/>
      <c r="BN434" s="108"/>
      <c r="BO434" s="108"/>
      <c r="BP434" s="108"/>
    </row>
    <row r="435" spans="1:68" ht="12" customHeight="1" x14ac:dyDescent="0.2">
      <c r="A435" s="179"/>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c r="AA435" s="108"/>
      <c r="AB435" s="108"/>
      <c r="AC435" s="108"/>
      <c r="AD435" s="108"/>
      <c r="AE435" s="108"/>
      <c r="AF435" s="108"/>
      <c r="AG435" s="108"/>
      <c r="AH435" s="108"/>
      <c r="AI435" s="108"/>
      <c r="AJ435" s="108"/>
      <c r="AK435" s="108"/>
      <c r="AL435" s="108"/>
      <c r="AM435" s="108"/>
      <c r="AN435" s="108"/>
      <c r="AO435" s="108"/>
      <c r="AP435" s="108"/>
      <c r="AQ435" s="108"/>
      <c r="AR435" s="108"/>
      <c r="AS435" s="108"/>
      <c r="AT435" s="108"/>
      <c r="AU435" s="108"/>
      <c r="AV435" s="108"/>
      <c r="AW435" s="108"/>
      <c r="AX435" s="108"/>
      <c r="AY435" s="108"/>
      <c r="AZ435" s="108"/>
      <c r="BA435" s="108"/>
      <c r="BB435" s="108"/>
      <c r="BC435" s="108"/>
      <c r="BD435" s="108"/>
      <c r="BE435" s="108"/>
      <c r="BF435" s="108"/>
      <c r="BG435" s="108"/>
      <c r="BH435" s="108"/>
      <c r="BI435" s="108"/>
      <c r="BJ435" s="108"/>
      <c r="BK435" s="108"/>
      <c r="BL435" s="108"/>
      <c r="BM435" s="109"/>
      <c r="BN435" s="108"/>
      <c r="BO435" s="108"/>
      <c r="BP435" s="108"/>
    </row>
    <row r="436" spans="1:68" ht="12" customHeight="1" x14ac:dyDescent="0.2">
      <c r="A436" s="179"/>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c r="AA436" s="108"/>
      <c r="AB436" s="108"/>
      <c r="AC436" s="108"/>
      <c r="AD436" s="108"/>
      <c r="AE436" s="108"/>
      <c r="AF436" s="108"/>
      <c r="AG436" s="108"/>
      <c r="AH436" s="108"/>
      <c r="AI436" s="108"/>
      <c r="AJ436" s="108"/>
      <c r="AK436" s="108"/>
      <c r="AL436" s="108"/>
      <c r="AM436" s="108"/>
      <c r="AN436" s="108"/>
      <c r="AO436" s="108"/>
      <c r="AP436" s="108"/>
      <c r="AQ436" s="108"/>
      <c r="AR436" s="108"/>
      <c r="AS436" s="108"/>
      <c r="AT436" s="108"/>
      <c r="AU436" s="108"/>
      <c r="AV436" s="108"/>
      <c r="AW436" s="108"/>
      <c r="AX436" s="108"/>
      <c r="AY436" s="108"/>
      <c r="AZ436" s="108"/>
      <c r="BA436" s="108"/>
      <c r="BB436" s="108"/>
      <c r="BC436" s="108"/>
      <c r="BD436" s="108"/>
      <c r="BE436" s="108"/>
      <c r="BF436" s="108"/>
      <c r="BG436" s="108"/>
      <c r="BH436" s="108"/>
      <c r="BI436" s="108"/>
      <c r="BJ436" s="108"/>
      <c r="BK436" s="108"/>
      <c r="BL436" s="108"/>
      <c r="BM436" s="109"/>
      <c r="BN436" s="108"/>
      <c r="BO436" s="108"/>
      <c r="BP436" s="108"/>
    </row>
    <row r="437" spans="1:68" ht="12" customHeight="1" x14ac:dyDescent="0.2">
      <c r="A437" s="179"/>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c r="AA437" s="108"/>
      <c r="AB437" s="108"/>
      <c r="AC437" s="108"/>
      <c r="AD437" s="108"/>
      <c r="AE437" s="108"/>
      <c r="AF437" s="108"/>
      <c r="AG437" s="108"/>
      <c r="AH437" s="108"/>
      <c r="AI437" s="108"/>
      <c r="AJ437" s="108"/>
      <c r="AK437" s="108"/>
      <c r="AL437" s="108"/>
      <c r="AM437" s="108"/>
      <c r="AN437" s="108"/>
      <c r="AO437" s="108"/>
      <c r="AP437" s="108"/>
      <c r="AQ437" s="108"/>
      <c r="AR437" s="108"/>
      <c r="AS437" s="108"/>
      <c r="AT437" s="108"/>
      <c r="AU437" s="108"/>
      <c r="AV437" s="108"/>
      <c r="AW437" s="108"/>
      <c r="AX437" s="108"/>
      <c r="AY437" s="108"/>
      <c r="AZ437" s="108"/>
      <c r="BA437" s="108"/>
      <c r="BB437" s="108"/>
      <c r="BC437" s="108"/>
      <c r="BD437" s="108"/>
      <c r="BE437" s="108"/>
      <c r="BF437" s="108"/>
      <c r="BG437" s="108"/>
      <c r="BH437" s="108"/>
      <c r="BI437" s="108"/>
      <c r="BJ437" s="108"/>
      <c r="BK437" s="108"/>
      <c r="BL437" s="108"/>
      <c r="BM437" s="109"/>
      <c r="BN437" s="108"/>
      <c r="BO437" s="108"/>
      <c r="BP437" s="108"/>
    </row>
    <row r="438" spans="1:68" ht="12" customHeight="1" x14ac:dyDescent="0.2">
      <c r="A438" s="179"/>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c r="AA438" s="108"/>
      <c r="AB438" s="108"/>
      <c r="AC438" s="108"/>
      <c r="AD438" s="108"/>
      <c r="AE438" s="108"/>
      <c r="AF438" s="108"/>
      <c r="AG438" s="108"/>
      <c r="AH438" s="108"/>
      <c r="AI438" s="108"/>
      <c r="AJ438" s="108"/>
      <c r="AK438" s="108"/>
      <c r="AL438" s="108"/>
      <c r="AM438" s="108"/>
      <c r="AN438" s="108"/>
      <c r="AO438" s="108"/>
      <c r="AP438" s="108"/>
      <c r="AQ438" s="108"/>
      <c r="AR438" s="108"/>
      <c r="AS438" s="108"/>
      <c r="AT438" s="108"/>
      <c r="AU438" s="108"/>
      <c r="AV438" s="108"/>
      <c r="AW438" s="108"/>
      <c r="AX438" s="108"/>
      <c r="AY438" s="108"/>
      <c r="AZ438" s="108"/>
      <c r="BA438" s="108"/>
      <c r="BB438" s="108"/>
      <c r="BC438" s="108"/>
      <c r="BD438" s="108"/>
      <c r="BE438" s="108"/>
      <c r="BF438" s="108"/>
      <c r="BG438" s="108"/>
      <c r="BH438" s="108"/>
      <c r="BI438" s="108"/>
      <c r="BJ438" s="108"/>
      <c r="BK438" s="108"/>
      <c r="BL438" s="108"/>
      <c r="BM438" s="109"/>
      <c r="BN438" s="108"/>
      <c r="BO438" s="108"/>
      <c r="BP438" s="108"/>
    </row>
    <row r="439" spans="1:68" ht="12" customHeight="1" x14ac:dyDescent="0.2">
      <c r="A439" s="179"/>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c r="AA439" s="108"/>
      <c r="AB439" s="108"/>
      <c r="AC439" s="108"/>
      <c r="AD439" s="108"/>
      <c r="AE439" s="108"/>
      <c r="AF439" s="108"/>
      <c r="AG439" s="108"/>
      <c r="AH439" s="108"/>
      <c r="AI439" s="108"/>
      <c r="AJ439" s="108"/>
      <c r="AK439" s="108"/>
      <c r="AL439" s="108"/>
      <c r="AM439" s="108"/>
      <c r="AN439" s="108"/>
      <c r="AO439" s="108"/>
      <c r="AP439" s="108"/>
      <c r="AQ439" s="108"/>
      <c r="AR439" s="108"/>
      <c r="AS439" s="108"/>
      <c r="AT439" s="108"/>
      <c r="AU439" s="108"/>
      <c r="AV439" s="108"/>
      <c r="AW439" s="108"/>
      <c r="AX439" s="108"/>
      <c r="AY439" s="108"/>
      <c r="AZ439" s="108"/>
      <c r="BA439" s="108"/>
      <c r="BB439" s="108"/>
      <c r="BC439" s="108"/>
      <c r="BD439" s="108"/>
      <c r="BE439" s="108"/>
      <c r="BF439" s="108"/>
      <c r="BG439" s="108"/>
      <c r="BH439" s="108"/>
      <c r="BI439" s="108"/>
      <c r="BJ439" s="108"/>
      <c r="BK439" s="108"/>
      <c r="BL439" s="108"/>
      <c r="BM439" s="109"/>
      <c r="BN439" s="108"/>
      <c r="BO439" s="108"/>
      <c r="BP439" s="108"/>
    </row>
    <row r="440" spans="1:68" ht="12" customHeight="1" x14ac:dyDescent="0.2">
      <c r="A440" s="179"/>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c r="AA440" s="108"/>
      <c r="AB440" s="108"/>
      <c r="AC440" s="108"/>
      <c r="AD440" s="108"/>
      <c r="AE440" s="108"/>
      <c r="AF440" s="108"/>
      <c r="AG440" s="108"/>
      <c r="AH440" s="108"/>
      <c r="AI440" s="108"/>
      <c r="AJ440" s="108"/>
      <c r="AK440" s="108"/>
      <c r="AL440" s="108"/>
      <c r="AM440" s="108"/>
      <c r="AN440" s="108"/>
      <c r="AO440" s="108"/>
      <c r="AP440" s="108"/>
      <c r="AQ440" s="108"/>
      <c r="AR440" s="108"/>
      <c r="AS440" s="108"/>
      <c r="AT440" s="108"/>
      <c r="AU440" s="108"/>
      <c r="AV440" s="108"/>
      <c r="AW440" s="108"/>
      <c r="AX440" s="108"/>
      <c r="AY440" s="108"/>
      <c r="AZ440" s="108"/>
      <c r="BA440" s="108"/>
      <c r="BB440" s="108"/>
      <c r="BC440" s="108"/>
      <c r="BD440" s="108"/>
      <c r="BE440" s="108"/>
      <c r="BF440" s="108"/>
      <c r="BG440" s="108"/>
      <c r="BH440" s="108"/>
      <c r="BI440" s="108"/>
      <c r="BJ440" s="108"/>
      <c r="BK440" s="108"/>
      <c r="BL440" s="108"/>
      <c r="BM440" s="109"/>
      <c r="BN440" s="108"/>
      <c r="BO440" s="108"/>
      <c r="BP440" s="108"/>
    </row>
    <row r="441" spans="1:68" ht="12" customHeight="1" x14ac:dyDescent="0.2">
      <c r="A441" s="179"/>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c r="AA441" s="108"/>
      <c r="AB441" s="108"/>
      <c r="AC441" s="108"/>
      <c r="AD441" s="108"/>
      <c r="AE441" s="108"/>
      <c r="AF441" s="108"/>
      <c r="AG441" s="108"/>
      <c r="AH441" s="108"/>
      <c r="AI441" s="108"/>
      <c r="AJ441" s="108"/>
      <c r="AK441" s="108"/>
      <c r="AL441" s="108"/>
      <c r="AM441" s="108"/>
      <c r="AN441" s="108"/>
      <c r="AO441" s="108"/>
      <c r="AP441" s="108"/>
      <c r="AQ441" s="108"/>
      <c r="AR441" s="108"/>
      <c r="AS441" s="108"/>
      <c r="AT441" s="108"/>
      <c r="AU441" s="108"/>
      <c r="AV441" s="108"/>
      <c r="AW441" s="108"/>
      <c r="AX441" s="108"/>
      <c r="AY441" s="108"/>
      <c r="AZ441" s="108"/>
      <c r="BA441" s="108"/>
      <c r="BB441" s="108"/>
      <c r="BC441" s="108"/>
      <c r="BD441" s="108"/>
      <c r="BE441" s="108"/>
      <c r="BF441" s="108"/>
      <c r="BG441" s="108"/>
      <c r="BH441" s="108"/>
      <c r="BI441" s="108"/>
      <c r="BJ441" s="108"/>
      <c r="BK441" s="108"/>
      <c r="BL441" s="108"/>
      <c r="BM441" s="109"/>
      <c r="BN441" s="108"/>
      <c r="BO441" s="108"/>
      <c r="BP441" s="108"/>
    </row>
    <row r="442" spans="1:68" ht="12" customHeight="1" x14ac:dyDescent="0.2">
      <c r="A442" s="179"/>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c r="AA442" s="108"/>
      <c r="AB442" s="108"/>
      <c r="AC442" s="108"/>
      <c r="AD442" s="108"/>
      <c r="AE442" s="108"/>
      <c r="AF442" s="108"/>
      <c r="AG442" s="108"/>
      <c r="AH442" s="108"/>
      <c r="AI442" s="108"/>
      <c r="AJ442" s="108"/>
      <c r="AK442" s="108"/>
      <c r="AL442" s="108"/>
      <c r="AM442" s="108"/>
      <c r="AN442" s="108"/>
      <c r="AO442" s="108"/>
      <c r="AP442" s="108"/>
      <c r="AQ442" s="108"/>
      <c r="AR442" s="108"/>
      <c r="AS442" s="108"/>
      <c r="AT442" s="108"/>
      <c r="AU442" s="108"/>
      <c r="AV442" s="108"/>
      <c r="AW442" s="108"/>
      <c r="AX442" s="108"/>
      <c r="AY442" s="108"/>
      <c r="AZ442" s="108"/>
      <c r="BA442" s="108"/>
      <c r="BB442" s="108"/>
      <c r="BC442" s="108"/>
      <c r="BD442" s="108"/>
      <c r="BE442" s="108"/>
      <c r="BF442" s="108"/>
      <c r="BG442" s="108"/>
      <c r="BH442" s="108"/>
      <c r="BI442" s="108"/>
      <c r="BJ442" s="108"/>
      <c r="BK442" s="108"/>
      <c r="BL442" s="108"/>
      <c r="BM442" s="109"/>
      <c r="BN442" s="108"/>
      <c r="BO442" s="108"/>
      <c r="BP442" s="108"/>
    </row>
    <row r="443" spans="1:68" ht="12" customHeight="1" x14ac:dyDescent="0.2">
      <c r="A443" s="179"/>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c r="AA443" s="108"/>
      <c r="AB443" s="108"/>
      <c r="AC443" s="108"/>
      <c r="AD443" s="108"/>
      <c r="AE443" s="108"/>
      <c r="AF443" s="108"/>
      <c r="AG443" s="108"/>
      <c r="AH443" s="108"/>
      <c r="AI443" s="108"/>
      <c r="AJ443" s="108"/>
      <c r="AK443" s="108"/>
      <c r="AL443" s="108"/>
      <c r="AM443" s="108"/>
      <c r="AN443" s="108"/>
      <c r="AO443" s="108"/>
      <c r="AP443" s="108"/>
      <c r="AQ443" s="108"/>
      <c r="AR443" s="108"/>
      <c r="AS443" s="108"/>
      <c r="AT443" s="108"/>
      <c r="AU443" s="108"/>
      <c r="AV443" s="108"/>
      <c r="AW443" s="108"/>
      <c r="AX443" s="108"/>
      <c r="AY443" s="108"/>
      <c r="AZ443" s="108"/>
      <c r="BA443" s="108"/>
      <c r="BB443" s="108"/>
      <c r="BC443" s="108"/>
      <c r="BD443" s="108"/>
      <c r="BE443" s="108"/>
      <c r="BF443" s="108"/>
      <c r="BG443" s="108"/>
      <c r="BH443" s="108"/>
      <c r="BI443" s="108"/>
      <c r="BJ443" s="108"/>
      <c r="BK443" s="108"/>
      <c r="BL443" s="108"/>
      <c r="BM443" s="109"/>
      <c r="BN443" s="108"/>
      <c r="BO443" s="108"/>
      <c r="BP443" s="108"/>
    </row>
    <row r="444" spans="1:68" ht="12" customHeight="1" x14ac:dyDescent="0.2">
      <c r="A444" s="179"/>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c r="AA444" s="108"/>
      <c r="AB444" s="108"/>
      <c r="AC444" s="108"/>
      <c r="AD444" s="108"/>
      <c r="AE444" s="108"/>
      <c r="AF444" s="108"/>
      <c r="AG444" s="108"/>
      <c r="AH444" s="108"/>
      <c r="AI444" s="108"/>
      <c r="AJ444" s="108"/>
      <c r="AK444" s="108"/>
      <c r="AL444" s="108"/>
      <c r="AM444" s="108"/>
      <c r="AN444" s="108"/>
      <c r="AO444" s="108"/>
      <c r="AP444" s="108"/>
      <c r="AQ444" s="108"/>
      <c r="AR444" s="108"/>
      <c r="AS444" s="108"/>
      <c r="AT444" s="108"/>
      <c r="AU444" s="108"/>
      <c r="AV444" s="108"/>
      <c r="AW444" s="108"/>
      <c r="AX444" s="108"/>
      <c r="AY444" s="108"/>
      <c r="AZ444" s="108"/>
      <c r="BA444" s="108"/>
      <c r="BB444" s="108"/>
      <c r="BC444" s="108"/>
      <c r="BD444" s="108"/>
      <c r="BE444" s="108"/>
      <c r="BF444" s="108"/>
      <c r="BG444" s="108"/>
      <c r="BH444" s="108"/>
      <c r="BI444" s="108"/>
      <c r="BJ444" s="108"/>
      <c r="BK444" s="108"/>
      <c r="BL444" s="108"/>
      <c r="BM444" s="109"/>
      <c r="BN444" s="108"/>
      <c r="BO444" s="108"/>
      <c r="BP444" s="108"/>
    </row>
    <row r="445" spans="1:68" ht="12" customHeight="1" x14ac:dyDescent="0.2">
      <c r="A445" s="179"/>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c r="AA445" s="108"/>
      <c r="AB445" s="108"/>
      <c r="AC445" s="108"/>
      <c r="AD445" s="108"/>
      <c r="AE445" s="108"/>
      <c r="AF445" s="108"/>
      <c r="AG445" s="108"/>
      <c r="AH445" s="108"/>
      <c r="AI445" s="108"/>
      <c r="AJ445" s="108"/>
      <c r="AK445" s="108"/>
      <c r="AL445" s="108"/>
      <c r="AM445" s="108"/>
      <c r="AN445" s="108"/>
      <c r="AO445" s="108"/>
      <c r="AP445" s="108"/>
      <c r="AQ445" s="108"/>
      <c r="AR445" s="108"/>
      <c r="AS445" s="108"/>
      <c r="AT445" s="108"/>
      <c r="AU445" s="108"/>
      <c r="AV445" s="108"/>
      <c r="AW445" s="108"/>
      <c r="AX445" s="108"/>
      <c r="AY445" s="108"/>
      <c r="AZ445" s="108"/>
      <c r="BA445" s="108"/>
      <c r="BB445" s="108"/>
      <c r="BC445" s="108"/>
      <c r="BD445" s="108"/>
      <c r="BE445" s="108"/>
      <c r="BF445" s="108"/>
      <c r="BG445" s="108"/>
      <c r="BH445" s="108"/>
      <c r="BI445" s="108"/>
      <c r="BJ445" s="108"/>
      <c r="BK445" s="108"/>
      <c r="BL445" s="108"/>
      <c r="BM445" s="109"/>
      <c r="BN445" s="108"/>
      <c r="BO445" s="108"/>
      <c r="BP445" s="108"/>
    </row>
    <row r="446" spans="1:68" ht="12" customHeight="1" x14ac:dyDescent="0.2">
      <c r="A446" s="179"/>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c r="AA446" s="108"/>
      <c r="AB446" s="108"/>
      <c r="AC446" s="108"/>
      <c r="AD446" s="108"/>
      <c r="AE446" s="108"/>
      <c r="AF446" s="108"/>
      <c r="AG446" s="108"/>
      <c r="AH446" s="108"/>
      <c r="AI446" s="108"/>
      <c r="AJ446" s="108"/>
      <c r="AK446" s="108"/>
      <c r="AL446" s="108"/>
      <c r="AM446" s="108"/>
      <c r="AN446" s="108"/>
      <c r="AO446" s="108"/>
      <c r="AP446" s="108"/>
      <c r="AQ446" s="108"/>
      <c r="AR446" s="108"/>
      <c r="AS446" s="108"/>
      <c r="AT446" s="108"/>
      <c r="AU446" s="108"/>
      <c r="AV446" s="108"/>
      <c r="AW446" s="108"/>
      <c r="AX446" s="108"/>
      <c r="AY446" s="108"/>
      <c r="AZ446" s="108"/>
      <c r="BA446" s="108"/>
      <c r="BB446" s="108"/>
      <c r="BC446" s="108"/>
      <c r="BD446" s="108"/>
      <c r="BE446" s="108"/>
      <c r="BF446" s="108"/>
      <c r="BG446" s="108"/>
      <c r="BH446" s="108"/>
      <c r="BI446" s="108"/>
      <c r="BJ446" s="108"/>
      <c r="BK446" s="108"/>
      <c r="BL446" s="108"/>
      <c r="BM446" s="109"/>
      <c r="BN446" s="108"/>
      <c r="BO446" s="108"/>
      <c r="BP446" s="108"/>
    </row>
    <row r="447" spans="1:68" ht="12" customHeight="1" x14ac:dyDescent="0.2">
      <c r="A447" s="179"/>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c r="AA447" s="108"/>
      <c r="AB447" s="108"/>
      <c r="AC447" s="108"/>
      <c r="AD447" s="108"/>
      <c r="AE447" s="108"/>
      <c r="AF447" s="108"/>
      <c r="AG447" s="108"/>
      <c r="AH447" s="108"/>
      <c r="AI447" s="108"/>
      <c r="AJ447" s="108"/>
      <c r="AK447" s="108"/>
      <c r="AL447" s="108"/>
      <c r="AM447" s="108"/>
      <c r="AN447" s="108"/>
      <c r="AO447" s="108"/>
      <c r="AP447" s="108"/>
      <c r="AQ447" s="108"/>
      <c r="AR447" s="108"/>
      <c r="AS447" s="108"/>
      <c r="AT447" s="108"/>
      <c r="AU447" s="108"/>
      <c r="AV447" s="108"/>
      <c r="AW447" s="108"/>
      <c r="AX447" s="108"/>
      <c r="AY447" s="108"/>
      <c r="AZ447" s="108"/>
      <c r="BA447" s="108"/>
      <c r="BB447" s="108"/>
      <c r="BC447" s="108"/>
      <c r="BD447" s="108"/>
      <c r="BE447" s="108"/>
      <c r="BF447" s="108"/>
      <c r="BG447" s="108"/>
      <c r="BH447" s="108"/>
      <c r="BI447" s="108"/>
      <c r="BJ447" s="108"/>
      <c r="BK447" s="108"/>
      <c r="BL447" s="108"/>
      <c r="BM447" s="109"/>
      <c r="BN447" s="108"/>
      <c r="BO447" s="108"/>
      <c r="BP447" s="108"/>
    </row>
    <row r="448" spans="1:68" ht="12" customHeight="1" x14ac:dyDescent="0.2">
      <c r="A448" s="179"/>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c r="AA448" s="108"/>
      <c r="AB448" s="108"/>
      <c r="AC448" s="108"/>
      <c r="AD448" s="108"/>
      <c r="AE448" s="108"/>
      <c r="AF448" s="108"/>
      <c r="AG448" s="108"/>
      <c r="AH448" s="108"/>
      <c r="AI448" s="108"/>
      <c r="AJ448" s="108"/>
      <c r="AK448" s="108"/>
      <c r="AL448" s="108"/>
      <c r="AM448" s="108"/>
      <c r="AN448" s="108"/>
      <c r="AO448" s="108"/>
      <c r="AP448" s="108"/>
      <c r="AQ448" s="108"/>
      <c r="AR448" s="108"/>
      <c r="AS448" s="108"/>
      <c r="AT448" s="108"/>
      <c r="AU448" s="108"/>
      <c r="AV448" s="108"/>
      <c r="AW448" s="108"/>
      <c r="AX448" s="108"/>
      <c r="AY448" s="108"/>
      <c r="AZ448" s="108"/>
      <c r="BA448" s="108"/>
      <c r="BB448" s="108"/>
      <c r="BC448" s="108"/>
      <c r="BD448" s="108"/>
      <c r="BE448" s="108"/>
      <c r="BF448" s="108"/>
      <c r="BG448" s="108"/>
      <c r="BH448" s="108"/>
      <c r="BI448" s="108"/>
      <c r="BJ448" s="108"/>
      <c r="BK448" s="108"/>
      <c r="BL448" s="108"/>
      <c r="BM448" s="109"/>
      <c r="BN448" s="108"/>
      <c r="BO448" s="108"/>
      <c r="BP448" s="108"/>
    </row>
    <row r="449" spans="1:68" ht="12" customHeight="1" x14ac:dyDescent="0.2">
      <c r="A449" s="179"/>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c r="AA449" s="108"/>
      <c r="AB449" s="108"/>
      <c r="AC449" s="108"/>
      <c r="AD449" s="108"/>
      <c r="AE449" s="108"/>
      <c r="AF449" s="108"/>
      <c r="AG449" s="108"/>
      <c r="AH449" s="108"/>
      <c r="AI449" s="108"/>
      <c r="AJ449" s="108"/>
      <c r="AK449" s="108"/>
      <c r="AL449" s="108"/>
      <c r="AM449" s="108"/>
      <c r="AN449" s="108"/>
      <c r="AO449" s="108"/>
      <c r="AP449" s="108"/>
      <c r="AQ449" s="108"/>
      <c r="AR449" s="108"/>
      <c r="AS449" s="108"/>
      <c r="AT449" s="108"/>
      <c r="AU449" s="108"/>
      <c r="AV449" s="108"/>
      <c r="AW449" s="108"/>
      <c r="AX449" s="108"/>
      <c r="AY449" s="108"/>
      <c r="AZ449" s="108"/>
      <c r="BA449" s="108"/>
      <c r="BB449" s="108"/>
      <c r="BC449" s="108"/>
      <c r="BD449" s="108"/>
      <c r="BE449" s="108"/>
      <c r="BF449" s="108"/>
      <c r="BG449" s="108"/>
      <c r="BH449" s="108"/>
      <c r="BI449" s="108"/>
      <c r="BJ449" s="108"/>
      <c r="BK449" s="108"/>
      <c r="BL449" s="108"/>
      <c r="BM449" s="109"/>
      <c r="BN449" s="108"/>
      <c r="BO449" s="108"/>
      <c r="BP449" s="108"/>
    </row>
    <row r="450" spans="1:68" ht="12" customHeight="1" x14ac:dyDescent="0.2">
      <c r="A450" s="179"/>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c r="AA450" s="108"/>
      <c r="AB450" s="108"/>
      <c r="AC450" s="108"/>
      <c r="AD450" s="108"/>
      <c r="AE450" s="108"/>
      <c r="AF450" s="108"/>
      <c r="AG450" s="108"/>
      <c r="AH450" s="108"/>
      <c r="AI450" s="108"/>
      <c r="AJ450" s="108"/>
      <c r="AK450" s="108"/>
      <c r="AL450" s="108"/>
      <c r="AM450" s="108"/>
      <c r="AN450" s="108"/>
      <c r="AO450" s="108"/>
      <c r="AP450" s="108"/>
      <c r="AQ450" s="108"/>
      <c r="AR450" s="108"/>
      <c r="AS450" s="108"/>
      <c r="AT450" s="108"/>
      <c r="AU450" s="108"/>
      <c r="AV450" s="108"/>
      <c r="AW450" s="108"/>
      <c r="AX450" s="108"/>
      <c r="AY450" s="108"/>
      <c r="AZ450" s="108"/>
      <c r="BA450" s="108"/>
      <c r="BB450" s="108"/>
      <c r="BC450" s="108"/>
      <c r="BD450" s="108"/>
      <c r="BE450" s="108"/>
      <c r="BF450" s="108"/>
      <c r="BG450" s="108"/>
      <c r="BH450" s="108"/>
      <c r="BI450" s="108"/>
      <c r="BJ450" s="108"/>
      <c r="BK450" s="108"/>
      <c r="BL450" s="108"/>
      <c r="BM450" s="109"/>
      <c r="BN450" s="108"/>
      <c r="BO450" s="108"/>
      <c r="BP450" s="108"/>
    </row>
    <row r="451" spans="1:68" ht="12" customHeight="1" x14ac:dyDescent="0.2">
      <c r="A451" s="179"/>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c r="AA451" s="108"/>
      <c r="AB451" s="108"/>
      <c r="AC451" s="108"/>
      <c r="AD451" s="108"/>
      <c r="AE451" s="108"/>
      <c r="AF451" s="108"/>
      <c r="AG451" s="108"/>
      <c r="AH451" s="108"/>
      <c r="AI451" s="108"/>
      <c r="AJ451" s="108"/>
      <c r="AK451" s="108"/>
      <c r="AL451" s="108"/>
      <c r="AM451" s="108"/>
      <c r="AN451" s="108"/>
      <c r="AO451" s="108"/>
      <c r="AP451" s="108"/>
      <c r="AQ451" s="108"/>
      <c r="AR451" s="108"/>
      <c r="AS451" s="108"/>
      <c r="AT451" s="108"/>
      <c r="AU451" s="108"/>
      <c r="AV451" s="108"/>
      <c r="AW451" s="108"/>
      <c r="AX451" s="108"/>
      <c r="AY451" s="108"/>
      <c r="AZ451" s="108"/>
      <c r="BA451" s="108"/>
      <c r="BB451" s="108"/>
      <c r="BC451" s="108"/>
      <c r="BD451" s="108"/>
      <c r="BE451" s="108"/>
      <c r="BF451" s="108"/>
      <c r="BG451" s="108"/>
      <c r="BH451" s="108"/>
      <c r="BI451" s="108"/>
      <c r="BJ451" s="108"/>
      <c r="BK451" s="108"/>
      <c r="BL451" s="108"/>
      <c r="BM451" s="109"/>
      <c r="BN451" s="108"/>
      <c r="BO451" s="108"/>
      <c r="BP451" s="108"/>
    </row>
    <row r="452" spans="1:68" ht="12" customHeight="1" x14ac:dyDescent="0.2">
      <c r="A452" s="179"/>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c r="AA452" s="108"/>
      <c r="AB452" s="108"/>
      <c r="AC452" s="108"/>
      <c r="AD452" s="108"/>
      <c r="AE452" s="108"/>
      <c r="AF452" s="108"/>
      <c r="AG452" s="108"/>
      <c r="AH452" s="108"/>
      <c r="AI452" s="108"/>
      <c r="AJ452" s="108"/>
      <c r="AK452" s="108"/>
      <c r="AL452" s="108"/>
      <c r="AM452" s="108"/>
      <c r="AN452" s="108"/>
      <c r="AO452" s="108"/>
      <c r="AP452" s="108"/>
      <c r="AQ452" s="108"/>
      <c r="AR452" s="108"/>
      <c r="AS452" s="108"/>
      <c r="AT452" s="108"/>
      <c r="AU452" s="108"/>
      <c r="AV452" s="108"/>
      <c r="AW452" s="108"/>
      <c r="AX452" s="108"/>
      <c r="AY452" s="108"/>
      <c r="AZ452" s="108"/>
      <c r="BA452" s="108"/>
      <c r="BB452" s="108"/>
      <c r="BC452" s="108"/>
      <c r="BD452" s="108"/>
      <c r="BE452" s="108"/>
      <c r="BF452" s="108"/>
      <c r="BG452" s="108"/>
      <c r="BH452" s="108"/>
      <c r="BI452" s="108"/>
      <c r="BJ452" s="108"/>
      <c r="BK452" s="108"/>
      <c r="BL452" s="108"/>
      <c r="BM452" s="109"/>
      <c r="BN452" s="108"/>
      <c r="BO452" s="108"/>
      <c r="BP452" s="108"/>
    </row>
    <row r="453" spans="1:68" ht="12" customHeight="1" x14ac:dyDescent="0.2">
      <c r="A453" s="179"/>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c r="AA453" s="108"/>
      <c r="AB453" s="108"/>
      <c r="AC453" s="108"/>
      <c r="AD453" s="108"/>
      <c r="AE453" s="108"/>
      <c r="AF453" s="108"/>
      <c r="AG453" s="108"/>
      <c r="AH453" s="108"/>
      <c r="AI453" s="108"/>
      <c r="AJ453" s="108"/>
      <c r="AK453" s="108"/>
      <c r="AL453" s="108"/>
      <c r="AM453" s="108"/>
      <c r="AN453" s="108"/>
      <c r="AO453" s="108"/>
      <c r="AP453" s="108"/>
      <c r="AQ453" s="108"/>
      <c r="AR453" s="108"/>
      <c r="AS453" s="108"/>
      <c r="AT453" s="108"/>
      <c r="AU453" s="108"/>
      <c r="AV453" s="108"/>
      <c r="AW453" s="108"/>
      <c r="AX453" s="108"/>
      <c r="AY453" s="108"/>
      <c r="AZ453" s="108"/>
      <c r="BA453" s="108"/>
      <c r="BB453" s="108"/>
      <c r="BC453" s="108"/>
      <c r="BD453" s="108"/>
      <c r="BE453" s="108"/>
      <c r="BF453" s="108"/>
      <c r="BG453" s="108"/>
      <c r="BH453" s="108"/>
      <c r="BI453" s="108"/>
      <c r="BJ453" s="108"/>
      <c r="BK453" s="108"/>
      <c r="BL453" s="108"/>
      <c r="BM453" s="109"/>
      <c r="BN453" s="108"/>
      <c r="BO453" s="108"/>
      <c r="BP453" s="108"/>
    </row>
    <row r="454" spans="1:68" ht="12" customHeight="1" x14ac:dyDescent="0.2">
      <c r="A454" s="179"/>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c r="AA454" s="108"/>
      <c r="AB454" s="108"/>
      <c r="AC454" s="108"/>
      <c r="AD454" s="108"/>
      <c r="AE454" s="108"/>
      <c r="AF454" s="108"/>
      <c r="AG454" s="108"/>
      <c r="AH454" s="108"/>
      <c r="AI454" s="108"/>
      <c r="AJ454" s="108"/>
      <c r="AK454" s="108"/>
      <c r="AL454" s="108"/>
      <c r="AM454" s="108"/>
      <c r="AN454" s="108"/>
      <c r="AO454" s="108"/>
      <c r="AP454" s="108"/>
      <c r="AQ454" s="108"/>
      <c r="AR454" s="108"/>
      <c r="AS454" s="108"/>
      <c r="AT454" s="108"/>
      <c r="AU454" s="108"/>
      <c r="AV454" s="108"/>
      <c r="AW454" s="108"/>
      <c r="AX454" s="108"/>
      <c r="AY454" s="108"/>
      <c r="AZ454" s="108"/>
      <c r="BA454" s="108"/>
      <c r="BB454" s="108"/>
      <c r="BC454" s="108"/>
      <c r="BD454" s="108"/>
      <c r="BE454" s="108"/>
      <c r="BF454" s="108"/>
      <c r="BG454" s="108"/>
      <c r="BH454" s="108"/>
      <c r="BI454" s="108"/>
      <c r="BJ454" s="108"/>
      <c r="BK454" s="108"/>
      <c r="BL454" s="108"/>
      <c r="BM454" s="109"/>
      <c r="BN454" s="108"/>
      <c r="BO454" s="108"/>
      <c r="BP454" s="108"/>
    </row>
    <row r="455" spans="1:68" ht="12" customHeight="1" x14ac:dyDescent="0.2">
      <c r="A455" s="179"/>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c r="AA455" s="108"/>
      <c r="AB455" s="108"/>
      <c r="AC455" s="108"/>
      <c r="AD455" s="108"/>
      <c r="AE455" s="108"/>
      <c r="AF455" s="108"/>
      <c r="AG455" s="108"/>
      <c r="AH455" s="108"/>
      <c r="AI455" s="108"/>
      <c r="AJ455" s="108"/>
      <c r="AK455" s="108"/>
      <c r="AL455" s="108"/>
      <c r="AM455" s="108"/>
      <c r="AN455" s="108"/>
      <c r="AO455" s="108"/>
      <c r="AP455" s="108"/>
      <c r="AQ455" s="108"/>
      <c r="AR455" s="108"/>
      <c r="AS455" s="108"/>
      <c r="AT455" s="108"/>
      <c r="AU455" s="108"/>
      <c r="AV455" s="108"/>
      <c r="AW455" s="108"/>
      <c r="AX455" s="108"/>
      <c r="AY455" s="108"/>
      <c r="AZ455" s="108"/>
      <c r="BA455" s="108"/>
      <c r="BB455" s="108"/>
      <c r="BC455" s="108"/>
      <c r="BD455" s="108"/>
      <c r="BE455" s="108"/>
      <c r="BF455" s="108"/>
      <c r="BG455" s="108"/>
      <c r="BH455" s="108"/>
      <c r="BI455" s="108"/>
      <c r="BJ455" s="108"/>
      <c r="BK455" s="108"/>
      <c r="BL455" s="108"/>
      <c r="BM455" s="109"/>
      <c r="BN455" s="108"/>
      <c r="BO455" s="108"/>
      <c r="BP455" s="108"/>
    </row>
    <row r="456" spans="1:68" ht="12" customHeight="1" x14ac:dyDescent="0.2">
      <c r="A456" s="179"/>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c r="AA456" s="108"/>
      <c r="AB456" s="108"/>
      <c r="AC456" s="108"/>
      <c r="AD456" s="108"/>
      <c r="AE456" s="108"/>
      <c r="AF456" s="108"/>
      <c r="AG456" s="108"/>
      <c r="AH456" s="108"/>
      <c r="AI456" s="108"/>
      <c r="AJ456" s="108"/>
      <c r="AK456" s="108"/>
      <c r="AL456" s="108"/>
      <c r="AM456" s="108"/>
      <c r="AN456" s="108"/>
      <c r="AO456" s="108"/>
      <c r="AP456" s="108"/>
      <c r="AQ456" s="108"/>
      <c r="AR456" s="108"/>
      <c r="AS456" s="108"/>
      <c r="AT456" s="108"/>
      <c r="AU456" s="108"/>
      <c r="AV456" s="108"/>
      <c r="AW456" s="108"/>
      <c r="AX456" s="108"/>
      <c r="AY456" s="108"/>
      <c r="AZ456" s="108"/>
      <c r="BA456" s="108"/>
      <c r="BB456" s="108"/>
      <c r="BC456" s="108"/>
      <c r="BD456" s="108"/>
      <c r="BE456" s="108"/>
      <c r="BF456" s="108"/>
      <c r="BG456" s="108"/>
      <c r="BH456" s="108"/>
      <c r="BI456" s="108"/>
      <c r="BJ456" s="108"/>
      <c r="BK456" s="108"/>
      <c r="BL456" s="108"/>
      <c r="BM456" s="109"/>
      <c r="BN456" s="108"/>
      <c r="BO456" s="108"/>
      <c r="BP456" s="108"/>
    </row>
    <row r="457" spans="1:68" ht="12" customHeight="1" x14ac:dyDescent="0.2">
      <c r="A457" s="179"/>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c r="AA457" s="108"/>
      <c r="AB457" s="108"/>
      <c r="AC457" s="108"/>
      <c r="AD457" s="108"/>
      <c r="AE457" s="108"/>
      <c r="AF457" s="108"/>
      <c r="AG457" s="108"/>
      <c r="AH457" s="108"/>
      <c r="AI457" s="108"/>
      <c r="AJ457" s="108"/>
      <c r="AK457" s="108"/>
      <c r="AL457" s="108"/>
      <c r="AM457" s="108"/>
      <c r="AN457" s="108"/>
      <c r="AO457" s="108"/>
      <c r="AP457" s="108"/>
      <c r="AQ457" s="108"/>
      <c r="AR457" s="108"/>
      <c r="AS457" s="108"/>
      <c r="AT457" s="108"/>
      <c r="AU457" s="108"/>
      <c r="AV457" s="108"/>
      <c r="AW457" s="108"/>
      <c r="AX457" s="108"/>
      <c r="AY457" s="108"/>
      <c r="AZ457" s="108"/>
      <c r="BA457" s="108"/>
      <c r="BB457" s="108"/>
      <c r="BC457" s="108"/>
      <c r="BD457" s="108"/>
      <c r="BE457" s="108"/>
      <c r="BF457" s="108"/>
      <c r="BG457" s="108"/>
      <c r="BH457" s="108"/>
      <c r="BI457" s="108"/>
      <c r="BJ457" s="108"/>
      <c r="BK457" s="108"/>
      <c r="BL457" s="108"/>
      <c r="BM457" s="109"/>
      <c r="BN457" s="108"/>
      <c r="BO457" s="108"/>
      <c r="BP457" s="108"/>
    </row>
    <row r="458" spans="1:68" ht="12" customHeight="1" x14ac:dyDescent="0.2">
      <c r="A458" s="179"/>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c r="AA458" s="108"/>
      <c r="AB458" s="108"/>
      <c r="AC458" s="108"/>
      <c r="AD458" s="108"/>
      <c r="AE458" s="108"/>
      <c r="AF458" s="108"/>
      <c r="AG458" s="108"/>
      <c r="AH458" s="108"/>
      <c r="AI458" s="108"/>
      <c r="AJ458" s="108"/>
      <c r="AK458" s="108"/>
      <c r="AL458" s="108"/>
      <c r="AM458" s="108"/>
      <c r="AN458" s="108"/>
      <c r="AO458" s="108"/>
      <c r="AP458" s="108"/>
      <c r="AQ458" s="108"/>
      <c r="AR458" s="108"/>
      <c r="AS458" s="108"/>
      <c r="AT458" s="108"/>
      <c r="AU458" s="108"/>
      <c r="AV458" s="108"/>
      <c r="AW458" s="108"/>
      <c r="AX458" s="108"/>
      <c r="AY458" s="108"/>
      <c r="AZ458" s="108"/>
      <c r="BA458" s="108"/>
      <c r="BB458" s="108"/>
      <c r="BC458" s="108"/>
      <c r="BD458" s="108"/>
      <c r="BE458" s="108"/>
      <c r="BF458" s="108"/>
      <c r="BG458" s="108"/>
      <c r="BH458" s="108"/>
      <c r="BI458" s="108"/>
      <c r="BJ458" s="108"/>
      <c r="BK458" s="108"/>
      <c r="BL458" s="108"/>
      <c r="BM458" s="109"/>
      <c r="BN458" s="108"/>
      <c r="BO458" s="108"/>
      <c r="BP458" s="108"/>
    </row>
    <row r="459" spans="1:68" ht="12" customHeight="1" x14ac:dyDescent="0.2">
      <c r="A459" s="179"/>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c r="AA459" s="108"/>
      <c r="AB459" s="108"/>
      <c r="AC459" s="108"/>
      <c r="AD459" s="108"/>
      <c r="AE459" s="108"/>
      <c r="AF459" s="108"/>
      <c r="AG459" s="108"/>
      <c r="AH459" s="108"/>
      <c r="AI459" s="108"/>
      <c r="AJ459" s="108"/>
      <c r="AK459" s="108"/>
      <c r="AL459" s="108"/>
      <c r="AM459" s="108"/>
      <c r="AN459" s="108"/>
      <c r="AO459" s="108"/>
      <c r="AP459" s="108"/>
      <c r="AQ459" s="108"/>
      <c r="AR459" s="108"/>
      <c r="AS459" s="108"/>
      <c r="AT459" s="108"/>
      <c r="AU459" s="108"/>
      <c r="AV459" s="108"/>
      <c r="AW459" s="108"/>
      <c r="AX459" s="108"/>
      <c r="AY459" s="108"/>
      <c r="AZ459" s="108"/>
      <c r="BA459" s="108"/>
      <c r="BB459" s="108"/>
      <c r="BC459" s="108"/>
      <c r="BD459" s="108"/>
      <c r="BE459" s="108"/>
      <c r="BF459" s="108"/>
      <c r="BG459" s="108"/>
      <c r="BH459" s="108"/>
      <c r="BI459" s="108"/>
      <c r="BJ459" s="108"/>
      <c r="BK459" s="108"/>
      <c r="BL459" s="108"/>
      <c r="BM459" s="109"/>
      <c r="BN459" s="108"/>
      <c r="BO459" s="108"/>
      <c r="BP459" s="108"/>
    </row>
    <row r="460" spans="1:68" ht="12" customHeight="1" x14ac:dyDescent="0.2">
      <c r="A460" s="179"/>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c r="AA460" s="108"/>
      <c r="AB460" s="108"/>
      <c r="AC460" s="108"/>
      <c r="AD460" s="108"/>
      <c r="AE460" s="108"/>
      <c r="AF460" s="108"/>
      <c r="AG460" s="108"/>
      <c r="AH460" s="108"/>
      <c r="AI460" s="108"/>
      <c r="AJ460" s="108"/>
      <c r="AK460" s="108"/>
      <c r="AL460" s="108"/>
      <c r="AM460" s="108"/>
      <c r="AN460" s="108"/>
      <c r="AO460" s="108"/>
      <c r="AP460" s="108"/>
      <c r="AQ460" s="108"/>
      <c r="AR460" s="108"/>
      <c r="AS460" s="108"/>
      <c r="AT460" s="108"/>
      <c r="AU460" s="108"/>
      <c r="AV460" s="108"/>
      <c r="AW460" s="108"/>
      <c r="AX460" s="108"/>
      <c r="AY460" s="108"/>
      <c r="AZ460" s="108"/>
      <c r="BA460" s="108"/>
      <c r="BB460" s="108"/>
      <c r="BC460" s="108"/>
      <c r="BD460" s="108"/>
      <c r="BE460" s="108"/>
      <c r="BF460" s="108"/>
      <c r="BG460" s="108"/>
      <c r="BH460" s="108"/>
      <c r="BI460" s="108"/>
      <c r="BJ460" s="108"/>
      <c r="BK460" s="108"/>
      <c r="BL460" s="108"/>
      <c r="BM460" s="109"/>
      <c r="BN460" s="108"/>
      <c r="BO460" s="108"/>
      <c r="BP460" s="108"/>
    </row>
    <row r="461" spans="1:68" ht="12" customHeight="1" x14ac:dyDescent="0.2">
      <c r="A461" s="179"/>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c r="AA461" s="108"/>
      <c r="AB461" s="108"/>
      <c r="AC461" s="108"/>
      <c r="AD461" s="108"/>
      <c r="AE461" s="108"/>
      <c r="AF461" s="108"/>
      <c r="AG461" s="108"/>
      <c r="AH461" s="108"/>
      <c r="AI461" s="108"/>
      <c r="AJ461" s="108"/>
      <c r="AK461" s="108"/>
      <c r="AL461" s="108"/>
      <c r="AM461" s="108"/>
      <c r="AN461" s="108"/>
      <c r="AO461" s="108"/>
      <c r="AP461" s="108"/>
      <c r="AQ461" s="108"/>
      <c r="AR461" s="108"/>
      <c r="AS461" s="108"/>
      <c r="AT461" s="108"/>
      <c r="AU461" s="108"/>
      <c r="AV461" s="108"/>
      <c r="AW461" s="108"/>
      <c r="AX461" s="108"/>
      <c r="AY461" s="108"/>
      <c r="AZ461" s="108"/>
      <c r="BA461" s="108"/>
      <c r="BB461" s="108"/>
      <c r="BC461" s="108"/>
      <c r="BD461" s="108"/>
      <c r="BE461" s="108"/>
      <c r="BF461" s="108"/>
      <c r="BG461" s="108"/>
      <c r="BH461" s="108"/>
      <c r="BI461" s="108"/>
      <c r="BJ461" s="108"/>
      <c r="BK461" s="108"/>
      <c r="BL461" s="108"/>
      <c r="BM461" s="109"/>
      <c r="BN461" s="108"/>
      <c r="BO461" s="108"/>
      <c r="BP461" s="108"/>
    </row>
    <row r="462" spans="1:68" ht="12" customHeight="1" x14ac:dyDescent="0.2">
      <c r="A462" s="179"/>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c r="AA462" s="108"/>
      <c r="AB462" s="108"/>
      <c r="AC462" s="108"/>
      <c r="AD462" s="108"/>
      <c r="AE462" s="108"/>
      <c r="AF462" s="108"/>
      <c r="AG462" s="108"/>
      <c r="AH462" s="108"/>
      <c r="AI462" s="108"/>
      <c r="AJ462" s="108"/>
      <c r="AK462" s="108"/>
      <c r="AL462" s="108"/>
      <c r="AM462" s="108"/>
      <c r="AN462" s="108"/>
      <c r="AO462" s="108"/>
      <c r="AP462" s="108"/>
      <c r="AQ462" s="108"/>
      <c r="AR462" s="108"/>
      <c r="AS462" s="108"/>
      <c r="AT462" s="108"/>
      <c r="AU462" s="108"/>
      <c r="AV462" s="108"/>
      <c r="AW462" s="108"/>
      <c r="AX462" s="108"/>
      <c r="AY462" s="108"/>
      <c r="AZ462" s="108"/>
      <c r="BA462" s="108"/>
      <c r="BB462" s="108"/>
      <c r="BC462" s="108"/>
      <c r="BD462" s="108"/>
      <c r="BE462" s="108"/>
      <c r="BF462" s="108"/>
      <c r="BG462" s="108"/>
      <c r="BH462" s="108"/>
      <c r="BI462" s="108"/>
      <c r="BJ462" s="108"/>
      <c r="BK462" s="108"/>
      <c r="BL462" s="108"/>
      <c r="BM462" s="109"/>
      <c r="BN462" s="108"/>
      <c r="BO462" s="108"/>
      <c r="BP462" s="108"/>
    </row>
    <row r="463" spans="1:68" ht="12" customHeight="1" x14ac:dyDescent="0.2">
      <c r="A463" s="179"/>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c r="AA463" s="108"/>
      <c r="AB463" s="108"/>
      <c r="AC463" s="108"/>
      <c r="AD463" s="108"/>
      <c r="AE463" s="108"/>
      <c r="AF463" s="108"/>
      <c r="AG463" s="108"/>
      <c r="AH463" s="108"/>
      <c r="AI463" s="108"/>
      <c r="AJ463" s="108"/>
      <c r="AK463" s="108"/>
      <c r="AL463" s="108"/>
      <c r="AM463" s="108"/>
      <c r="AN463" s="108"/>
      <c r="AO463" s="108"/>
      <c r="AP463" s="108"/>
      <c r="AQ463" s="108"/>
      <c r="AR463" s="108"/>
      <c r="AS463" s="108"/>
      <c r="AT463" s="108"/>
      <c r="AU463" s="108"/>
      <c r="AV463" s="108"/>
      <c r="AW463" s="108"/>
      <c r="AX463" s="108"/>
      <c r="AY463" s="108"/>
      <c r="AZ463" s="108"/>
      <c r="BA463" s="108"/>
      <c r="BB463" s="108"/>
      <c r="BC463" s="108"/>
      <c r="BD463" s="108"/>
      <c r="BE463" s="108"/>
      <c r="BF463" s="108"/>
      <c r="BG463" s="108"/>
      <c r="BH463" s="108"/>
      <c r="BI463" s="108"/>
      <c r="BJ463" s="108"/>
      <c r="BK463" s="108"/>
      <c r="BL463" s="108"/>
      <c r="BM463" s="109"/>
      <c r="BN463" s="108"/>
      <c r="BO463" s="108"/>
      <c r="BP463" s="108"/>
    </row>
    <row r="464" spans="1:68" ht="12" customHeight="1" x14ac:dyDescent="0.2">
      <c r="A464" s="179"/>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c r="AA464" s="108"/>
      <c r="AB464" s="108"/>
      <c r="AC464" s="108"/>
      <c r="AD464" s="108"/>
      <c r="AE464" s="108"/>
      <c r="AF464" s="108"/>
      <c r="AG464" s="108"/>
      <c r="AH464" s="108"/>
      <c r="AI464" s="108"/>
      <c r="AJ464" s="108"/>
      <c r="AK464" s="108"/>
      <c r="AL464" s="108"/>
      <c r="AM464" s="108"/>
      <c r="AN464" s="108"/>
      <c r="AO464" s="108"/>
      <c r="AP464" s="108"/>
      <c r="AQ464" s="108"/>
      <c r="AR464" s="108"/>
      <c r="AS464" s="108"/>
      <c r="AT464" s="108"/>
      <c r="AU464" s="108"/>
      <c r="AV464" s="108"/>
      <c r="AW464" s="108"/>
      <c r="AX464" s="108"/>
      <c r="AY464" s="108"/>
      <c r="AZ464" s="108"/>
      <c r="BA464" s="108"/>
      <c r="BB464" s="108"/>
      <c r="BC464" s="108"/>
      <c r="BD464" s="108"/>
      <c r="BE464" s="108"/>
      <c r="BF464" s="108"/>
      <c r="BG464" s="108"/>
      <c r="BH464" s="108"/>
      <c r="BI464" s="108"/>
      <c r="BJ464" s="108"/>
      <c r="BK464" s="108"/>
      <c r="BL464" s="108"/>
      <c r="BM464" s="109"/>
      <c r="BN464" s="108"/>
      <c r="BO464" s="108"/>
      <c r="BP464" s="108"/>
    </row>
    <row r="465" spans="1:68" ht="12" customHeight="1" x14ac:dyDescent="0.2">
      <c r="A465" s="179"/>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c r="AA465" s="108"/>
      <c r="AB465" s="108"/>
      <c r="AC465" s="108"/>
      <c r="AD465" s="108"/>
      <c r="AE465" s="108"/>
      <c r="AF465" s="108"/>
      <c r="AG465" s="108"/>
      <c r="AH465" s="108"/>
      <c r="AI465" s="108"/>
      <c r="AJ465" s="108"/>
      <c r="AK465" s="108"/>
      <c r="AL465" s="108"/>
      <c r="AM465" s="108"/>
      <c r="AN465" s="108"/>
      <c r="AO465" s="108"/>
      <c r="AP465" s="108"/>
      <c r="AQ465" s="108"/>
      <c r="AR465" s="108"/>
      <c r="AS465" s="108"/>
      <c r="AT465" s="108"/>
      <c r="AU465" s="108"/>
      <c r="AV465" s="108"/>
      <c r="AW465" s="108"/>
      <c r="AX465" s="108"/>
      <c r="AY465" s="108"/>
      <c r="AZ465" s="108"/>
      <c r="BA465" s="108"/>
      <c r="BB465" s="108"/>
      <c r="BC465" s="108"/>
      <c r="BD465" s="108"/>
      <c r="BE465" s="108"/>
      <c r="BF465" s="108"/>
      <c r="BG465" s="108"/>
      <c r="BH465" s="108"/>
      <c r="BI465" s="108"/>
      <c r="BJ465" s="108"/>
      <c r="BK465" s="108"/>
      <c r="BL465" s="108"/>
      <c r="BM465" s="109"/>
      <c r="BN465" s="108"/>
      <c r="BO465" s="108"/>
      <c r="BP465" s="108"/>
    </row>
    <row r="466" spans="1:68" ht="12" customHeight="1" x14ac:dyDescent="0.2">
      <c r="A466" s="179"/>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c r="AA466" s="108"/>
      <c r="AB466" s="108"/>
      <c r="AC466" s="108"/>
      <c r="AD466" s="108"/>
      <c r="AE466" s="108"/>
      <c r="AF466" s="108"/>
      <c r="AG466" s="108"/>
      <c r="AH466" s="108"/>
      <c r="AI466" s="108"/>
      <c r="AJ466" s="108"/>
      <c r="AK466" s="108"/>
      <c r="AL466" s="108"/>
      <c r="AM466" s="108"/>
      <c r="AN466" s="108"/>
      <c r="AO466" s="108"/>
      <c r="AP466" s="108"/>
      <c r="AQ466" s="108"/>
      <c r="AR466" s="108"/>
      <c r="AS466" s="108"/>
      <c r="AT466" s="108"/>
      <c r="AU466" s="108"/>
      <c r="AV466" s="108"/>
      <c r="AW466" s="108"/>
      <c r="AX466" s="108"/>
      <c r="AY466" s="108"/>
      <c r="AZ466" s="108"/>
      <c r="BA466" s="108"/>
      <c r="BB466" s="108"/>
      <c r="BC466" s="108"/>
      <c r="BD466" s="108"/>
      <c r="BE466" s="108"/>
      <c r="BF466" s="108"/>
      <c r="BG466" s="108"/>
      <c r="BH466" s="108"/>
      <c r="BI466" s="108"/>
      <c r="BJ466" s="108"/>
      <c r="BK466" s="108"/>
      <c r="BL466" s="108"/>
      <c r="BM466" s="109"/>
      <c r="BN466" s="108"/>
      <c r="BO466" s="108"/>
      <c r="BP466" s="108"/>
    </row>
    <row r="467" spans="1:68" ht="12" customHeight="1" x14ac:dyDescent="0.2">
      <c r="A467" s="179"/>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c r="AA467" s="108"/>
      <c r="AB467" s="108"/>
      <c r="AC467" s="108"/>
      <c r="AD467" s="108"/>
      <c r="AE467" s="108"/>
      <c r="AF467" s="108"/>
      <c r="AG467" s="108"/>
      <c r="AH467" s="108"/>
      <c r="AI467" s="108"/>
      <c r="AJ467" s="108"/>
      <c r="AK467" s="108"/>
      <c r="AL467" s="108"/>
      <c r="AM467" s="108"/>
      <c r="AN467" s="108"/>
      <c r="AO467" s="108"/>
      <c r="AP467" s="108"/>
      <c r="AQ467" s="108"/>
      <c r="AR467" s="108"/>
      <c r="AS467" s="108"/>
      <c r="AT467" s="108"/>
      <c r="AU467" s="108"/>
      <c r="AV467" s="108"/>
      <c r="AW467" s="108"/>
      <c r="AX467" s="108"/>
      <c r="AY467" s="108"/>
      <c r="AZ467" s="108"/>
      <c r="BA467" s="108"/>
      <c r="BB467" s="108"/>
      <c r="BC467" s="108"/>
      <c r="BD467" s="108"/>
      <c r="BE467" s="108"/>
      <c r="BF467" s="108"/>
      <c r="BG467" s="108"/>
      <c r="BH467" s="108"/>
      <c r="BI467" s="108"/>
      <c r="BJ467" s="108"/>
      <c r="BK467" s="108"/>
      <c r="BL467" s="108"/>
      <c r="BM467" s="109"/>
      <c r="BN467" s="108"/>
      <c r="BO467" s="108"/>
      <c r="BP467" s="108"/>
    </row>
    <row r="468" spans="1:68" ht="12" customHeight="1" x14ac:dyDescent="0.2">
      <c r="A468" s="179"/>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c r="AA468" s="108"/>
      <c r="AB468" s="108"/>
      <c r="AC468" s="108"/>
      <c r="AD468" s="108"/>
      <c r="AE468" s="108"/>
      <c r="AF468" s="108"/>
      <c r="AG468" s="108"/>
      <c r="AH468" s="108"/>
      <c r="AI468" s="108"/>
      <c r="AJ468" s="108"/>
      <c r="AK468" s="108"/>
      <c r="AL468" s="108"/>
      <c r="AM468" s="108"/>
      <c r="AN468" s="108"/>
      <c r="AO468" s="108"/>
      <c r="AP468" s="108"/>
      <c r="AQ468" s="108"/>
      <c r="AR468" s="108"/>
      <c r="AS468" s="108"/>
      <c r="AT468" s="108"/>
      <c r="AU468" s="108"/>
      <c r="AV468" s="108"/>
      <c r="AW468" s="108"/>
      <c r="AX468" s="108"/>
      <c r="AY468" s="108"/>
      <c r="AZ468" s="108"/>
      <c r="BA468" s="108"/>
      <c r="BB468" s="108"/>
      <c r="BC468" s="108"/>
      <c r="BD468" s="108"/>
      <c r="BE468" s="108"/>
      <c r="BF468" s="108"/>
      <c r="BG468" s="108"/>
      <c r="BH468" s="108"/>
      <c r="BI468" s="108"/>
      <c r="BJ468" s="108"/>
      <c r="BK468" s="108"/>
      <c r="BL468" s="108"/>
      <c r="BM468" s="109"/>
      <c r="BN468" s="108"/>
      <c r="BO468" s="108"/>
      <c r="BP468" s="108"/>
    </row>
    <row r="469" spans="1:68" ht="12" customHeight="1" x14ac:dyDescent="0.2">
      <c r="A469" s="179"/>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c r="AA469" s="108"/>
      <c r="AB469" s="108"/>
      <c r="AC469" s="108"/>
      <c r="AD469" s="108"/>
      <c r="AE469" s="108"/>
      <c r="AF469" s="108"/>
      <c r="AG469" s="108"/>
      <c r="AH469" s="108"/>
      <c r="AI469" s="108"/>
      <c r="AJ469" s="108"/>
      <c r="AK469" s="108"/>
      <c r="AL469" s="108"/>
      <c r="AM469" s="108"/>
      <c r="AN469" s="108"/>
      <c r="AO469" s="108"/>
      <c r="AP469" s="108"/>
      <c r="AQ469" s="108"/>
      <c r="AR469" s="108"/>
      <c r="AS469" s="108"/>
      <c r="AT469" s="108"/>
      <c r="AU469" s="108"/>
      <c r="AV469" s="108"/>
      <c r="AW469" s="108"/>
      <c r="AX469" s="108"/>
      <c r="AY469" s="108"/>
      <c r="AZ469" s="108"/>
      <c r="BA469" s="108"/>
      <c r="BB469" s="108"/>
      <c r="BC469" s="108"/>
      <c r="BD469" s="108"/>
      <c r="BE469" s="108"/>
      <c r="BF469" s="108"/>
      <c r="BG469" s="108"/>
      <c r="BH469" s="108"/>
      <c r="BI469" s="108"/>
      <c r="BJ469" s="108"/>
      <c r="BK469" s="108"/>
      <c r="BL469" s="108"/>
      <c r="BM469" s="109"/>
      <c r="BN469" s="108"/>
      <c r="BO469" s="108"/>
      <c r="BP469" s="108"/>
    </row>
    <row r="470" spans="1:68" ht="12" customHeight="1" x14ac:dyDescent="0.2">
      <c r="A470" s="179"/>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c r="AA470" s="108"/>
      <c r="AB470" s="108"/>
      <c r="AC470" s="108"/>
      <c r="AD470" s="108"/>
      <c r="AE470" s="108"/>
      <c r="AF470" s="108"/>
      <c r="AG470" s="108"/>
      <c r="AH470" s="108"/>
      <c r="AI470" s="108"/>
      <c r="AJ470" s="108"/>
      <c r="AK470" s="108"/>
      <c r="AL470" s="108"/>
      <c r="AM470" s="108"/>
      <c r="AN470" s="108"/>
      <c r="AO470" s="108"/>
      <c r="AP470" s="108"/>
      <c r="AQ470" s="108"/>
      <c r="AR470" s="108"/>
      <c r="AS470" s="108"/>
      <c r="AT470" s="108"/>
      <c r="AU470" s="108"/>
      <c r="AV470" s="108"/>
      <c r="AW470" s="108"/>
      <c r="AX470" s="108"/>
      <c r="AY470" s="108"/>
      <c r="AZ470" s="108"/>
      <c r="BA470" s="108"/>
      <c r="BB470" s="108"/>
      <c r="BC470" s="108"/>
      <c r="BD470" s="108"/>
      <c r="BE470" s="108"/>
      <c r="BF470" s="108"/>
      <c r="BG470" s="108"/>
      <c r="BH470" s="108"/>
      <c r="BI470" s="108"/>
      <c r="BJ470" s="108"/>
      <c r="BK470" s="108"/>
      <c r="BL470" s="108"/>
      <c r="BM470" s="109"/>
      <c r="BN470" s="108"/>
      <c r="BO470" s="108"/>
      <c r="BP470" s="108"/>
    </row>
    <row r="471" spans="1:68" ht="12" customHeight="1" x14ac:dyDescent="0.2">
      <c r="A471" s="179"/>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c r="AA471" s="108"/>
      <c r="AB471" s="108"/>
      <c r="AC471" s="108"/>
      <c r="AD471" s="108"/>
      <c r="AE471" s="108"/>
      <c r="AF471" s="108"/>
      <c r="AG471" s="108"/>
      <c r="AH471" s="108"/>
      <c r="AI471" s="108"/>
      <c r="AJ471" s="108"/>
      <c r="AK471" s="108"/>
      <c r="AL471" s="108"/>
      <c r="AM471" s="108"/>
      <c r="AN471" s="108"/>
      <c r="AO471" s="108"/>
      <c r="AP471" s="108"/>
      <c r="AQ471" s="108"/>
      <c r="AR471" s="108"/>
      <c r="AS471" s="108"/>
      <c r="AT471" s="108"/>
      <c r="AU471" s="108"/>
      <c r="AV471" s="108"/>
      <c r="AW471" s="108"/>
      <c r="AX471" s="108"/>
      <c r="AY471" s="108"/>
      <c r="AZ471" s="108"/>
      <c r="BA471" s="108"/>
      <c r="BB471" s="108"/>
      <c r="BC471" s="108"/>
      <c r="BD471" s="108"/>
      <c r="BE471" s="108"/>
      <c r="BF471" s="108"/>
      <c r="BG471" s="108"/>
      <c r="BH471" s="108"/>
      <c r="BI471" s="108"/>
      <c r="BJ471" s="108"/>
      <c r="BK471" s="108"/>
      <c r="BL471" s="108"/>
      <c r="BM471" s="109"/>
      <c r="BN471" s="108"/>
      <c r="BO471" s="108"/>
      <c r="BP471" s="108"/>
    </row>
    <row r="472" spans="1:68" ht="12" customHeight="1" x14ac:dyDescent="0.2">
      <c r="A472" s="179"/>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c r="AA472" s="108"/>
      <c r="AB472" s="108"/>
      <c r="AC472" s="108"/>
      <c r="AD472" s="108"/>
      <c r="AE472" s="108"/>
      <c r="AF472" s="108"/>
      <c r="AG472" s="108"/>
      <c r="AH472" s="108"/>
      <c r="AI472" s="108"/>
      <c r="AJ472" s="108"/>
      <c r="AK472" s="108"/>
      <c r="AL472" s="108"/>
      <c r="AM472" s="108"/>
      <c r="AN472" s="108"/>
      <c r="AO472" s="108"/>
      <c r="AP472" s="108"/>
      <c r="AQ472" s="108"/>
      <c r="AR472" s="108"/>
      <c r="AS472" s="108"/>
      <c r="AT472" s="108"/>
      <c r="AU472" s="108"/>
      <c r="AV472" s="108"/>
      <c r="AW472" s="108"/>
      <c r="AX472" s="108"/>
      <c r="AY472" s="108"/>
      <c r="AZ472" s="108"/>
      <c r="BA472" s="108"/>
      <c r="BB472" s="108"/>
      <c r="BC472" s="108"/>
      <c r="BD472" s="108"/>
      <c r="BE472" s="108"/>
      <c r="BF472" s="108"/>
      <c r="BG472" s="108"/>
      <c r="BH472" s="108"/>
      <c r="BI472" s="108"/>
      <c r="BJ472" s="108"/>
      <c r="BK472" s="108"/>
      <c r="BL472" s="108"/>
      <c r="BM472" s="109"/>
      <c r="BN472" s="108"/>
      <c r="BO472" s="108"/>
      <c r="BP472" s="108"/>
    </row>
    <row r="473" spans="1:68" ht="12" customHeight="1" x14ac:dyDescent="0.2">
      <c r="A473" s="179"/>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c r="AA473" s="108"/>
      <c r="AB473" s="108"/>
      <c r="AC473" s="108"/>
      <c r="AD473" s="108"/>
      <c r="AE473" s="108"/>
      <c r="AF473" s="108"/>
      <c r="AG473" s="108"/>
      <c r="AH473" s="108"/>
      <c r="AI473" s="108"/>
      <c r="AJ473" s="108"/>
      <c r="AK473" s="108"/>
      <c r="AL473" s="108"/>
      <c r="AM473" s="108"/>
      <c r="AN473" s="108"/>
      <c r="AO473" s="108"/>
      <c r="AP473" s="108"/>
      <c r="AQ473" s="108"/>
      <c r="AR473" s="108"/>
      <c r="AS473" s="108"/>
      <c r="AT473" s="108"/>
      <c r="AU473" s="108"/>
      <c r="AV473" s="108"/>
      <c r="AW473" s="108"/>
      <c r="AX473" s="108"/>
      <c r="AY473" s="108"/>
      <c r="AZ473" s="108"/>
      <c r="BA473" s="108"/>
      <c r="BB473" s="108"/>
      <c r="BC473" s="108"/>
      <c r="BD473" s="108"/>
      <c r="BE473" s="108"/>
      <c r="BF473" s="108"/>
      <c r="BG473" s="108"/>
      <c r="BH473" s="108"/>
      <c r="BI473" s="108"/>
      <c r="BJ473" s="108"/>
      <c r="BK473" s="108"/>
      <c r="BL473" s="108"/>
      <c r="BM473" s="109"/>
      <c r="BN473" s="108"/>
      <c r="BO473" s="108"/>
      <c r="BP473" s="108"/>
    </row>
    <row r="474" spans="1:68" ht="12" customHeight="1" x14ac:dyDescent="0.2">
      <c r="A474" s="179"/>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c r="AA474" s="108"/>
      <c r="AB474" s="108"/>
      <c r="AC474" s="108"/>
      <c r="AD474" s="108"/>
      <c r="AE474" s="108"/>
      <c r="AF474" s="108"/>
      <c r="AG474" s="108"/>
      <c r="AH474" s="108"/>
      <c r="AI474" s="108"/>
      <c r="AJ474" s="108"/>
      <c r="AK474" s="108"/>
      <c r="AL474" s="108"/>
      <c r="AM474" s="108"/>
      <c r="AN474" s="108"/>
      <c r="AO474" s="108"/>
      <c r="AP474" s="108"/>
      <c r="AQ474" s="108"/>
      <c r="AR474" s="108"/>
      <c r="AS474" s="108"/>
      <c r="AT474" s="108"/>
      <c r="AU474" s="108"/>
      <c r="AV474" s="108"/>
      <c r="AW474" s="108"/>
      <c r="AX474" s="108"/>
      <c r="AY474" s="108"/>
      <c r="AZ474" s="108"/>
      <c r="BA474" s="108"/>
      <c r="BB474" s="108"/>
      <c r="BC474" s="108"/>
      <c r="BD474" s="108"/>
      <c r="BE474" s="108"/>
      <c r="BF474" s="108"/>
      <c r="BG474" s="108"/>
      <c r="BH474" s="108"/>
      <c r="BI474" s="108"/>
      <c r="BJ474" s="108"/>
      <c r="BK474" s="108"/>
      <c r="BL474" s="108"/>
      <c r="BM474" s="109"/>
      <c r="BN474" s="108"/>
      <c r="BO474" s="108"/>
      <c r="BP474" s="108"/>
    </row>
    <row r="475" spans="1:68" ht="12" customHeight="1" x14ac:dyDescent="0.2">
      <c r="A475" s="179"/>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c r="AA475" s="108"/>
      <c r="AB475" s="108"/>
      <c r="AC475" s="108"/>
      <c r="AD475" s="108"/>
      <c r="AE475" s="108"/>
      <c r="AF475" s="108"/>
      <c r="AG475" s="108"/>
      <c r="AH475" s="108"/>
      <c r="AI475" s="108"/>
      <c r="AJ475" s="108"/>
      <c r="AK475" s="108"/>
      <c r="AL475" s="108"/>
      <c r="AM475" s="108"/>
      <c r="AN475" s="108"/>
      <c r="AO475" s="108"/>
      <c r="AP475" s="108"/>
      <c r="AQ475" s="108"/>
      <c r="AR475" s="108"/>
      <c r="AS475" s="108"/>
      <c r="AT475" s="108"/>
      <c r="AU475" s="108"/>
      <c r="AV475" s="108"/>
      <c r="AW475" s="108"/>
      <c r="AX475" s="108"/>
      <c r="AY475" s="108"/>
      <c r="AZ475" s="108"/>
      <c r="BA475" s="108"/>
      <c r="BB475" s="108"/>
      <c r="BC475" s="108"/>
      <c r="BD475" s="108"/>
      <c r="BE475" s="108"/>
      <c r="BF475" s="108"/>
      <c r="BG475" s="108"/>
      <c r="BH475" s="108"/>
      <c r="BI475" s="108"/>
      <c r="BJ475" s="108"/>
      <c r="BK475" s="108"/>
      <c r="BL475" s="108"/>
      <c r="BM475" s="109"/>
      <c r="BN475" s="108"/>
      <c r="BO475" s="108"/>
      <c r="BP475" s="108"/>
    </row>
    <row r="476" spans="1:68" ht="12" customHeight="1" x14ac:dyDescent="0.2">
      <c r="A476" s="179"/>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c r="AA476" s="108"/>
      <c r="AB476" s="108"/>
      <c r="AC476" s="108"/>
      <c r="AD476" s="108"/>
      <c r="AE476" s="108"/>
      <c r="AF476" s="108"/>
      <c r="AG476" s="108"/>
      <c r="AH476" s="108"/>
      <c r="AI476" s="108"/>
      <c r="AJ476" s="108"/>
      <c r="AK476" s="108"/>
      <c r="AL476" s="108"/>
      <c r="AM476" s="108"/>
      <c r="AN476" s="108"/>
      <c r="AO476" s="108"/>
      <c r="AP476" s="108"/>
      <c r="AQ476" s="108"/>
      <c r="AR476" s="108"/>
      <c r="AS476" s="108"/>
      <c r="AT476" s="108"/>
      <c r="AU476" s="108"/>
      <c r="AV476" s="108"/>
      <c r="AW476" s="108"/>
      <c r="AX476" s="108"/>
      <c r="AY476" s="108"/>
      <c r="AZ476" s="108"/>
      <c r="BA476" s="108"/>
      <c r="BB476" s="108"/>
      <c r="BC476" s="108"/>
      <c r="BD476" s="108"/>
      <c r="BE476" s="108"/>
      <c r="BF476" s="108"/>
      <c r="BG476" s="108"/>
      <c r="BH476" s="108"/>
      <c r="BI476" s="108"/>
      <c r="BJ476" s="108"/>
      <c r="BK476" s="108"/>
      <c r="BL476" s="108"/>
      <c r="BM476" s="109"/>
      <c r="BN476" s="108"/>
      <c r="BO476" s="108"/>
      <c r="BP476" s="108"/>
    </row>
    <row r="477" spans="1:68" ht="12" customHeight="1" x14ac:dyDescent="0.2">
      <c r="A477" s="179"/>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c r="AA477" s="108"/>
      <c r="AB477" s="108"/>
      <c r="AC477" s="108"/>
      <c r="AD477" s="108"/>
      <c r="AE477" s="108"/>
      <c r="AF477" s="108"/>
      <c r="AG477" s="108"/>
      <c r="AH477" s="108"/>
      <c r="AI477" s="108"/>
      <c r="AJ477" s="108"/>
      <c r="AK477" s="108"/>
      <c r="AL477" s="108"/>
      <c r="AM477" s="108"/>
      <c r="AN477" s="108"/>
      <c r="AO477" s="108"/>
      <c r="AP477" s="108"/>
      <c r="AQ477" s="108"/>
      <c r="AR477" s="108"/>
      <c r="AS477" s="108"/>
      <c r="AT477" s="108"/>
      <c r="AU477" s="108"/>
      <c r="AV477" s="108"/>
      <c r="AW477" s="108"/>
      <c r="AX477" s="108"/>
      <c r="AY477" s="108"/>
      <c r="AZ477" s="108"/>
      <c r="BA477" s="108"/>
      <c r="BB477" s="108"/>
      <c r="BC477" s="108"/>
      <c r="BD477" s="108"/>
      <c r="BE477" s="108"/>
      <c r="BF477" s="108"/>
      <c r="BG477" s="108"/>
      <c r="BH477" s="108"/>
      <c r="BI477" s="108"/>
      <c r="BJ477" s="108"/>
      <c r="BK477" s="108"/>
      <c r="BL477" s="108"/>
      <c r="BM477" s="109"/>
      <c r="BN477" s="108"/>
      <c r="BO477" s="108"/>
      <c r="BP477" s="108"/>
    </row>
    <row r="478" spans="1:68" ht="12" customHeight="1" x14ac:dyDescent="0.2">
      <c r="A478" s="179"/>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c r="AA478" s="108"/>
      <c r="AB478" s="108"/>
      <c r="AC478" s="108"/>
      <c r="AD478" s="108"/>
      <c r="AE478" s="108"/>
      <c r="AF478" s="108"/>
      <c r="AG478" s="108"/>
      <c r="AH478" s="108"/>
      <c r="AI478" s="108"/>
      <c r="AJ478" s="108"/>
      <c r="AK478" s="108"/>
      <c r="AL478" s="108"/>
      <c r="AM478" s="108"/>
      <c r="AN478" s="108"/>
      <c r="AO478" s="108"/>
      <c r="AP478" s="108"/>
      <c r="AQ478" s="108"/>
      <c r="AR478" s="108"/>
      <c r="AS478" s="108"/>
      <c r="AT478" s="108"/>
      <c r="AU478" s="108"/>
      <c r="AV478" s="108"/>
      <c r="AW478" s="108"/>
      <c r="AX478" s="108"/>
      <c r="AY478" s="108"/>
      <c r="AZ478" s="108"/>
      <c r="BA478" s="108"/>
      <c r="BB478" s="108"/>
      <c r="BC478" s="108"/>
      <c r="BD478" s="108"/>
      <c r="BE478" s="108"/>
      <c r="BF478" s="108"/>
      <c r="BG478" s="108"/>
      <c r="BH478" s="108"/>
      <c r="BI478" s="108"/>
      <c r="BJ478" s="108"/>
      <c r="BK478" s="108"/>
      <c r="BL478" s="108"/>
      <c r="BM478" s="109"/>
      <c r="BN478" s="108"/>
      <c r="BO478" s="108"/>
      <c r="BP478" s="108"/>
    </row>
    <row r="479" spans="1:68" ht="12" customHeight="1" x14ac:dyDescent="0.2">
      <c r="A479" s="179"/>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c r="AA479" s="108"/>
      <c r="AB479" s="108"/>
      <c r="AC479" s="108"/>
      <c r="AD479" s="108"/>
      <c r="AE479" s="108"/>
      <c r="AF479" s="108"/>
      <c r="AG479" s="108"/>
      <c r="AH479" s="108"/>
      <c r="AI479" s="108"/>
      <c r="AJ479" s="108"/>
      <c r="AK479" s="108"/>
      <c r="AL479" s="108"/>
      <c r="AM479" s="108"/>
      <c r="AN479" s="108"/>
      <c r="AO479" s="108"/>
      <c r="AP479" s="108"/>
      <c r="AQ479" s="108"/>
      <c r="AR479" s="108"/>
      <c r="AS479" s="108"/>
      <c r="AT479" s="108"/>
      <c r="AU479" s="108"/>
      <c r="AV479" s="108"/>
      <c r="AW479" s="108"/>
      <c r="AX479" s="108"/>
      <c r="AY479" s="108"/>
      <c r="AZ479" s="108"/>
      <c r="BA479" s="108"/>
      <c r="BB479" s="108"/>
      <c r="BC479" s="108"/>
      <c r="BD479" s="108"/>
      <c r="BE479" s="108"/>
      <c r="BF479" s="108"/>
      <c r="BG479" s="108"/>
      <c r="BH479" s="108"/>
      <c r="BI479" s="108"/>
      <c r="BJ479" s="108"/>
      <c r="BK479" s="108"/>
      <c r="BL479" s="108"/>
      <c r="BM479" s="109"/>
      <c r="BN479" s="108"/>
      <c r="BO479" s="108"/>
      <c r="BP479" s="108"/>
    </row>
    <row r="480" spans="1:68" ht="12" customHeight="1" x14ac:dyDescent="0.2">
      <c r="A480" s="179"/>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c r="AA480" s="108"/>
      <c r="AB480" s="108"/>
      <c r="AC480" s="108"/>
      <c r="AD480" s="108"/>
      <c r="AE480" s="108"/>
      <c r="AF480" s="108"/>
      <c r="AG480" s="108"/>
      <c r="AH480" s="108"/>
      <c r="AI480" s="108"/>
      <c r="AJ480" s="108"/>
      <c r="AK480" s="108"/>
      <c r="AL480" s="108"/>
      <c r="AM480" s="108"/>
      <c r="AN480" s="108"/>
      <c r="AO480" s="108"/>
      <c r="AP480" s="108"/>
      <c r="AQ480" s="108"/>
      <c r="AR480" s="108"/>
      <c r="AS480" s="108"/>
      <c r="AT480" s="108"/>
      <c r="AU480" s="108"/>
      <c r="AV480" s="108"/>
      <c r="AW480" s="108"/>
      <c r="AX480" s="108"/>
      <c r="AY480" s="108"/>
      <c r="AZ480" s="108"/>
      <c r="BA480" s="108"/>
      <c r="BB480" s="108"/>
      <c r="BC480" s="108"/>
      <c r="BD480" s="108"/>
      <c r="BE480" s="108"/>
      <c r="BF480" s="108"/>
      <c r="BG480" s="108"/>
      <c r="BH480" s="108"/>
      <c r="BI480" s="108"/>
      <c r="BJ480" s="108"/>
      <c r="BK480" s="108"/>
      <c r="BL480" s="108"/>
      <c r="BM480" s="109"/>
      <c r="BN480" s="108"/>
      <c r="BO480" s="108"/>
      <c r="BP480" s="108"/>
    </row>
    <row r="481" spans="1:68" ht="12" customHeight="1" x14ac:dyDescent="0.2">
      <c r="A481" s="179"/>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c r="AA481" s="108"/>
      <c r="AB481" s="108"/>
      <c r="AC481" s="108"/>
      <c r="AD481" s="108"/>
      <c r="AE481" s="108"/>
      <c r="AF481" s="108"/>
      <c r="AG481" s="108"/>
      <c r="AH481" s="108"/>
      <c r="AI481" s="108"/>
      <c r="AJ481" s="108"/>
      <c r="AK481" s="108"/>
      <c r="AL481" s="108"/>
      <c r="AM481" s="108"/>
      <c r="AN481" s="108"/>
      <c r="AO481" s="108"/>
      <c r="AP481" s="108"/>
      <c r="AQ481" s="108"/>
      <c r="AR481" s="108"/>
      <c r="AS481" s="108"/>
      <c r="AT481" s="108"/>
      <c r="AU481" s="108"/>
      <c r="AV481" s="108"/>
      <c r="AW481" s="108"/>
      <c r="AX481" s="108"/>
      <c r="AY481" s="108"/>
      <c r="AZ481" s="108"/>
      <c r="BA481" s="108"/>
      <c r="BB481" s="108"/>
      <c r="BC481" s="108"/>
      <c r="BD481" s="108"/>
      <c r="BE481" s="108"/>
      <c r="BF481" s="108"/>
      <c r="BG481" s="108"/>
      <c r="BH481" s="108"/>
      <c r="BI481" s="108"/>
      <c r="BJ481" s="108"/>
      <c r="BK481" s="108"/>
      <c r="BL481" s="108"/>
      <c r="BM481" s="109"/>
      <c r="BN481" s="108"/>
      <c r="BO481" s="108"/>
      <c r="BP481" s="108"/>
    </row>
    <row r="482" spans="1:68" ht="12" customHeight="1" x14ac:dyDescent="0.2">
      <c r="A482" s="179"/>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c r="AA482" s="108"/>
      <c r="AB482" s="108"/>
      <c r="AC482" s="108"/>
      <c r="AD482" s="108"/>
      <c r="AE482" s="108"/>
      <c r="AF482" s="108"/>
      <c r="AG482" s="108"/>
      <c r="AH482" s="108"/>
      <c r="AI482" s="108"/>
      <c r="AJ482" s="108"/>
      <c r="AK482" s="108"/>
      <c r="AL482" s="108"/>
      <c r="AM482" s="108"/>
      <c r="AN482" s="108"/>
      <c r="AO482" s="108"/>
      <c r="AP482" s="108"/>
      <c r="AQ482" s="108"/>
      <c r="AR482" s="108"/>
      <c r="AS482" s="108"/>
      <c r="AT482" s="108"/>
      <c r="AU482" s="108"/>
      <c r="AV482" s="108"/>
      <c r="AW482" s="108"/>
      <c r="AX482" s="108"/>
      <c r="AY482" s="108"/>
      <c r="AZ482" s="108"/>
      <c r="BA482" s="108"/>
      <c r="BB482" s="108"/>
      <c r="BC482" s="108"/>
      <c r="BD482" s="108"/>
      <c r="BE482" s="108"/>
      <c r="BF482" s="108"/>
      <c r="BG482" s="108"/>
      <c r="BH482" s="108"/>
      <c r="BI482" s="108"/>
      <c r="BJ482" s="108"/>
      <c r="BK482" s="108"/>
      <c r="BL482" s="108"/>
      <c r="BM482" s="109"/>
      <c r="BN482" s="108"/>
      <c r="BO482" s="108"/>
      <c r="BP482" s="108"/>
    </row>
    <row r="483" spans="1:68" ht="12" customHeight="1" x14ac:dyDescent="0.2">
      <c r="A483" s="179"/>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c r="AA483" s="108"/>
      <c r="AB483" s="108"/>
      <c r="AC483" s="108"/>
      <c r="AD483" s="108"/>
      <c r="AE483" s="108"/>
      <c r="AF483" s="108"/>
      <c r="AG483" s="108"/>
      <c r="AH483" s="108"/>
      <c r="AI483" s="108"/>
      <c r="AJ483" s="108"/>
      <c r="AK483" s="108"/>
      <c r="AL483" s="108"/>
      <c r="AM483" s="108"/>
      <c r="AN483" s="108"/>
      <c r="AO483" s="108"/>
      <c r="AP483" s="108"/>
      <c r="AQ483" s="108"/>
      <c r="AR483" s="108"/>
      <c r="AS483" s="108"/>
      <c r="AT483" s="108"/>
      <c r="AU483" s="108"/>
      <c r="AV483" s="108"/>
      <c r="AW483" s="108"/>
      <c r="AX483" s="108"/>
      <c r="AY483" s="108"/>
      <c r="AZ483" s="108"/>
      <c r="BA483" s="108"/>
      <c r="BB483" s="108"/>
      <c r="BC483" s="108"/>
      <c r="BD483" s="108"/>
      <c r="BE483" s="108"/>
      <c r="BF483" s="108"/>
      <c r="BG483" s="108"/>
      <c r="BH483" s="108"/>
      <c r="BI483" s="108"/>
      <c r="BJ483" s="108"/>
      <c r="BK483" s="108"/>
      <c r="BL483" s="108"/>
      <c r="BM483" s="109"/>
      <c r="BN483" s="108"/>
      <c r="BO483" s="108"/>
      <c r="BP483" s="108"/>
    </row>
    <row r="484" spans="1:68" ht="12" customHeight="1" x14ac:dyDescent="0.2">
      <c r="A484" s="179"/>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c r="AA484" s="108"/>
      <c r="AB484" s="108"/>
      <c r="AC484" s="108"/>
      <c r="AD484" s="108"/>
      <c r="AE484" s="108"/>
      <c r="AF484" s="108"/>
      <c r="AG484" s="108"/>
      <c r="AH484" s="108"/>
      <c r="AI484" s="108"/>
      <c r="AJ484" s="108"/>
      <c r="AK484" s="108"/>
      <c r="AL484" s="108"/>
      <c r="AM484" s="108"/>
      <c r="AN484" s="108"/>
      <c r="AO484" s="108"/>
      <c r="AP484" s="108"/>
      <c r="AQ484" s="108"/>
      <c r="AR484" s="108"/>
      <c r="AS484" s="108"/>
      <c r="AT484" s="108"/>
      <c r="AU484" s="108"/>
      <c r="AV484" s="108"/>
      <c r="AW484" s="108"/>
      <c r="AX484" s="108"/>
      <c r="AY484" s="108"/>
      <c r="AZ484" s="108"/>
      <c r="BA484" s="108"/>
      <c r="BB484" s="108"/>
      <c r="BC484" s="108"/>
      <c r="BD484" s="108"/>
      <c r="BE484" s="108"/>
      <c r="BF484" s="108"/>
      <c r="BG484" s="108"/>
      <c r="BH484" s="108"/>
      <c r="BI484" s="108"/>
      <c r="BJ484" s="108"/>
      <c r="BK484" s="108"/>
      <c r="BL484" s="108"/>
      <c r="BM484" s="109"/>
      <c r="BN484" s="108"/>
      <c r="BO484" s="108"/>
      <c r="BP484" s="108"/>
    </row>
    <row r="485" spans="1:68" ht="12" customHeight="1" x14ac:dyDescent="0.2">
      <c r="A485" s="179"/>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c r="AA485" s="108"/>
      <c r="AB485" s="108"/>
      <c r="AC485" s="108"/>
      <c r="AD485" s="108"/>
      <c r="AE485" s="108"/>
      <c r="AF485" s="108"/>
      <c r="AG485" s="108"/>
      <c r="AH485" s="108"/>
      <c r="AI485" s="108"/>
      <c r="AJ485" s="108"/>
      <c r="AK485" s="108"/>
      <c r="AL485" s="108"/>
      <c r="AM485" s="108"/>
      <c r="AN485" s="108"/>
      <c r="AO485" s="108"/>
      <c r="AP485" s="108"/>
      <c r="AQ485" s="108"/>
      <c r="AR485" s="108"/>
      <c r="AS485" s="108"/>
      <c r="AT485" s="108"/>
      <c r="AU485" s="108"/>
      <c r="AV485" s="108"/>
      <c r="AW485" s="108"/>
      <c r="AX485" s="108"/>
      <c r="AY485" s="108"/>
      <c r="AZ485" s="108"/>
      <c r="BA485" s="108"/>
      <c r="BB485" s="108"/>
      <c r="BC485" s="108"/>
      <c r="BD485" s="108"/>
      <c r="BE485" s="108"/>
      <c r="BF485" s="108"/>
      <c r="BG485" s="108"/>
      <c r="BH485" s="108"/>
      <c r="BI485" s="108"/>
      <c r="BJ485" s="108"/>
      <c r="BK485" s="108"/>
      <c r="BL485" s="108"/>
      <c r="BM485" s="109"/>
      <c r="BN485" s="108"/>
      <c r="BO485" s="108"/>
      <c r="BP485" s="108"/>
    </row>
    <row r="486" spans="1:68" ht="12" customHeight="1" x14ac:dyDescent="0.2">
      <c r="A486" s="179"/>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c r="AA486" s="108"/>
      <c r="AB486" s="108"/>
      <c r="AC486" s="108"/>
      <c r="AD486" s="108"/>
      <c r="AE486" s="108"/>
      <c r="AF486" s="108"/>
      <c r="AG486" s="108"/>
      <c r="AH486" s="108"/>
      <c r="AI486" s="108"/>
      <c r="AJ486" s="108"/>
      <c r="AK486" s="108"/>
      <c r="AL486" s="108"/>
      <c r="AM486" s="108"/>
      <c r="AN486" s="108"/>
      <c r="AO486" s="108"/>
      <c r="AP486" s="108"/>
      <c r="AQ486" s="108"/>
      <c r="AR486" s="108"/>
      <c r="AS486" s="108"/>
      <c r="AT486" s="108"/>
      <c r="AU486" s="108"/>
      <c r="AV486" s="108"/>
      <c r="AW486" s="108"/>
      <c r="AX486" s="108"/>
      <c r="AY486" s="108"/>
      <c r="AZ486" s="108"/>
      <c r="BA486" s="108"/>
      <c r="BB486" s="108"/>
      <c r="BC486" s="108"/>
      <c r="BD486" s="108"/>
      <c r="BE486" s="108"/>
      <c r="BF486" s="108"/>
      <c r="BG486" s="108"/>
      <c r="BH486" s="108"/>
      <c r="BI486" s="108"/>
      <c r="BJ486" s="108"/>
      <c r="BK486" s="108"/>
      <c r="BL486" s="108"/>
      <c r="BM486" s="109"/>
      <c r="BN486" s="108"/>
      <c r="BO486" s="108"/>
      <c r="BP486" s="108"/>
    </row>
    <row r="487" spans="1:68" ht="12" customHeight="1" x14ac:dyDescent="0.2">
      <c r="A487" s="179"/>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c r="AA487" s="108"/>
      <c r="AB487" s="108"/>
      <c r="AC487" s="108"/>
      <c r="AD487" s="108"/>
      <c r="AE487" s="108"/>
      <c r="AF487" s="108"/>
      <c r="AG487" s="108"/>
      <c r="AH487" s="108"/>
      <c r="AI487" s="108"/>
      <c r="AJ487" s="108"/>
      <c r="AK487" s="108"/>
      <c r="AL487" s="108"/>
      <c r="AM487" s="108"/>
      <c r="AN487" s="108"/>
      <c r="AO487" s="108"/>
      <c r="AP487" s="108"/>
      <c r="AQ487" s="108"/>
      <c r="AR487" s="108"/>
      <c r="AS487" s="108"/>
      <c r="AT487" s="108"/>
      <c r="AU487" s="108"/>
      <c r="AV487" s="108"/>
      <c r="AW487" s="108"/>
      <c r="AX487" s="108"/>
      <c r="AY487" s="108"/>
      <c r="AZ487" s="108"/>
      <c r="BA487" s="108"/>
      <c r="BB487" s="108"/>
      <c r="BC487" s="108"/>
      <c r="BD487" s="108"/>
      <c r="BE487" s="108"/>
      <c r="BF487" s="108"/>
      <c r="BG487" s="108"/>
      <c r="BH487" s="108"/>
      <c r="BI487" s="108"/>
      <c r="BJ487" s="108"/>
      <c r="BK487" s="108"/>
      <c r="BL487" s="108"/>
      <c r="BM487" s="109"/>
      <c r="BN487" s="108"/>
      <c r="BO487" s="108"/>
      <c r="BP487" s="108"/>
    </row>
    <row r="488" spans="1:68" ht="12" customHeight="1" x14ac:dyDescent="0.2">
      <c r="A488" s="179"/>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c r="AA488" s="108"/>
      <c r="AB488" s="108"/>
      <c r="AC488" s="108"/>
      <c r="AD488" s="108"/>
      <c r="AE488" s="108"/>
      <c r="AF488" s="108"/>
      <c r="AG488" s="108"/>
      <c r="AH488" s="108"/>
      <c r="AI488" s="108"/>
      <c r="AJ488" s="108"/>
      <c r="AK488" s="108"/>
      <c r="AL488" s="108"/>
      <c r="AM488" s="108"/>
      <c r="AN488" s="108"/>
      <c r="AO488" s="108"/>
      <c r="AP488" s="108"/>
      <c r="AQ488" s="108"/>
      <c r="AR488" s="108"/>
      <c r="AS488" s="108"/>
      <c r="AT488" s="108"/>
      <c r="AU488" s="108"/>
      <c r="AV488" s="108"/>
      <c r="AW488" s="108"/>
      <c r="AX488" s="108"/>
      <c r="AY488" s="108"/>
      <c r="AZ488" s="108"/>
      <c r="BA488" s="108"/>
      <c r="BB488" s="108"/>
      <c r="BC488" s="108"/>
      <c r="BD488" s="108"/>
      <c r="BE488" s="108"/>
      <c r="BF488" s="108"/>
      <c r="BG488" s="108"/>
      <c r="BH488" s="108"/>
      <c r="BI488" s="108"/>
      <c r="BJ488" s="108"/>
      <c r="BK488" s="108"/>
      <c r="BL488" s="108"/>
      <c r="BM488" s="109"/>
      <c r="BN488" s="108"/>
      <c r="BO488" s="108"/>
      <c r="BP488" s="108"/>
    </row>
    <row r="489" spans="1:68" ht="12" customHeight="1" x14ac:dyDescent="0.2">
      <c r="A489" s="179"/>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c r="AA489" s="108"/>
      <c r="AB489" s="108"/>
      <c r="AC489" s="108"/>
      <c r="AD489" s="108"/>
      <c r="AE489" s="108"/>
      <c r="AF489" s="108"/>
      <c r="AG489" s="108"/>
      <c r="AH489" s="108"/>
      <c r="AI489" s="108"/>
      <c r="AJ489" s="108"/>
      <c r="AK489" s="108"/>
      <c r="AL489" s="108"/>
      <c r="AM489" s="108"/>
      <c r="AN489" s="108"/>
      <c r="AO489" s="108"/>
      <c r="AP489" s="108"/>
      <c r="AQ489" s="108"/>
      <c r="AR489" s="108"/>
      <c r="AS489" s="108"/>
      <c r="AT489" s="108"/>
      <c r="AU489" s="108"/>
      <c r="AV489" s="108"/>
      <c r="AW489" s="108"/>
      <c r="AX489" s="108"/>
      <c r="AY489" s="108"/>
      <c r="AZ489" s="108"/>
      <c r="BA489" s="108"/>
      <c r="BB489" s="108"/>
      <c r="BC489" s="108"/>
      <c r="BD489" s="108"/>
      <c r="BE489" s="108"/>
      <c r="BF489" s="108"/>
      <c r="BG489" s="108"/>
      <c r="BH489" s="108"/>
      <c r="BI489" s="108"/>
      <c r="BJ489" s="108"/>
      <c r="BK489" s="108"/>
      <c r="BL489" s="108"/>
      <c r="BM489" s="109"/>
      <c r="BN489" s="108"/>
      <c r="BO489" s="108"/>
      <c r="BP489" s="108"/>
    </row>
    <row r="490" spans="1:68" ht="12" customHeight="1" x14ac:dyDescent="0.2">
      <c r="A490" s="179"/>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c r="AA490" s="108"/>
      <c r="AB490" s="108"/>
      <c r="AC490" s="108"/>
      <c r="AD490" s="108"/>
      <c r="AE490" s="108"/>
      <c r="AF490" s="108"/>
      <c r="AG490" s="108"/>
      <c r="AH490" s="108"/>
      <c r="AI490" s="108"/>
      <c r="AJ490" s="108"/>
      <c r="AK490" s="108"/>
      <c r="AL490" s="108"/>
      <c r="AM490" s="108"/>
      <c r="AN490" s="108"/>
      <c r="AO490" s="108"/>
      <c r="AP490" s="108"/>
      <c r="AQ490" s="108"/>
      <c r="AR490" s="108"/>
      <c r="AS490" s="108"/>
      <c r="AT490" s="108"/>
      <c r="AU490" s="108"/>
      <c r="AV490" s="108"/>
      <c r="AW490" s="108"/>
      <c r="AX490" s="108"/>
      <c r="AY490" s="108"/>
      <c r="AZ490" s="108"/>
      <c r="BA490" s="108"/>
      <c r="BB490" s="108"/>
      <c r="BC490" s="108"/>
      <c r="BD490" s="108"/>
      <c r="BE490" s="108"/>
      <c r="BF490" s="108"/>
      <c r="BG490" s="108"/>
      <c r="BH490" s="108"/>
      <c r="BI490" s="108"/>
      <c r="BJ490" s="108"/>
      <c r="BK490" s="108"/>
      <c r="BL490" s="108"/>
      <c r="BM490" s="109"/>
      <c r="BN490" s="108"/>
      <c r="BO490" s="108"/>
      <c r="BP490" s="108"/>
    </row>
    <row r="491" spans="1:68" ht="12" customHeight="1" x14ac:dyDescent="0.2">
      <c r="A491" s="179"/>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c r="AA491" s="108"/>
      <c r="AB491" s="108"/>
      <c r="AC491" s="108"/>
      <c r="AD491" s="108"/>
      <c r="AE491" s="108"/>
      <c r="AF491" s="108"/>
      <c r="AG491" s="108"/>
      <c r="AH491" s="108"/>
      <c r="AI491" s="108"/>
      <c r="AJ491" s="108"/>
      <c r="AK491" s="108"/>
      <c r="AL491" s="108"/>
      <c r="AM491" s="108"/>
      <c r="AN491" s="108"/>
      <c r="AO491" s="108"/>
      <c r="AP491" s="108"/>
      <c r="AQ491" s="108"/>
      <c r="AR491" s="108"/>
      <c r="AS491" s="108"/>
      <c r="AT491" s="108"/>
      <c r="AU491" s="108"/>
      <c r="AV491" s="108"/>
      <c r="AW491" s="108"/>
      <c r="AX491" s="108"/>
      <c r="AY491" s="108"/>
      <c r="AZ491" s="108"/>
      <c r="BA491" s="108"/>
      <c r="BB491" s="108"/>
      <c r="BC491" s="108"/>
      <c r="BD491" s="108"/>
      <c r="BE491" s="108"/>
      <c r="BF491" s="108"/>
      <c r="BG491" s="108"/>
      <c r="BH491" s="108"/>
      <c r="BI491" s="108"/>
      <c r="BJ491" s="108"/>
      <c r="BK491" s="108"/>
      <c r="BL491" s="108"/>
      <c r="BM491" s="109"/>
      <c r="BN491" s="108"/>
      <c r="BO491" s="108"/>
      <c r="BP491" s="108"/>
    </row>
    <row r="492" spans="1:68" ht="12" customHeight="1" x14ac:dyDescent="0.2">
      <c r="A492" s="179"/>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c r="AA492" s="108"/>
      <c r="AB492" s="108"/>
      <c r="AC492" s="108"/>
      <c r="AD492" s="108"/>
      <c r="AE492" s="108"/>
      <c r="AF492" s="108"/>
      <c r="AG492" s="108"/>
      <c r="AH492" s="108"/>
      <c r="AI492" s="108"/>
      <c r="AJ492" s="108"/>
      <c r="AK492" s="108"/>
      <c r="AL492" s="108"/>
      <c r="AM492" s="108"/>
      <c r="AN492" s="108"/>
      <c r="AO492" s="108"/>
      <c r="AP492" s="108"/>
      <c r="AQ492" s="108"/>
      <c r="AR492" s="108"/>
      <c r="AS492" s="108"/>
      <c r="AT492" s="108"/>
      <c r="AU492" s="108"/>
      <c r="AV492" s="108"/>
      <c r="AW492" s="108"/>
      <c r="AX492" s="108"/>
      <c r="AY492" s="108"/>
      <c r="AZ492" s="108"/>
      <c r="BA492" s="108"/>
      <c r="BB492" s="108"/>
      <c r="BC492" s="108"/>
      <c r="BD492" s="108"/>
      <c r="BE492" s="108"/>
      <c r="BF492" s="108"/>
      <c r="BG492" s="108"/>
      <c r="BH492" s="108"/>
      <c r="BI492" s="108"/>
      <c r="BJ492" s="108"/>
      <c r="BK492" s="108"/>
      <c r="BL492" s="108"/>
      <c r="BM492" s="109"/>
      <c r="BN492" s="108"/>
      <c r="BO492" s="108"/>
      <c r="BP492" s="108"/>
    </row>
    <row r="493" spans="1:68" ht="12" customHeight="1" x14ac:dyDescent="0.2">
      <c r="A493" s="179"/>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c r="AA493" s="108"/>
      <c r="AB493" s="108"/>
      <c r="AC493" s="108"/>
      <c r="AD493" s="108"/>
      <c r="AE493" s="108"/>
      <c r="AF493" s="108"/>
      <c r="AG493" s="108"/>
      <c r="AH493" s="108"/>
      <c r="AI493" s="108"/>
      <c r="AJ493" s="108"/>
      <c r="AK493" s="108"/>
      <c r="AL493" s="108"/>
      <c r="AM493" s="108"/>
      <c r="AN493" s="108"/>
      <c r="AO493" s="108"/>
      <c r="AP493" s="108"/>
      <c r="AQ493" s="108"/>
      <c r="AR493" s="108"/>
      <c r="AS493" s="108"/>
      <c r="AT493" s="108"/>
      <c r="AU493" s="108"/>
      <c r="AV493" s="108"/>
      <c r="AW493" s="108"/>
      <c r="AX493" s="108"/>
      <c r="AY493" s="108"/>
      <c r="AZ493" s="108"/>
      <c r="BA493" s="108"/>
      <c r="BB493" s="108"/>
      <c r="BC493" s="108"/>
      <c r="BD493" s="108"/>
      <c r="BE493" s="108"/>
      <c r="BF493" s="108"/>
      <c r="BG493" s="108"/>
      <c r="BH493" s="108"/>
      <c r="BI493" s="108"/>
      <c r="BJ493" s="108"/>
      <c r="BK493" s="108"/>
      <c r="BL493" s="108"/>
      <c r="BM493" s="109"/>
      <c r="BN493" s="108"/>
      <c r="BO493" s="108"/>
      <c r="BP493" s="108"/>
    </row>
    <row r="494" spans="1:68" ht="12" customHeight="1" x14ac:dyDescent="0.2">
      <c r="A494" s="179"/>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c r="AA494" s="108"/>
      <c r="AB494" s="108"/>
      <c r="AC494" s="108"/>
      <c r="AD494" s="108"/>
      <c r="AE494" s="108"/>
      <c r="AF494" s="108"/>
      <c r="AG494" s="108"/>
      <c r="AH494" s="108"/>
      <c r="AI494" s="108"/>
      <c r="AJ494" s="108"/>
      <c r="AK494" s="108"/>
      <c r="AL494" s="108"/>
      <c r="AM494" s="108"/>
      <c r="AN494" s="108"/>
      <c r="AO494" s="108"/>
      <c r="AP494" s="108"/>
      <c r="AQ494" s="108"/>
      <c r="AR494" s="108"/>
      <c r="AS494" s="108"/>
      <c r="AT494" s="108"/>
      <c r="AU494" s="108"/>
      <c r="AV494" s="108"/>
      <c r="AW494" s="108"/>
      <c r="AX494" s="108"/>
      <c r="AY494" s="108"/>
      <c r="AZ494" s="108"/>
      <c r="BA494" s="108"/>
      <c r="BB494" s="108"/>
      <c r="BC494" s="108"/>
      <c r="BD494" s="108"/>
      <c r="BE494" s="108"/>
      <c r="BF494" s="108"/>
      <c r="BG494" s="108"/>
      <c r="BH494" s="108"/>
      <c r="BI494" s="108"/>
      <c r="BJ494" s="108"/>
      <c r="BK494" s="108"/>
      <c r="BL494" s="108"/>
      <c r="BM494" s="109"/>
      <c r="BN494" s="108"/>
      <c r="BO494" s="108"/>
      <c r="BP494" s="108"/>
    </row>
    <row r="495" spans="1:68" ht="12" customHeight="1" x14ac:dyDescent="0.2">
      <c r="A495" s="179"/>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c r="AA495" s="108"/>
      <c r="AB495" s="108"/>
      <c r="AC495" s="108"/>
      <c r="AD495" s="108"/>
      <c r="AE495" s="108"/>
      <c r="AF495" s="108"/>
      <c r="AG495" s="108"/>
      <c r="AH495" s="108"/>
      <c r="AI495" s="108"/>
      <c r="AJ495" s="108"/>
      <c r="AK495" s="108"/>
      <c r="AL495" s="108"/>
      <c r="AM495" s="108"/>
      <c r="AN495" s="108"/>
      <c r="AO495" s="108"/>
      <c r="AP495" s="108"/>
      <c r="AQ495" s="108"/>
      <c r="AR495" s="108"/>
      <c r="AS495" s="108"/>
      <c r="AT495" s="108"/>
      <c r="AU495" s="108"/>
      <c r="AV495" s="108"/>
      <c r="AW495" s="108"/>
      <c r="AX495" s="108"/>
      <c r="AY495" s="108"/>
      <c r="AZ495" s="108"/>
      <c r="BA495" s="108"/>
      <c r="BB495" s="108"/>
      <c r="BC495" s="108"/>
      <c r="BD495" s="108"/>
      <c r="BE495" s="108"/>
      <c r="BF495" s="108"/>
      <c r="BG495" s="108"/>
      <c r="BH495" s="108"/>
      <c r="BI495" s="108"/>
      <c r="BJ495" s="108"/>
      <c r="BK495" s="108"/>
      <c r="BL495" s="108"/>
      <c r="BM495" s="109"/>
      <c r="BN495" s="108"/>
      <c r="BO495" s="108"/>
      <c r="BP495" s="108"/>
    </row>
    <row r="496" spans="1:68" ht="12" customHeight="1" x14ac:dyDescent="0.2">
      <c r="A496" s="179"/>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c r="AA496" s="108"/>
      <c r="AB496" s="108"/>
      <c r="AC496" s="108"/>
      <c r="AD496" s="108"/>
      <c r="AE496" s="108"/>
      <c r="AF496" s="108"/>
      <c r="AG496" s="108"/>
      <c r="AH496" s="108"/>
      <c r="AI496" s="108"/>
      <c r="AJ496" s="108"/>
      <c r="AK496" s="108"/>
      <c r="AL496" s="108"/>
      <c r="AM496" s="108"/>
      <c r="AN496" s="108"/>
      <c r="AO496" s="108"/>
      <c r="AP496" s="108"/>
      <c r="AQ496" s="108"/>
      <c r="AR496" s="108"/>
      <c r="AS496" s="108"/>
      <c r="AT496" s="108"/>
      <c r="AU496" s="108"/>
      <c r="AV496" s="108"/>
      <c r="AW496" s="108"/>
      <c r="AX496" s="108"/>
      <c r="AY496" s="108"/>
      <c r="AZ496" s="108"/>
      <c r="BA496" s="108"/>
      <c r="BB496" s="108"/>
      <c r="BC496" s="108"/>
      <c r="BD496" s="108"/>
      <c r="BE496" s="108"/>
      <c r="BF496" s="108"/>
      <c r="BG496" s="108"/>
      <c r="BH496" s="108"/>
      <c r="BI496" s="108"/>
      <c r="BJ496" s="108"/>
      <c r="BK496" s="108"/>
      <c r="BL496" s="108"/>
      <c r="BM496" s="109"/>
      <c r="BN496" s="108"/>
      <c r="BO496" s="108"/>
      <c r="BP496" s="108"/>
    </row>
    <row r="497" spans="1:68" ht="12" customHeight="1" x14ac:dyDescent="0.2">
      <c r="A497" s="179"/>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c r="AA497" s="108"/>
      <c r="AB497" s="108"/>
      <c r="AC497" s="108"/>
      <c r="AD497" s="108"/>
      <c r="AE497" s="108"/>
      <c r="AF497" s="108"/>
      <c r="AG497" s="108"/>
      <c r="AH497" s="108"/>
      <c r="AI497" s="108"/>
      <c r="AJ497" s="108"/>
      <c r="AK497" s="108"/>
      <c r="AL497" s="108"/>
      <c r="AM497" s="108"/>
      <c r="AN497" s="108"/>
      <c r="AO497" s="108"/>
      <c r="AP497" s="108"/>
      <c r="AQ497" s="108"/>
      <c r="AR497" s="108"/>
      <c r="AS497" s="108"/>
      <c r="AT497" s="108"/>
      <c r="AU497" s="108"/>
      <c r="AV497" s="108"/>
      <c r="AW497" s="108"/>
      <c r="AX497" s="108"/>
      <c r="AY497" s="108"/>
      <c r="AZ497" s="108"/>
      <c r="BA497" s="108"/>
      <c r="BB497" s="108"/>
      <c r="BC497" s="108"/>
      <c r="BD497" s="108"/>
      <c r="BE497" s="108"/>
      <c r="BF497" s="108"/>
      <c r="BG497" s="108"/>
      <c r="BH497" s="108"/>
      <c r="BI497" s="108"/>
      <c r="BJ497" s="108"/>
      <c r="BK497" s="108"/>
      <c r="BL497" s="108"/>
      <c r="BM497" s="109"/>
      <c r="BN497" s="108"/>
      <c r="BO497" s="108"/>
      <c r="BP497" s="108"/>
    </row>
    <row r="498" spans="1:68" ht="12" customHeight="1" x14ac:dyDescent="0.2">
      <c r="A498" s="179"/>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c r="AA498" s="108"/>
      <c r="AB498" s="108"/>
      <c r="AC498" s="108"/>
      <c r="AD498" s="108"/>
      <c r="AE498" s="108"/>
      <c r="AF498" s="108"/>
      <c r="AG498" s="108"/>
      <c r="AH498" s="108"/>
      <c r="AI498" s="108"/>
      <c r="AJ498" s="108"/>
      <c r="AK498" s="108"/>
      <c r="AL498" s="108"/>
      <c r="AM498" s="108"/>
      <c r="AN498" s="108"/>
      <c r="AO498" s="108"/>
      <c r="AP498" s="108"/>
      <c r="AQ498" s="108"/>
      <c r="AR498" s="108"/>
      <c r="AS498" s="108"/>
      <c r="AT498" s="108"/>
      <c r="AU498" s="108"/>
      <c r="AV498" s="108"/>
      <c r="AW498" s="108"/>
      <c r="AX498" s="108"/>
      <c r="AY498" s="108"/>
      <c r="AZ498" s="108"/>
      <c r="BA498" s="108"/>
      <c r="BB498" s="108"/>
      <c r="BC498" s="108"/>
      <c r="BD498" s="108"/>
      <c r="BE498" s="108"/>
      <c r="BF498" s="108"/>
      <c r="BG498" s="108"/>
      <c r="BH498" s="108"/>
      <c r="BI498" s="108"/>
      <c r="BJ498" s="108"/>
      <c r="BK498" s="108"/>
      <c r="BL498" s="108"/>
      <c r="BM498" s="109"/>
      <c r="BN498" s="108"/>
      <c r="BO498" s="108"/>
      <c r="BP498" s="108"/>
    </row>
    <row r="499" spans="1:68" ht="12" customHeight="1" x14ac:dyDescent="0.2">
      <c r="A499" s="179"/>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c r="AA499" s="108"/>
      <c r="AB499" s="108"/>
      <c r="AC499" s="108"/>
      <c r="AD499" s="108"/>
      <c r="AE499" s="108"/>
      <c r="AF499" s="108"/>
      <c r="AG499" s="108"/>
      <c r="AH499" s="108"/>
      <c r="AI499" s="108"/>
      <c r="AJ499" s="108"/>
      <c r="AK499" s="108"/>
      <c r="AL499" s="108"/>
      <c r="AM499" s="108"/>
      <c r="AN499" s="108"/>
      <c r="AO499" s="108"/>
      <c r="AP499" s="108"/>
      <c r="AQ499" s="108"/>
      <c r="AR499" s="108"/>
      <c r="AS499" s="108"/>
      <c r="AT499" s="108"/>
      <c r="AU499" s="108"/>
      <c r="AV499" s="108"/>
      <c r="AW499" s="108"/>
      <c r="AX499" s="108"/>
      <c r="AY499" s="108"/>
      <c r="AZ499" s="108"/>
      <c r="BA499" s="108"/>
      <c r="BB499" s="108"/>
      <c r="BC499" s="108"/>
      <c r="BD499" s="108"/>
      <c r="BE499" s="108"/>
      <c r="BF499" s="108"/>
      <c r="BG499" s="108"/>
      <c r="BH499" s="108"/>
      <c r="BI499" s="108"/>
      <c r="BJ499" s="108"/>
      <c r="BK499" s="108"/>
      <c r="BL499" s="108"/>
      <c r="BM499" s="109"/>
      <c r="BN499" s="108"/>
      <c r="BO499" s="108"/>
      <c r="BP499" s="108"/>
    </row>
    <row r="500" spans="1:68" ht="12" customHeight="1" x14ac:dyDescent="0.2">
      <c r="A500" s="179"/>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c r="AA500" s="108"/>
      <c r="AB500" s="108"/>
      <c r="AC500" s="108"/>
      <c r="AD500" s="108"/>
      <c r="AE500" s="108"/>
      <c r="AF500" s="108"/>
      <c r="AG500" s="108"/>
      <c r="AH500" s="108"/>
      <c r="AI500" s="108"/>
      <c r="AJ500" s="108"/>
      <c r="AK500" s="108"/>
      <c r="AL500" s="108"/>
      <c r="AM500" s="108"/>
      <c r="AN500" s="108"/>
      <c r="AO500" s="108"/>
      <c r="AP500" s="108"/>
      <c r="AQ500" s="108"/>
      <c r="AR500" s="108"/>
      <c r="AS500" s="108"/>
      <c r="AT500" s="108"/>
      <c r="AU500" s="108"/>
      <c r="AV500" s="108"/>
      <c r="AW500" s="108"/>
      <c r="AX500" s="108"/>
      <c r="AY500" s="108"/>
      <c r="AZ500" s="108"/>
      <c r="BA500" s="108"/>
      <c r="BB500" s="108"/>
      <c r="BC500" s="108"/>
      <c r="BD500" s="108"/>
      <c r="BE500" s="108"/>
      <c r="BF500" s="108"/>
      <c r="BG500" s="108"/>
      <c r="BH500" s="108"/>
      <c r="BI500" s="108"/>
      <c r="BJ500" s="108"/>
      <c r="BK500" s="108"/>
      <c r="BL500" s="108"/>
      <c r="BM500" s="109"/>
      <c r="BN500" s="108"/>
      <c r="BO500" s="108"/>
      <c r="BP500" s="108"/>
    </row>
    <row r="501" spans="1:68" ht="12" customHeight="1" x14ac:dyDescent="0.2">
      <c r="A501" s="179"/>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c r="AA501" s="108"/>
      <c r="AB501" s="108"/>
      <c r="AC501" s="108"/>
      <c r="AD501" s="108"/>
      <c r="AE501" s="108"/>
      <c r="AF501" s="108"/>
      <c r="AG501" s="108"/>
      <c r="AH501" s="108"/>
      <c r="AI501" s="108"/>
      <c r="AJ501" s="108"/>
      <c r="AK501" s="108"/>
      <c r="AL501" s="108"/>
      <c r="AM501" s="108"/>
      <c r="AN501" s="108"/>
      <c r="AO501" s="108"/>
      <c r="AP501" s="108"/>
      <c r="AQ501" s="108"/>
      <c r="AR501" s="108"/>
      <c r="AS501" s="108"/>
      <c r="AT501" s="108"/>
      <c r="AU501" s="108"/>
      <c r="AV501" s="108"/>
      <c r="AW501" s="108"/>
      <c r="AX501" s="108"/>
      <c r="AY501" s="108"/>
      <c r="AZ501" s="108"/>
      <c r="BA501" s="108"/>
      <c r="BB501" s="108"/>
      <c r="BC501" s="108"/>
      <c r="BD501" s="108"/>
      <c r="BE501" s="108"/>
      <c r="BF501" s="108"/>
      <c r="BG501" s="108"/>
      <c r="BH501" s="108"/>
      <c r="BI501" s="108"/>
      <c r="BJ501" s="108"/>
      <c r="BK501" s="108"/>
      <c r="BL501" s="108"/>
      <c r="BM501" s="109"/>
      <c r="BN501" s="108"/>
      <c r="BO501" s="108"/>
      <c r="BP501" s="108"/>
    </row>
    <row r="502" spans="1:68" ht="12" customHeight="1" x14ac:dyDescent="0.2">
      <c r="A502" s="179"/>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c r="AA502" s="108"/>
      <c r="AB502" s="108"/>
      <c r="AC502" s="108"/>
      <c r="AD502" s="108"/>
      <c r="AE502" s="108"/>
      <c r="AF502" s="108"/>
      <c r="AG502" s="108"/>
      <c r="AH502" s="108"/>
      <c r="AI502" s="108"/>
      <c r="AJ502" s="108"/>
      <c r="AK502" s="108"/>
      <c r="AL502" s="108"/>
      <c r="AM502" s="108"/>
      <c r="AN502" s="108"/>
      <c r="AO502" s="108"/>
      <c r="AP502" s="108"/>
      <c r="AQ502" s="108"/>
      <c r="AR502" s="108"/>
      <c r="AS502" s="108"/>
      <c r="AT502" s="108"/>
      <c r="AU502" s="108"/>
      <c r="AV502" s="108"/>
      <c r="AW502" s="108"/>
      <c r="AX502" s="108"/>
      <c r="AY502" s="108"/>
      <c r="AZ502" s="108"/>
      <c r="BA502" s="108"/>
      <c r="BB502" s="108"/>
      <c r="BC502" s="108"/>
      <c r="BD502" s="108"/>
      <c r="BE502" s="108"/>
      <c r="BF502" s="108"/>
      <c r="BG502" s="108"/>
      <c r="BH502" s="108"/>
      <c r="BI502" s="108"/>
      <c r="BJ502" s="108"/>
      <c r="BK502" s="108"/>
      <c r="BL502" s="108"/>
      <c r="BM502" s="109"/>
      <c r="BN502" s="108"/>
      <c r="BO502" s="108"/>
      <c r="BP502" s="108"/>
    </row>
    <row r="503" spans="1:68" ht="12" customHeight="1" x14ac:dyDescent="0.2">
      <c r="A503" s="179"/>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c r="AA503" s="108"/>
      <c r="AB503" s="108"/>
      <c r="AC503" s="108"/>
      <c r="AD503" s="108"/>
      <c r="AE503" s="108"/>
      <c r="AF503" s="108"/>
      <c r="AG503" s="108"/>
      <c r="AH503" s="108"/>
      <c r="AI503" s="108"/>
      <c r="AJ503" s="108"/>
      <c r="AK503" s="108"/>
      <c r="AL503" s="108"/>
      <c r="AM503" s="108"/>
      <c r="AN503" s="108"/>
      <c r="AO503" s="108"/>
      <c r="AP503" s="108"/>
      <c r="AQ503" s="108"/>
      <c r="AR503" s="108"/>
      <c r="AS503" s="108"/>
      <c r="AT503" s="108"/>
      <c r="AU503" s="108"/>
      <c r="AV503" s="108"/>
      <c r="AW503" s="108"/>
      <c r="AX503" s="108"/>
      <c r="AY503" s="108"/>
      <c r="AZ503" s="108"/>
      <c r="BA503" s="108"/>
      <c r="BB503" s="108"/>
      <c r="BC503" s="108"/>
      <c r="BD503" s="108"/>
      <c r="BE503" s="108"/>
      <c r="BF503" s="108"/>
      <c r="BG503" s="108"/>
      <c r="BH503" s="108"/>
      <c r="BI503" s="108"/>
      <c r="BJ503" s="108"/>
      <c r="BK503" s="108"/>
      <c r="BL503" s="108"/>
      <c r="BM503" s="109"/>
      <c r="BN503" s="108"/>
      <c r="BO503" s="108"/>
      <c r="BP503" s="108"/>
    </row>
    <row r="504" spans="1:68" ht="12" customHeight="1" x14ac:dyDescent="0.2">
      <c r="A504" s="179"/>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c r="AA504" s="108"/>
      <c r="AB504" s="108"/>
      <c r="AC504" s="108"/>
      <c r="AD504" s="108"/>
      <c r="AE504" s="108"/>
      <c r="AF504" s="108"/>
      <c r="AG504" s="108"/>
      <c r="AH504" s="108"/>
      <c r="AI504" s="108"/>
      <c r="AJ504" s="108"/>
      <c r="AK504" s="108"/>
      <c r="AL504" s="108"/>
      <c r="AM504" s="108"/>
      <c r="AN504" s="108"/>
      <c r="AO504" s="108"/>
      <c r="AP504" s="108"/>
      <c r="AQ504" s="108"/>
      <c r="AR504" s="108"/>
      <c r="AS504" s="108"/>
      <c r="AT504" s="108"/>
      <c r="AU504" s="108"/>
      <c r="AV504" s="108"/>
      <c r="AW504" s="108"/>
      <c r="AX504" s="108"/>
      <c r="AY504" s="108"/>
      <c r="AZ504" s="108"/>
      <c r="BA504" s="108"/>
      <c r="BB504" s="108"/>
      <c r="BC504" s="108"/>
      <c r="BD504" s="108"/>
      <c r="BE504" s="108"/>
      <c r="BF504" s="108"/>
      <c r="BG504" s="108"/>
      <c r="BH504" s="108"/>
      <c r="BI504" s="108"/>
      <c r="BJ504" s="108"/>
      <c r="BK504" s="108"/>
      <c r="BL504" s="108"/>
      <c r="BM504" s="109"/>
      <c r="BN504" s="108"/>
      <c r="BO504" s="108"/>
      <c r="BP504" s="108"/>
    </row>
    <row r="505" spans="1:68" ht="12" customHeight="1" x14ac:dyDescent="0.2">
      <c r="A505" s="179"/>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c r="AA505" s="108"/>
      <c r="AB505" s="108"/>
      <c r="AC505" s="108"/>
      <c r="AD505" s="108"/>
      <c r="AE505" s="108"/>
      <c r="AF505" s="108"/>
      <c r="AG505" s="108"/>
      <c r="AH505" s="108"/>
      <c r="AI505" s="108"/>
      <c r="AJ505" s="108"/>
      <c r="AK505" s="108"/>
      <c r="AL505" s="108"/>
      <c r="AM505" s="108"/>
      <c r="AN505" s="108"/>
      <c r="AO505" s="108"/>
      <c r="AP505" s="108"/>
      <c r="AQ505" s="108"/>
      <c r="AR505" s="108"/>
      <c r="AS505" s="108"/>
      <c r="AT505" s="108"/>
      <c r="AU505" s="108"/>
      <c r="AV505" s="108"/>
      <c r="AW505" s="108"/>
      <c r="AX505" s="108"/>
      <c r="AY505" s="108"/>
      <c r="AZ505" s="108"/>
      <c r="BA505" s="108"/>
      <c r="BB505" s="108"/>
      <c r="BC505" s="108"/>
      <c r="BD505" s="108"/>
      <c r="BE505" s="108"/>
      <c r="BF505" s="108"/>
      <c r="BG505" s="108"/>
      <c r="BH505" s="108"/>
      <c r="BI505" s="108"/>
      <c r="BJ505" s="108"/>
      <c r="BK505" s="108"/>
      <c r="BL505" s="108"/>
      <c r="BM505" s="109"/>
      <c r="BN505" s="108"/>
      <c r="BO505" s="108"/>
      <c r="BP505" s="108"/>
    </row>
    <row r="506" spans="1:68" ht="12" customHeight="1" x14ac:dyDescent="0.2">
      <c r="A506" s="179"/>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c r="AA506" s="108"/>
      <c r="AB506" s="108"/>
      <c r="AC506" s="108"/>
      <c r="AD506" s="108"/>
      <c r="AE506" s="108"/>
      <c r="AF506" s="108"/>
      <c r="AG506" s="108"/>
      <c r="AH506" s="108"/>
      <c r="AI506" s="108"/>
      <c r="AJ506" s="108"/>
      <c r="AK506" s="108"/>
      <c r="AL506" s="108"/>
      <c r="AM506" s="108"/>
      <c r="AN506" s="108"/>
      <c r="AO506" s="108"/>
      <c r="AP506" s="108"/>
      <c r="AQ506" s="108"/>
      <c r="AR506" s="108"/>
      <c r="AS506" s="108"/>
      <c r="AT506" s="108"/>
      <c r="AU506" s="108"/>
      <c r="AV506" s="108"/>
      <c r="AW506" s="108"/>
      <c r="AX506" s="108"/>
      <c r="AY506" s="108"/>
      <c r="AZ506" s="108"/>
      <c r="BA506" s="108"/>
      <c r="BB506" s="108"/>
      <c r="BC506" s="108"/>
      <c r="BD506" s="108"/>
      <c r="BE506" s="108"/>
      <c r="BF506" s="108"/>
      <c r="BG506" s="108"/>
      <c r="BH506" s="108"/>
      <c r="BI506" s="108"/>
      <c r="BJ506" s="108"/>
      <c r="BK506" s="108"/>
      <c r="BL506" s="108"/>
      <c r="BM506" s="109"/>
      <c r="BN506" s="108"/>
      <c r="BO506" s="108"/>
      <c r="BP506" s="108"/>
    </row>
    <row r="507" spans="1:68" ht="12" customHeight="1" x14ac:dyDescent="0.2">
      <c r="A507" s="179"/>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c r="AA507" s="108"/>
      <c r="AB507" s="108"/>
      <c r="AC507" s="108"/>
      <c r="AD507" s="108"/>
      <c r="AE507" s="108"/>
      <c r="AF507" s="108"/>
      <c r="AG507" s="108"/>
      <c r="AH507" s="108"/>
      <c r="AI507" s="108"/>
      <c r="AJ507" s="108"/>
      <c r="AK507" s="108"/>
      <c r="AL507" s="108"/>
      <c r="AM507" s="108"/>
      <c r="AN507" s="108"/>
      <c r="AO507" s="108"/>
      <c r="AP507" s="108"/>
      <c r="AQ507" s="108"/>
      <c r="AR507" s="108"/>
      <c r="AS507" s="108"/>
      <c r="AT507" s="108"/>
      <c r="AU507" s="108"/>
      <c r="AV507" s="108"/>
      <c r="AW507" s="108"/>
      <c r="AX507" s="108"/>
      <c r="AY507" s="108"/>
      <c r="AZ507" s="108"/>
      <c r="BA507" s="108"/>
      <c r="BB507" s="108"/>
      <c r="BC507" s="108"/>
      <c r="BD507" s="108"/>
      <c r="BE507" s="108"/>
      <c r="BF507" s="108"/>
      <c r="BG507" s="108"/>
      <c r="BH507" s="108"/>
      <c r="BI507" s="108"/>
      <c r="BJ507" s="108"/>
      <c r="BK507" s="108"/>
      <c r="BL507" s="108"/>
      <c r="BM507" s="109"/>
      <c r="BN507" s="108"/>
      <c r="BO507" s="108"/>
      <c r="BP507" s="108"/>
    </row>
    <row r="508" spans="1:68" ht="12" customHeight="1" x14ac:dyDescent="0.2">
      <c r="A508" s="179"/>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c r="AA508" s="108"/>
      <c r="AB508" s="108"/>
      <c r="AC508" s="108"/>
      <c r="AD508" s="108"/>
      <c r="AE508" s="108"/>
      <c r="AF508" s="108"/>
      <c r="AG508" s="108"/>
      <c r="AH508" s="108"/>
      <c r="AI508" s="108"/>
      <c r="AJ508" s="108"/>
      <c r="AK508" s="108"/>
      <c r="AL508" s="108"/>
      <c r="AM508" s="108"/>
      <c r="AN508" s="108"/>
      <c r="AO508" s="108"/>
      <c r="AP508" s="108"/>
      <c r="AQ508" s="108"/>
      <c r="AR508" s="108"/>
      <c r="AS508" s="108"/>
      <c r="AT508" s="108"/>
      <c r="AU508" s="108"/>
      <c r="AV508" s="108"/>
      <c r="AW508" s="108"/>
      <c r="AX508" s="108"/>
      <c r="AY508" s="108"/>
      <c r="AZ508" s="108"/>
      <c r="BA508" s="108"/>
      <c r="BB508" s="108"/>
      <c r="BC508" s="108"/>
      <c r="BD508" s="108"/>
      <c r="BE508" s="108"/>
      <c r="BF508" s="108"/>
      <c r="BG508" s="108"/>
      <c r="BH508" s="108"/>
      <c r="BI508" s="108"/>
      <c r="BJ508" s="108"/>
      <c r="BK508" s="108"/>
      <c r="BL508" s="108"/>
      <c r="BM508" s="109"/>
      <c r="BN508" s="108"/>
      <c r="BO508" s="108"/>
      <c r="BP508" s="108"/>
    </row>
    <row r="509" spans="1:68" ht="12" customHeight="1" x14ac:dyDescent="0.2">
      <c r="A509" s="179"/>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c r="AA509" s="108"/>
      <c r="AB509" s="108"/>
      <c r="AC509" s="108"/>
      <c r="AD509" s="108"/>
      <c r="AE509" s="108"/>
      <c r="AF509" s="108"/>
      <c r="AG509" s="108"/>
      <c r="AH509" s="108"/>
      <c r="AI509" s="108"/>
      <c r="AJ509" s="108"/>
      <c r="AK509" s="108"/>
      <c r="AL509" s="108"/>
      <c r="AM509" s="108"/>
      <c r="AN509" s="108"/>
      <c r="AO509" s="108"/>
      <c r="AP509" s="108"/>
      <c r="AQ509" s="108"/>
      <c r="AR509" s="108"/>
      <c r="AS509" s="108"/>
      <c r="AT509" s="108"/>
      <c r="AU509" s="108"/>
      <c r="AV509" s="108"/>
      <c r="AW509" s="108"/>
      <c r="AX509" s="108"/>
      <c r="AY509" s="108"/>
      <c r="AZ509" s="108"/>
      <c r="BA509" s="108"/>
      <c r="BB509" s="108"/>
      <c r="BC509" s="108"/>
      <c r="BD509" s="108"/>
      <c r="BE509" s="108"/>
      <c r="BF509" s="108"/>
      <c r="BG509" s="108"/>
      <c r="BH509" s="108"/>
      <c r="BI509" s="108"/>
      <c r="BJ509" s="108"/>
      <c r="BK509" s="108"/>
      <c r="BL509" s="108"/>
      <c r="BM509" s="109"/>
      <c r="BN509" s="108"/>
      <c r="BO509" s="108"/>
      <c r="BP509" s="108"/>
    </row>
    <row r="510" spans="1:68" ht="12" customHeight="1" x14ac:dyDescent="0.2">
      <c r="A510" s="179"/>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c r="AA510" s="108"/>
      <c r="AB510" s="108"/>
      <c r="AC510" s="108"/>
      <c r="AD510" s="108"/>
      <c r="AE510" s="108"/>
      <c r="AF510" s="108"/>
      <c r="AG510" s="108"/>
      <c r="AH510" s="108"/>
      <c r="AI510" s="108"/>
      <c r="AJ510" s="108"/>
      <c r="AK510" s="108"/>
      <c r="AL510" s="108"/>
      <c r="AM510" s="108"/>
      <c r="AN510" s="108"/>
      <c r="AO510" s="108"/>
      <c r="AP510" s="108"/>
      <c r="AQ510" s="108"/>
      <c r="AR510" s="108"/>
      <c r="AS510" s="108"/>
      <c r="AT510" s="108"/>
      <c r="AU510" s="108"/>
      <c r="AV510" s="108"/>
      <c r="AW510" s="108"/>
      <c r="AX510" s="108"/>
      <c r="AY510" s="108"/>
      <c r="AZ510" s="108"/>
      <c r="BA510" s="108"/>
      <c r="BB510" s="108"/>
      <c r="BC510" s="108"/>
      <c r="BD510" s="108"/>
      <c r="BE510" s="108"/>
      <c r="BF510" s="108"/>
      <c r="BG510" s="108"/>
      <c r="BH510" s="108"/>
      <c r="BI510" s="108"/>
      <c r="BJ510" s="108"/>
      <c r="BK510" s="108"/>
      <c r="BL510" s="108"/>
      <c r="BM510" s="109"/>
      <c r="BN510" s="108"/>
      <c r="BO510" s="108"/>
      <c r="BP510" s="108"/>
    </row>
    <row r="511" spans="1:68" ht="12" customHeight="1" x14ac:dyDescent="0.2">
      <c r="A511" s="179"/>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c r="AA511" s="108"/>
      <c r="AB511" s="108"/>
      <c r="AC511" s="108"/>
      <c r="AD511" s="108"/>
      <c r="AE511" s="108"/>
      <c r="AF511" s="108"/>
      <c r="AG511" s="108"/>
      <c r="AH511" s="108"/>
      <c r="AI511" s="108"/>
      <c r="AJ511" s="108"/>
      <c r="AK511" s="108"/>
      <c r="AL511" s="108"/>
      <c r="AM511" s="108"/>
      <c r="AN511" s="108"/>
      <c r="AO511" s="108"/>
      <c r="AP511" s="108"/>
      <c r="AQ511" s="108"/>
      <c r="AR511" s="108"/>
      <c r="AS511" s="108"/>
      <c r="AT511" s="108"/>
      <c r="AU511" s="108"/>
      <c r="AV511" s="108"/>
      <c r="AW511" s="108"/>
      <c r="AX511" s="108"/>
      <c r="AY511" s="108"/>
      <c r="AZ511" s="108"/>
      <c r="BA511" s="108"/>
      <c r="BB511" s="108"/>
      <c r="BC511" s="108"/>
      <c r="BD511" s="108"/>
      <c r="BE511" s="108"/>
      <c r="BF511" s="108"/>
      <c r="BG511" s="108"/>
      <c r="BH511" s="108"/>
      <c r="BI511" s="108"/>
      <c r="BJ511" s="108"/>
      <c r="BK511" s="108"/>
      <c r="BL511" s="108"/>
      <c r="BM511" s="109"/>
      <c r="BN511" s="108"/>
      <c r="BO511" s="108"/>
      <c r="BP511" s="108"/>
    </row>
    <row r="512" spans="1:68" ht="12" customHeight="1" x14ac:dyDescent="0.2">
      <c r="A512" s="179"/>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c r="AA512" s="108"/>
      <c r="AB512" s="108"/>
      <c r="AC512" s="108"/>
      <c r="AD512" s="108"/>
      <c r="AE512" s="108"/>
      <c r="AF512" s="108"/>
      <c r="AG512" s="108"/>
      <c r="AH512" s="108"/>
      <c r="AI512" s="108"/>
      <c r="AJ512" s="108"/>
      <c r="AK512" s="108"/>
      <c r="AL512" s="108"/>
      <c r="AM512" s="108"/>
      <c r="AN512" s="108"/>
      <c r="AO512" s="108"/>
      <c r="AP512" s="108"/>
      <c r="AQ512" s="108"/>
      <c r="AR512" s="108"/>
      <c r="AS512" s="108"/>
      <c r="AT512" s="108"/>
      <c r="AU512" s="108"/>
      <c r="AV512" s="108"/>
      <c r="AW512" s="108"/>
      <c r="AX512" s="108"/>
      <c r="AY512" s="108"/>
      <c r="AZ512" s="108"/>
      <c r="BA512" s="108"/>
      <c r="BB512" s="108"/>
      <c r="BC512" s="108"/>
      <c r="BD512" s="108"/>
      <c r="BE512" s="108"/>
      <c r="BF512" s="108"/>
      <c r="BG512" s="108"/>
      <c r="BH512" s="108"/>
      <c r="BI512" s="108"/>
      <c r="BJ512" s="108"/>
      <c r="BK512" s="108"/>
      <c r="BL512" s="108"/>
      <c r="BM512" s="109"/>
      <c r="BN512" s="108"/>
      <c r="BO512" s="108"/>
      <c r="BP512" s="108"/>
    </row>
    <row r="513" spans="1:68" ht="12" customHeight="1" x14ac:dyDescent="0.2">
      <c r="A513" s="179"/>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c r="AA513" s="108"/>
      <c r="AB513" s="108"/>
      <c r="AC513" s="108"/>
      <c r="AD513" s="108"/>
      <c r="AE513" s="108"/>
      <c r="AF513" s="108"/>
      <c r="AG513" s="108"/>
      <c r="AH513" s="108"/>
      <c r="AI513" s="108"/>
      <c r="AJ513" s="108"/>
      <c r="AK513" s="108"/>
      <c r="AL513" s="108"/>
      <c r="AM513" s="108"/>
      <c r="AN513" s="108"/>
      <c r="AO513" s="108"/>
      <c r="AP513" s="108"/>
      <c r="AQ513" s="108"/>
      <c r="AR513" s="108"/>
      <c r="AS513" s="108"/>
      <c r="AT513" s="108"/>
      <c r="AU513" s="108"/>
      <c r="AV513" s="108"/>
      <c r="AW513" s="108"/>
      <c r="AX513" s="108"/>
      <c r="AY513" s="108"/>
      <c r="AZ513" s="108"/>
      <c r="BA513" s="108"/>
      <c r="BB513" s="108"/>
      <c r="BC513" s="108"/>
      <c r="BD513" s="108"/>
      <c r="BE513" s="108"/>
      <c r="BF513" s="108"/>
      <c r="BG513" s="108"/>
      <c r="BH513" s="108"/>
      <c r="BI513" s="108"/>
      <c r="BJ513" s="108"/>
      <c r="BK513" s="108"/>
      <c r="BL513" s="108"/>
      <c r="BM513" s="109"/>
      <c r="BN513" s="108"/>
      <c r="BO513" s="108"/>
      <c r="BP513" s="108"/>
    </row>
    <row r="514" spans="1:68" ht="12" customHeight="1" x14ac:dyDescent="0.2">
      <c r="A514" s="179"/>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c r="AA514" s="108"/>
      <c r="AB514" s="108"/>
      <c r="AC514" s="108"/>
      <c r="AD514" s="108"/>
      <c r="AE514" s="108"/>
      <c r="AF514" s="108"/>
      <c r="AG514" s="108"/>
      <c r="AH514" s="108"/>
      <c r="AI514" s="108"/>
      <c r="AJ514" s="108"/>
      <c r="AK514" s="108"/>
      <c r="AL514" s="108"/>
      <c r="AM514" s="108"/>
      <c r="AN514" s="108"/>
      <c r="AO514" s="108"/>
      <c r="AP514" s="108"/>
      <c r="AQ514" s="108"/>
      <c r="AR514" s="108"/>
      <c r="AS514" s="108"/>
      <c r="AT514" s="108"/>
      <c r="AU514" s="108"/>
      <c r="AV514" s="108"/>
      <c r="AW514" s="108"/>
      <c r="AX514" s="108"/>
      <c r="AY514" s="108"/>
      <c r="AZ514" s="108"/>
      <c r="BA514" s="108"/>
      <c r="BB514" s="108"/>
      <c r="BC514" s="108"/>
      <c r="BD514" s="108"/>
      <c r="BE514" s="108"/>
      <c r="BF514" s="108"/>
      <c r="BG514" s="108"/>
      <c r="BH514" s="108"/>
      <c r="BI514" s="108"/>
      <c r="BJ514" s="108"/>
      <c r="BK514" s="108"/>
      <c r="BL514" s="108"/>
      <c r="BM514" s="109"/>
      <c r="BN514" s="108"/>
      <c r="BO514" s="108"/>
      <c r="BP514" s="108"/>
    </row>
    <row r="515" spans="1:68" ht="12" customHeight="1" x14ac:dyDescent="0.2">
      <c r="A515" s="179"/>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c r="AA515" s="108"/>
      <c r="AB515" s="108"/>
      <c r="AC515" s="108"/>
      <c r="AD515" s="108"/>
      <c r="AE515" s="108"/>
      <c r="AF515" s="108"/>
      <c r="AG515" s="108"/>
      <c r="AH515" s="108"/>
      <c r="AI515" s="108"/>
      <c r="AJ515" s="108"/>
      <c r="AK515" s="108"/>
      <c r="AL515" s="108"/>
      <c r="AM515" s="108"/>
      <c r="AN515" s="108"/>
      <c r="AO515" s="108"/>
      <c r="AP515" s="108"/>
      <c r="AQ515" s="108"/>
      <c r="AR515" s="108"/>
      <c r="AS515" s="108"/>
      <c r="AT515" s="108"/>
      <c r="AU515" s="108"/>
      <c r="AV515" s="108"/>
      <c r="AW515" s="108"/>
      <c r="AX515" s="108"/>
      <c r="AY515" s="108"/>
      <c r="AZ515" s="108"/>
      <c r="BA515" s="108"/>
      <c r="BB515" s="108"/>
      <c r="BC515" s="108"/>
      <c r="BD515" s="108"/>
      <c r="BE515" s="108"/>
      <c r="BF515" s="108"/>
      <c r="BG515" s="108"/>
      <c r="BH515" s="108"/>
      <c r="BI515" s="108"/>
      <c r="BJ515" s="108"/>
      <c r="BK515" s="108"/>
      <c r="BL515" s="108"/>
      <c r="BM515" s="109"/>
      <c r="BN515" s="108"/>
      <c r="BO515" s="108"/>
      <c r="BP515" s="108"/>
    </row>
    <row r="516" spans="1:68" ht="12" customHeight="1" x14ac:dyDescent="0.2">
      <c r="A516" s="179"/>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c r="AA516" s="108"/>
      <c r="AB516" s="108"/>
      <c r="AC516" s="108"/>
      <c r="AD516" s="108"/>
      <c r="AE516" s="108"/>
      <c r="AF516" s="108"/>
      <c r="AG516" s="108"/>
      <c r="AH516" s="108"/>
      <c r="AI516" s="108"/>
      <c r="AJ516" s="108"/>
      <c r="AK516" s="108"/>
      <c r="AL516" s="108"/>
      <c r="AM516" s="108"/>
      <c r="AN516" s="108"/>
      <c r="AO516" s="108"/>
      <c r="AP516" s="108"/>
      <c r="AQ516" s="108"/>
      <c r="AR516" s="108"/>
      <c r="AS516" s="108"/>
      <c r="AT516" s="108"/>
      <c r="AU516" s="108"/>
      <c r="AV516" s="108"/>
      <c r="AW516" s="108"/>
      <c r="AX516" s="108"/>
      <c r="AY516" s="108"/>
      <c r="AZ516" s="108"/>
      <c r="BA516" s="108"/>
      <c r="BB516" s="108"/>
      <c r="BC516" s="108"/>
      <c r="BD516" s="108"/>
      <c r="BE516" s="108"/>
      <c r="BF516" s="108"/>
      <c r="BG516" s="108"/>
      <c r="BH516" s="108"/>
      <c r="BI516" s="108"/>
      <c r="BJ516" s="108"/>
      <c r="BK516" s="108"/>
      <c r="BL516" s="108"/>
      <c r="BM516" s="109"/>
      <c r="BN516" s="108"/>
      <c r="BO516" s="108"/>
      <c r="BP516" s="108"/>
    </row>
    <row r="517" spans="1:68" ht="12" customHeight="1" x14ac:dyDescent="0.2">
      <c r="A517" s="179"/>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c r="AA517" s="108"/>
      <c r="AB517" s="108"/>
      <c r="AC517" s="108"/>
      <c r="AD517" s="108"/>
      <c r="AE517" s="108"/>
      <c r="AF517" s="108"/>
      <c r="AG517" s="108"/>
      <c r="AH517" s="108"/>
      <c r="AI517" s="108"/>
      <c r="AJ517" s="108"/>
      <c r="AK517" s="108"/>
      <c r="AL517" s="108"/>
      <c r="AM517" s="108"/>
      <c r="AN517" s="108"/>
      <c r="AO517" s="108"/>
      <c r="AP517" s="108"/>
      <c r="AQ517" s="108"/>
      <c r="AR517" s="108"/>
      <c r="AS517" s="108"/>
      <c r="AT517" s="108"/>
      <c r="AU517" s="108"/>
      <c r="AV517" s="108"/>
      <c r="AW517" s="108"/>
      <c r="AX517" s="108"/>
      <c r="AY517" s="108"/>
      <c r="AZ517" s="108"/>
      <c r="BA517" s="108"/>
      <c r="BB517" s="108"/>
      <c r="BC517" s="108"/>
      <c r="BD517" s="108"/>
      <c r="BE517" s="108"/>
      <c r="BF517" s="108"/>
      <c r="BG517" s="108"/>
      <c r="BH517" s="108"/>
      <c r="BI517" s="108"/>
      <c r="BJ517" s="108"/>
      <c r="BK517" s="108"/>
      <c r="BL517" s="108"/>
      <c r="BM517" s="109"/>
      <c r="BN517" s="108"/>
      <c r="BO517" s="108"/>
      <c r="BP517" s="108"/>
    </row>
    <row r="518" spans="1:68" ht="12" customHeight="1" x14ac:dyDescent="0.2">
      <c r="A518" s="179"/>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c r="AA518" s="108"/>
      <c r="AB518" s="108"/>
      <c r="AC518" s="108"/>
      <c r="AD518" s="108"/>
      <c r="AE518" s="108"/>
      <c r="AF518" s="108"/>
      <c r="AG518" s="108"/>
      <c r="AH518" s="108"/>
      <c r="AI518" s="108"/>
      <c r="AJ518" s="108"/>
      <c r="AK518" s="108"/>
      <c r="AL518" s="108"/>
      <c r="AM518" s="108"/>
      <c r="AN518" s="108"/>
      <c r="AO518" s="108"/>
      <c r="AP518" s="108"/>
      <c r="AQ518" s="108"/>
      <c r="AR518" s="108"/>
      <c r="AS518" s="108"/>
      <c r="AT518" s="108"/>
      <c r="AU518" s="108"/>
      <c r="AV518" s="108"/>
      <c r="AW518" s="108"/>
      <c r="AX518" s="108"/>
      <c r="AY518" s="108"/>
      <c r="AZ518" s="108"/>
      <c r="BA518" s="108"/>
      <c r="BB518" s="108"/>
      <c r="BC518" s="108"/>
      <c r="BD518" s="108"/>
      <c r="BE518" s="108"/>
      <c r="BF518" s="108"/>
      <c r="BG518" s="108"/>
      <c r="BH518" s="108"/>
      <c r="BI518" s="108"/>
      <c r="BJ518" s="108"/>
      <c r="BK518" s="108"/>
      <c r="BL518" s="108"/>
      <c r="BM518" s="109"/>
      <c r="BN518" s="108"/>
      <c r="BO518" s="108"/>
      <c r="BP518" s="108"/>
    </row>
    <row r="519" spans="1:68" ht="12" customHeight="1" x14ac:dyDescent="0.2">
      <c r="A519" s="179"/>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c r="AA519" s="108"/>
      <c r="AB519" s="108"/>
      <c r="AC519" s="108"/>
      <c r="AD519" s="108"/>
      <c r="AE519" s="108"/>
      <c r="AF519" s="108"/>
      <c r="AG519" s="108"/>
      <c r="AH519" s="108"/>
      <c r="AI519" s="108"/>
      <c r="AJ519" s="108"/>
      <c r="AK519" s="108"/>
      <c r="AL519" s="108"/>
      <c r="AM519" s="108"/>
      <c r="AN519" s="108"/>
      <c r="AO519" s="108"/>
      <c r="AP519" s="108"/>
      <c r="AQ519" s="108"/>
      <c r="AR519" s="108"/>
      <c r="AS519" s="108"/>
      <c r="AT519" s="108"/>
      <c r="AU519" s="108"/>
      <c r="AV519" s="108"/>
      <c r="AW519" s="108"/>
      <c r="AX519" s="108"/>
      <c r="AY519" s="108"/>
      <c r="AZ519" s="108"/>
      <c r="BA519" s="108"/>
      <c r="BB519" s="108"/>
      <c r="BC519" s="108"/>
      <c r="BD519" s="108"/>
      <c r="BE519" s="108"/>
      <c r="BF519" s="108"/>
      <c r="BG519" s="108"/>
      <c r="BH519" s="108"/>
      <c r="BI519" s="108"/>
      <c r="BJ519" s="108"/>
      <c r="BK519" s="108"/>
      <c r="BL519" s="108"/>
      <c r="BM519" s="109"/>
      <c r="BN519" s="108"/>
      <c r="BO519" s="108"/>
      <c r="BP519" s="108"/>
    </row>
    <row r="520" spans="1:68" ht="12" customHeight="1" x14ac:dyDescent="0.2">
      <c r="A520" s="179"/>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c r="AA520" s="108"/>
      <c r="AB520" s="108"/>
      <c r="AC520" s="108"/>
      <c r="AD520" s="108"/>
      <c r="AE520" s="108"/>
      <c r="AF520" s="108"/>
      <c r="AG520" s="108"/>
      <c r="AH520" s="108"/>
      <c r="AI520" s="108"/>
      <c r="AJ520" s="108"/>
      <c r="AK520" s="108"/>
      <c r="AL520" s="108"/>
      <c r="AM520" s="108"/>
      <c r="AN520" s="108"/>
      <c r="AO520" s="108"/>
      <c r="AP520" s="108"/>
      <c r="AQ520" s="108"/>
      <c r="AR520" s="108"/>
      <c r="AS520" s="108"/>
      <c r="AT520" s="108"/>
      <c r="AU520" s="108"/>
      <c r="AV520" s="108"/>
      <c r="AW520" s="108"/>
      <c r="AX520" s="108"/>
      <c r="AY520" s="108"/>
      <c r="AZ520" s="108"/>
      <c r="BA520" s="108"/>
      <c r="BB520" s="108"/>
      <c r="BC520" s="108"/>
      <c r="BD520" s="108"/>
      <c r="BE520" s="108"/>
      <c r="BF520" s="108"/>
      <c r="BG520" s="108"/>
      <c r="BH520" s="108"/>
      <c r="BI520" s="108"/>
      <c r="BJ520" s="108"/>
      <c r="BK520" s="108"/>
      <c r="BL520" s="108"/>
      <c r="BM520" s="109"/>
      <c r="BN520" s="108"/>
      <c r="BO520" s="108"/>
      <c r="BP520" s="108"/>
    </row>
    <row r="521" spans="1:68" ht="12" customHeight="1" x14ac:dyDescent="0.2">
      <c r="A521" s="179"/>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c r="AA521" s="108"/>
      <c r="AB521" s="108"/>
      <c r="AC521" s="108"/>
      <c r="AD521" s="108"/>
      <c r="AE521" s="108"/>
      <c r="AF521" s="108"/>
      <c r="AG521" s="108"/>
      <c r="AH521" s="108"/>
      <c r="AI521" s="108"/>
      <c r="AJ521" s="108"/>
      <c r="AK521" s="108"/>
      <c r="AL521" s="108"/>
      <c r="AM521" s="108"/>
      <c r="AN521" s="108"/>
      <c r="AO521" s="108"/>
      <c r="AP521" s="108"/>
      <c r="AQ521" s="108"/>
      <c r="AR521" s="108"/>
      <c r="AS521" s="108"/>
      <c r="AT521" s="108"/>
      <c r="AU521" s="108"/>
      <c r="AV521" s="108"/>
      <c r="AW521" s="108"/>
      <c r="AX521" s="108"/>
      <c r="AY521" s="108"/>
      <c r="AZ521" s="108"/>
      <c r="BA521" s="108"/>
      <c r="BB521" s="108"/>
      <c r="BC521" s="108"/>
      <c r="BD521" s="108"/>
      <c r="BE521" s="108"/>
      <c r="BF521" s="108"/>
      <c r="BG521" s="108"/>
      <c r="BH521" s="108"/>
      <c r="BI521" s="108"/>
      <c r="BJ521" s="108"/>
      <c r="BK521" s="108"/>
      <c r="BL521" s="108"/>
      <c r="BM521" s="109"/>
      <c r="BN521" s="108"/>
      <c r="BO521" s="108"/>
      <c r="BP521" s="108"/>
    </row>
    <row r="522" spans="1:68" ht="12" customHeight="1" x14ac:dyDescent="0.2">
      <c r="A522" s="179"/>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c r="AA522" s="108"/>
      <c r="AB522" s="108"/>
      <c r="AC522" s="108"/>
      <c r="AD522" s="108"/>
      <c r="AE522" s="108"/>
      <c r="AF522" s="108"/>
      <c r="AG522" s="108"/>
      <c r="AH522" s="108"/>
      <c r="AI522" s="108"/>
      <c r="AJ522" s="108"/>
      <c r="AK522" s="108"/>
      <c r="AL522" s="108"/>
      <c r="AM522" s="108"/>
      <c r="AN522" s="108"/>
      <c r="AO522" s="108"/>
      <c r="AP522" s="108"/>
      <c r="AQ522" s="108"/>
      <c r="AR522" s="108"/>
      <c r="AS522" s="108"/>
      <c r="AT522" s="108"/>
      <c r="AU522" s="108"/>
      <c r="AV522" s="108"/>
      <c r="AW522" s="108"/>
      <c r="AX522" s="108"/>
      <c r="AY522" s="108"/>
      <c r="AZ522" s="108"/>
      <c r="BA522" s="108"/>
      <c r="BB522" s="108"/>
      <c r="BC522" s="108"/>
      <c r="BD522" s="108"/>
      <c r="BE522" s="108"/>
      <c r="BF522" s="108"/>
      <c r="BG522" s="108"/>
      <c r="BH522" s="108"/>
      <c r="BI522" s="108"/>
      <c r="BJ522" s="108"/>
      <c r="BK522" s="108"/>
      <c r="BL522" s="108"/>
      <c r="BM522" s="109"/>
      <c r="BN522" s="108"/>
      <c r="BO522" s="108"/>
      <c r="BP522" s="108"/>
    </row>
    <row r="523" spans="1:68" ht="12" customHeight="1" x14ac:dyDescent="0.2">
      <c r="A523" s="179"/>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c r="AA523" s="108"/>
      <c r="AB523" s="108"/>
      <c r="AC523" s="108"/>
      <c r="AD523" s="108"/>
      <c r="AE523" s="108"/>
      <c r="AF523" s="108"/>
      <c r="AG523" s="108"/>
      <c r="AH523" s="108"/>
      <c r="AI523" s="108"/>
      <c r="AJ523" s="108"/>
      <c r="AK523" s="108"/>
      <c r="AL523" s="108"/>
      <c r="AM523" s="108"/>
      <c r="AN523" s="108"/>
      <c r="AO523" s="108"/>
      <c r="AP523" s="108"/>
      <c r="AQ523" s="108"/>
      <c r="AR523" s="108"/>
      <c r="AS523" s="108"/>
      <c r="AT523" s="108"/>
      <c r="AU523" s="108"/>
      <c r="AV523" s="108"/>
      <c r="AW523" s="108"/>
      <c r="AX523" s="108"/>
      <c r="AY523" s="108"/>
      <c r="AZ523" s="108"/>
      <c r="BA523" s="108"/>
      <c r="BB523" s="108"/>
      <c r="BC523" s="108"/>
      <c r="BD523" s="108"/>
      <c r="BE523" s="108"/>
      <c r="BF523" s="108"/>
      <c r="BG523" s="108"/>
      <c r="BH523" s="108"/>
      <c r="BI523" s="108"/>
      <c r="BJ523" s="108"/>
      <c r="BK523" s="108"/>
      <c r="BL523" s="108"/>
      <c r="BM523" s="109"/>
      <c r="BN523" s="108"/>
      <c r="BO523" s="108"/>
      <c r="BP523" s="108"/>
    </row>
    <row r="524" spans="1:68" ht="12" customHeight="1" x14ac:dyDescent="0.2">
      <c r="A524" s="179"/>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c r="AA524" s="108"/>
      <c r="AB524" s="108"/>
      <c r="AC524" s="108"/>
      <c r="AD524" s="108"/>
      <c r="AE524" s="108"/>
      <c r="AF524" s="108"/>
      <c r="AG524" s="108"/>
      <c r="AH524" s="108"/>
      <c r="AI524" s="108"/>
      <c r="AJ524" s="108"/>
      <c r="AK524" s="108"/>
      <c r="AL524" s="108"/>
      <c r="AM524" s="108"/>
      <c r="AN524" s="108"/>
      <c r="AO524" s="108"/>
      <c r="AP524" s="108"/>
      <c r="AQ524" s="108"/>
      <c r="AR524" s="108"/>
      <c r="AS524" s="108"/>
      <c r="AT524" s="108"/>
      <c r="AU524" s="108"/>
      <c r="AV524" s="108"/>
      <c r="AW524" s="108"/>
      <c r="AX524" s="108"/>
      <c r="AY524" s="108"/>
      <c r="AZ524" s="108"/>
      <c r="BA524" s="108"/>
      <c r="BB524" s="108"/>
      <c r="BC524" s="108"/>
      <c r="BD524" s="108"/>
      <c r="BE524" s="108"/>
      <c r="BF524" s="108"/>
      <c r="BG524" s="108"/>
      <c r="BH524" s="108"/>
      <c r="BI524" s="108"/>
      <c r="BJ524" s="108"/>
      <c r="BK524" s="108"/>
      <c r="BL524" s="108"/>
      <c r="BM524" s="109"/>
      <c r="BN524" s="108"/>
      <c r="BO524" s="108"/>
      <c r="BP524" s="108"/>
    </row>
    <row r="525" spans="1:68" ht="12" customHeight="1" x14ac:dyDescent="0.2">
      <c r="A525" s="179"/>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c r="AA525" s="108"/>
      <c r="AB525" s="108"/>
      <c r="AC525" s="108"/>
      <c r="AD525" s="108"/>
      <c r="AE525" s="108"/>
      <c r="AF525" s="108"/>
      <c r="AG525" s="108"/>
      <c r="AH525" s="108"/>
      <c r="AI525" s="108"/>
      <c r="AJ525" s="108"/>
      <c r="AK525" s="108"/>
      <c r="AL525" s="108"/>
      <c r="AM525" s="108"/>
      <c r="AN525" s="108"/>
      <c r="AO525" s="108"/>
      <c r="AP525" s="108"/>
      <c r="AQ525" s="108"/>
      <c r="AR525" s="108"/>
      <c r="AS525" s="108"/>
      <c r="AT525" s="108"/>
      <c r="AU525" s="108"/>
      <c r="AV525" s="108"/>
      <c r="AW525" s="108"/>
      <c r="AX525" s="108"/>
      <c r="AY525" s="108"/>
      <c r="AZ525" s="108"/>
      <c r="BA525" s="108"/>
      <c r="BB525" s="108"/>
      <c r="BC525" s="108"/>
      <c r="BD525" s="108"/>
      <c r="BE525" s="108"/>
      <c r="BF525" s="108"/>
      <c r="BG525" s="108"/>
      <c r="BH525" s="108"/>
      <c r="BI525" s="108"/>
      <c r="BJ525" s="108"/>
      <c r="BK525" s="108"/>
      <c r="BL525" s="108"/>
      <c r="BM525" s="109"/>
      <c r="BN525" s="108"/>
      <c r="BO525" s="108"/>
      <c r="BP525" s="108"/>
    </row>
    <row r="526" spans="1:68" ht="12" customHeight="1" x14ac:dyDescent="0.2">
      <c r="A526" s="179"/>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c r="AA526" s="108"/>
      <c r="AB526" s="108"/>
      <c r="AC526" s="108"/>
      <c r="AD526" s="108"/>
      <c r="AE526" s="108"/>
      <c r="AF526" s="108"/>
      <c r="AG526" s="108"/>
      <c r="AH526" s="108"/>
      <c r="AI526" s="108"/>
      <c r="AJ526" s="108"/>
      <c r="AK526" s="108"/>
      <c r="AL526" s="108"/>
      <c r="AM526" s="108"/>
      <c r="AN526" s="108"/>
      <c r="AO526" s="108"/>
      <c r="AP526" s="108"/>
      <c r="AQ526" s="108"/>
      <c r="AR526" s="108"/>
      <c r="AS526" s="108"/>
      <c r="AT526" s="108"/>
      <c r="AU526" s="108"/>
      <c r="AV526" s="108"/>
      <c r="AW526" s="108"/>
      <c r="AX526" s="108"/>
      <c r="AY526" s="108"/>
      <c r="AZ526" s="108"/>
      <c r="BA526" s="108"/>
      <c r="BB526" s="108"/>
      <c r="BC526" s="108"/>
      <c r="BD526" s="108"/>
      <c r="BE526" s="108"/>
      <c r="BF526" s="108"/>
      <c r="BG526" s="108"/>
      <c r="BH526" s="108"/>
      <c r="BI526" s="108"/>
      <c r="BJ526" s="108"/>
      <c r="BK526" s="108"/>
      <c r="BL526" s="108"/>
      <c r="BM526" s="109"/>
      <c r="BN526" s="108"/>
      <c r="BO526" s="108"/>
      <c r="BP526" s="108"/>
    </row>
    <row r="527" spans="1:68" ht="12" customHeight="1" x14ac:dyDescent="0.2">
      <c r="A527" s="179"/>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c r="AA527" s="108"/>
      <c r="AB527" s="108"/>
      <c r="AC527" s="108"/>
      <c r="AD527" s="108"/>
      <c r="AE527" s="108"/>
      <c r="AF527" s="108"/>
      <c r="AG527" s="108"/>
      <c r="AH527" s="108"/>
      <c r="AI527" s="108"/>
      <c r="AJ527" s="108"/>
      <c r="AK527" s="108"/>
      <c r="AL527" s="108"/>
      <c r="AM527" s="108"/>
      <c r="AN527" s="108"/>
      <c r="AO527" s="108"/>
      <c r="AP527" s="108"/>
      <c r="AQ527" s="108"/>
      <c r="AR527" s="108"/>
      <c r="AS527" s="108"/>
      <c r="AT527" s="108"/>
      <c r="AU527" s="108"/>
      <c r="AV527" s="108"/>
      <c r="AW527" s="108"/>
      <c r="AX527" s="108"/>
      <c r="AY527" s="108"/>
      <c r="AZ527" s="108"/>
      <c r="BA527" s="108"/>
      <c r="BB527" s="108"/>
      <c r="BC527" s="108"/>
      <c r="BD527" s="108"/>
      <c r="BE527" s="108"/>
      <c r="BF527" s="108"/>
      <c r="BG527" s="108"/>
      <c r="BH527" s="108"/>
      <c r="BI527" s="108"/>
      <c r="BJ527" s="108"/>
      <c r="BK527" s="108"/>
      <c r="BL527" s="108"/>
      <c r="BM527" s="109"/>
      <c r="BN527" s="108"/>
      <c r="BO527" s="108"/>
      <c r="BP527" s="108"/>
    </row>
    <row r="528" spans="1:68" ht="12" customHeight="1" x14ac:dyDescent="0.2">
      <c r="A528" s="179"/>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c r="AA528" s="108"/>
      <c r="AB528" s="108"/>
      <c r="AC528" s="108"/>
      <c r="AD528" s="108"/>
      <c r="AE528" s="108"/>
      <c r="AF528" s="108"/>
      <c r="AG528" s="108"/>
      <c r="AH528" s="108"/>
      <c r="AI528" s="108"/>
      <c r="AJ528" s="108"/>
      <c r="AK528" s="108"/>
      <c r="AL528" s="108"/>
      <c r="AM528" s="108"/>
      <c r="AN528" s="108"/>
      <c r="AO528" s="108"/>
      <c r="AP528" s="108"/>
      <c r="AQ528" s="108"/>
      <c r="AR528" s="108"/>
      <c r="AS528" s="108"/>
      <c r="AT528" s="108"/>
      <c r="AU528" s="108"/>
      <c r="AV528" s="108"/>
      <c r="AW528" s="108"/>
      <c r="AX528" s="108"/>
      <c r="AY528" s="108"/>
      <c r="AZ528" s="108"/>
      <c r="BA528" s="108"/>
      <c r="BB528" s="108"/>
      <c r="BC528" s="108"/>
      <c r="BD528" s="108"/>
      <c r="BE528" s="108"/>
      <c r="BF528" s="108"/>
      <c r="BG528" s="108"/>
      <c r="BH528" s="108"/>
      <c r="BI528" s="108"/>
      <c r="BJ528" s="108"/>
      <c r="BK528" s="108"/>
      <c r="BL528" s="108"/>
      <c r="BM528" s="109"/>
      <c r="BN528" s="108"/>
      <c r="BO528" s="108"/>
      <c r="BP528" s="108"/>
    </row>
    <row r="529" spans="1:68" ht="12" customHeight="1" x14ac:dyDescent="0.2">
      <c r="A529" s="179"/>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c r="AA529" s="108"/>
      <c r="AB529" s="108"/>
      <c r="AC529" s="108"/>
      <c r="AD529" s="108"/>
      <c r="AE529" s="108"/>
      <c r="AF529" s="108"/>
      <c r="AG529" s="108"/>
      <c r="AH529" s="108"/>
      <c r="AI529" s="108"/>
      <c r="AJ529" s="108"/>
      <c r="AK529" s="108"/>
      <c r="AL529" s="108"/>
      <c r="AM529" s="108"/>
      <c r="AN529" s="108"/>
      <c r="AO529" s="108"/>
      <c r="AP529" s="108"/>
      <c r="AQ529" s="108"/>
      <c r="AR529" s="108"/>
      <c r="AS529" s="108"/>
      <c r="AT529" s="108"/>
      <c r="AU529" s="108"/>
      <c r="AV529" s="108"/>
      <c r="AW529" s="108"/>
      <c r="AX529" s="108"/>
      <c r="AY529" s="108"/>
      <c r="AZ529" s="108"/>
      <c r="BA529" s="108"/>
      <c r="BB529" s="108"/>
      <c r="BC529" s="108"/>
      <c r="BD529" s="108"/>
      <c r="BE529" s="108"/>
      <c r="BF529" s="108"/>
      <c r="BG529" s="108"/>
      <c r="BH529" s="108"/>
      <c r="BI529" s="108"/>
      <c r="BJ529" s="108"/>
      <c r="BK529" s="108"/>
      <c r="BL529" s="108"/>
      <c r="BM529" s="109"/>
      <c r="BN529" s="108"/>
      <c r="BO529" s="108"/>
      <c r="BP529" s="108"/>
    </row>
    <row r="530" spans="1:68" ht="12" customHeight="1" x14ac:dyDescent="0.2">
      <c r="A530" s="179"/>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c r="AA530" s="108"/>
      <c r="AB530" s="108"/>
      <c r="AC530" s="108"/>
      <c r="AD530" s="108"/>
      <c r="AE530" s="108"/>
      <c r="AF530" s="108"/>
      <c r="AG530" s="108"/>
      <c r="AH530" s="108"/>
      <c r="AI530" s="108"/>
      <c r="AJ530" s="108"/>
      <c r="AK530" s="108"/>
      <c r="AL530" s="108"/>
      <c r="AM530" s="108"/>
      <c r="AN530" s="108"/>
      <c r="AO530" s="108"/>
      <c r="AP530" s="108"/>
      <c r="AQ530" s="108"/>
      <c r="AR530" s="108"/>
      <c r="AS530" s="108"/>
      <c r="AT530" s="108"/>
      <c r="AU530" s="108"/>
      <c r="AV530" s="108"/>
      <c r="AW530" s="108"/>
      <c r="AX530" s="108"/>
      <c r="AY530" s="108"/>
      <c r="AZ530" s="108"/>
      <c r="BA530" s="108"/>
      <c r="BB530" s="108"/>
      <c r="BC530" s="108"/>
      <c r="BD530" s="108"/>
      <c r="BE530" s="108"/>
      <c r="BF530" s="108"/>
      <c r="BG530" s="108"/>
      <c r="BH530" s="108"/>
      <c r="BI530" s="108"/>
      <c r="BJ530" s="108"/>
      <c r="BK530" s="108"/>
      <c r="BL530" s="108"/>
      <c r="BM530" s="109"/>
      <c r="BN530" s="108"/>
      <c r="BO530" s="108"/>
      <c r="BP530" s="108"/>
    </row>
    <row r="531" spans="1:68" ht="12" customHeight="1" x14ac:dyDescent="0.2">
      <c r="A531" s="179"/>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c r="AA531" s="108"/>
      <c r="AB531" s="108"/>
      <c r="AC531" s="108"/>
      <c r="AD531" s="108"/>
      <c r="AE531" s="108"/>
      <c r="AF531" s="108"/>
      <c r="AG531" s="108"/>
      <c r="AH531" s="108"/>
      <c r="AI531" s="108"/>
      <c r="AJ531" s="108"/>
      <c r="AK531" s="108"/>
      <c r="AL531" s="108"/>
      <c r="AM531" s="108"/>
      <c r="AN531" s="108"/>
      <c r="AO531" s="108"/>
      <c r="AP531" s="108"/>
      <c r="AQ531" s="108"/>
      <c r="AR531" s="108"/>
      <c r="AS531" s="108"/>
      <c r="AT531" s="108"/>
      <c r="AU531" s="108"/>
      <c r="AV531" s="108"/>
      <c r="AW531" s="108"/>
      <c r="AX531" s="108"/>
      <c r="AY531" s="108"/>
      <c r="AZ531" s="108"/>
      <c r="BA531" s="108"/>
      <c r="BB531" s="108"/>
      <c r="BC531" s="108"/>
      <c r="BD531" s="108"/>
      <c r="BE531" s="108"/>
      <c r="BF531" s="108"/>
      <c r="BG531" s="108"/>
      <c r="BH531" s="108"/>
      <c r="BI531" s="108"/>
      <c r="BJ531" s="108"/>
      <c r="BK531" s="108"/>
      <c r="BL531" s="108"/>
      <c r="BM531" s="109"/>
      <c r="BN531" s="108"/>
      <c r="BO531" s="108"/>
      <c r="BP531" s="108"/>
    </row>
    <row r="532" spans="1:68" ht="12" customHeight="1" x14ac:dyDescent="0.2">
      <c r="A532" s="179"/>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c r="AA532" s="108"/>
      <c r="AB532" s="108"/>
      <c r="AC532" s="108"/>
      <c r="AD532" s="108"/>
      <c r="AE532" s="108"/>
      <c r="AF532" s="108"/>
      <c r="AG532" s="108"/>
      <c r="AH532" s="108"/>
      <c r="AI532" s="108"/>
      <c r="AJ532" s="108"/>
      <c r="AK532" s="108"/>
      <c r="AL532" s="108"/>
      <c r="AM532" s="108"/>
      <c r="AN532" s="108"/>
      <c r="AO532" s="108"/>
      <c r="AP532" s="108"/>
      <c r="AQ532" s="108"/>
      <c r="AR532" s="108"/>
      <c r="AS532" s="108"/>
      <c r="AT532" s="108"/>
      <c r="AU532" s="108"/>
      <c r="AV532" s="108"/>
      <c r="AW532" s="108"/>
      <c r="AX532" s="108"/>
      <c r="AY532" s="108"/>
      <c r="AZ532" s="108"/>
      <c r="BA532" s="108"/>
      <c r="BB532" s="108"/>
      <c r="BC532" s="108"/>
      <c r="BD532" s="108"/>
      <c r="BE532" s="108"/>
      <c r="BF532" s="108"/>
      <c r="BG532" s="108"/>
      <c r="BH532" s="108"/>
      <c r="BI532" s="108"/>
      <c r="BJ532" s="108"/>
      <c r="BK532" s="108"/>
      <c r="BL532" s="108"/>
      <c r="BM532" s="109"/>
      <c r="BN532" s="108"/>
      <c r="BO532" s="108"/>
      <c r="BP532" s="108"/>
    </row>
    <row r="533" spans="1:68" ht="12" customHeight="1" x14ac:dyDescent="0.2">
      <c r="A533" s="179"/>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c r="AA533" s="108"/>
      <c r="AB533" s="108"/>
      <c r="AC533" s="108"/>
      <c r="AD533" s="108"/>
      <c r="AE533" s="108"/>
      <c r="AF533" s="108"/>
      <c r="AG533" s="108"/>
      <c r="AH533" s="108"/>
      <c r="AI533" s="108"/>
      <c r="AJ533" s="108"/>
      <c r="AK533" s="108"/>
      <c r="AL533" s="108"/>
      <c r="AM533" s="108"/>
      <c r="AN533" s="108"/>
      <c r="AO533" s="108"/>
      <c r="AP533" s="108"/>
      <c r="AQ533" s="108"/>
      <c r="AR533" s="108"/>
      <c r="AS533" s="108"/>
      <c r="AT533" s="108"/>
      <c r="AU533" s="108"/>
      <c r="AV533" s="108"/>
      <c r="AW533" s="108"/>
      <c r="AX533" s="108"/>
      <c r="AY533" s="108"/>
      <c r="AZ533" s="108"/>
      <c r="BA533" s="108"/>
      <c r="BB533" s="108"/>
      <c r="BC533" s="108"/>
      <c r="BD533" s="108"/>
      <c r="BE533" s="108"/>
      <c r="BF533" s="108"/>
      <c r="BG533" s="108"/>
      <c r="BH533" s="108"/>
      <c r="BI533" s="108"/>
      <c r="BJ533" s="108"/>
      <c r="BK533" s="108"/>
      <c r="BL533" s="108"/>
      <c r="BM533" s="109"/>
      <c r="BN533" s="108"/>
      <c r="BO533" s="108"/>
      <c r="BP533" s="108"/>
    </row>
    <row r="534" spans="1:68" ht="12" customHeight="1" x14ac:dyDescent="0.2">
      <c r="A534" s="179"/>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c r="AA534" s="108"/>
      <c r="AB534" s="108"/>
      <c r="AC534" s="108"/>
      <c r="AD534" s="108"/>
      <c r="AE534" s="108"/>
      <c r="AF534" s="108"/>
      <c r="AG534" s="108"/>
      <c r="AH534" s="108"/>
      <c r="AI534" s="108"/>
      <c r="AJ534" s="108"/>
      <c r="AK534" s="108"/>
      <c r="AL534" s="108"/>
      <c r="AM534" s="108"/>
      <c r="AN534" s="108"/>
      <c r="AO534" s="108"/>
      <c r="AP534" s="108"/>
      <c r="AQ534" s="108"/>
      <c r="AR534" s="108"/>
      <c r="AS534" s="108"/>
      <c r="AT534" s="108"/>
      <c r="AU534" s="108"/>
      <c r="AV534" s="108"/>
      <c r="AW534" s="108"/>
      <c r="AX534" s="108"/>
      <c r="AY534" s="108"/>
      <c r="AZ534" s="108"/>
      <c r="BA534" s="108"/>
      <c r="BB534" s="108"/>
      <c r="BC534" s="108"/>
      <c r="BD534" s="108"/>
      <c r="BE534" s="108"/>
      <c r="BF534" s="108"/>
      <c r="BG534" s="108"/>
      <c r="BH534" s="108"/>
      <c r="BI534" s="108"/>
      <c r="BJ534" s="108"/>
      <c r="BK534" s="108"/>
      <c r="BL534" s="108"/>
      <c r="BM534" s="109"/>
      <c r="BN534" s="108"/>
      <c r="BO534" s="108"/>
      <c r="BP534" s="108"/>
    </row>
    <row r="535" spans="1:68" ht="12" customHeight="1" x14ac:dyDescent="0.2">
      <c r="A535" s="179"/>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c r="AA535" s="108"/>
      <c r="AB535" s="108"/>
      <c r="AC535" s="108"/>
      <c r="AD535" s="108"/>
      <c r="AE535" s="108"/>
      <c r="AF535" s="108"/>
      <c r="AG535" s="108"/>
      <c r="AH535" s="108"/>
      <c r="AI535" s="108"/>
      <c r="AJ535" s="108"/>
      <c r="AK535" s="108"/>
      <c r="AL535" s="108"/>
      <c r="AM535" s="108"/>
      <c r="AN535" s="108"/>
      <c r="AO535" s="108"/>
      <c r="AP535" s="108"/>
      <c r="AQ535" s="108"/>
      <c r="AR535" s="108"/>
      <c r="AS535" s="108"/>
      <c r="AT535" s="108"/>
      <c r="AU535" s="108"/>
      <c r="AV535" s="108"/>
      <c r="AW535" s="108"/>
      <c r="AX535" s="108"/>
      <c r="AY535" s="108"/>
      <c r="AZ535" s="108"/>
      <c r="BA535" s="108"/>
      <c r="BB535" s="108"/>
      <c r="BC535" s="108"/>
      <c r="BD535" s="108"/>
      <c r="BE535" s="108"/>
      <c r="BF535" s="108"/>
      <c r="BG535" s="108"/>
      <c r="BH535" s="108"/>
      <c r="BI535" s="108"/>
      <c r="BJ535" s="108"/>
      <c r="BK535" s="108"/>
      <c r="BL535" s="108"/>
      <c r="BM535" s="109"/>
      <c r="BN535" s="108"/>
      <c r="BO535" s="108"/>
      <c r="BP535" s="108"/>
    </row>
    <row r="536" spans="1:68" ht="12" customHeight="1" x14ac:dyDescent="0.2">
      <c r="A536" s="179"/>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c r="AA536" s="108"/>
      <c r="AB536" s="108"/>
      <c r="AC536" s="108"/>
      <c r="AD536" s="108"/>
      <c r="AE536" s="108"/>
      <c r="AF536" s="108"/>
      <c r="AG536" s="108"/>
      <c r="AH536" s="108"/>
      <c r="AI536" s="108"/>
      <c r="AJ536" s="108"/>
      <c r="AK536" s="108"/>
      <c r="AL536" s="108"/>
      <c r="AM536" s="108"/>
      <c r="AN536" s="108"/>
      <c r="AO536" s="108"/>
      <c r="AP536" s="108"/>
      <c r="AQ536" s="108"/>
      <c r="AR536" s="108"/>
      <c r="AS536" s="108"/>
      <c r="AT536" s="108"/>
      <c r="AU536" s="108"/>
      <c r="AV536" s="108"/>
      <c r="AW536" s="108"/>
      <c r="AX536" s="108"/>
      <c r="AY536" s="108"/>
      <c r="AZ536" s="108"/>
      <c r="BA536" s="108"/>
      <c r="BB536" s="108"/>
      <c r="BC536" s="108"/>
      <c r="BD536" s="108"/>
      <c r="BE536" s="108"/>
      <c r="BF536" s="108"/>
      <c r="BG536" s="108"/>
      <c r="BH536" s="108"/>
      <c r="BI536" s="108"/>
      <c r="BJ536" s="108"/>
      <c r="BK536" s="108"/>
      <c r="BL536" s="108"/>
      <c r="BM536" s="109"/>
      <c r="BN536" s="108"/>
      <c r="BO536" s="108"/>
      <c r="BP536" s="108"/>
    </row>
    <row r="537" spans="1:68" ht="12" customHeight="1" x14ac:dyDescent="0.2">
      <c r="A537" s="179"/>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c r="AA537" s="108"/>
      <c r="AB537" s="108"/>
      <c r="AC537" s="108"/>
      <c r="AD537" s="108"/>
      <c r="AE537" s="108"/>
      <c r="AF537" s="108"/>
      <c r="AG537" s="108"/>
      <c r="AH537" s="108"/>
      <c r="AI537" s="108"/>
      <c r="AJ537" s="108"/>
      <c r="AK537" s="108"/>
      <c r="AL537" s="108"/>
      <c r="AM537" s="108"/>
      <c r="AN537" s="108"/>
      <c r="AO537" s="108"/>
      <c r="AP537" s="108"/>
      <c r="AQ537" s="108"/>
      <c r="AR537" s="108"/>
      <c r="AS537" s="108"/>
      <c r="AT537" s="108"/>
      <c r="AU537" s="108"/>
      <c r="AV537" s="108"/>
      <c r="AW537" s="108"/>
      <c r="AX537" s="108"/>
      <c r="AY537" s="108"/>
      <c r="AZ537" s="108"/>
      <c r="BA537" s="108"/>
      <c r="BB537" s="108"/>
      <c r="BC537" s="108"/>
      <c r="BD537" s="108"/>
      <c r="BE537" s="108"/>
      <c r="BF537" s="108"/>
      <c r="BG537" s="108"/>
      <c r="BH537" s="108"/>
      <c r="BI537" s="108"/>
      <c r="BJ537" s="108"/>
      <c r="BK537" s="108"/>
      <c r="BL537" s="108"/>
      <c r="BM537" s="109"/>
      <c r="BN537" s="108"/>
      <c r="BO537" s="108"/>
      <c r="BP537" s="108"/>
    </row>
    <row r="538" spans="1:68" ht="12" customHeight="1" x14ac:dyDescent="0.2">
      <c r="A538" s="179"/>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c r="AA538" s="108"/>
      <c r="AB538" s="108"/>
      <c r="AC538" s="108"/>
      <c r="AD538" s="108"/>
      <c r="AE538" s="108"/>
      <c r="AF538" s="108"/>
      <c r="AG538" s="108"/>
      <c r="AH538" s="108"/>
      <c r="AI538" s="108"/>
      <c r="AJ538" s="108"/>
      <c r="AK538" s="108"/>
      <c r="AL538" s="108"/>
      <c r="AM538" s="108"/>
      <c r="AN538" s="108"/>
      <c r="AO538" s="108"/>
      <c r="AP538" s="108"/>
      <c r="AQ538" s="108"/>
      <c r="AR538" s="108"/>
      <c r="AS538" s="108"/>
      <c r="AT538" s="108"/>
      <c r="AU538" s="108"/>
      <c r="AV538" s="108"/>
      <c r="AW538" s="108"/>
      <c r="AX538" s="108"/>
      <c r="AY538" s="108"/>
      <c r="AZ538" s="108"/>
      <c r="BA538" s="108"/>
      <c r="BB538" s="108"/>
      <c r="BC538" s="108"/>
      <c r="BD538" s="108"/>
      <c r="BE538" s="108"/>
      <c r="BF538" s="108"/>
      <c r="BG538" s="108"/>
      <c r="BH538" s="108"/>
      <c r="BI538" s="108"/>
      <c r="BJ538" s="108"/>
      <c r="BK538" s="108"/>
      <c r="BL538" s="108"/>
      <c r="BM538" s="109"/>
      <c r="BN538" s="108"/>
      <c r="BO538" s="108"/>
      <c r="BP538" s="108"/>
    </row>
    <row r="539" spans="1:68" ht="12" customHeight="1" x14ac:dyDescent="0.2">
      <c r="A539" s="179"/>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c r="AA539" s="108"/>
      <c r="AB539" s="108"/>
      <c r="AC539" s="108"/>
      <c r="AD539" s="108"/>
      <c r="AE539" s="108"/>
      <c r="AF539" s="108"/>
      <c r="AG539" s="108"/>
      <c r="AH539" s="108"/>
      <c r="AI539" s="108"/>
      <c r="AJ539" s="108"/>
      <c r="AK539" s="108"/>
      <c r="AL539" s="108"/>
      <c r="AM539" s="108"/>
      <c r="AN539" s="108"/>
      <c r="AO539" s="108"/>
      <c r="AP539" s="108"/>
      <c r="AQ539" s="108"/>
      <c r="AR539" s="108"/>
      <c r="AS539" s="108"/>
      <c r="AT539" s="108"/>
      <c r="AU539" s="108"/>
      <c r="AV539" s="108"/>
      <c r="AW539" s="108"/>
      <c r="AX539" s="108"/>
      <c r="AY539" s="108"/>
      <c r="AZ539" s="108"/>
      <c r="BA539" s="108"/>
      <c r="BB539" s="108"/>
      <c r="BC539" s="108"/>
      <c r="BD539" s="108"/>
      <c r="BE539" s="108"/>
      <c r="BF539" s="108"/>
      <c r="BG539" s="108"/>
      <c r="BH539" s="108"/>
      <c r="BI539" s="108"/>
      <c r="BJ539" s="108"/>
      <c r="BK539" s="108"/>
      <c r="BL539" s="108"/>
      <c r="BM539" s="109"/>
      <c r="BN539" s="108"/>
      <c r="BO539" s="108"/>
      <c r="BP539" s="108"/>
    </row>
    <row r="540" spans="1:68" ht="12" customHeight="1" x14ac:dyDescent="0.2">
      <c r="A540" s="179"/>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c r="AA540" s="108"/>
      <c r="AB540" s="108"/>
      <c r="AC540" s="108"/>
      <c r="AD540" s="108"/>
      <c r="AE540" s="108"/>
      <c r="AF540" s="108"/>
      <c r="AG540" s="108"/>
      <c r="AH540" s="108"/>
      <c r="AI540" s="108"/>
      <c r="AJ540" s="108"/>
      <c r="AK540" s="108"/>
      <c r="AL540" s="108"/>
      <c r="AM540" s="108"/>
      <c r="AN540" s="108"/>
      <c r="AO540" s="108"/>
      <c r="AP540" s="108"/>
      <c r="AQ540" s="108"/>
      <c r="AR540" s="108"/>
      <c r="AS540" s="108"/>
      <c r="AT540" s="108"/>
      <c r="AU540" s="108"/>
      <c r="AV540" s="108"/>
      <c r="AW540" s="108"/>
      <c r="AX540" s="108"/>
      <c r="AY540" s="108"/>
      <c r="AZ540" s="108"/>
      <c r="BA540" s="108"/>
      <c r="BB540" s="108"/>
      <c r="BC540" s="108"/>
      <c r="BD540" s="108"/>
      <c r="BE540" s="108"/>
      <c r="BF540" s="108"/>
      <c r="BG540" s="108"/>
      <c r="BH540" s="108"/>
      <c r="BI540" s="108"/>
      <c r="BJ540" s="108"/>
      <c r="BK540" s="108"/>
      <c r="BL540" s="108"/>
      <c r="BM540" s="109"/>
      <c r="BN540" s="108"/>
      <c r="BO540" s="108"/>
      <c r="BP540" s="108"/>
    </row>
    <row r="541" spans="1:68" ht="12" customHeight="1" x14ac:dyDescent="0.2">
      <c r="A541" s="179"/>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c r="AA541" s="108"/>
      <c r="AB541" s="108"/>
      <c r="AC541" s="108"/>
      <c r="AD541" s="108"/>
      <c r="AE541" s="108"/>
      <c r="AF541" s="108"/>
      <c r="AG541" s="108"/>
      <c r="AH541" s="108"/>
      <c r="AI541" s="108"/>
      <c r="AJ541" s="108"/>
      <c r="AK541" s="108"/>
      <c r="AL541" s="108"/>
      <c r="AM541" s="108"/>
      <c r="AN541" s="108"/>
      <c r="AO541" s="108"/>
      <c r="AP541" s="108"/>
      <c r="AQ541" s="108"/>
      <c r="AR541" s="108"/>
      <c r="AS541" s="108"/>
      <c r="AT541" s="108"/>
      <c r="AU541" s="108"/>
      <c r="AV541" s="108"/>
      <c r="AW541" s="108"/>
      <c r="AX541" s="108"/>
      <c r="AY541" s="108"/>
      <c r="AZ541" s="108"/>
      <c r="BA541" s="108"/>
      <c r="BB541" s="108"/>
      <c r="BC541" s="108"/>
      <c r="BD541" s="108"/>
      <c r="BE541" s="108"/>
      <c r="BF541" s="108"/>
      <c r="BG541" s="108"/>
      <c r="BH541" s="108"/>
      <c r="BI541" s="108"/>
      <c r="BJ541" s="108"/>
      <c r="BK541" s="108"/>
      <c r="BL541" s="108"/>
      <c r="BM541" s="109"/>
      <c r="BN541" s="108"/>
      <c r="BO541" s="108"/>
      <c r="BP541" s="108"/>
    </row>
    <row r="542" spans="1:68" ht="12" customHeight="1" x14ac:dyDescent="0.2">
      <c r="A542" s="179"/>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c r="AA542" s="108"/>
      <c r="AB542" s="108"/>
      <c r="AC542" s="108"/>
      <c r="AD542" s="108"/>
      <c r="AE542" s="108"/>
      <c r="AF542" s="108"/>
      <c r="AG542" s="108"/>
      <c r="AH542" s="108"/>
      <c r="AI542" s="108"/>
      <c r="AJ542" s="108"/>
      <c r="AK542" s="108"/>
      <c r="AL542" s="108"/>
      <c r="AM542" s="108"/>
      <c r="AN542" s="108"/>
      <c r="AO542" s="108"/>
      <c r="AP542" s="108"/>
      <c r="AQ542" s="108"/>
      <c r="AR542" s="108"/>
      <c r="AS542" s="108"/>
      <c r="AT542" s="108"/>
      <c r="AU542" s="108"/>
      <c r="AV542" s="108"/>
      <c r="AW542" s="108"/>
      <c r="AX542" s="108"/>
      <c r="AY542" s="108"/>
      <c r="AZ542" s="108"/>
      <c r="BA542" s="108"/>
      <c r="BB542" s="108"/>
      <c r="BC542" s="108"/>
      <c r="BD542" s="108"/>
      <c r="BE542" s="108"/>
      <c r="BF542" s="108"/>
      <c r="BG542" s="108"/>
      <c r="BH542" s="108"/>
      <c r="BI542" s="108"/>
      <c r="BJ542" s="108"/>
      <c r="BK542" s="108"/>
      <c r="BL542" s="108"/>
      <c r="BM542" s="109"/>
      <c r="BN542" s="108"/>
      <c r="BO542" s="108"/>
      <c r="BP542" s="108"/>
    </row>
    <row r="543" spans="1:68" ht="12" customHeight="1" x14ac:dyDescent="0.2">
      <c r="A543" s="179"/>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c r="AA543" s="108"/>
      <c r="AB543" s="108"/>
      <c r="AC543" s="108"/>
      <c r="AD543" s="108"/>
      <c r="AE543" s="108"/>
      <c r="AF543" s="108"/>
      <c r="AG543" s="108"/>
      <c r="AH543" s="108"/>
      <c r="AI543" s="108"/>
      <c r="AJ543" s="108"/>
      <c r="AK543" s="108"/>
      <c r="AL543" s="108"/>
      <c r="AM543" s="108"/>
      <c r="AN543" s="108"/>
      <c r="AO543" s="108"/>
      <c r="AP543" s="108"/>
      <c r="AQ543" s="108"/>
      <c r="AR543" s="108"/>
      <c r="AS543" s="108"/>
      <c r="AT543" s="108"/>
      <c r="AU543" s="108"/>
      <c r="AV543" s="108"/>
      <c r="AW543" s="108"/>
      <c r="AX543" s="108"/>
      <c r="AY543" s="108"/>
      <c r="AZ543" s="108"/>
      <c r="BA543" s="108"/>
      <c r="BB543" s="108"/>
      <c r="BC543" s="108"/>
      <c r="BD543" s="108"/>
      <c r="BE543" s="108"/>
      <c r="BF543" s="108"/>
      <c r="BG543" s="108"/>
      <c r="BH543" s="108"/>
      <c r="BI543" s="108"/>
      <c r="BJ543" s="108"/>
      <c r="BK543" s="108"/>
      <c r="BL543" s="108"/>
      <c r="BM543" s="109"/>
      <c r="BN543" s="108"/>
      <c r="BO543" s="108"/>
      <c r="BP543" s="108"/>
    </row>
    <row r="544" spans="1:68" ht="12" customHeight="1" x14ac:dyDescent="0.2">
      <c r="A544" s="179"/>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c r="AA544" s="108"/>
      <c r="AB544" s="108"/>
      <c r="AC544" s="108"/>
      <c r="AD544" s="108"/>
      <c r="AE544" s="108"/>
      <c r="AF544" s="108"/>
      <c r="AG544" s="108"/>
      <c r="AH544" s="108"/>
      <c r="AI544" s="108"/>
      <c r="AJ544" s="108"/>
      <c r="AK544" s="108"/>
      <c r="AL544" s="108"/>
      <c r="AM544" s="108"/>
      <c r="AN544" s="108"/>
      <c r="AO544" s="108"/>
      <c r="AP544" s="108"/>
      <c r="AQ544" s="108"/>
      <c r="AR544" s="108"/>
      <c r="AS544" s="108"/>
      <c r="AT544" s="108"/>
      <c r="AU544" s="108"/>
      <c r="AV544" s="108"/>
      <c r="AW544" s="108"/>
      <c r="AX544" s="108"/>
      <c r="AY544" s="108"/>
      <c r="AZ544" s="108"/>
      <c r="BA544" s="108"/>
      <c r="BB544" s="108"/>
      <c r="BC544" s="108"/>
      <c r="BD544" s="108"/>
      <c r="BE544" s="108"/>
      <c r="BF544" s="108"/>
      <c r="BG544" s="108"/>
      <c r="BH544" s="108"/>
      <c r="BI544" s="108"/>
      <c r="BJ544" s="108"/>
      <c r="BK544" s="108"/>
      <c r="BL544" s="108"/>
      <c r="BM544" s="109"/>
      <c r="BN544" s="108"/>
      <c r="BO544" s="108"/>
      <c r="BP544" s="108"/>
    </row>
    <row r="545" spans="1:68" ht="12" customHeight="1" x14ac:dyDescent="0.2">
      <c r="A545" s="179"/>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c r="AA545" s="108"/>
      <c r="AB545" s="108"/>
      <c r="AC545" s="108"/>
      <c r="AD545" s="108"/>
      <c r="AE545" s="108"/>
      <c r="AF545" s="108"/>
      <c r="AG545" s="108"/>
      <c r="AH545" s="108"/>
      <c r="AI545" s="108"/>
      <c r="AJ545" s="108"/>
      <c r="AK545" s="108"/>
      <c r="AL545" s="108"/>
      <c r="AM545" s="108"/>
      <c r="AN545" s="108"/>
      <c r="AO545" s="108"/>
      <c r="AP545" s="108"/>
      <c r="AQ545" s="108"/>
      <c r="AR545" s="108"/>
      <c r="AS545" s="108"/>
      <c r="AT545" s="108"/>
      <c r="AU545" s="108"/>
      <c r="AV545" s="108"/>
      <c r="AW545" s="108"/>
      <c r="AX545" s="108"/>
      <c r="AY545" s="108"/>
      <c r="AZ545" s="108"/>
      <c r="BA545" s="108"/>
      <c r="BB545" s="108"/>
      <c r="BC545" s="108"/>
      <c r="BD545" s="108"/>
      <c r="BE545" s="108"/>
      <c r="BF545" s="108"/>
      <c r="BG545" s="108"/>
      <c r="BH545" s="108"/>
      <c r="BI545" s="108"/>
      <c r="BJ545" s="108"/>
      <c r="BK545" s="108"/>
      <c r="BL545" s="108"/>
      <c r="BM545" s="109"/>
      <c r="BN545" s="108"/>
      <c r="BO545" s="108"/>
      <c r="BP545" s="108"/>
    </row>
    <row r="546" spans="1:68" ht="12" customHeight="1" x14ac:dyDescent="0.2">
      <c r="A546" s="179"/>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c r="AA546" s="108"/>
      <c r="AB546" s="108"/>
      <c r="AC546" s="108"/>
      <c r="AD546" s="108"/>
      <c r="AE546" s="108"/>
      <c r="AF546" s="108"/>
      <c r="AG546" s="108"/>
      <c r="AH546" s="108"/>
      <c r="AI546" s="108"/>
      <c r="AJ546" s="108"/>
      <c r="AK546" s="108"/>
      <c r="AL546" s="108"/>
      <c r="AM546" s="108"/>
      <c r="AN546" s="108"/>
      <c r="AO546" s="108"/>
      <c r="AP546" s="108"/>
      <c r="AQ546" s="108"/>
      <c r="AR546" s="108"/>
      <c r="AS546" s="108"/>
      <c r="AT546" s="108"/>
      <c r="AU546" s="108"/>
      <c r="AV546" s="108"/>
      <c r="AW546" s="108"/>
      <c r="AX546" s="108"/>
      <c r="AY546" s="108"/>
      <c r="AZ546" s="108"/>
      <c r="BA546" s="108"/>
      <c r="BB546" s="108"/>
      <c r="BC546" s="108"/>
      <c r="BD546" s="108"/>
      <c r="BE546" s="108"/>
      <c r="BF546" s="108"/>
      <c r="BG546" s="108"/>
      <c r="BH546" s="108"/>
      <c r="BI546" s="108"/>
      <c r="BJ546" s="108"/>
      <c r="BK546" s="108"/>
      <c r="BL546" s="108"/>
      <c r="BM546" s="109"/>
      <c r="BN546" s="108"/>
      <c r="BO546" s="108"/>
      <c r="BP546" s="108"/>
    </row>
    <row r="547" spans="1:68" ht="12" customHeight="1" x14ac:dyDescent="0.2">
      <c r="A547" s="179"/>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c r="AA547" s="108"/>
      <c r="AB547" s="108"/>
      <c r="AC547" s="108"/>
      <c r="AD547" s="108"/>
      <c r="AE547" s="108"/>
      <c r="AF547" s="108"/>
      <c r="AG547" s="108"/>
      <c r="AH547" s="108"/>
      <c r="AI547" s="108"/>
      <c r="AJ547" s="108"/>
      <c r="AK547" s="108"/>
      <c r="AL547" s="108"/>
      <c r="AM547" s="108"/>
      <c r="AN547" s="108"/>
      <c r="AO547" s="108"/>
      <c r="AP547" s="108"/>
      <c r="AQ547" s="108"/>
      <c r="AR547" s="108"/>
      <c r="AS547" s="108"/>
      <c r="AT547" s="108"/>
      <c r="AU547" s="108"/>
      <c r="AV547" s="108"/>
      <c r="AW547" s="108"/>
      <c r="AX547" s="108"/>
      <c r="AY547" s="108"/>
      <c r="AZ547" s="108"/>
      <c r="BA547" s="108"/>
      <c r="BB547" s="108"/>
      <c r="BC547" s="108"/>
      <c r="BD547" s="108"/>
      <c r="BE547" s="108"/>
      <c r="BF547" s="108"/>
      <c r="BG547" s="108"/>
      <c r="BH547" s="108"/>
      <c r="BI547" s="108"/>
      <c r="BJ547" s="108"/>
      <c r="BK547" s="108"/>
      <c r="BL547" s="108"/>
      <c r="BM547" s="109"/>
      <c r="BN547" s="108"/>
      <c r="BO547" s="108"/>
      <c r="BP547" s="108"/>
    </row>
    <row r="548" spans="1:68" ht="12" customHeight="1" x14ac:dyDescent="0.2">
      <c r="A548" s="179"/>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c r="AA548" s="108"/>
      <c r="AB548" s="108"/>
      <c r="AC548" s="108"/>
      <c r="AD548" s="108"/>
      <c r="AE548" s="108"/>
      <c r="AF548" s="108"/>
      <c r="AG548" s="108"/>
      <c r="AH548" s="108"/>
      <c r="AI548" s="108"/>
      <c r="AJ548" s="108"/>
      <c r="AK548" s="108"/>
      <c r="AL548" s="108"/>
      <c r="AM548" s="108"/>
      <c r="AN548" s="108"/>
      <c r="AO548" s="108"/>
      <c r="AP548" s="108"/>
      <c r="AQ548" s="108"/>
      <c r="AR548" s="108"/>
      <c r="AS548" s="108"/>
      <c r="AT548" s="108"/>
      <c r="AU548" s="108"/>
      <c r="AV548" s="108"/>
      <c r="AW548" s="108"/>
      <c r="AX548" s="108"/>
      <c r="AY548" s="108"/>
      <c r="AZ548" s="108"/>
      <c r="BA548" s="108"/>
      <c r="BB548" s="108"/>
      <c r="BC548" s="108"/>
      <c r="BD548" s="108"/>
      <c r="BE548" s="108"/>
      <c r="BF548" s="108"/>
      <c r="BG548" s="108"/>
      <c r="BH548" s="108"/>
      <c r="BI548" s="108"/>
      <c r="BJ548" s="108"/>
      <c r="BK548" s="108"/>
      <c r="BL548" s="108"/>
      <c r="BM548" s="109"/>
      <c r="BN548" s="108"/>
      <c r="BO548" s="108"/>
      <c r="BP548" s="108"/>
    </row>
    <row r="549" spans="1:68" ht="12" customHeight="1" x14ac:dyDescent="0.2">
      <c r="A549" s="179"/>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c r="AA549" s="108"/>
      <c r="AB549" s="108"/>
      <c r="AC549" s="108"/>
      <c r="AD549" s="108"/>
      <c r="AE549" s="108"/>
      <c r="AF549" s="108"/>
      <c r="AG549" s="108"/>
      <c r="AH549" s="108"/>
      <c r="AI549" s="108"/>
      <c r="AJ549" s="108"/>
      <c r="AK549" s="108"/>
      <c r="AL549" s="108"/>
      <c r="AM549" s="108"/>
      <c r="AN549" s="108"/>
      <c r="AO549" s="108"/>
      <c r="AP549" s="108"/>
      <c r="AQ549" s="108"/>
      <c r="AR549" s="108"/>
      <c r="AS549" s="108"/>
      <c r="AT549" s="108"/>
      <c r="AU549" s="108"/>
      <c r="AV549" s="108"/>
      <c r="AW549" s="108"/>
      <c r="AX549" s="108"/>
      <c r="AY549" s="108"/>
      <c r="AZ549" s="108"/>
      <c r="BA549" s="108"/>
      <c r="BB549" s="108"/>
      <c r="BC549" s="108"/>
      <c r="BD549" s="108"/>
      <c r="BE549" s="108"/>
      <c r="BF549" s="108"/>
      <c r="BG549" s="108"/>
      <c r="BH549" s="108"/>
      <c r="BI549" s="108"/>
      <c r="BJ549" s="108"/>
      <c r="BK549" s="108"/>
      <c r="BL549" s="108"/>
      <c r="BM549" s="109"/>
      <c r="BN549" s="108"/>
      <c r="BO549" s="108"/>
      <c r="BP549" s="108"/>
    </row>
    <row r="550" spans="1:68" ht="12" customHeight="1" x14ac:dyDescent="0.2">
      <c r="A550" s="179"/>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c r="AA550" s="108"/>
      <c r="AB550" s="108"/>
      <c r="AC550" s="108"/>
      <c r="AD550" s="108"/>
      <c r="AE550" s="108"/>
      <c r="AF550" s="108"/>
      <c r="AG550" s="108"/>
      <c r="AH550" s="108"/>
      <c r="AI550" s="108"/>
      <c r="AJ550" s="108"/>
      <c r="AK550" s="108"/>
      <c r="AL550" s="108"/>
      <c r="AM550" s="108"/>
      <c r="AN550" s="108"/>
      <c r="AO550" s="108"/>
      <c r="AP550" s="108"/>
      <c r="AQ550" s="108"/>
      <c r="AR550" s="108"/>
      <c r="AS550" s="108"/>
      <c r="AT550" s="108"/>
      <c r="AU550" s="108"/>
      <c r="AV550" s="108"/>
      <c r="AW550" s="108"/>
      <c r="AX550" s="108"/>
      <c r="AY550" s="108"/>
      <c r="AZ550" s="108"/>
      <c r="BA550" s="108"/>
      <c r="BB550" s="108"/>
      <c r="BC550" s="108"/>
      <c r="BD550" s="108"/>
      <c r="BE550" s="108"/>
      <c r="BF550" s="108"/>
      <c r="BG550" s="108"/>
      <c r="BH550" s="108"/>
      <c r="BI550" s="108"/>
      <c r="BJ550" s="108"/>
      <c r="BK550" s="108"/>
      <c r="BL550" s="108"/>
      <c r="BM550" s="109"/>
      <c r="BN550" s="108"/>
      <c r="BO550" s="108"/>
      <c r="BP550" s="108"/>
    </row>
    <row r="551" spans="1:68" ht="12" customHeight="1" x14ac:dyDescent="0.2">
      <c r="A551" s="179"/>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c r="AA551" s="108"/>
      <c r="AB551" s="108"/>
      <c r="AC551" s="108"/>
      <c r="AD551" s="108"/>
      <c r="AE551" s="108"/>
      <c r="AF551" s="108"/>
      <c r="AG551" s="108"/>
      <c r="AH551" s="108"/>
      <c r="AI551" s="108"/>
      <c r="AJ551" s="108"/>
      <c r="AK551" s="108"/>
      <c r="AL551" s="108"/>
      <c r="AM551" s="108"/>
      <c r="AN551" s="108"/>
      <c r="AO551" s="108"/>
      <c r="AP551" s="108"/>
      <c r="AQ551" s="108"/>
      <c r="AR551" s="108"/>
      <c r="AS551" s="108"/>
      <c r="AT551" s="108"/>
      <c r="AU551" s="108"/>
      <c r="AV551" s="108"/>
      <c r="AW551" s="108"/>
      <c r="AX551" s="108"/>
      <c r="AY551" s="108"/>
      <c r="AZ551" s="108"/>
      <c r="BA551" s="108"/>
      <c r="BB551" s="108"/>
      <c r="BC551" s="108"/>
      <c r="BD551" s="108"/>
      <c r="BE551" s="108"/>
      <c r="BF551" s="108"/>
      <c r="BG551" s="108"/>
      <c r="BH551" s="108"/>
      <c r="BI551" s="108"/>
      <c r="BJ551" s="108"/>
      <c r="BK551" s="108"/>
      <c r="BL551" s="108"/>
      <c r="BM551" s="109"/>
      <c r="BN551" s="108"/>
      <c r="BO551" s="108"/>
      <c r="BP551" s="108"/>
    </row>
    <row r="552" spans="1:68" ht="12" customHeight="1" x14ac:dyDescent="0.2">
      <c r="A552" s="179"/>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c r="AA552" s="108"/>
      <c r="AB552" s="108"/>
      <c r="AC552" s="108"/>
      <c r="AD552" s="108"/>
      <c r="AE552" s="108"/>
      <c r="AF552" s="108"/>
      <c r="AG552" s="108"/>
      <c r="AH552" s="108"/>
      <c r="AI552" s="108"/>
      <c r="AJ552" s="108"/>
      <c r="AK552" s="108"/>
      <c r="AL552" s="108"/>
      <c r="AM552" s="108"/>
      <c r="AN552" s="108"/>
      <c r="AO552" s="108"/>
      <c r="AP552" s="108"/>
      <c r="AQ552" s="108"/>
      <c r="AR552" s="108"/>
      <c r="AS552" s="108"/>
      <c r="AT552" s="108"/>
      <c r="AU552" s="108"/>
      <c r="AV552" s="108"/>
      <c r="AW552" s="108"/>
      <c r="AX552" s="108"/>
      <c r="AY552" s="108"/>
      <c r="AZ552" s="108"/>
      <c r="BA552" s="108"/>
      <c r="BB552" s="108"/>
      <c r="BC552" s="108"/>
      <c r="BD552" s="108"/>
      <c r="BE552" s="108"/>
      <c r="BF552" s="108"/>
      <c r="BG552" s="108"/>
      <c r="BH552" s="108"/>
      <c r="BI552" s="108"/>
      <c r="BJ552" s="108"/>
      <c r="BK552" s="108"/>
      <c r="BL552" s="108"/>
      <c r="BM552" s="109"/>
      <c r="BN552" s="108"/>
      <c r="BO552" s="108"/>
      <c r="BP552" s="108"/>
    </row>
    <row r="553" spans="1:68" ht="12" customHeight="1" x14ac:dyDescent="0.2">
      <c r="A553" s="179"/>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c r="AA553" s="108"/>
      <c r="AB553" s="108"/>
      <c r="AC553" s="108"/>
      <c r="AD553" s="108"/>
      <c r="AE553" s="108"/>
      <c r="AF553" s="108"/>
      <c r="AG553" s="108"/>
      <c r="AH553" s="108"/>
      <c r="AI553" s="108"/>
      <c r="AJ553" s="108"/>
      <c r="AK553" s="108"/>
      <c r="AL553" s="108"/>
      <c r="AM553" s="108"/>
      <c r="AN553" s="108"/>
      <c r="AO553" s="108"/>
      <c r="AP553" s="108"/>
      <c r="AQ553" s="108"/>
      <c r="AR553" s="108"/>
      <c r="AS553" s="108"/>
      <c r="AT553" s="108"/>
      <c r="AU553" s="108"/>
      <c r="AV553" s="108"/>
      <c r="AW553" s="108"/>
      <c r="AX553" s="108"/>
      <c r="AY553" s="108"/>
      <c r="AZ553" s="108"/>
      <c r="BA553" s="108"/>
      <c r="BB553" s="108"/>
      <c r="BC553" s="108"/>
      <c r="BD553" s="108"/>
      <c r="BE553" s="108"/>
      <c r="BF553" s="108"/>
      <c r="BG553" s="108"/>
      <c r="BH553" s="108"/>
      <c r="BI553" s="108"/>
      <c r="BJ553" s="108"/>
      <c r="BK553" s="108"/>
      <c r="BL553" s="108"/>
      <c r="BM553" s="109"/>
      <c r="BN553" s="108"/>
      <c r="BO553" s="108"/>
      <c r="BP553" s="108"/>
    </row>
    <row r="554" spans="1:68" ht="12" customHeight="1" x14ac:dyDescent="0.2">
      <c r="A554" s="179"/>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c r="AA554" s="108"/>
      <c r="AB554" s="108"/>
      <c r="AC554" s="108"/>
      <c r="AD554" s="108"/>
      <c r="AE554" s="108"/>
      <c r="AF554" s="108"/>
      <c r="AG554" s="108"/>
      <c r="AH554" s="108"/>
      <c r="AI554" s="108"/>
      <c r="AJ554" s="108"/>
      <c r="AK554" s="108"/>
      <c r="AL554" s="108"/>
      <c r="AM554" s="108"/>
      <c r="AN554" s="108"/>
      <c r="AO554" s="108"/>
      <c r="AP554" s="108"/>
      <c r="AQ554" s="108"/>
      <c r="AR554" s="108"/>
      <c r="AS554" s="108"/>
      <c r="AT554" s="108"/>
      <c r="AU554" s="108"/>
      <c r="AV554" s="108"/>
      <c r="AW554" s="108"/>
      <c r="AX554" s="108"/>
      <c r="AY554" s="108"/>
      <c r="AZ554" s="108"/>
      <c r="BA554" s="108"/>
      <c r="BB554" s="108"/>
      <c r="BC554" s="108"/>
      <c r="BD554" s="108"/>
      <c r="BE554" s="108"/>
      <c r="BF554" s="108"/>
      <c r="BG554" s="108"/>
      <c r="BH554" s="108"/>
      <c r="BI554" s="108"/>
      <c r="BJ554" s="108"/>
      <c r="BK554" s="108"/>
      <c r="BL554" s="108"/>
      <c r="BM554" s="109"/>
      <c r="BN554" s="108"/>
      <c r="BO554" s="108"/>
      <c r="BP554" s="108"/>
    </row>
    <row r="555" spans="1:68" ht="12" customHeight="1" x14ac:dyDescent="0.2">
      <c r="A555" s="179"/>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c r="AA555" s="108"/>
      <c r="AB555" s="108"/>
      <c r="AC555" s="108"/>
      <c r="AD555" s="108"/>
      <c r="AE555" s="108"/>
      <c r="AF555" s="108"/>
      <c r="AG555" s="108"/>
      <c r="AH555" s="108"/>
      <c r="AI555" s="108"/>
      <c r="AJ555" s="108"/>
      <c r="AK555" s="108"/>
      <c r="AL555" s="108"/>
      <c r="AM555" s="108"/>
      <c r="AN555" s="108"/>
      <c r="AO555" s="108"/>
      <c r="AP555" s="108"/>
      <c r="AQ555" s="108"/>
      <c r="AR555" s="108"/>
      <c r="AS555" s="108"/>
      <c r="AT555" s="108"/>
      <c r="AU555" s="108"/>
      <c r="AV555" s="108"/>
      <c r="AW555" s="108"/>
      <c r="AX555" s="108"/>
      <c r="AY555" s="108"/>
      <c r="AZ555" s="108"/>
      <c r="BA555" s="108"/>
      <c r="BB555" s="108"/>
      <c r="BC555" s="108"/>
      <c r="BD555" s="108"/>
      <c r="BE555" s="108"/>
      <c r="BF555" s="108"/>
      <c r="BG555" s="108"/>
      <c r="BH555" s="108"/>
      <c r="BI555" s="108"/>
      <c r="BJ555" s="108"/>
      <c r="BK555" s="108"/>
      <c r="BL555" s="108"/>
      <c r="BM555" s="109"/>
      <c r="BN555" s="108"/>
      <c r="BO555" s="108"/>
      <c r="BP555" s="108"/>
    </row>
    <row r="556" spans="1:68" ht="12" customHeight="1" x14ac:dyDescent="0.2">
      <c r="A556" s="179"/>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c r="AA556" s="108"/>
      <c r="AB556" s="108"/>
      <c r="AC556" s="108"/>
      <c r="AD556" s="108"/>
      <c r="AE556" s="108"/>
      <c r="AF556" s="108"/>
      <c r="AG556" s="108"/>
      <c r="AH556" s="108"/>
      <c r="AI556" s="108"/>
      <c r="AJ556" s="108"/>
      <c r="AK556" s="108"/>
      <c r="AL556" s="108"/>
      <c r="AM556" s="108"/>
      <c r="AN556" s="108"/>
      <c r="AO556" s="108"/>
      <c r="AP556" s="108"/>
      <c r="AQ556" s="108"/>
      <c r="AR556" s="108"/>
      <c r="AS556" s="108"/>
      <c r="AT556" s="108"/>
      <c r="AU556" s="108"/>
      <c r="AV556" s="108"/>
      <c r="AW556" s="108"/>
      <c r="AX556" s="108"/>
      <c r="AY556" s="108"/>
      <c r="AZ556" s="108"/>
      <c r="BA556" s="108"/>
      <c r="BB556" s="108"/>
      <c r="BC556" s="108"/>
      <c r="BD556" s="108"/>
      <c r="BE556" s="108"/>
      <c r="BF556" s="108"/>
      <c r="BG556" s="108"/>
      <c r="BH556" s="108"/>
      <c r="BI556" s="108"/>
      <c r="BJ556" s="108"/>
      <c r="BK556" s="108"/>
      <c r="BL556" s="108"/>
      <c r="BM556" s="109"/>
      <c r="BN556" s="108"/>
      <c r="BO556" s="108"/>
      <c r="BP556" s="108"/>
    </row>
    <row r="557" spans="1:68" ht="12" customHeight="1" x14ac:dyDescent="0.2">
      <c r="A557" s="179"/>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c r="AA557" s="108"/>
      <c r="AB557" s="108"/>
      <c r="AC557" s="108"/>
      <c r="AD557" s="108"/>
      <c r="AE557" s="108"/>
      <c r="AF557" s="108"/>
      <c r="AG557" s="108"/>
      <c r="AH557" s="108"/>
      <c r="AI557" s="108"/>
      <c r="AJ557" s="108"/>
      <c r="AK557" s="108"/>
      <c r="AL557" s="108"/>
      <c r="AM557" s="108"/>
      <c r="AN557" s="108"/>
      <c r="AO557" s="108"/>
      <c r="AP557" s="108"/>
      <c r="AQ557" s="108"/>
      <c r="AR557" s="108"/>
      <c r="AS557" s="108"/>
      <c r="AT557" s="108"/>
      <c r="AU557" s="108"/>
      <c r="AV557" s="108"/>
      <c r="AW557" s="108"/>
      <c r="AX557" s="108"/>
      <c r="AY557" s="108"/>
      <c r="AZ557" s="108"/>
      <c r="BA557" s="108"/>
      <c r="BB557" s="108"/>
      <c r="BC557" s="108"/>
      <c r="BD557" s="108"/>
      <c r="BE557" s="108"/>
      <c r="BF557" s="108"/>
      <c r="BG557" s="108"/>
      <c r="BH557" s="108"/>
      <c r="BI557" s="108"/>
      <c r="BJ557" s="108"/>
      <c r="BK557" s="108"/>
      <c r="BL557" s="108"/>
      <c r="BM557" s="109"/>
      <c r="BN557" s="108"/>
      <c r="BO557" s="108"/>
      <c r="BP557" s="108"/>
    </row>
    <row r="558" spans="1:68" ht="12" customHeight="1" x14ac:dyDescent="0.2">
      <c r="A558" s="179"/>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c r="AA558" s="108"/>
      <c r="AB558" s="108"/>
      <c r="AC558" s="108"/>
      <c r="AD558" s="108"/>
      <c r="AE558" s="108"/>
      <c r="AF558" s="108"/>
      <c r="AG558" s="108"/>
      <c r="AH558" s="108"/>
      <c r="AI558" s="108"/>
      <c r="AJ558" s="108"/>
      <c r="AK558" s="108"/>
      <c r="AL558" s="108"/>
      <c r="AM558" s="108"/>
      <c r="AN558" s="108"/>
      <c r="AO558" s="108"/>
      <c r="AP558" s="108"/>
      <c r="AQ558" s="108"/>
      <c r="AR558" s="108"/>
      <c r="AS558" s="108"/>
      <c r="AT558" s="108"/>
      <c r="AU558" s="108"/>
      <c r="AV558" s="108"/>
      <c r="AW558" s="108"/>
      <c r="AX558" s="108"/>
      <c r="AY558" s="108"/>
      <c r="AZ558" s="108"/>
      <c r="BA558" s="108"/>
      <c r="BB558" s="108"/>
      <c r="BC558" s="108"/>
      <c r="BD558" s="108"/>
      <c r="BE558" s="108"/>
      <c r="BF558" s="108"/>
      <c r="BG558" s="108"/>
      <c r="BH558" s="108"/>
      <c r="BI558" s="108"/>
      <c r="BJ558" s="108"/>
      <c r="BK558" s="108"/>
      <c r="BL558" s="108"/>
      <c r="BM558" s="109"/>
      <c r="BN558" s="108"/>
      <c r="BO558" s="108"/>
      <c r="BP558" s="108"/>
    </row>
    <row r="559" spans="1:68" ht="12" customHeight="1" x14ac:dyDescent="0.2">
      <c r="A559" s="179"/>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c r="AA559" s="108"/>
      <c r="AB559" s="108"/>
      <c r="AC559" s="108"/>
      <c r="AD559" s="108"/>
      <c r="AE559" s="108"/>
      <c r="AF559" s="108"/>
      <c r="AG559" s="108"/>
      <c r="AH559" s="108"/>
      <c r="AI559" s="108"/>
      <c r="AJ559" s="108"/>
      <c r="AK559" s="108"/>
      <c r="AL559" s="108"/>
      <c r="AM559" s="108"/>
      <c r="AN559" s="108"/>
      <c r="AO559" s="108"/>
      <c r="AP559" s="108"/>
      <c r="AQ559" s="108"/>
      <c r="AR559" s="108"/>
      <c r="AS559" s="108"/>
      <c r="AT559" s="108"/>
      <c r="AU559" s="108"/>
      <c r="AV559" s="108"/>
      <c r="AW559" s="108"/>
      <c r="AX559" s="108"/>
      <c r="AY559" s="108"/>
      <c r="AZ559" s="108"/>
      <c r="BA559" s="108"/>
      <c r="BB559" s="108"/>
      <c r="BC559" s="108"/>
      <c r="BD559" s="108"/>
      <c r="BE559" s="108"/>
      <c r="BF559" s="108"/>
      <c r="BG559" s="108"/>
      <c r="BH559" s="108"/>
      <c r="BI559" s="108"/>
      <c r="BJ559" s="108"/>
      <c r="BK559" s="108"/>
      <c r="BL559" s="108"/>
      <c r="BM559" s="109"/>
      <c r="BN559" s="108"/>
      <c r="BO559" s="108"/>
      <c r="BP559" s="108"/>
    </row>
    <row r="560" spans="1:68" ht="12" customHeight="1" x14ac:dyDescent="0.2">
      <c r="A560" s="179"/>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c r="AA560" s="108"/>
      <c r="AB560" s="108"/>
      <c r="AC560" s="108"/>
      <c r="AD560" s="108"/>
      <c r="AE560" s="108"/>
      <c r="AF560" s="108"/>
      <c r="AG560" s="108"/>
      <c r="AH560" s="108"/>
      <c r="AI560" s="108"/>
      <c r="AJ560" s="108"/>
      <c r="AK560" s="108"/>
      <c r="AL560" s="108"/>
      <c r="AM560" s="108"/>
      <c r="AN560" s="108"/>
      <c r="AO560" s="108"/>
      <c r="AP560" s="108"/>
      <c r="AQ560" s="108"/>
      <c r="AR560" s="108"/>
      <c r="AS560" s="108"/>
      <c r="AT560" s="108"/>
      <c r="AU560" s="108"/>
      <c r="AV560" s="108"/>
      <c r="AW560" s="108"/>
      <c r="AX560" s="108"/>
      <c r="AY560" s="108"/>
      <c r="AZ560" s="108"/>
      <c r="BA560" s="108"/>
      <c r="BB560" s="108"/>
      <c r="BC560" s="108"/>
      <c r="BD560" s="108"/>
      <c r="BE560" s="108"/>
      <c r="BF560" s="108"/>
      <c r="BG560" s="108"/>
      <c r="BH560" s="108"/>
      <c r="BI560" s="108"/>
      <c r="BJ560" s="108"/>
      <c r="BK560" s="108"/>
      <c r="BL560" s="108"/>
      <c r="BM560" s="109"/>
      <c r="BN560" s="108"/>
      <c r="BO560" s="108"/>
      <c r="BP560" s="108"/>
    </row>
    <row r="561" spans="1:68" ht="12" customHeight="1" x14ac:dyDescent="0.2">
      <c r="A561" s="179"/>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c r="AA561" s="108"/>
      <c r="AB561" s="108"/>
      <c r="AC561" s="108"/>
      <c r="AD561" s="108"/>
      <c r="AE561" s="108"/>
      <c r="AF561" s="108"/>
      <c r="AG561" s="108"/>
      <c r="AH561" s="108"/>
      <c r="AI561" s="108"/>
      <c r="AJ561" s="108"/>
      <c r="AK561" s="108"/>
      <c r="AL561" s="108"/>
      <c r="AM561" s="108"/>
      <c r="AN561" s="108"/>
      <c r="AO561" s="108"/>
      <c r="AP561" s="108"/>
      <c r="AQ561" s="108"/>
      <c r="AR561" s="108"/>
      <c r="AS561" s="108"/>
      <c r="AT561" s="108"/>
      <c r="AU561" s="108"/>
      <c r="AV561" s="108"/>
      <c r="AW561" s="108"/>
      <c r="AX561" s="108"/>
      <c r="AY561" s="108"/>
      <c r="AZ561" s="108"/>
      <c r="BA561" s="108"/>
      <c r="BB561" s="108"/>
      <c r="BC561" s="108"/>
      <c r="BD561" s="108"/>
      <c r="BE561" s="108"/>
      <c r="BF561" s="108"/>
      <c r="BG561" s="108"/>
      <c r="BH561" s="108"/>
      <c r="BI561" s="108"/>
      <c r="BJ561" s="108"/>
      <c r="BK561" s="108"/>
      <c r="BL561" s="108"/>
      <c r="BM561" s="109"/>
      <c r="BN561" s="108"/>
      <c r="BO561" s="108"/>
      <c r="BP561" s="108"/>
    </row>
    <row r="562" spans="1:68" ht="12" customHeight="1" x14ac:dyDescent="0.2">
      <c r="A562" s="179"/>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c r="AA562" s="108"/>
      <c r="AB562" s="108"/>
      <c r="AC562" s="108"/>
      <c r="AD562" s="108"/>
      <c r="AE562" s="108"/>
      <c r="AF562" s="108"/>
      <c r="AG562" s="108"/>
      <c r="AH562" s="108"/>
      <c r="AI562" s="108"/>
      <c r="AJ562" s="108"/>
      <c r="AK562" s="108"/>
      <c r="AL562" s="108"/>
      <c r="AM562" s="108"/>
      <c r="AN562" s="108"/>
      <c r="AO562" s="108"/>
      <c r="AP562" s="108"/>
      <c r="AQ562" s="108"/>
      <c r="AR562" s="108"/>
      <c r="AS562" s="108"/>
      <c r="AT562" s="108"/>
      <c r="AU562" s="108"/>
      <c r="AV562" s="108"/>
      <c r="AW562" s="108"/>
      <c r="AX562" s="108"/>
      <c r="AY562" s="108"/>
      <c r="AZ562" s="108"/>
      <c r="BA562" s="108"/>
      <c r="BB562" s="108"/>
      <c r="BC562" s="108"/>
      <c r="BD562" s="108"/>
      <c r="BE562" s="108"/>
      <c r="BF562" s="108"/>
      <c r="BG562" s="108"/>
      <c r="BH562" s="108"/>
      <c r="BI562" s="108"/>
      <c r="BJ562" s="108"/>
      <c r="BK562" s="108"/>
      <c r="BL562" s="108"/>
      <c r="BM562" s="109"/>
      <c r="BN562" s="108"/>
      <c r="BO562" s="108"/>
      <c r="BP562" s="108"/>
    </row>
    <row r="563" spans="1:68" ht="12" customHeight="1" x14ac:dyDescent="0.2">
      <c r="A563" s="179"/>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c r="AA563" s="108"/>
      <c r="AB563" s="108"/>
      <c r="AC563" s="108"/>
      <c r="AD563" s="108"/>
      <c r="AE563" s="108"/>
      <c r="AF563" s="108"/>
      <c r="AG563" s="108"/>
      <c r="AH563" s="108"/>
      <c r="AI563" s="108"/>
      <c r="AJ563" s="108"/>
      <c r="AK563" s="108"/>
      <c r="AL563" s="108"/>
      <c r="AM563" s="108"/>
      <c r="AN563" s="108"/>
      <c r="AO563" s="108"/>
      <c r="AP563" s="108"/>
      <c r="AQ563" s="108"/>
      <c r="AR563" s="108"/>
      <c r="AS563" s="108"/>
      <c r="AT563" s="108"/>
      <c r="AU563" s="108"/>
      <c r="AV563" s="108"/>
      <c r="AW563" s="108"/>
      <c r="AX563" s="108"/>
      <c r="AY563" s="108"/>
      <c r="AZ563" s="108"/>
      <c r="BA563" s="108"/>
      <c r="BB563" s="108"/>
      <c r="BC563" s="108"/>
      <c r="BD563" s="108"/>
      <c r="BE563" s="108"/>
      <c r="BF563" s="108"/>
      <c r="BG563" s="108"/>
      <c r="BH563" s="108"/>
      <c r="BI563" s="108"/>
      <c r="BJ563" s="108"/>
      <c r="BK563" s="108"/>
      <c r="BL563" s="108"/>
      <c r="BM563" s="109"/>
      <c r="BN563" s="108"/>
      <c r="BO563" s="108"/>
      <c r="BP563" s="108"/>
    </row>
    <row r="564" spans="1:68" ht="12" customHeight="1" x14ac:dyDescent="0.2">
      <c r="A564" s="179"/>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c r="AA564" s="108"/>
      <c r="AB564" s="108"/>
      <c r="AC564" s="108"/>
      <c r="AD564" s="108"/>
      <c r="AE564" s="108"/>
      <c r="AF564" s="108"/>
      <c r="AG564" s="108"/>
      <c r="AH564" s="108"/>
      <c r="AI564" s="108"/>
      <c r="AJ564" s="108"/>
      <c r="AK564" s="108"/>
      <c r="AL564" s="108"/>
      <c r="AM564" s="108"/>
      <c r="AN564" s="108"/>
      <c r="AO564" s="108"/>
      <c r="AP564" s="108"/>
      <c r="AQ564" s="108"/>
      <c r="AR564" s="108"/>
      <c r="AS564" s="108"/>
      <c r="AT564" s="108"/>
      <c r="AU564" s="108"/>
      <c r="AV564" s="108"/>
      <c r="AW564" s="108"/>
      <c r="AX564" s="108"/>
      <c r="AY564" s="108"/>
      <c r="AZ564" s="108"/>
      <c r="BA564" s="108"/>
      <c r="BB564" s="108"/>
      <c r="BC564" s="108"/>
      <c r="BD564" s="108"/>
      <c r="BE564" s="108"/>
      <c r="BF564" s="108"/>
      <c r="BG564" s="108"/>
      <c r="BH564" s="108"/>
      <c r="BI564" s="108"/>
      <c r="BJ564" s="108"/>
      <c r="BK564" s="108"/>
      <c r="BL564" s="108"/>
      <c r="BM564" s="109"/>
      <c r="BN564" s="108"/>
      <c r="BO564" s="108"/>
      <c r="BP564" s="108"/>
    </row>
    <row r="565" spans="1:68" ht="12" customHeight="1" x14ac:dyDescent="0.2">
      <c r="A565" s="179"/>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c r="AA565" s="108"/>
      <c r="AB565" s="108"/>
      <c r="AC565" s="108"/>
      <c r="AD565" s="108"/>
      <c r="AE565" s="108"/>
      <c r="AF565" s="108"/>
      <c r="AG565" s="108"/>
      <c r="AH565" s="108"/>
      <c r="AI565" s="108"/>
      <c r="AJ565" s="108"/>
      <c r="AK565" s="108"/>
      <c r="AL565" s="108"/>
      <c r="AM565" s="108"/>
      <c r="AN565" s="108"/>
      <c r="AO565" s="108"/>
      <c r="AP565" s="108"/>
      <c r="AQ565" s="108"/>
      <c r="AR565" s="108"/>
      <c r="AS565" s="108"/>
      <c r="AT565" s="108"/>
      <c r="AU565" s="108"/>
      <c r="AV565" s="108"/>
      <c r="AW565" s="108"/>
      <c r="AX565" s="108"/>
      <c r="AY565" s="108"/>
      <c r="AZ565" s="108"/>
      <c r="BA565" s="108"/>
      <c r="BB565" s="108"/>
      <c r="BC565" s="108"/>
      <c r="BD565" s="108"/>
      <c r="BE565" s="108"/>
      <c r="BF565" s="108"/>
      <c r="BG565" s="108"/>
      <c r="BH565" s="108"/>
      <c r="BI565" s="108"/>
      <c r="BJ565" s="108"/>
      <c r="BK565" s="108"/>
      <c r="BL565" s="108"/>
      <c r="BM565" s="109"/>
      <c r="BN565" s="108"/>
      <c r="BO565" s="108"/>
      <c r="BP565" s="108"/>
    </row>
    <row r="566" spans="1:68" ht="12" customHeight="1" x14ac:dyDescent="0.2">
      <c r="A566" s="179"/>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c r="AA566" s="108"/>
      <c r="AB566" s="108"/>
      <c r="AC566" s="108"/>
      <c r="AD566" s="108"/>
      <c r="AE566" s="108"/>
      <c r="AF566" s="108"/>
      <c r="AG566" s="108"/>
      <c r="AH566" s="108"/>
      <c r="AI566" s="108"/>
      <c r="AJ566" s="108"/>
      <c r="AK566" s="108"/>
      <c r="AL566" s="108"/>
      <c r="AM566" s="108"/>
      <c r="AN566" s="108"/>
      <c r="AO566" s="108"/>
      <c r="AP566" s="108"/>
      <c r="AQ566" s="108"/>
      <c r="AR566" s="108"/>
      <c r="AS566" s="108"/>
      <c r="AT566" s="108"/>
      <c r="AU566" s="108"/>
      <c r="AV566" s="108"/>
      <c r="AW566" s="108"/>
      <c r="AX566" s="108"/>
      <c r="AY566" s="108"/>
      <c r="AZ566" s="108"/>
      <c r="BA566" s="108"/>
      <c r="BB566" s="108"/>
      <c r="BC566" s="108"/>
      <c r="BD566" s="108"/>
      <c r="BE566" s="108"/>
      <c r="BF566" s="108"/>
      <c r="BG566" s="108"/>
      <c r="BH566" s="108"/>
      <c r="BI566" s="108"/>
      <c r="BJ566" s="108"/>
      <c r="BK566" s="108"/>
      <c r="BL566" s="108"/>
      <c r="BM566" s="109"/>
      <c r="BN566" s="108"/>
      <c r="BO566" s="108"/>
      <c r="BP566" s="108"/>
    </row>
    <row r="567" spans="1:68" ht="12" customHeight="1" x14ac:dyDescent="0.2">
      <c r="A567" s="179"/>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c r="AA567" s="108"/>
      <c r="AB567" s="108"/>
      <c r="AC567" s="108"/>
      <c r="AD567" s="108"/>
      <c r="AE567" s="108"/>
      <c r="AF567" s="108"/>
      <c r="AG567" s="108"/>
      <c r="AH567" s="108"/>
      <c r="AI567" s="108"/>
      <c r="AJ567" s="108"/>
      <c r="AK567" s="108"/>
      <c r="AL567" s="108"/>
      <c r="AM567" s="108"/>
      <c r="AN567" s="108"/>
      <c r="AO567" s="108"/>
      <c r="AP567" s="108"/>
      <c r="AQ567" s="108"/>
      <c r="AR567" s="108"/>
      <c r="AS567" s="108"/>
      <c r="AT567" s="108"/>
      <c r="AU567" s="108"/>
      <c r="AV567" s="108"/>
      <c r="AW567" s="108"/>
      <c r="AX567" s="108"/>
      <c r="AY567" s="108"/>
      <c r="AZ567" s="108"/>
      <c r="BA567" s="108"/>
      <c r="BB567" s="108"/>
      <c r="BC567" s="108"/>
      <c r="BD567" s="108"/>
      <c r="BE567" s="108"/>
      <c r="BF567" s="108"/>
      <c r="BG567" s="108"/>
      <c r="BH567" s="108"/>
      <c r="BI567" s="108"/>
      <c r="BJ567" s="108"/>
      <c r="BK567" s="108"/>
      <c r="BL567" s="108"/>
      <c r="BM567" s="109"/>
      <c r="BN567" s="108"/>
      <c r="BO567" s="108"/>
      <c r="BP567" s="108"/>
    </row>
    <row r="568" spans="1:68" ht="12" customHeight="1" x14ac:dyDescent="0.2">
      <c r="A568" s="179"/>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c r="AA568" s="108"/>
      <c r="AB568" s="108"/>
      <c r="AC568" s="108"/>
      <c r="AD568" s="108"/>
      <c r="AE568" s="108"/>
      <c r="AF568" s="108"/>
      <c r="AG568" s="108"/>
      <c r="AH568" s="108"/>
      <c r="AI568" s="108"/>
      <c r="AJ568" s="108"/>
      <c r="AK568" s="108"/>
      <c r="AL568" s="108"/>
      <c r="AM568" s="108"/>
      <c r="AN568" s="108"/>
      <c r="AO568" s="108"/>
      <c r="AP568" s="108"/>
      <c r="AQ568" s="108"/>
      <c r="AR568" s="108"/>
      <c r="AS568" s="108"/>
      <c r="AT568" s="108"/>
      <c r="AU568" s="108"/>
      <c r="AV568" s="108"/>
      <c r="AW568" s="108"/>
      <c r="AX568" s="108"/>
      <c r="AY568" s="108"/>
      <c r="AZ568" s="108"/>
      <c r="BA568" s="108"/>
      <c r="BB568" s="108"/>
      <c r="BC568" s="108"/>
      <c r="BD568" s="108"/>
      <c r="BE568" s="108"/>
      <c r="BF568" s="108"/>
      <c r="BG568" s="108"/>
      <c r="BH568" s="108"/>
      <c r="BI568" s="108"/>
      <c r="BJ568" s="108"/>
      <c r="BK568" s="108"/>
      <c r="BL568" s="108"/>
      <c r="BM568" s="109"/>
      <c r="BN568" s="108"/>
      <c r="BO568" s="108"/>
      <c r="BP568" s="108"/>
    </row>
    <row r="569" spans="1:68" ht="12" customHeight="1" x14ac:dyDescent="0.2">
      <c r="A569" s="179"/>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c r="AA569" s="108"/>
      <c r="AB569" s="108"/>
      <c r="AC569" s="108"/>
      <c r="AD569" s="108"/>
      <c r="AE569" s="108"/>
      <c r="AF569" s="108"/>
      <c r="AG569" s="108"/>
      <c r="AH569" s="108"/>
      <c r="AI569" s="108"/>
      <c r="AJ569" s="108"/>
      <c r="AK569" s="108"/>
      <c r="AL569" s="108"/>
      <c r="AM569" s="108"/>
      <c r="AN569" s="108"/>
      <c r="AO569" s="108"/>
      <c r="AP569" s="108"/>
      <c r="AQ569" s="108"/>
      <c r="AR569" s="108"/>
      <c r="AS569" s="108"/>
      <c r="AT569" s="108"/>
      <c r="AU569" s="108"/>
      <c r="AV569" s="108"/>
      <c r="AW569" s="108"/>
      <c r="AX569" s="108"/>
      <c r="AY569" s="108"/>
      <c r="AZ569" s="108"/>
      <c r="BA569" s="108"/>
      <c r="BB569" s="108"/>
      <c r="BC569" s="108"/>
      <c r="BD569" s="108"/>
      <c r="BE569" s="108"/>
      <c r="BF569" s="108"/>
      <c r="BG569" s="108"/>
      <c r="BH569" s="108"/>
      <c r="BI569" s="108"/>
      <c r="BJ569" s="108"/>
      <c r="BK569" s="108"/>
      <c r="BL569" s="108"/>
      <c r="BM569" s="109"/>
      <c r="BN569" s="108"/>
      <c r="BO569" s="108"/>
      <c r="BP569" s="108"/>
    </row>
    <row r="570" spans="1:68" ht="12" customHeight="1" x14ac:dyDescent="0.2">
      <c r="A570" s="179"/>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c r="AA570" s="108"/>
      <c r="AB570" s="108"/>
      <c r="AC570" s="108"/>
      <c r="AD570" s="108"/>
      <c r="AE570" s="108"/>
      <c r="AF570" s="108"/>
      <c r="AG570" s="108"/>
      <c r="AH570" s="108"/>
      <c r="AI570" s="108"/>
      <c r="AJ570" s="108"/>
      <c r="AK570" s="108"/>
      <c r="AL570" s="108"/>
      <c r="AM570" s="108"/>
      <c r="AN570" s="108"/>
      <c r="AO570" s="108"/>
      <c r="AP570" s="108"/>
      <c r="AQ570" s="108"/>
      <c r="AR570" s="108"/>
      <c r="AS570" s="108"/>
      <c r="AT570" s="108"/>
      <c r="AU570" s="108"/>
      <c r="AV570" s="108"/>
      <c r="AW570" s="108"/>
      <c r="AX570" s="108"/>
      <c r="AY570" s="108"/>
      <c r="AZ570" s="108"/>
      <c r="BA570" s="108"/>
      <c r="BB570" s="108"/>
      <c r="BC570" s="108"/>
      <c r="BD570" s="108"/>
      <c r="BE570" s="108"/>
      <c r="BF570" s="108"/>
      <c r="BG570" s="108"/>
      <c r="BH570" s="108"/>
      <c r="BI570" s="108"/>
      <c r="BJ570" s="108"/>
      <c r="BK570" s="108"/>
      <c r="BL570" s="108"/>
      <c r="BM570" s="109"/>
      <c r="BN570" s="108"/>
      <c r="BO570" s="108"/>
      <c r="BP570" s="108"/>
    </row>
    <row r="571" spans="1:68" ht="12" customHeight="1" x14ac:dyDescent="0.2">
      <c r="A571" s="179"/>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c r="AA571" s="108"/>
      <c r="AB571" s="108"/>
      <c r="AC571" s="108"/>
      <c r="AD571" s="108"/>
      <c r="AE571" s="108"/>
      <c r="AF571" s="108"/>
      <c r="AG571" s="108"/>
      <c r="AH571" s="108"/>
      <c r="AI571" s="108"/>
      <c r="AJ571" s="108"/>
      <c r="AK571" s="108"/>
      <c r="AL571" s="108"/>
      <c r="AM571" s="108"/>
      <c r="AN571" s="108"/>
      <c r="AO571" s="108"/>
      <c r="AP571" s="108"/>
      <c r="AQ571" s="108"/>
      <c r="AR571" s="108"/>
      <c r="AS571" s="108"/>
      <c r="AT571" s="108"/>
      <c r="AU571" s="108"/>
      <c r="AV571" s="108"/>
      <c r="AW571" s="108"/>
      <c r="AX571" s="108"/>
      <c r="AY571" s="108"/>
      <c r="AZ571" s="108"/>
      <c r="BA571" s="108"/>
      <c r="BB571" s="108"/>
      <c r="BC571" s="108"/>
      <c r="BD571" s="108"/>
      <c r="BE571" s="108"/>
      <c r="BF571" s="108"/>
      <c r="BG571" s="108"/>
      <c r="BH571" s="108"/>
      <c r="BI571" s="108"/>
      <c r="BJ571" s="108"/>
      <c r="BK571" s="108"/>
      <c r="BL571" s="108"/>
      <c r="BM571" s="109"/>
      <c r="BN571" s="108"/>
      <c r="BO571" s="108"/>
      <c r="BP571" s="108"/>
    </row>
    <row r="572" spans="1:68" ht="12" customHeight="1" x14ac:dyDescent="0.2">
      <c r="A572" s="179"/>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c r="AA572" s="108"/>
      <c r="AB572" s="108"/>
      <c r="AC572" s="108"/>
      <c r="AD572" s="108"/>
      <c r="AE572" s="108"/>
      <c r="AF572" s="108"/>
      <c r="AG572" s="108"/>
      <c r="AH572" s="108"/>
      <c r="AI572" s="108"/>
      <c r="AJ572" s="108"/>
      <c r="AK572" s="108"/>
      <c r="AL572" s="108"/>
      <c r="AM572" s="108"/>
      <c r="AN572" s="108"/>
      <c r="AO572" s="108"/>
      <c r="AP572" s="108"/>
      <c r="AQ572" s="108"/>
      <c r="AR572" s="108"/>
      <c r="AS572" s="108"/>
      <c r="AT572" s="108"/>
      <c r="AU572" s="108"/>
      <c r="AV572" s="108"/>
      <c r="AW572" s="108"/>
      <c r="AX572" s="108"/>
      <c r="AY572" s="108"/>
      <c r="AZ572" s="108"/>
      <c r="BA572" s="108"/>
      <c r="BB572" s="108"/>
      <c r="BC572" s="108"/>
      <c r="BD572" s="108"/>
      <c r="BE572" s="108"/>
      <c r="BF572" s="108"/>
      <c r="BG572" s="108"/>
      <c r="BH572" s="108"/>
      <c r="BI572" s="108"/>
      <c r="BJ572" s="108"/>
      <c r="BK572" s="108"/>
      <c r="BL572" s="108"/>
      <c r="BM572" s="109"/>
      <c r="BN572" s="108"/>
      <c r="BO572" s="108"/>
      <c r="BP572" s="108"/>
    </row>
    <row r="573" spans="1:68" ht="12" customHeight="1" x14ac:dyDescent="0.2">
      <c r="A573" s="179"/>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c r="AA573" s="108"/>
      <c r="AB573" s="108"/>
      <c r="AC573" s="108"/>
      <c r="AD573" s="108"/>
      <c r="AE573" s="108"/>
      <c r="AF573" s="108"/>
      <c r="AG573" s="108"/>
      <c r="AH573" s="108"/>
      <c r="AI573" s="108"/>
      <c r="AJ573" s="108"/>
      <c r="AK573" s="108"/>
      <c r="AL573" s="108"/>
      <c r="AM573" s="108"/>
      <c r="AN573" s="108"/>
      <c r="AO573" s="108"/>
      <c r="AP573" s="108"/>
      <c r="AQ573" s="108"/>
      <c r="AR573" s="108"/>
      <c r="AS573" s="108"/>
      <c r="AT573" s="108"/>
      <c r="AU573" s="108"/>
      <c r="AV573" s="108"/>
      <c r="AW573" s="108"/>
      <c r="AX573" s="108"/>
      <c r="AY573" s="108"/>
      <c r="AZ573" s="108"/>
      <c r="BA573" s="108"/>
      <c r="BB573" s="108"/>
      <c r="BC573" s="108"/>
      <c r="BD573" s="108"/>
      <c r="BE573" s="108"/>
      <c r="BF573" s="108"/>
      <c r="BG573" s="108"/>
      <c r="BH573" s="108"/>
      <c r="BI573" s="108"/>
      <c r="BJ573" s="108"/>
      <c r="BK573" s="108"/>
      <c r="BL573" s="108"/>
      <c r="BM573" s="109"/>
      <c r="BN573" s="108"/>
      <c r="BO573" s="108"/>
      <c r="BP573" s="108"/>
    </row>
    <row r="574" spans="1:68" ht="12" customHeight="1" x14ac:dyDescent="0.2">
      <c r="A574" s="179"/>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c r="AA574" s="108"/>
      <c r="AB574" s="108"/>
      <c r="AC574" s="108"/>
      <c r="AD574" s="108"/>
      <c r="AE574" s="108"/>
      <c r="AF574" s="108"/>
      <c r="AG574" s="108"/>
      <c r="AH574" s="108"/>
      <c r="AI574" s="108"/>
      <c r="AJ574" s="108"/>
      <c r="AK574" s="108"/>
      <c r="AL574" s="108"/>
      <c r="AM574" s="108"/>
      <c r="AN574" s="108"/>
      <c r="AO574" s="108"/>
      <c r="AP574" s="108"/>
      <c r="AQ574" s="108"/>
      <c r="AR574" s="108"/>
      <c r="AS574" s="108"/>
      <c r="AT574" s="108"/>
      <c r="AU574" s="108"/>
      <c r="AV574" s="108"/>
      <c r="AW574" s="108"/>
      <c r="AX574" s="108"/>
      <c r="AY574" s="108"/>
      <c r="AZ574" s="108"/>
      <c r="BA574" s="108"/>
      <c r="BB574" s="108"/>
      <c r="BC574" s="108"/>
      <c r="BD574" s="108"/>
      <c r="BE574" s="108"/>
      <c r="BF574" s="108"/>
      <c r="BG574" s="108"/>
      <c r="BH574" s="108"/>
      <c r="BI574" s="108"/>
      <c r="BJ574" s="108"/>
      <c r="BK574" s="108"/>
      <c r="BL574" s="108"/>
      <c r="BM574" s="109"/>
      <c r="BN574" s="108"/>
      <c r="BO574" s="108"/>
      <c r="BP574" s="108"/>
    </row>
    <row r="575" spans="1:68" ht="12" customHeight="1" x14ac:dyDescent="0.2">
      <c r="A575" s="179"/>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c r="AA575" s="108"/>
      <c r="AB575" s="108"/>
      <c r="AC575" s="108"/>
      <c r="AD575" s="108"/>
      <c r="AE575" s="108"/>
      <c r="AF575" s="108"/>
      <c r="AG575" s="108"/>
      <c r="AH575" s="108"/>
      <c r="AI575" s="108"/>
      <c r="AJ575" s="108"/>
      <c r="AK575" s="108"/>
      <c r="AL575" s="108"/>
      <c r="AM575" s="108"/>
      <c r="AN575" s="108"/>
      <c r="AO575" s="108"/>
      <c r="AP575" s="108"/>
      <c r="AQ575" s="108"/>
      <c r="AR575" s="108"/>
      <c r="AS575" s="108"/>
      <c r="AT575" s="108"/>
      <c r="AU575" s="108"/>
      <c r="AV575" s="108"/>
      <c r="AW575" s="108"/>
      <c r="AX575" s="108"/>
      <c r="AY575" s="108"/>
      <c r="AZ575" s="108"/>
      <c r="BA575" s="108"/>
      <c r="BB575" s="108"/>
      <c r="BC575" s="108"/>
      <c r="BD575" s="108"/>
      <c r="BE575" s="108"/>
      <c r="BF575" s="108"/>
      <c r="BG575" s="108"/>
      <c r="BH575" s="108"/>
      <c r="BI575" s="108"/>
      <c r="BJ575" s="108"/>
      <c r="BK575" s="108"/>
      <c r="BL575" s="108"/>
      <c r="BM575" s="109"/>
      <c r="BN575" s="108"/>
      <c r="BO575" s="108"/>
      <c r="BP575" s="108"/>
    </row>
    <row r="576" spans="1:68" ht="12" customHeight="1" x14ac:dyDescent="0.2">
      <c r="A576" s="179"/>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c r="AA576" s="108"/>
      <c r="AB576" s="108"/>
      <c r="AC576" s="108"/>
      <c r="AD576" s="108"/>
      <c r="AE576" s="108"/>
      <c r="AF576" s="108"/>
      <c r="AG576" s="108"/>
      <c r="AH576" s="108"/>
      <c r="AI576" s="108"/>
      <c r="AJ576" s="108"/>
      <c r="AK576" s="108"/>
      <c r="AL576" s="108"/>
      <c r="AM576" s="108"/>
      <c r="AN576" s="108"/>
      <c r="AO576" s="108"/>
      <c r="AP576" s="108"/>
      <c r="AQ576" s="108"/>
      <c r="AR576" s="108"/>
      <c r="AS576" s="108"/>
      <c r="AT576" s="108"/>
      <c r="AU576" s="108"/>
      <c r="AV576" s="108"/>
      <c r="AW576" s="108"/>
      <c r="AX576" s="108"/>
      <c r="AY576" s="108"/>
      <c r="AZ576" s="108"/>
      <c r="BA576" s="108"/>
      <c r="BB576" s="108"/>
      <c r="BC576" s="108"/>
      <c r="BD576" s="108"/>
      <c r="BE576" s="108"/>
      <c r="BF576" s="108"/>
      <c r="BG576" s="108"/>
      <c r="BH576" s="108"/>
      <c r="BI576" s="108"/>
      <c r="BJ576" s="108"/>
      <c r="BK576" s="108"/>
      <c r="BL576" s="108"/>
      <c r="BM576" s="109"/>
      <c r="BN576" s="108"/>
      <c r="BO576" s="108"/>
      <c r="BP576" s="108"/>
    </row>
    <row r="577" spans="1:68" ht="12" customHeight="1" x14ac:dyDescent="0.2">
      <c r="A577" s="179"/>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c r="AA577" s="108"/>
      <c r="AB577" s="108"/>
      <c r="AC577" s="108"/>
      <c r="AD577" s="108"/>
      <c r="AE577" s="108"/>
      <c r="AF577" s="108"/>
      <c r="AG577" s="108"/>
      <c r="AH577" s="108"/>
      <c r="AI577" s="108"/>
      <c r="AJ577" s="108"/>
      <c r="AK577" s="108"/>
      <c r="AL577" s="108"/>
      <c r="AM577" s="108"/>
      <c r="AN577" s="108"/>
      <c r="AO577" s="108"/>
      <c r="AP577" s="108"/>
      <c r="AQ577" s="108"/>
      <c r="AR577" s="108"/>
      <c r="AS577" s="108"/>
      <c r="AT577" s="108"/>
      <c r="AU577" s="108"/>
      <c r="AV577" s="108"/>
      <c r="AW577" s="108"/>
      <c r="AX577" s="108"/>
      <c r="AY577" s="108"/>
      <c r="AZ577" s="108"/>
      <c r="BA577" s="108"/>
      <c r="BB577" s="108"/>
      <c r="BC577" s="108"/>
      <c r="BD577" s="108"/>
      <c r="BE577" s="108"/>
      <c r="BF577" s="108"/>
      <c r="BG577" s="108"/>
      <c r="BH577" s="108"/>
      <c r="BI577" s="108"/>
      <c r="BJ577" s="108"/>
      <c r="BK577" s="108"/>
      <c r="BL577" s="108"/>
      <c r="BM577" s="109"/>
      <c r="BN577" s="108"/>
      <c r="BO577" s="108"/>
      <c r="BP577" s="108"/>
    </row>
    <row r="578" spans="1:68" ht="12" customHeight="1" x14ac:dyDescent="0.2">
      <c r="A578" s="179"/>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c r="AA578" s="108"/>
      <c r="AB578" s="108"/>
      <c r="AC578" s="108"/>
      <c r="AD578" s="108"/>
      <c r="AE578" s="108"/>
      <c r="AF578" s="108"/>
      <c r="AG578" s="108"/>
      <c r="AH578" s="108"/>
      <c r="AI578" s="108"/>
      <c r="AJ578" s="108"/>
      <c r="AK578" s="108"/>
      <c r="AL578" s="108"/>
      <c r="AM578" s="108"/>
      <c r="AN578" s="108"/>
      <c r="AO578" s="108"/>
      <c r="AP578" s="108"/>
      <c r="AQ578" s="108"/>
      <c r="AR578" s="108"/>
      <c r="AS578" s="108"/>
      <c r="AT578" s="108"/>
      <c r="AU578" s="108"/>
      <c r="AV578" s="108"/>
      <c r="AW578" s="108"/>
      <c r="AX578" s="108"/>
      <c r="AY578" s="108"/>
      <c r="AZ578" s="108"/>
      <c r="BA578" s="108"/>
      <c r="BB578" s="108"/>
      <c r="BC578" s="108"/>
      <c r="BD578" s="108"/>
      <c r="BE578" s="108"/>
      <c r="BF578" s="108"/>
      <c r="BG578" s="108"/>
      <c r="BH578" s="108"/>
      <c r="BI578" s="108"/>
      <c r="BJ578" s="108"/>
      <c r="BK578" s="108"/>
      <c r="BL578" s="108"/>
      <c r="BM578" s="109"/>
      <c r="BN578" s="108"/>
      <c r="BO578" s="108"/>
      <c r="BP578" s="108"/>
    </row>
    <row r="579" spans="1:68" ht="12" customHeight="1" x14ac:dyDescent="0.2">
      <c r="A579" s="179"/>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c r="AA579" s="108"/>
      <c r="AB579" s="108"/>
      <c r="AC579" s="108"/>
      <c r="AD579" s="108"/>
      <c r="AE579" s="108"/>
      <c r="AF579" s="108"/>
      <c r="AG579" s="108"/>
      <c r="AH579" s="108"/>
      <c r="AI579" s="108"/>
      <c r="AJ579" s="108"/>
      <c r="AK579" s="108"/>
      <c r="AL579" s="108"/>
      <c r="AM579" s="108"/>
      <c r="AN579" s="108"/>
      <c r="AO579" s="108"/>
      <c r="AP579" s="108"/>
      <c r="AQ579" s="108"/>
      <c r="AR579" s="108"/>
      <c r="AS579" s="108"/>
      <c r="AT579" s="108"/>
      <c r="AU579" s="108"/>
      <c r="AV579" s="108"/>
      <c r="AW579" s="108"/>
      <c r="AX579" s="108"/>
      <c r="AY579" s="108"/>
      <c r="AZ579" s="108"/>
      <c r="BA579" s="108"/>
      <c r="BB579" s="108"/>
      <c r="BC579" s="108"/>
      <c r="BD579" s="108"/>
      <c r="BE579" s="108"/>
      <c r="BF579" s="108"/>
      <c r="BG579" s="108"/>
      <c r="BH579" s="108"/>
      <c r="BI579" s="108"/>
      <c r="BJ579" s="108"/>
      <c r="BK579" s="108"/>
      <c r="BL579" s="108"/>
      <c r="BM579" s="109"/>
      <c r="BN579" s="108"/>
      <c r="BO579" s="108"/>
      <c r="BP579" s="108"/>
    </row>
    <row r="580" spans="1:68" ht="12" customHeight="1" x14ac:dyDescent="0.2">
      <c r="A580" s="179"/>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c r="AA580" s="108"/>
      <c r="AB580" s="108"/>
      <c r="AC580" s="108"/>
      <c r="AD580" s="108"/>
      <c r="AE580" s="108"/>
      <c r="AF580" s="108"/>
      <c r="AG580" s="108"/>
      <c r="AH580" s="108"/>
      <c r="AI580" s="108"/>
      <c r="AJ580" s="108"/>
      <c r="AK580" s="108"/>
      <c r="AL580" s="108"/>
      <c r="AM580" s="108"/>
      <c r="AN580" s="108"/>
      <c r="AO580" s="108"/>
      <c r="AP580" s="108"/>
      <c r="AQ580" s="108"/>
      <c r="AR580" s="108"/>
      <c r="AS580" s="108"/>
      <c r="AT580" s="108"/>
      <c r="AU580" s="108"/>
      <c r="AV580" s="108"/>
      <c r="AW580" s="108"/>
      <c r="AX580" s="108"/>
      <c r="AY580" s="108"/>
      <c r="AZ580" s="108"/>
      <c r="BA580" s="108"/>
      <c r="BB580" s="108"/>
      <c r="BC580" s="108"/>
      <c r="BD580" s="108"/>
      <c r="BE580" s="108"/>
      <c r="BF580" s="108"/>
      <c r="BG580" s="108"/>
      <c r="BH580" s="108"/>
      <c r="BI580" s="108"/>
      <c r="BJ580" s="108"/>
      <c r="BK580" s="108"/>
      <c r="BL580" s="108"/>
      <c r="BM580" s="109"/>
      <c r="BN580" s="108"/>
      <c r="BO580" s="108"/>
      <c r="BP580" s="108"/>
    </row>
    <row r="581" spans="1:68" ht="12" customHeight="1" x14ac:dyDescent="0.2">
      <c r="A581" s="179"/>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c r="AA581" s="108"/>
      <c r="AB581" s="108"/>
      <c r="AC581" s="108"/>
      <c r="AD581" s="108"/>
      <c r="AE581" s="108"/>
      <c r="AF581" s="108"/>
      <c r="AG581" s="108"/>
      <c r="AH581" s="108"/>
      <c r="AI581" s="108"/>
      <c r="AJ581" s="108"/>
      <c r="AK581" s="108"/>
      <c r="AL581" s="108"/>
      <c r="AM581" s="108"/>
      <c r="AN581" s="108"/>
      <c r="AO581" s="108"/>
      <c r="AP581" s="108"/>
      <c r="AQ581" s="108"/>
      <c r="AR581" s="108"/>
      <c r="AS581" s="108"/>
      <c r="AT581" s="108"/>
      <c r="AU581" s="108"/>
      <c r="AV581" s="108"/>
      <c r="AW581" s="108"/>
      <c r="AX581" s="108"/>
      <c r="AY581" s="108"/>
      <c r="AZ581" s="108"/>
      <c r="BA581" s="108"/>
      <c r="BB581" s="108"/>
      <c r="BC581" s="108"/>
      <c r="BD581" s="108"/>
      <c r="BE581" s="108"/>
      <c r="BF581" s="108"/>
      <c r="BG581" s="108"/>
      <c r="BH581" s="108"/>
      <c r="BI581" s="108"/>
      <c r="BJ581" s="108"/>
      <c r="BK581" s="108"/>
      <c r="BL581" s="108"/>
      <c r="BM581" s="109"/>
      <c r="BN581" s="108"/>
      <c r="BO581" s="108"/>
      <c r="BP581" s="108"/>
    </row>
    <row r="582" spans="1:68" ht="12" customHeight="1" x14ac:dyDescent="0.2">
      <c r="A582" s="179"/>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c r="AA582" s="108"/>
      <c r="AB582" s="108"/>
      <c r="AC582" s="108"/>
      <c r="AD582" s="108"/>
      <c r="AE582" s="108"/>
      <c r="AF582" s="108"/>
      <c r="AG582" s="108"/>
      <c r="AH582" s="108"/>
      <c r="AI582" s="108"/>
      <c r="AJ582" s="108"/>
      <c r="AK582" s="108"/>
      <c r="AL582" s="108"/>
      <c r="AM582" s="108"/>
      <c r="AN582" s="108"/>
      <c r="AO582" s="108"/>
      <c r="AP582" s="108"/>
      <c r="AQ582" s="108"/>
      <c r="AR582" s="108"/>
      <c r="AS582" s="108"/>
      <c r="AT582" s="108"/>
      <c r="AU582" s="108"/>
      <c r="AV582" s="108"/>
      <c r="AW582" s="108"/>
      <c r="AX582" s="108"/>
      <c r="AY582" s="108"/>
      <c r="AZ582" s="108"/>
      <c r="BA582" s="108"/>
      <c r="BB582" s="108"/>
      <c r="BC582" s="108"/>
      <c r="BD582" s="108"/>
      <c r="BE582" s="108"/>
      <c r="BF582" s="108"/>
      <c r="BG582" s="108"/>
      <c r="BH582" s="108"/>
      <c r="BI582" s="108"/>
      <c r="BJ582" s="108"/>
      <c r="BK582" s="108"/>
      <c r="BL582" s="108"/>
      <c r="BM582" s="109"/>
      <c r="BN582" s="108"/>
      <c r="BO582" s="108"/>
      <c r="BP582" s="108"/>
    </row>
    <row r="583" spans="1:68" ht="12" customHeight="1" x14ac:dyDescent="0.2">
      <c r="A583" s="179"/>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c r="AA583" s="108"/>
      <c r="AB583" s="108"/>
      <c r="AC583" s="108"/>
      <c r="AD583" s="108"/>
      <c r="AE583" s="108"/>
      <c r="AF583" s="108"/>
      <c r="AG583" s="108"/>
      <c r="AH583" s="108"/>
      <c r="AI583" s="108"/>
      <c r="AJ583" s="108"/>
      <c r="AK583" s="108"/>
      <c r="AL583" s="108"/>
      <c r="AM583" s="108"/>
      <c r="AN583" s="108"/>
      <c r="AO583" s="108"/>
      <c r="AP583" s="108"/>
      <c r="AQ583" s="108"/>
      <c r="AR583" s="108"/>
      <c r="AS583" s="108"/>
      <c r="AT583" s="108"/>
      <c r="AU583" s="108"/>
      <c r="AV583" s="108"/>
      <c r="AW583" s="108"/>
      <c r="AX583" s="108"/>
      <c r="AY583" s="108"/>
      <c r="AZ583" s="108"/>
      <c r="BA583" s="108"/>
      <c r="BB583" s="108"/>
      <c r="BC583" s="108"/>
      <c r="BD583" s="108"/>
      <c r="BE583" s="108"/>
      <c r="BF583" s="108"/>
      <c r="BG583" s="108"/>
      <c r="BH583" s="108"/>
      <c r="BI583" s="108"/>
      <c r="BJ583" s="108"/>
      <c r="BK583" s="108"/>
      <c r="BL583" s="108"/>
      <c r="BM583" s="109"/>
      <c r="BN583" s="108"/>
      <c r="BO583" s="108"/>
      <c r="BP583" s="108"/>
    </row>
    <row r="584" spans="1:68" ht="12" customHeight="1" x14ac:dyDescent="0.2">
      <c r="A584" s="179"/>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c r="AA584" s="108"/>
      <c r="AB584" s="108"/>
      <c r="AC584" s="108"/>
      <c r="AD584" s="108"/>
      <c r="AE584" s="108"/>
      <c r="AF584" s="108"/>
      <c r="AG584" s="108"/>
      <c r="AH584" s="108"/>
      <c r="AI584" s="108"/>
      <c r="AJ584" s="108"/>
      <c r="AK584" s="108"/>
      <c r="AL584" s="108"/>
      <c r="AM584" s="108"/>
      <c r="AN584" s="108"/>
      <c r="AO584" s="108"/>
      <c r="AP584" s="108"/>
      <c r="AQ584" s="108"/>
      <c r="AR584" s="108"/>
      <c r="AS584" s="108"/>
      <c r="AT584" s="108"/>
      <c r="AU584" s="108"/>
      <c r="AV584" s="108"/>
      <c r="AW584" s="108"/>
      <c r="AX584" s="108"/>
      <c r="AY584" s="108"/>
      <c r="AZ584" s="108"/>
      <c r="BA584" s="108"/>
      <c r="BB584" s="108"/>
      <c r="BC584" s="108"/>
      <c r="BD584" s="108"/>
      <c r="BE584" s="108"/>
      <c r="BF584" s="108"/>
      <c r="BG584" s="108"/>
      <c r="BH584" s="108"/>
      <c r="BI584" s="108"/>
      <c r="BJ584" s="108"/>
      <c r="BK584" s="108"/>
      <c r="BL584" s="108"/>
      <c r="BM584" s="109"/>
      <c r="BN584" s="108"/>
      <c r="BO584" s="108"/>
      <c r="BP584" s="108"/>
    </row>
    <row r="585" spans="1:68" ht="12" customHeight="1" x14ac:dyDescent="0.2">
      <c r="A585" s="179"/>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c r="AA585" s="108"/>
      <c r="AB585" s="108"/>
      <c r="AC585" s="108"/>
      <c r="AD585" s="108"/>
      <c r="AE585" s="108"/>
      <c r="AF585" s="108"/>
      <c r="AG585" s="108"/>
      <c r="AH585" s="108"/>
      <c r="AI585" s="108"/>
      <c r="AJ585" s="108"/>
      <c r="AK585" s="108"/>
      <c r="AL585" s="108"/>
      <c r="AM585" s="108"/>
      <c r="AN585" s="108"/>
      <c r="AO585" s="108"/>
      <c r="AP585" s="108"/>
      <c r="AQ585" s="108"/>
      <c r="AR585" s="108"/>
      <c r="AS585" s="108"/>
      <c r="AT585" s="108"/>
      <c r="AU585" s="108"/>
      <c r="AV585" s="108"/>
      <c r="AW585" s="108"/>
      <c r="AX585" s="108"/>
      <c r="AY585" s="108"/>
      <c r="AZ585" s="108"/>
      <c r="BA585" s="108"/>
      <c r="BB585" s="108"/>
      <c r="BC585" s="108"/>
      <c r="BD585" s="108"/>
      <c r="BE585" s="108"/>
      <c r="BF585" s="108"/>
      <c r="BG585" s="108"/>
      <c r="BH585" s="108"/>
      <c r="BI585" s="108"/>
      <c r="BJ585" s="108"/>
      <c r="BK585" s="108"/>
      <c r="BL585" s="108"/>
      <c r="BM585" s="109"/>
      <c r="BN585" s="108"/>
      <c r="BO585" s="108"/>
      <c r="BP585" s="108"/>
    </row>
    <row r="586" spans="1:68" ht="12" customHeight="1" x14ac:dyDescent="0.2">
      <c r="A586" s="179"/>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c r="AA586" s="108"/>
      <c r="AB586" s="108"/>
      <c r="AC586" s="108"/>
      <c r="AD586" s="108"/>
      <c r="AE586" s="108"/>
      <c r="AF586" s="108"/>
      <c r="AG586" s="108"/>
      <c r="AH586" s="108"/>
      <c r="AI586" s="108"/>
      <c r="AJ586" s="108"/>
      <c r="AK586" s="108"/>
      <c r="AL586" s="108"/>
      <c r="AM586" s="108"/>
      <c r="AN586" s="108"/>
      <c r="AO586" s="108"/>
      <c r="AP586" s="108"/>
      <c r="AQ586" s="108"/>
      <c r="AR586" s="108"/>
      <c r="AS586" s="108"/>
      <c r="AT586" s="108"/>
      <c r="AU586" s="108"/>
      <c r="AV586" s="108"/>
      <c r="AW586" s="108"/>
      <c r="AX586" s="108"/>
      <c r="AY586" s="108"/>
      <c r="AZ586" s="108"/>
      <c r="BA586" s="108"/>
      <c r="BB586" s="108"/>
      <c r="BC586" s="108"/>
      <c r="BD586" s="108"/>
      <c r="BE586" s="108"/>
      <c r="BF586" s="108"/>
      <c r="BG586" s="108"/>
      <c r="BH586" s="108"/>
      <c r="BI586" s="108"/>
      <c r="BJ586" s="108"/>
      <c r="BK586" s="108"/>
      <c r="BL586" s="108"/>
      <c r="BM586" s="109"/>
      <c r="BN586" s="108"/>
      <c r="BO586" s="108"/>
      <c r="BP586" s="108"/>
    </row>
    <row r="587" spans="1:68" ht="12" customHeight="1" x14ac:dyDescent="0.2">
      <c r="A587" s="179"/>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c r="AA587" s="108"/>
      <c r="AB587" s="108"/>
      <c r="AC587" s="108"/>
      <c r="AD587" s="108"/>
      <c r="AE587" s="108"/>
      <c r="AF587" s="108"/>
      <c r="AG587" s="108"/>
      <c r="AH587" s="108"/>
      <c r="AI587" s="108"/>
      <c r="AJ587" s="108"/>
      <c r="AK587" s="108"/>
      <c r="AL587" s="108"/>
      <c r="AM587" s="108"/>
      <c r="AN587" s="108"/>
      <c r="AO587" s="108"/>
      <c r="AP587" s="108"/>
      <c r="AQ587" s="108"/>
      <c r="AR587" s="108"/>
      <c r="AS587" s="108"/>
      <c r="AT587" s="108"/>
      <c r="AU587" s="108"/>
      <c r="AV587" s="108"/>
      <c r="AW587" s="108"/>
      <c r="AX587" s="108"/>
      <c r="AY587" s="108"/>
      <c r="AZ587" s="108"/>
      <c r="BA587" s="108"/>
      <c r="BB587" s="108"/>
      <c r="BC587" s="108"/>
      <c r="BD587" s="108"/>
      <c r="BE587" s="108"/>
      <c r="BF587" s="108"/>
      <c r="BG587" s="108"/>
      <c r="BH587" s="108"/>
      <c r="BI587" s="108"/>
      <c r="BJ587" s="108"/>
      <c r="BK587" s="108"/>
      <c r="BL587" s="108"/>
      <c r="BM587" s="109"/>
      <c r="BN587" s="108"/>
      <c r="BO587" s="108"/>
      <c r="BP587" s="108"/>
    </row>
    <row r="588" spans="1:68" ht="12" customHeight="1" x14ac:dyDescent="0.2">
      <c r="A588" s="179"/>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c r="AA588" s="108"/>
      <c r="AB588" s="108"/>
      <c r="AC588" s="108"/>
      <c r="AD588" s="108"/>
      <c r="AE588" s="108"/>
      <c r="AF588" s="108"/>
      <c r="AG588" s="108"/>
      <c r="AH588" s="108"/>
      <c r="AI588" s="108"/>
      <c r="AJ588" s="108"/>
      <c r="AK588" s="108"/>
      <c r="AL588" s="108"/>
      <c r="AM588" s="108"/>
      <c r="AN588" s="108"/>
      <c r="AO588" s="108"/>
      <c r="AP588" s="108"/>
      <c r="AQ588" s="108"/>
      <c r="AR588" s="108"/>
      <c r="AS588" s="108"/>
      <c r="AT588" s="108"/>
      <c r="AU588" s="108"/>
      <c r="AV588" s="108"/>
      <c r="AW588" s="108"/>
      <c r="AX588" s="108"/>
      <c r="AY588" s="108"/>
      <c r="AZ588" s="108"/>
      <c r="BA588" s="108"/>
      <c r="BB588" s="108"/>
      <c r="BC588" s="108"/>
      <c r="BD588" s="108"/>
      <c r="BE588" s="108"/>
      <c r="BF588" s="108"/>
      <c r="BG588" s="108"/>
      <c r="BH588" s="108"/>
      <c r="BI588" s="108"/>
      <c r="BJ588" s="108"/>
      <c r="BK588" s="108"/>
      <c r="BL588" s="108"/>
      <c r="BM588" s="109"/>
      <c r="BN588" s="108"/>
      <c r="BO588" s="108"/>
      <c r="BP588" s="108"/>
    </row>
    <row r="589" spans="1:68" ht="12" customHeight="1" x14ac:dyDescent="0.2">
      <c r="A589" s="179"/>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c r="AA589" s="108"/>
      <c r="AB589" s="108"/>
      <c r="AC589" s="108"/>
      <c r="AD589" s="108"/>
      <c r="AE589" s="108"/>
      <c r="AF589" s="108"/>
      <c r="AG589" s="108"/>
      <c r="AH589" s="108"/>
      <c r="AI589" s="108"/>
      <c r="AJ589" s="108"/>
      <c r="AK589" s="108"/>
      <c r="AL589" s="108"/>
      <c r="AM589" s="108"/>
      <c r="AN589" s="108"/>
      <c r="AO589" s="108"/>
      <c r="AP589" s="108"/>
      <c r="AQ589" s="108"/>
      <c r="AR589" s="108"/>
      <c r="AS589" s="108"/>
      <c r="AT589" s="108"/>
      <c r="AU589" s="108"/>
      <c r="AV589" s="108"/>
      <c r="AW589" s="108"/>
      <c r="AX589" s="108"/>
      <c r="AY589" s="108"/>
      <c r="AZ589" s="108"/>
      <c r="BA589" s="108"/>
      <c r="BB589" s="108"/>
      <c r="BC589" s="108"/>
      <c r="BD589" s="108"/>
      <c r="BE589" s="108"/>
      <c r="BF589" s="108"/>
      <c r="BG589" s="108"/>
      <c r="BH589" s="108"/>
      <c r="BI589" s="108"/>
      <c r="BJ589" s="108"/>
      <c r="BK589" s="108"/>
      <c r="BL589" s="108"/>
      <c r="BM589" s="109"/>
      <c r="BN589" s="108"/>
      <c r="BO589" s="108"/>
      <c r="BP589" s="108"/>
    </row>
    <row r="590" spans="1:68" ht="12" customHeight="1" x14ac:dyDescent="0.2">
      <c r="A590" s="179"/>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c r="AA590" s="108"/>
      <c r="AB590" s="108"/>
      <c r="AC590" s="108"/>
      <c r="AD590" s="108"/>
      <c r="AE590" s="108"/>
      <c r="AF590" s="108"/>
      <c r="AG590" s="108"/>
      <c r="AH590" s="108"/>
      <c r="AI590" s="108"/>
      <c r="AJ590" s="108"/>
      <c r="AK590" s="108"/>
      <c r="AL590" s="108"/>
      <c r="AM590" s="108"/>
      <c r="AN590" s="108"/>
      <c r="AO590" s="108"/>
      <c r="AP590" s="108"/>
      <c r="AQ590" s="108"/>
      <c r="AR590" s="108"/>
      <c r="AS590" s="108"/>
      <c r="AT590" s="108"/>
      <c r="AU590" s="108"/>
      <c r="AV590" s="108"/>
      <c r="AW590" s="108"/>
      <c r="AX590" s="108"/>
      <c r="AY590" s="108"/>
      <c r="AZ590" s="108"/>
      <c r="BA590" s="108"/>
      <c r="BB590" s="108"/>
      <c r="BC590" s="108"/>
      <c r="BD590" s="108"/>
      <c r="BE590" s="108"/>
      <c r="BF590" s="108"/>
      <c r="BG590" s="108"/>
      <c r="BH590" s="108"/>
      <c r="BI590" s="108"/>
      <c r="BJ590" s="108"/>
      <c r="BK590" s="108"/>
      <c r="BL590" s="108"/>
      <c r="BM590" s="109"/>
      <c r="BN590" s="108"/>
      <c r="BO590" s="108"/>
      <c r="BP590" s="108"/>
    </row>
    <row r="591" spans="1:68" ht="12" customHeight="1" x14ac:dyDescent="0.2">
      <c r="A591" s="179"/>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c r="AA591" s="108"/>
      <c r="AB591" s="108"/>
      <c r="AC591" s="108"/>
      <c r="AD591" s="108"/>
      <c r="AE591" s="108"/>
      <c r="AF591" s="108"/>
      <c r="AG591" s="108"/>
      <c r="AH591" s="108"/>
      <c r="AI591" s="108"/>
      <c r="AJ591" s="108"/>
      <c r="AK591" s="108"/>
      <c r="AL591" s="108"/>
      <c r="AM591" s="108"/>
      <c r="AN591" s="108"/>
      <c r="AO591" s="108"/>
      <c r="AP591" s="108"/>
      <c r="AQ591" s="108"/>
      <c r="AR591" s="108"/>
      <c r="AS591" s="108"/>
      <c r="AT591" s="108"/>
      <c r="AU591" s="108"/>
      <c r="AV591" s="108"/>
      <c r="AW591" s="108"/>
      <c r="AX591" s="108"/>
      <c r="AY591" s="108"/>
      <c r="AZ591" s="108"/>
      <c r="BA591" s="108"/>
      <c r="BB591" s="108"/>
      <c r="BC591" s="108"/>
      <c r="BD591" s="108"/>
      <c r="BE591" s="108"/>
      <c r="BF591" s="108"/>
      <c r="BG591" s="108"/>
      <c r="BH591" s="108"/>
      <c r="BI591" s="108"/>
      <c r="BJ591" s="108"/>
      <c r="BK591" s="108"/>
      <c r="BL591" s="108"/>
      <c r="BM591" s="109"/>
      <c r="BN591" s="108"/>
      <c r="BO591" s="108"/>
      <c r="BP591" s="108"/>
    </row>
    <row r="592" spans="1:68" ht="12" customHeight="1" x14ac:dyDescent="0.2">
      <c r="A592" s="179"/>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c r="AA592" s="108"/>
      <c r="AB592" s="108"/>
      <c r="AC592" s="108"/>
      <c r="AD592" s="108"/>
      <c r="AE592" s="108"/>
      <c r="AF592" s="108"/>
      <c r="AG592" s="108"/>
      <c r="AH592" s="108"/>
      <c r="AI592" s="108"/>
      <c r="AJ592" s="108"/>
      <c r="AK592" s="108"/>
      <c r="AL592" s="108"/>
      <c r="AM592" s="108"/>
      <c r="AN592" s="108"/>
      <c r="AO592" s="108"/>
      <c r="AP592" s="108"/>
      <c r="AQ592" s="108"/>
      <c r="AR592" s="108"/>
      <c r="AS592" s="108"/>
      <c r="AT592" s="108"/>
      <c r="AU592" s="108"/>
      <c r="AV592" s="108"/>
      <c r="AW592" s="108"/>
      <c r="AX592" s="108"/>
      <c r="AY592" s="108"/>
      <c r="AZ592" s="108"/>
      <c r="BA592" s="108"/>
      <c r="BB592" s="108"/>
      <c r="BC592" s="108"/>
      <c r="BD592" s="108"/>
      <c r="BE592" s="108"/>
      <c r="BF592" s="108"/>
      <c r="BG592" s="108"/>
      <c r="BH592" s="108"/>
      <c r="BI592" s="108"/>
      <c r="BJ592" s="108"/>
      <c r="BK592" s="108"/>
      <c r="BL592" s="108"/>
      <c r="BM592" s="109"/>
      <c r="BN592" s="108"/>
      <c r="BO592" s="108"/>
      <c r="BP592" s="108"/>
    </row>
    <row r="593" spans="1:68" ht="12" customHeight="1" x14ac:dyDescent="0.2">
      <c r="A593" s="179"/>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c r="AA593" s="108"/>
      <c r="AB593" s="108"/>
      <c r="AC593" s="108"/>
      <c r="AD593" s="108"/>
      <c r="AE593" s="108"/>
      <c r="AF593" s="108"/>
      <c r="AG593" s="108"/>
      <c r="AH593" s="108"/>
      <c r="AI593" s="108"/>
      <c r="AJ593" s="108"/>
      <c r="AK593" s="108"/>
      <c r="AL593" s="108"/>
      <c r="AM593" s="108"/>
      <c r="AN593" s="108"/>
      <c r="AO593" s="108"/>
      <c r="AP593" s="108"/>
      <c r="AQ593" s="108"/>
      <c r="AR593" s="108"/>
      <c r="AS593" s="108"/>
      <c r="AT593" s="108"/>
      <c r="AU593" s="108"/>
      <c r="AV593" s="108"/>
      <c r="AW593" s="108"/>
      <c r="AX593" s="108"/>
      <c r="AY593" s="108"/>
      <c r="AZ593" s="108"/>
      <c r="BA593" s="108"/>
      <c r="BB593" s="108"/>
      <c r="BC593" s="108"/>
      <c r="BD593" s="108"/>
      <c r="BE593" s="108"/>
      <c r="BF593" s="108"/>
      <c r="BG593" s="108"/>
      <c r="BH593" s="108"/>
      <c r="BI593" s="108"/>
      <c r="BJ593" s="108"/>
      <c r="BK593" s="108"/>
      <c r="BL593" s="108"/>
      <c r="BM593" s="109"/>
      <c r="BN593" s="108"/>
      <c r="BO593" s="108"/>
      <c r="BP593" s="108"/>
    </row>
    <row r="594" spans="1:68" ht="12" customHeight="1" x14ac:dyDescent="0.2">
      <c r="A594" s="179"/>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c r="AA594" s="108"/>
      <c r="AB594" s="108"/>
      <c r="AC594" s="108"/>
      <c r="AD594" s="108"/>
      <c r="AE594" s="108"/>
      <c r="AF594" s="108"/>
      <c r="AG594" s="108"/>
      <c r="AH594" s="108"/>
      <c r="AI594" s="108"/>
      <c r="AJ594" s="108"/>
      <c r="AK594" s="108"/>
      <c r="AL594" s="108"/>
      <c r="AM594" s="108"/>
      <c r="AN594" s="108"/>
      <c r="AO594" s="108"/>
      <c r="AP594" s="108"/>
      <c r="AQ594" s="108"/>
      <c r="AR594" s="108"/>
      <c r="AS594" s="108"/>
      <c r="AT594" s="108"/>
      <c r="AU594" s="108"/>
      <c r="AV594" s="108"/>
      <c r="AW594" s="108"/>
      <c r="AX594" s="108"/>
      <c r="AY594" s="108"/>
      <c r="AZ594" s="108"/>
      <c r="BA594" s="108"/>
      <c r="BB594" s="108"/>
      <c r="BC594" s="108"/>
      <c r="BD594" s="108"/>
      <c r="BE594" s="108"/>
      <c r="BF594" s="108"/>
      <c r="BG594" s="108"/>
      <c r="BH594" s="108"/>
      <c r="BI594" s="108"/>
      <c r="BJ594" s="108"/>
      <c r="BK594" s="108"/>
      <c r="BL594" s="108"/>
      <c r="BM594" s="109"/>
      <c r="BN594" s="108"/>
      <c r="BO594" s="108"/>
      <c r="BP594" s="108"/>
    </row>
    <row r="595" spans="1:68" ht="12" customHeight="1" x14ac:dyDescent="0.2">
      <c r="A595" s="179"/>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c r="AA595" s="108"/>
      <c r="AB595" s="108"/>
      <c r="AC595" s="108"/>
      <c r="AD595" s="108"/>
      <c r="AE595" s="108"/>
      <c r="AF595" s="108"/>
      <c r="AG595" s="108"/>
      <c r="AH595" s="108"/>
      <c r="AI595" s="108"/>
      <c r="AJ595" s="108"/>
      <c r="AK595" s="108"/>
      <c r="AL595" s="108"/>
      <c r="AM595" s="108"/>
      <c r="AN595" s="108"/>
      <c r="AO595" s="108"/>
      <c r="AP595" s="108"/>
      <c r="AQ595" s="108"/>
      <c r="AR595" s="108"/>
      <c r="AS595" s="108"/>
      <c r="AT595" s="108"/>
      <c r="AU595" s="108"/>
      <c r="AV595" s="108"/>
      <c r="AW595" s="108"/>
      <c r="AX595" s="108"/>
      <c r="AY595" s="108"/>
      <c r="AZ595" s="108"/>
      <c r="BA595" s="108"/>
      <c r="BB595" s="108"/>
      <c r="BC595" s="108"/>
      <c r="BD595" s="108"/>
      <c r="BE595" s="108"/>
      <c r="BF595" s="108"/>
      <c r="BG595" s="108"/>
      <c r="BH595" s="108"/>
      <c r="BI595" s="108"/>
      <c r="BJ595" s="108"/>
      <c r="BK595" s="108"/>
      <c r="BL595" s="108"/>
      <c r="BM595" s="109"/>
      <c r="BN595" s="108"/>
      <c r="BO595" s="108"/>
      <c r="BP595" s="108"/>
    </row>
    <row r="596" spans="1:68" ht="12" customHeight="1" x14ac:dyDescent="0.2">
      <c r="A596" s="179"/>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c r="AA596" s="108"/>
      <c r="AB596" s="108"/>
      <c r="AC596" s="108"/>
      <c r="AD596" s="108"/>
      <c r="AE596" s="108"/>
      <c r="AF596" s="108"/>
      <c r="AG596" s="108"/>
      <c r="AH596" s="108"/>
      <c r="AI596" s="108"/>
      <c r="AJ596" s="108"/>
      <c r="AK596" s="108"/>
      <c r="AL596" s="108"/>
      <c r="AM596" s="108"/>
      <c r="AN596" s="108"/>
      <c r="AO596" s="108"/>
      <c r="AP596" s="108"/>
      <c r="AQ596" s="108"/>
      <c r="AR596" s="108"/>
      <c r="AS596" s="108"/>
      <c r="AT596" s="108"/>
      <c r="AU596" s="108"/>
      <c r="AV596" s="108"/>
      <c r="AW596" s="108"/>
      <c r="AX596" s="108"/>
      <c r="AY596" s="108"/>
      <c r="AZ596" s="108"/>
      <c r="BA596" s="108"/>
      <c r="BB596" s="108"/>
      <c r="BC596" s="108"/>
      <c r="BD596" s="108"/>
      <c r="BE596" s="108"/>
      <c r="BF596" s="108"/>
      <c r="BG596" s="108"/>
      <c r="BH596" s="108"/>
      <c r="BI596" s="108"/>
      <c r="BJ596" s="108"/>
      <c r="BK596" s="108"/>
      <c r="BL596" s="108"/>
      <c r="BM596" s="109"/>
      <c r="BN596" s="108"/>
      <c r="BO596" s="108"/>
      <c r="BP596" s="108"/>
    </row>
    <row r="597" spans="1:68" ht="12" customHeight="1" x14ac:dyDescent="0.2">
      <c r="A597" s="179"/>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c r="AA597" s="108"/>
      <c r="AB597" s="108"/>
      <c r="AC597" s="108"/>
      <c r="AD597" s="108"/>
      <c r="AE597" s="108"/>
      <c r="AF597" s="108"/>
      <c r="AG597" s="108"/>
      <c r="AH597" s="108"/>
      <c r="AI597" s="108"/>
      <c r="AJ597" s="108"/>
      <c r="AK597" s="108"/>
      <c r="AL597" s="108"/>
      <c r="AM597" s="108"/>
      <c r="AN597" s="108"/>
      <c r="AO597" s="108"/>
      <c r="AP597" s="108"/>
      <c r="AQ597" s="108"/>
      <c r="AR597" s="108"/>
      <c r="AS597" s="108"/>
      <c r="AT597" s="108"/>
      <c r="AU597" s="108"/>
      <c r="AV597" s="108"/>
      <c r="AW597" s="108"/>
      <c r="AX597" s="108"/>
      <c r="AY597" s="108"/>
      <c r="AZ597" s="108"/>
      <c r="BA597" s="108"/>
      <c r="BB597" s="108"/>
      <c r="BC597" s="108"/>
      <c r="BD597" s="108"/>
      <c r="BE597" s="108"/>
      <c r="BF597" s="108"/>
      <c r="BG597" s="108"/>
      <c r="BH597" s="108"/>
      <c r="BI597" s="108"/>
      <c r="BJ597" s="108"/>
      <c r="BK597" s="108"/>
      <c r="BL597" s="108"/>
      <c r="BM597" s="109"/>
      <c r="BN597" s="108"/>
      <c r="BO597" s="108"/>
      <c r="BP597" s="108"/>
    </row>
    <row r="598" spans="1:68" ht="12" customHeight="1" x14ac:dyDescent="0.2">
      <c r="A598" s="179"/>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c r="AA598" s="108"/>
      <c r="AB598" s="108"/>
      <c r="AC598" s="108"/>
      <c r="AD598" s="108"/>
      <c r="AE598" s="108"/>
      <c r="AF598" s="108"/>
      <c r="AG598" s="108"/>
      <c r="AH598" s="108"/>
      <c r="AI598" s="108"/>
      <c r="AJ598" s="108"/>
      <c r="AK598" s="108"/>
      <c r="AL598" s="108"/>
      <c r="AM598" s="108"/>
      <c r="AN598" s="108"/>
      <c r="AO598" s="108"/>
      <c r="AP598" s="108"/>
      <c r="AQ598" s="108"/>
      <c r="AR598" s="108"/>
      <c r="AS598" s="108"/>
      <c r="AT598" s="108"/>
      <c r="AU598" s="108"/>
      <c r="AV598" s="108"/>
      <c r="AW598" s="108"/>
      <c r="AX598" s="108"/>
      <c r="AY598" s="108"/>
      <c r="AZ598" s="108"/>
      <c r="BA598" s="108"/>
      <c r="BB598" s="108"/>
      <c r="BC598" s="108"/>
      <c r="BD598" s="108"/>
      <c r="BE598" s="108"/>
      <c r="BF598" s="108"/>
      <c r="BG598" s="108"/>
      <c r="BH598" s="108"/>
      <c r="BI598" s="108"/>
      <c r="BJ598" s="108"/>
      <c r="BK598" s="108"/>
      <c r="BL598" s="108"/>
      <c r="BM598" s="109"/>
      <c r="BN598" s="108"/>
      <c r="BO598" s="108"/>
      <c r="BP598" s="108"/>
    </row>
    <row r="599" spans="1:68" ht="12" customHeight="1" x14ac:dyDescent="0.2">
      <c r="A599" s="179"/>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c r="AA599" s="108"/>
      <c r="AB599" s="108"/>
      <c r="AC599" s="108"/>
      <c r="AD599" s="108"/>
      <c r="AE599" s="108"/>
      <c r="AF599" s="108"/>
      <c r="AG599" s="108"/>
      <c r="AH599" s="108"/>
      <c r="AI599" s="108"/>
      <c r="AJ599" s="108"/>
      <c r="AK599" s="108"/>
      <c r="AL599" s="108"/>
      <c r="AM599" s="108"/>
      <c r="AN599" s="108"/>
      <c r="AO599" s="108"/>
      <c r="AP599" s="108"/>
      <c r="AQ599" s="108"/>
      <c r="AR599" s="108"/>
      <c r="AS599" s="108"/>
      <c r="AT599" s="108"/>
      <c r="AU599" s="108"/>
      <c r="AV599" s="108"/>
      <c r="AW599" s="108"/>
      <c r="AX599" s="108"/>
      <c r="AY599" s="108"/>
      <c r="AZ599" s="108"/>
      <c r="BA599" s="108"/>
      <c r="BB599" s="108"/>
      <c r="BC599" s="108"/>
      <c r="BD599" s="108"/>
      <c r="BE599" s="108"/>
      <c r="BF599" s="108"/>
      <c r="BG599" s="108"/>
      <c r="BH599" s="108"/>
      <c r="BI599" s="108"/>
      <c r="BJ599" s="108"/>
      <c r="BK599" s="108"/>
      <c r="BL599" s="108"/>
      <c r="BM599" s="109"/>
      <c r="BN599" s="108"/>
      <c r="BO599" s="108"/>
      <c r="BP599" s="108"/>
    </row>
    <row r="600" spans="1:68" ht="12" customHeight="1" x14ac:dyDescent="0.2">
      <c r="A600" s="179"/>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c r="AA600" s="108"/>
      <c r="AB600" s="108"/>
      <c r="AC600" s="108"/>
      <c r="AD600" s="108"/>
      <c r="AE600" s="108"/>
      <c r="AF600" s="108"/>
      <c r="AG600" s="108"/>
      <c r="AH600" s="108"/>
      <c r="AI600" s="108"/>
      <c r="AJ600" s="108"/>
      <c r="AK600" s="108"/>
      <c r="AL600" s="108"/>
      <c r="AM600" s="108"/>
      <c r="AN600" s="108"/>
      <c r="AO600" s="108"/>
      <c r="AP600" s="108"/>
      <c r="AQ600" s="108"/>
      <c r="AR600" s="108"/>
      <c r="AS600" s="108"/>
      <c r="AT600" s="108"/>
      <c r="AU600" s="108"/>
      <c r="AV600" s="108"/>
      <c r="AW600" s="108"/>
      <c r="AX600" s="108"/>
      <c r="AY600" s="108"/>
      <c r="AZ600" s="108"/>
      <c r="BA600" s="108"/>
      <c r="BB600" s="108"/>
      <c r="BC600" s="108"/>
      <c r="BD600" s="108"/>
      <c r="BE600" s="108"/>
      <c r="BF600" s="108"/>
      <c r="BG600" s="108"/>
      <c r="BH600" s="108"/>
      <c r="BI600" s="108"/>
      <c r="BJ600" s="108"/>
      <c r="BK600" s="108"/>
      <c r="BL600" s="108"/>
      <c r="BM600" s="109"/>
      <c r="BN600" s="108"/>
      <c r="BO600" s="108"/>
      <c r="BP600" s="108"/>
    </row>
    <row r="601" spans="1:68" ht="12" customHeight="1" x14ac:dyDescent="0.2">
      <c r="A601" s="179"/>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c r="AA601" s="108"/>
      <c r="AB601" s="108"/>
      <c r="AC601" s="108"/>
      <c r="AD601" s="108"/>
      <c r="AE601" s="108"/>
      <c r="AF601" s="108"/>
      <c r="AG601" s="108"/>
      <c r="AH601" s="108"/>
      <c r="AI601" s="108"/>
      <c r="AJ601" s="108"/>
      <c r="AK601" s="108"/>
      <c r="AL601" s="108"/>
      <c r="AM601" s="108"/>
      <c r="AN601" s="108"/>
      <c r="AO601" s="108"/>
      <c r="AP601" s="108"/>
      <c r="AQ601" s="108"/>
      <c r="AR601" s="108"/>
      <c r="AS601" s="108"/>
      <c r="AT601" s="108"/>
      <c r="AU601" s="108"/>
      <c r="AV601" s="108"/>
      <c r="AW601" s="108"/>
      <c r="AX601" s="108"/>
      <c r="AY601" s="108"/>
      <c r="AZ601" s="108"/>
      <c r="BA601" s="108"/>
      <c r="BB601" s="108"/>
      <c r="BC601" s="108"/>
      <c r="BD601" s="108"/>
      <c r="BE601" s="108"/>
      <c r="BF601" s="108"/>
      <c r="BG601" s="108"/>
      <c r="BH601" s="108"/>
      <c r="BI601" s="108"/>
      <c r="BJ601" s="108"/>
      <c r="BK601" s="108"/>
      <c r="BL601" s="108"/>
      <c r="BM601" s="109"/>
      <c r="BN601" s="108"/>
      <c r="BO601" s="108"/>
      <c r="BP601" s="108"/>
    </row>
    <row r="602" spans="1:68" ht="12" customHeight="1" x14ac:dyDescent="0.2">
      <c r="A602" s="179"/>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c r="AA602" s="108"/>
      <c r="AB602" s="108"/>
      <c r="AC602" s="108"/>
      <c r="AD602" s="108"/>
      <c r="AE602" s="108"/>
      <c r="AF602" s="108"/>
      <c r="AG602" s="108"/>
      <c r="AH602" s="108"/>
      <c r="AI602" s="108"/>
      <c r="AJ602" s="108"/>
      <c r="AK602" s="108"/>
      <c r="AL602" s="108"/>
      <c r="AM602" s="108"/>
      <c r="AN602" s="108"/>
      <c r="AO602" s="108"/>
      <c r="AP602" s="108"/>
      <c r="AQ602" s="108"/>
      <c r="AR602" s="108"/>
      <c r="AS602" s="108"/>
      <c r="AT602" s="108"/>
      <c r="AU602" s="108"/>
      <c r="AV602" s="108"/>
      <c r="AW602" s="108"/>
      <c r="AX602" s="108"/>
      <c r="AY602" s="108"/>
      <c r="AZ602" s="108"/>
      <c r="BA602" s="108"/>
      <c r="BB602" s="108"/>
      <c r="BC602" s="108"/>
      <c r="BD602" s="108"/>
      <c r="BE602" s="108"/>
      <c r="BF602" s="108"/>
      <c r="BG602" s="108"/>
      <c r="BH602" s="108"/>
      <c r="BI602" s="108"/>
      <c r="BJ602" s="108"/>
      <c r="BK602" s="108"/>
      <c r="BL602" s="108"/>
      <c r="BM602" s="109"/>
      <c r="BN602" s="108"/>
      <c r="BO602" s="108"/>
      <c r="BP602" s="108"/>
    </row>
    <row r="603" spans="1:68" ht="12" customHeight="1" x14ac:dyDescent="0.2">
      <c r="A603" s="179"/>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c r="AA603" s="108"/>
      <c r="AB603" s="108"/>
      <c r="AC603" s="108"/>
      <c r="AD603" s="108"/>
      <c r="AE603" s="108"/>
      <c r="AF603" s="108"/>
      <c r="AG603" s="108"/>
      <c r="AH603" s="108"/>
      <c r="AI603" s="108"/>
      <c r="AJ603" s="108"/>
      <c r="AK603" s="108"/>
      <c r="AL603" s="108"/>
      <c r="AM603" s="108"/>
      <c r="AN603" s="108"/>
      <c r="AO603" s="108"/>
      <c r="AP603" s="108"/>
      <c r="AQ603" s="108"/>
      <c r="AR603" s="108"/>
      <c r="AS603" s="108"/>
      <c r="AT603" s="108"/>
      <c r="AU603" s="108"/>
      <c r="AV603" s="108"/>
      <c r="AW603" s="108"/>
      <c r="AX603" s="108"/>
      <c r="AY603" s="108"/>
      <c r="AZ603" s="108"/>
      <c r="BA603" s="108"/>
      <c r="BB603" s="108"/>
      <c r="BC603" s="108"/>
      <c r="BD603" s="108"/>
      <c r="BE603" s="108"/>
      <c r="BF603" s="108"/>
      <c r="BG603" s="108"/>
      <c r="BH603" s="108"/>
      <c r="BI603" s="108"/>
      <c r="BJ603" s="108"/>
      <c r="BK603" s="108"/>
      <c r="BL603" s="108"/>
      <c r="BM603" s="109"/>
      <c r="BN603" s="108"/>
      <c r="BO603" s="108"/>
      <c r="BP603" s="108"/>
    </row>
    <row r="604" spans="1:68" ht="12" customHeight="1" x14ac:dyDescent="0.2">
      <c r="A604" s="179"/>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c r="AA604" s="108"/>
      <c r="AB604" s="108"/>
      <c r="AC604" s="108"/>
      <c r="AD604" s="108"/>
      <c r="AE604" s="108"/>
      <c r="AF604" s="108"/>
      <c r="AG604" s="108"/>
      <c r="AH604" s="108"/>
      <c r="AI604" s="108"/>
      <c r="AJ604" s="108"/>
      <c r="AK604" s="108"/>
      <c r="AL604" s="108"/>
      <c r="AM604" s="108"/>
      <c r="AN604" s="108"/>
      <c r="AO604" s="108"/>
      <c r="AP604" s="108"/>
      <c r="AQ604" s="108"/>
      <c r="AR604" s="108"/>
      <c r="AS604" s="108"/>
      <c r="AT604" s="108"/>
      <c r="AU604" s="108"/>
      <c r="AV604" s="108"/>
      <c r="AW604" s="108"/>
      <c r="AX604" s="108"/>
      <c r="AY604" s="108"/>
      <c r="AZ604" s="108"/>
      <c r="BA604" s="108"/>
      <c r="BB604" s="108"/>
      <c r="BC604" s="108"/>
      <c r="BD604" s="108"/>
      <c r="BE604" s="108"/>
      <c r="BF604" s="108"/>
      <c r="BG604" s="108"/>
      <c r="BH604" s="108"/>
      <c r="BI604" s="108"/>
      <c r="BJ604" s="108"/>
      <c r="BK604" s="108"/>
      <c r="BL604" s="108"/>
      <c r="BM604" s="109"/>
      <c r="BN604" s="108"/>
      <c r="BO604" s="108"/>
      <c r="BP604" s="108"/>
    </row>
    <row r="605" spans="1:68" ht="12" customHeight="1" x14ac:dyDescent="0.2">
      <c r="A605" s="179"/>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c r="AA605" s="108"/>
      <c r="AB605" s="108"/>
      <c r="AC605" s="108"/>
      <c r="AD605" s="108"/>
      <c r="AE605" s="108"/>
      <c r="AF605" s="108"/>
      <c r="AG605" s="108"/>
      <c r="AH605" s="108"/>
      <c r="AI605" s="108"/>
      <c r="AJ605" s="108"/>
      <c r="AK605" s="108"/>
      <c r="AL605" s="108"/>
      <c r="AM605" s="108"/>
      <c r="AN605" s="108"/>
      <c r="AO605" s="108"/>
      <c r="AP605" s="108"/>
      <c r="AQ605" s="108"/>
      <c r="AR605" s="108"/>
      <c r="AS605" s="108"/>
      <c r="AT605" s="108"/>
      <c r="AU605" s="108"/>
      <c r="AV605" s="108"/>
      <c r="AW605" s="108"/>
      <c r="AX605" s="108"/>
      <c r="AY605" s="108"/>
      <c r="AZ605" s="108"/>
      <c r="BA605" s="108"/>
      <c r="BB605" s="108"/>
      <c r="BC605" s="108"/>
      <c r="BD605" s="108"/>
      <c r="BE605" s="108"/>
      <c r="BF605" s="108"/>
      <c r="BG605" s="108"/>
      <c r="BH605" s="108"/>
      <c r="BI605" s="108"/>
      <c r="BJ605" s="108"/>
      <c r="BK605" s="108"/>
      <c r="BL605" s="108"/>
      <c r="BM605" s="109"/>
      <c r="BN605" s="108"/>
      <c r="BO605" s="108"/>
      <c r="BP605" s="108"/>
    </row>
    <row r="606" spans="1:68" ht="12" customHeight="1" x14ac:dyDescent="0.2">
      <c r="A606" s="179"/>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c r="AA606" s="108"/>
      <c r="AB606" s="108"/>
      <c r="AC606" s="108"/>
      <c r="AD606" s="108"/>
      <c r="AE606" s="108"/>
      <c r="AF606" s="108"/>
      <c r="AG606" s="108"/>
      <c r="AH606" s="108"/>
      <c r="AI606" s="108"/>
      <c r="AJ606" s="108"/>
      <c r="AK606" s="108"/>
      <c r="AL606" s="108"/>
      <c r="AM606" s="108"/>
      <c r="AN606" s="108"/>
      <c r="AO606" s="108"/>
      <c r="AP606" s="108"/>
      <c r="AQ606" s="108"/>
      <c r="AR606" s="108"/>
      <c r="AS606" s="108"/>
      <c r="AT606" s="108"/>
      <c r="AU606" s="108"/>
      <c r="AV606" s="108"/>
      <c r="AW606" s="108"/>
      <c r="AX606" s="108"/>
      <c r="AY606" s="108"/>
      <c r="AZ606" s="108"/>
      <c r="BA606" s="108"/>
      <c r="BB606" s="108"/>
      <c r="BC606" s="108"/>
      <c r="BD606" s="108"/>
      <c r="BE606" s="108"/>
      <c r="BF606" s="108"/>
      <c r="BG606" s="108"/>
      <c r="BH606" s="108"/>
      <c r="BI606" s="108"/>
      <c r="BJ606" s="108"/>
      <c r="BK606" s="108"/>
      <c r="BL606" s="108"/>
      <c r="BM606" s="109"/>
      <c r="BN606" s="108"/>
      <c r="BO606" s="108"/>
      <c r="BP606" s="108"/>
    </row>
    <row r="607" spans="1:68" ht="12" customHeight="1" x14ac:dyDescent="0.2">
      <c r="A607" s="179"/>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c r="AA607" s="108"/>
      <c r="AB607" s="108"/>
      <c r="AC607" s="108"/>
      <c r="AD607" s="108"/>
      <c r="AE607" s="108"/>
      <c r="AF607" s="108"/>
      <c r="AG607" s="108"/>
      <c r="AH607" s="108"/>
      <c r="AI607" s="108"/>
      <c r="AJ607" s="108"/>
      <c r="AK607" s="108"/>
      <c r="AL607" s="108"/>
      <c r="AM607" s="108"/>
      <c r="AN607" s="108"/>
      <c r="AO607" s="108"/>
      <c r="AP607" s="108"/>
      <c r="AQ607" s="108"/>
      <c r="AR607" s="108"/>
      <c r="AS607" s="108"/>
      <c r="AT607" s="108"/>
      <c r="AU607" s="108"/>
      <c r="AV607" s="108"/>
      <c r="AW607" s="108"/>
      <c r="AX607" s="108"/>
      <c r="AY607" s="108"/>
      <c r="AZ607" s="108"/>
      <c r="BA607" s="108"/>
      <c r="BB607" s="108"/>
      <c r="BC607" s="108"/>
      <c r="BD607" s="108"/>
      <c r="BE607" s="108"/>
      <c r="BF607" s="108"/>
      <c r="BG607" s="108"/>
      <c r="BH607" s="108"/>
      <c r="BI607" s="108"/>
      <c r="BJ607" s="108"/>
      <c r="BK607" s="108"/>
      <c r="BL607" s="108"/>
      <c r="BM607" s="109"/>
      <c r="BN607" s="108"/>
      <c r="BO607" s="108"/>
      <c r="BP607" s="108"/>
    </row>
    <row r="608" spans="1:68" ht="12" customHeight="1" x14ac:dyDescent="0.2">
      <c r="A608" s="179"/>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c r="AA608" s="108"/>
      <c r="AB608" s="108"/>
      <c r="AC608" s="108"/>
      <c r="AD608" s="108"/>
      <c r="AE608" s="108"/>
      <c r="AF608" s="108"/>
      <c r="AG608" s="108"/>
      <c r="AH608" s="108"/>
      <c r="AI608" s="108"/>
      <c r="AJ608" s="108"/>
      <c r="AK608" s="108"/>
      <c r="AL608" s="108"/>
      <c r="AM608" s="108"/>
      <c r="AN608" s="108"/>
      <c r="AO608" s="108"/>
      <c r="AP608" s="108"/>
      <c r="AQ608" s="108"/>
      <c r="AR608" s="108"/>
      <c r="AS608" s="108"/>
      <c r="AT608" s="108"/>
      <c r="AU608" s="108"/>
      <c r="AV608" s="108"/>
      <c r="AW608" s="108"/>
      <c r="AX608" s="108"/>
      <c r="AY608" s="108"/>
      <c r="AZ608" s="108"/>
      <c r="BA608" s="108"/>
      <c r="BB608" s="108"/>
      <c r="BC608" s="108"/>
      <c r="BD608" s="108"/>
      <c r="BE608" s="108"/>
      <c r="BF608" s="108"/>
      <c r="BG608" s="108"/>
      <c r="BH608" s="108"/>
      <c r="BI608" s="108"/>
      <c r="BJ608" s="108"/>
      <c r="BK608" s="108"/>
      <c r="BL608" s="108"/>
      <c r="BM608" s="109"/>
      <c r="BN608" s="108"/>
      <c r="BO608" s="108"/>
      <c r="BP608" s="108"/>
    </row>
    <row r="609" spans="1:68" ht="12" customHeight="1" x14ac:dyDescent="0.2">
      <c r="A609" s="179"/>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c r="AA609" s="108"/>
      <c r="AB609" s="108"/>
      <c r="AC609" s="108"/>
      <c r="AD609" s="108"/>
      <c r="AE609" s="108"/>
      <c r="AF609" s="108"/>
      <c r="AG609" s="108"/>
      <c r="AH609" s="108"/>
      <c r="AI609" s="108"/>
      <c r="AJ609" s="108"/>
      <c r="AK609" s="108"/>
      <c r="AL609" s="108"/>
      <c r="AM609" s="108"/>
      <c r="AN609" s="108"/>
      <c r="AO609" s="108"/>
      <c r="AP609" s="108"/>
      <c r="AQ609" s="108"/>
      <c r="AR609" s="108"/>
      <c r="AS609" s="108"/>
      <c r="AT609" s="108"/>
      <c r="AU609" s="108"/>
      <c r="AV609" s="108"/>
      <c r="AW609" s="108"/>
      <c r="AX609" s="108"/>
      <c r="AY609" s="108"/>
      <c r="AZ609" s="108"/>
      <c r="BA609" s="108"/>
      <c r="BB609" s="108"/>
      <c r="BC609" s="108"/>
      <c r="BD609" s="108"/>
      <c r="BE609" s="108"/>
      <c r="BF609" s="108"/>
      <c r="BG609" s="108"/>
      <c r="BH609" s="108"/>
      <c r="BI609" s="108"/>
      <c r="BJ609" s="108"/>
      <c r="BK609" s="108"/>
      <c r="BL609" s="108"/>
      <c r="BM609" s="109"/>
      <c r="BN609" s="108"/>
      <c r="BO609" s="108"/>
      <c r="BP609" s="108"/>
    </row>
    <row r="610" spans="1:68" ht="12" customHeight="1" x14ac:dyDescent="0.2">
      <c r="A610" s="179"/>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c r="AA610" s="108"/>
      <c r="AB610" s="108"/>
      <c r="AC610" s="108"/>
      <c r="AD610" s="108"/>
      <c r="AE610" s="108"/>
      <c r="AF610" s="108"/>
      <c r="AG610" s="108"/>
      <c r="AH610" s="108"/>
      <c r="AI610" s="108"/>
      <c r="AJ610" s="108"/>
      <c r="AK610" s="108"/>
      <c r="AL610" s="108"/>
      <c r="AM610" s="108"/>
      <c r="AN610" s="108"/>
      <c r="AO610" s="108"/>
      <c r="AP610" s="108"/>
      <c r="AQ610" s="108"/>
      <c r="AR610" s="108"/>
      <c r="AS610" s="108"/>
      <c r="AT610" s="108"/>
      <c r="AU610" s="108"/>
      <c r="AV610" s="108"/>
      <c r="AW610" s="108"/>
      <c r="AX610" s="108"/>
      <c r="AY610" s="108"/>
      <c r="AZ610" s="108"/>
      <c r="BA610" s="108"/>
      <c r="BB610" s="108"/>
      <c r="BC610" s="108"/>
      <c r="BD610" s="108"/>
      <c r="BE610" s="108"/>
      <c r="BF610" s="108"/>
      <c r="BG610" s="108"/>
      <c r="BH610" s="108"/>
      <c r="BI610" s="108"/>
      <c r="BJ610" s="108"/>
      <c r="BK610" s="108"/>
      <c r="BL610" s="108"/>
      <c r="BM610" s="109"/>
      <c r="BN610" s="108"/>
      <c r="BO610" s="108"/>
      <c r="BP610" s="108"/>
    </row>
    <row r="611" spans="1:68" ht="12" customHeight="1" x14ac:dyDescent="0.2">
      <c r="A611" s="179"/>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c r="AA611" s="108"/>
      <c r="AB611" s="108"/>
      <c r="AC611" s="108"/>
      <c r="AD611" s="108"/>
      <c r="AE611" s="108"/>
      <c r="AF611" s="108"/>
      <c r="AG611" s="108"/>
      <c r="AH611" s="108"/>
      <c r="AI611" s="108"/>
      <c r="AJ611" s="108"/>
      <c r="AK611" s="108"/>
      <c r="AL611" s="108"/>
      <c r="AM611" s="108"/>
      <c r="AN611" s="108"/>
      <c r="AO611" s="108"/>
      <c r="AP611" s="108"/>
      <c r="AQ611" s="108"/>
      <c r="AR611" s="108"/>
      <c r="AS611" s="108"/>
      <c r="AT611" s="108"/>
      <c r="AU611" s="108"/>
      <c r="AV611" s="108"/>
      <c r="AW611" s="108"/>
      <c r="AX611" s="108"/>
      <c r="AY611" s="108"/>
      <c r="AZ611" s="108"/>
      <c r="BA611" s="108"/>
      <c r="BB611" s="108"/>
      <c r="BC611" s="108"/>
      <c r="BD611" s="108"/>
      <c r="BE611" s="108"/>
      <c r="BF611" s="108"/>
      <c r="BG611" s="108"/>
      <c r="BH611" s="108"/>
      <c r="BI611" s="108"/>
      <c r="BJ611" s="108"/>
      <c r="BK611" s="108"/>
      <c r="BL611" s="108"/>
      <c r="BM611" s="109"/>
      <c r="BN611" s="108"/>
      <c r="BO611" s="108"/>
      <c r="BP611" s="108"/>
    </row>
    <row r="612" spans="1:68" ht="12" customHeight="1" x14ac:dyDescent="0.2">
      <c r="A612" s="179"/>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c r="AA612" s="108"/>
      <c r="AB612" s="108"/>
      <c r="AC612" s="108"/>
      <c r="AD612" s="108"/>
      <c r="AE612" s="108"/>
      <c r="AF612" s="108"/>
      <c r="AG612" s="108"/>
      <c r="AH612" s="108"/>
      <c r="AI612" s="108"/>
      <c r="AJ612" s="108"/>
      <c r="AK612" s="108"/>
      <c r="AL612" s="108"/>
      <c r="AM612" s="108"/>
      <c r="AN612" s="108"/>
      <c r="AO612" s="108"/>
      <c r="AP612" s="108"/>
      <c r="AQ612" s="108"/>
      <c r="AR612" s="108"/>
      <c r="AS612" s="108"/>
      <c r="AT612" s="108"/>
      <c r="AU612" s="108"/>
      <c r="AV612" s="108"/>
      <c r="AW612" s="108"/>
      <c r="AX612" s="108"/>
      <c r="AY612" s="108"/>
      <c r="AZ612" s="108"/>
      <c r="BA612" s="108"/>
      <c r="BB612" s="108"/>
      <c r="BC612" s="108"/>
      <c r="BD612" s="108"/>
      <c r="BE612" s="108"/>
      <c r="BF612" s="108"/>
      <c r="BG612" s="108"/>
      <c r="BH612" s="108"/>
      <c r="BI612" s="108"/>
      <c r="BJ612" s="108"/>
      <c r="BK612" s="108"/>
      <c r="BL612" s="108"/>
      <c r="BM612" s="109"/>
      <c r="BN612" s="108"/>
      <c r="BO612" s="108"/>
      <c r="BP612" s="108"/>
    </row>
    <row r="613" spans="1:68" ht="12" customHeight="1" x14ac:dyDescent="0.2">
      <c r="A613" s="179"/>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c r="AA613" s="108"/>
      <c r="AB613" s="108"/>
      <c r="AC613" s="108"/>
      <c r="AD613" s="108"/>
      <c r="AE613" s="108"/>
      <c r="AF613" s="108"/>
      <c r="AG613" s="108"/>
      <c r="AH613" s="108"/>
      <c r="AI613" s="108"/>
      <c r="AJ613" s="108"/>
      <c r="AK613" s="108"/>
      <c r="AL613" s="108"/>
      <c r="AM613" s="108"/>
      <c r="AN613" s="108"/>
      <c r="AO613" s="108"/>
      <c r="AP613" s="108"/>
      <c r="AQ613" s="108"/>
      <c r="AR613" s="108"/>
      <c r="AS613" s="108"/>
      <c r="AT613" s="108"/>
      <c r="AU613" s="108"/>
      <c r="AV613" s="108"/>
      <c r="AW613" s="108"/>
      <c r="AX613" s="108"/>
      <c r="AY613" s="108"/>
      <c r="AZ613" s="108"/>
      <c r="BA613" s="108"/>
      <c r="BB613" s="108"/>
      <c r="BC613" s="108"/>
      <c r="BD613" s="108"/>
      <c r="BE613" s="108"/>
      <c r="BF613" s="108"/>
      <c r="BG613" s="108"/>
      <c r="BH613" s="108"/>
      <c r="BI613" s="108"/>
      <c r="BJ613" s="108"/>
      <c r="BK613" s="108"/>
      <c r="BL613" s="108"/>
      <c r="BM613" s="109"/>
      <c r="BN613" s="108"/>
      <c r="BO613" s="108"/>
      <c r="BP613" s="108"/>
    </row>
    <row r="614" spans="1:68" ht="12" customHeight="1" x14ac:dyDescent="0.2">
      <c r="A614" s="179"/>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c r="AA614" s="108"/>
      <c r="AB614" s="108"/>
      <c r="AC614" s="108"/>
      <c r="AD614" s="108"/>
      <c r="AE614" s="108"/>
      <c r="AF614" s="108"/>
      <c r="AG614" s="108"/>
      <c r="AH614" s="108"/>
      <c r="AI614" s="108"/>
      <c r="AJ614" s="108"/>
      <c r="AK614" s="108"/>
      <c r="AL614" s="108"/>
      <c r="AM614" s="108"/>
      <c r="AN614" s="108"/>
      <c r="AO614" s="108"/>
      <c r="AP614" s="108"/>
      <c r="AQ614" s="108"/>
      <c r="AR614" s="108"/>
      <c r="AS614" s="108"/>
      <c r="AT614" s="108"/>
      <c r="AU614" s="108"/>
      <c r="AV614" s="108"/>
      <c r="AW614" s="108"/>
      <c r="AX614" s="108"/>
      <c r="AY614" s="108"/>
      <c r="AZ614" s="108"/>
      <c r="BA614" s="108"/>
      <c r="BB614" s="108"/>
      <c r="BC614" s="108"/>
      <c r="BD614" s="108"/>
      <c r="BE614" s="108"/>
      <c r="BF614" s="108"/>
      <c r="BG614" s="108"/>
      <c r="BH614" s="108"/>
      <c r="BI614" s="108"/>
      <c r="BJ614" s="108"/>
      <c r="BK614" s="108"/>
      <c r="BL614" s="108"/>
      <c r="BM614" s="109"/>
      <c r="BN614" s="108"/>
      <c r="BO614" s="108"/>
      <c r="BP614" s="108"/>
    </row>
    <row r="615" spans="1:68" ht="12" customHeight="1" x14ac:dyDescent="0.2">
      <c r="A615" s="179"/>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c r="AA615" s="108"/>
      <c r="AB615" s="108"/>
      <c r="AC615" s="108"/>
      <c r="AD615" s="108"/>
      <c r="AE615" s="108"/>
      <c r="AF615" s="108"/>
      <c r="AG615" s="108"/>
      <c r="AH615" s="108"/>
      <c r="AI615" s="108"/>
      <c r="AJ615" s="108"/>
      <c r="AK615" s="108"/>
      <c r="AL615" s="108"/>
      <c r="AM615" s="108"/>
      <c r="AN615" s="108"/>
      <c r="AO615" s="108"/>
      <c r="AP615" s="108"/>
      <c r="AQ615" s="108"/>
      <c r="AR615" s="108"/>
      <c r="AS615" s="108"/>
      <c r="AT615" s="108"/>
      <c r="AU615" s="108"/>
      <c r="AV615" s="108"/>
      <c r="AW615" s="108"/>
      <c r="AX615" s="108"/>
      <c r="AY615" s="108"/>
      <c r="AZ615" s="108"/>
      <c r="BA615" s="108"/>
      <c r="BB615" s="108"/>
      <c r="BC615" s="108"/>
      <c r="BD615" s="108"/>
      <c r="BE615" s="108"/>
      <c r="BF615" s="108"/>
      <c r="BG615" s="108"/>
      <c r="BH615" s="108"/>
      <c r="BI615" s="108"/>
      <c r="BJ615" s="108"/>
      <c r="BK615" s="108"/>
      <c r="BL615" s="108"/>
      <c r="BM615" s="109"/>
      <c r="BN615" s="108"/>
      <c r="BO615" s="108"/>
      <c r="BP615" s="108"/>
    </row>
    <row r="616" spans="1:68" ht="12" customHeight="1" x14ac:dyDescent="0.2">
      <c r="A616" s="179"/>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c r="AA616" s="108"/>
      <c r="AB616" s="108"/>
      <c r="AC616" s="108"/>
      <c r="AD616" s="108"/>
      <c r="AE616" s="108"/>
      <c r="AF616" s="108"/>
      <c r="AG616" s="108"/>
      <c r="AH616" s="108"/>
      <c r="AI616" s="108"/>
      <c r="AJ616" s="108"/>
      <c r="AK616" s="108"/>
      <c r="AL616" s="108"/>
      <c r="AM616" s="108"/>
      <c r="AN616" s="108"/>
      <c r="AO616" s="108"/>
      <c r="AP616" s="108"/>
      <c r="AQ616" s="108"/>
      <c r="AR616" s="108"/>
      <c r="AS616" s="108"/>
      <c r="AT616" s="108"/>
      <c r="AU616" s="108"/>
      <c r="AV616" s="108"/>
      <c r="AW616" s="108"/>
      <c r="AX616" s="108"/>
      <c r="AY616" s="108"/>
      <c r="AZ616" s="108"/>
      <c r="BA616" s="108"/>
      <c r="BB616" s="108"/>
      <c r="BC616" s="108"/>
      <c r="BD616" s="108"/>
      <c r="BE616" s="108"/>
      <c r="BF616" s="108"/>
      <c r="BG616" s="108"/>
      <c r="BH616" s="108"/>
      <c r="BI616" s="108"/>
      <c r="BJ616" s="108"/>
      <c r="BK616" s="108"/>
      <c r="BL616" s="108"/>
      <c r="BM616" s="109"/>
      <c r="BN616" s="108"/>
      <c r="BO616" s="108"/>
      <c r="BP616" s="108"/>
    </row>
    <row r="617" spans="1:68" ht="12" customHeight="1" x14ac:dyDescent="0.2">
      <c r="A617" s="179"/>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c r="AA617" s="108"/>
      <c r="AB617" s="108"/>
      <c r="AC617" s="108"/>
      <c r="AD617" s="108"/>
      <c r="AE617" s="108"/>
      <c r="AF617" s="108"/>
      <c r="AG617" s="108"/>
      <c r="AH617" s="108"/>
      <c r="AI617" s="108"/>
      <c r="AJ617" s="108"/>
      <c r="AK617" s="108"/>
      <c r="AL617" s="108"/>
      <c r="AM617" s="108"/>
      <c r="AN617" s="108"/>
      <c r="AO617" s="108"/>
      <c r="AP617" s="108"/>
      <c r="AQ617" s="108"/>
      <c r="AR617" s="108"/>
      <c r="AS617" s="108"/>
      <c r="AT617" s="108"/>
      <c r="AU617" s="108"/>
      <c r="AV617" s="108"/>
      <c r="AW617" s="108"/>
      <c r="AX617" s="108"/>
      <c r="AY617" s="108"/>
      <c r="AZ617" s="108"/>
      <c r="BA617" s="108"/>
      <c r="BB617" s="108"/>
      <c r="BC617" s="108"/>
      <c r="BD617" s="108"/>
      <c r="BE617" s="108"/>
      <c r="BF617" s="108"/>
      <c r="BG617" s="108"/>
      <c r="BH617" s="108"/>
      <c r="BI617" s="108"/>
      <c r="BJ617" s="108"/>
      <c r="BK617" s="108"/>
      <c r="BL617" s="108"/>
      <c r="BM617" s="109"/>
      <c r="BN617" s="108"/>
      <c r="BO617" s="108"/>
      <c r="BP617" s="108"/>
    </row>
    <row r="618" spans="1:68" ht="12" customHeight="1" x14ac:dyDescent="0.2">
      <c r="A618" s="179"/>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c r="AA618" s="108"/>
      <c r="AB618" s="108"/>
      <c r="AC618" s="108"/>
      <c r="AD618" s="108"/>
      <c r="AE618" s="108"/>
      <c r="AF618" s="108"/>
      <c r="AG618" s="108"/>
      <c r="AH618" s="108"/>
      <c r="AI618" s="108"/>
      <c r="AJ618" s="108"/>
      <c r="AK618" s="108"/>
      <c r="AL618" s="108"/>
      <c r="AM618" s="108"/>
      <c r="AN618" s="108"/>
      <c r="AO618" s="108"/>
      <c r="AP618" s="108"/>
      <c r="AQ618" s="108"/>
      <c r="AR618" s="108"/>
      <c r="AS618" s="108"/>
      <c r="AT618" s="108"/>
      <c r="AU618" s="108"/>
      <c r="AV618" s="108"/>
      <c r="AW618" s="108"/>
      <c r="AX618" s="108"/>
      <c r="AY618" s="108"/>
      <c r="AZ618" s="108"/>
      <c r="BA618" s="108"/>
      <c r="BB618" s="108"/>
      <c r="BC618" s="108"/>
      <c r="BD618" s="108"/>
      <c r="BE618" s="108"/>
      <c r="BF618" s="108"/>
      <c r="BG618" s="108"/>
      <c r="BH618" s="108"/>
      <c r="BI618" s="108"/>
      <c r="BJ618" s="108"/>
      <c r="BK618" s="108"/>
      <c r="BL618" s="108"/>
      <c r="BM618" s="109"/>
      <c r="BN618" s="108"/>
      <c r="BO618" s="108"/>
      <c r="BP618" s="108"/>
    </row>
    <row r="619" spans="1:68" ht="12" customHeight="1" x14ac:dyDescent="0.2">
      <c r="A619" s="179"/>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c r="AA619" s="108"/>
      <c r="AB619" s="108"/>
      <c r="AC619" s="108"/>
      <c r="AD619" s="108"/>
      <c r="AE619" s="108"/>
      <c r="AF619" s="108"/>
      <c r="AG619" s="108"/>
      <c r="AH619" s="108"/>
      <c r="AI619" s="108"/>
      <c r="AJ619" s="108"/>
      <c r="AK619" s="108"/>
      <c r="AL619" s="108"/>
      <c r="AM619" s="108"/>
      <c r="AN619" s="108"/>
      <c r="AO619" s="108"/>
      <c r="AP619" s="108"/>
      <c r="AQ619" s="108"/>
      <c r="AR619" s="108"/>
      <c r="AS619" s="108"/>
      <c r="AT619" s="108"/>
      <c r="AU619" s="108"/>
      <c r="AV619" s="108"/>
      <c r="AW619" s="108"/>
      <c r="AX619" s="108"/>
      <c r="AY619" s="108"/>
      <c r="AZ619" s="108"/>
      <c r="BA619" s="108"/>
      <c r="BB619" s="108"/>
      <c r="BC619" s="108"/>
      <c r="BD619" s="108"/>
      <c r="BE619" s="108"/>
      <c r="BF619" s="108"/>
      <c r="BG619" s="108"/>
      <c r="BH619" s="108"/>
      <c r="BI619" s="108"/>
      <c r="BJ619" s="108"/>
      <c r="BK619" s="108"/>
      <c r="BL619" s="108"/>
      <c r="BM619" s="109"/>
      <c r="BN619" s="108"/>
      <c r="BO619" s="108"/>
      <c r="BP619" s="108"/>
    </row>
    <row r="620" spans="1:68" ht="12" customHeight="1" x14ac:dyDescent="0.2">
      <c r="A620" s="179"/>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c r="AA620" s="108"/>
      <c r="AB620" s="108"/>
      <c r="AC620" s="108"/>
      <c r="AD620" s="108"/>
      <c r="AE620" s="108"/>
      <c r="AF620" s="108"/>
      <c r="AG620" s="108"/>
      <c r="AH620" s="108"/>
      <c r="AI620" s="108"/>
      <c r="AJ620" s="108"/>
      <c r="AK620" s="108"/>
      <c r="AL620" s="108"/>
      <c r="AM620" s="108"/>
      <c r="AN620" s="108"/>
      <c r="AO620" s="108"/>
      <c r="AP620" s="108"/>
      <c r="AQ620" s="108"/>
      <c r="AR620" s="108"/>
      <c r="AS620" s="108"/>
      <c r="AT620" s="108"/>
      <c r="AU620" s="108"/>
      <c r="AV620" s="108"/>
      <c r="AW620" s="108"/>
      <c r="AX620" s="108"/>
      <c r="AY620" s="108"/>
      <c r="AZ620" s="108"/>
      <c r="BA620" s="108"/>
      <c r="BB620" s="108"/>
      <c r="BC620" s="108"/>
      <c r="BD620" s="108"/>
      <c r="BE620" s="108"/>
      <c r="BF620" s="108"/>
      <c r="BG620" s="108"/>
      <c r="BH620" s="108"/>
      <c r="BI620" s="108"/>
      <c r="BJ620" s="108"/>
      <c r="BK620" s="108"/>
      <c r="BL620" s="108"/>
      <c r="BM620" s="109"/>
      <c r="BN620" s="108"/>
      <c r="BO620" s="108"/>
      <c r="BP620" s="108"/>
    </row>
    <row r="621" spans="1:68" ht="12" customHeight="1" x14ac:dyDescent="0.2">
      <c r="A621" s="179"/>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c r="AA621" s="108"/>
      <c r="AB621" s="108"/>
      <c r="AC621" s="108"/>
      <c r="AD621" s="108"/>
      <c r="AE621" s="108"/>
      <c r="AF621" s="108"/>
      <c r="AG621" s="108"/>
      <c r="AH621" s="108"/>
      <c r="AI621" s="108"/>
      <c r="AJ621" s="108"/>
      <c r="AK621" s="108"/>
      <c r="AL621" s="108"/>
      <c r="AM621" s="108"/>
      <c r="AN621" s="108"/>
      <c r="AO621" s="108"/>
      <c r="AP621" s="108"/>
      <c r="AQ621" s="108"/>
      <c r="AR621" s="108"/>
      <c r="AS621" s="108"/>
      <c r="AT621" s="108"/>
      <c r="AU621" s="108"/>
      <c r="AV621" s="108"/>
      <c r="AW621" s="108"/>
      <c r="AX621" s="108"/>
      <c r="AY621" s="108"/>
      <c r="AZ621" s="108"/>
      <c r="BA621" s="108"/>
      <c r="BB621" s="108"/>
      <c r="BC621" s="108"/>
      <c r="BD621" s="108"/>
      <c r="BE621" s="108"/>
      <c r="BF621" s="108"/>
      <c r="BG621" s="108"/>
      <c r="BH621" s="108"/>
      <c r="BI621" s="108"/>
      <c r="BJ621" s="108"/>
      <c r="BK621" s="108"/>
      <c r="BL621" s="108"/>
      <c r="BM621" s="109"/>
      <c r="BN621" s="108"/>
      <c r="BO621" s="108"/>
      <c r="BP621" s="108"/>
    </row>
    <row r="622" spans="1:68" ht="12" customHeight="1" x14ac:dyDescent="0.2">
      <c r="A622" s="179"/>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c r="AA622" s="108"/>
      <c r="AB622" s="108"/>
      <c r="AC622" s="108"/>
      <c r="AD622" s="108"/>
      <c r="AE622" s="108"/>
      <c r="AF622" s="108"/>
      <c r="AG622" s="108"/>
      <c r="AH622" s="108"/>
      <c r="AI622" s="108"/>
      <c r="AJ622" s="108"/>
      <c r="AK622" s="108"/>
      <c r="AL622" s="108"/>
      <c r="AM622" s="108"/>
      <c r="AN622" s="108"/>
      <c r="AO622" s="108"/>
      <c r="AP622" s="108"/>
      <c r="AQ622" s="108"/>
      <c r="AR622" s="108"/>
      <c r="AS622" s="108"/>
      <c r="AT622" s="108"/>
      <c r="AU622" s="108"/>
      <c r="AV622" s="108"/>
      <c r="AW622" s="108"/>
      <c r="AX622" s="108"/>
      <c r="AY622" s="108"/>
      <c r="AZ622" s="108"/>
      <c r="BA622" s="108"/>
      <c r="BB622" s="108"/>
      <c r="BC622" s="108"/>
      <c r="BD622" s="108"/>
      <c r="BE622" s="108"/>
      <c r="BF622" s="108"/>
      <c r="BG622" s="108"/>
      <c r="BH622" s="108"/>
      <c r="BI622" s="108"/>
      <c r="BJ622" s="108"/>
      <c r="BK622" s="108"/>
      <c r="BL622" s="108"/>
      <c r="BM622" s="109"/>
      <c r="BN622" s="108"/>
      <c r="BO622" s="108"/>
      <c r="BP622" s="108"/>
    </row>
    <row r="623" spans="1:68" ht="12" customHeight="1" x14ac:dyDescent="0.2">
      <c r="A623" s="179"/>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c r="AA623" s="108"/>
      <c r="AB623" s="108"/>
      <c r="AC623" s="108"/>
      <c r="AD623" s="108"/>
      <c r="AE623" s="108"/>
      <c r="AF623" s="108"/>
      <c r="AG623" s="108"/>
      <c r="AH623" s="108"/>
      <c r="AI623" s="108"/>
      <c r="AJ623" s="108"/>
      <c r="AK623" s="108"/>
      <c r="AL623" s="108"/>
      <c r="AM623" s="108"/>
      <c r="AN623" s="108"/>
      <c r="AO623" s="108"/>
      <c r="AP623" s="108"/>
      <c r="AQ623" s="108"/>
      <c r="AR623" s="108"/>
      <c r="AS623" s="108"/>
      <c r="AT623" s="108"/>
      <c r="AU623" s="108"/>
      <c r="AV623" s="108"/>
      <c r="AW623" s="108"/>
      <c r="AX623" s="108"/>
      <c r="AY623" s="108"/>
      <c r="AZ623" s="108"/>
      <c r="BA623" s="108"/>
      <c r="BB623" s="108"/>
      <c r="BC623" s="108"/>
      <c r="BD623" s="108"/>
      <c r="BE623" s="108"/>
      <c r="BF623" s="108"/>
      <c r="BG623" s="108"/>
      <c r="BH623" s="108"/>
      <c r="BI623" s="108"/>
      <c r="BJ623" s="108"/>
      <c r="BK623" s="108"/>
      <c r="BL623" s="108"/>
      <c r="BM623" s="109"/>
      <c r="BN623" s="108"/>
      <c r="BO623" s="108"/>
      <c r="BP623" s="108"/>
    </row>
    <row r="624" spans="1:68" ht="12" customHeight="1" x14ac:dyDescent="0.2">
      <c r="A624" s="179"/>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c r="AA624" s="108"/>
      <c r="AB624" s="108"/>
      <c r="AC624" s="108"/>
      <c r="AD624" s="108"/>
      <c r="AE624" s="108"/>
      <c r="AF624" s="108"/>
      <c r="AG624" s="108"/>
      <c r="AH624" s="108"/>
      <c r="AI624" s="108"/>
      <c r="AJ624" s="108"/>
      <c r="AK624" s="108"/>
      <c r="AL624" s="108"/>
      <c r="AM624" s="108"/>
      <c r="AN624" s="108"/>
      <c r="AO624" s="108"/>
      <c r="AP624" s="108"/>
      <c r="AQ624" s="108"/>
      <c r="AR624" s="108"/>
      <c r="AS624" s="108"/>
      <c r="AT624" s="108"/>
      <c r="AU624" s="108"/>
      <c r="AV624" s="108"/>
      <c r="AW624" s="108"/>
      <c r="AX624" s="108"/>
      <c r="AY624" s="108"/>
      <c r="AZ624" s="108"/>
      <c r="BA624" s="108"/>
      <c r="BB624" s="108"/>
      <c r="BC624" s="108"/>
      <c r="BD624" s="108"/>
      <c r="BE624" s="108"/>
      <c r="BF624" s="108"/>
      <c r="BG624" s="108"/>
      <c r="BH624" s="108"/>
      <c r="BI624" s="108"/>
      <c r="BJ624" s="108"/>
      <c r="BK624" s="108"/>
      <c r="BL624" s="108"/>
      <c r="BM624" s="109"/>
      <c r="BN624" s="108"/>
      <c r="BO624" s="108"/>
      <c r="BP624" s="108"/>
    </row>
    <row r="625" spans="1:68" ht="12" customHeight="1" x14ac:dyDescent="0.2">
      <c r="A625" s="179"/>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c r="AA625" s="108"/>
      <c r="AB625" s="108"/>
      <c r="AC625" s="108"/>
      <c r="AD625" s="108"/>
      <c r="AE625" s="108"/>
      <c r="AF625" s="108"/>
      <c r="AG625" s="108"/>
      <c r="AH625" s="108"/>
      <c r="AI625" s="108"/>
      <c r="AJ625" s="108"/>
      <c r="AK625" s="108"/>
      <c r="AL625" s="108"/>
      <c r="AM625" s="108"/>
      <c r="AN625" s="108"/>
      <c r="AO625" s="108"/>
      <c r="AP625" s="108"/>
      <c r="AQ625" s="108"/>
      <c r="AR625" s="108"/>
      <c r="AS625" s="108"/>
      <c r="AT625" s="108"/>
      <c r="AU625" s="108"/>
      <c r="AV625" s="108"/>
      <c r="AW625" s="108"/>
      <c r="AX625" s="108"/>
      <c r="AY625" s="108"/>
      <c r="AZ625" s="108"/>
      <c r="BA625" s="108"/>
      <c r="BB625" s="108"/>
      <c r="BC625" s="108"/>
      <c r="BD625" s="108"/>
      <c r="BE625" s="108"/>
      <c r="BF625" s="108"/>
      <c r="BG625" s="108"/>
      <c r="BH625" s="108"/>
      <c r="BI625" s="108"/>
      <c r="BJ625" s="108"/>
      <c r="BK625" s="108"/>
      <c r="BL625" s="108"/>
      <c r="BM625" s="109"/>
      <c r="BN625" s="108"/>
      <c r="BO625" s="108"/>
      <c r="BP625" s="108"/>
    </row>
    <row r="626" spans="1:68" ht="12" customHeight="1" x14ac:dyDescent="0.2">
      <c r="A626" s="179"/>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c r="AA626" s="108"/>
      <c r="AB626" s="108"/>
      <c r="AC626" s="108"/>
      <c r="AD626" s="108"/>
      <c r="AE626" s="108"/>
      <c r="AF626" s="108"/>
      <c r="AG626" s="108"/>
      <c r="AH626" s="108"/>
      <c r="AI626" s="108"/>
      <c r="AJ626" s="108"/>
      <c r="AK626" s="108"/>
      <c r="AL626" s="108"/>
      <c r="AM626" s="108"/>
      <c r="AN626" s="108"/>
      <c r="AO626" s="108"/>
      <c r="AP626" s="108"/>
      <c r="AQ626" s="108"/>
      <c r="AR626" s="108"/>
      <c r="AS626" s="108"/>
      <c r="AT626" s="108"/>
      <c r="AU626" s="108"/>
      <c r="AV626" s="108"/>
      <c r="AW626" s="108"/>
      <c r="AX626" s="108"/>
      <c r="AY626" s="108"/>
      <c r="AZ626" s="108"/>
      <c r="BA626" s="108"/>
      <c r="BB626" s="108"/>
      <c r="BC626" s="108"/>
      <c r="BD626" s="108"/>
      <c r="BE626" s="108"/>
      <c r="BF626" s="108"/>
      <c r="BG626" s="108"/>
      <c r="BH626" s="108"/>
      <c r="BI626" s="108"/>
      <c r="BJ626" s="108"/>
      <c r="BK626" s="108"/>
      <c r="BL626" s="108"/>
      <c r="BM626" s="109"/>
      <c r="BN626" s="108"/>
      <c r="BO626" s="108"/>
      <c r="BP626" s="108"/>
    </row>
    <row r="627" spans="1:68" ht="12" customHeight="1" x14ac:dyDescent="0.2">
      <c r="A627" s="179"/>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c r="AA627" s="108"/>
      <c r="AB627" s="108"/>
      <c r="AC627" s="108"/>
      <c r="AD627" s="108"/>
      <c r="AE627" s="108"/>
      <c r="AF627" s="108"/>
      <c r="AG627" s="108"/>
      <c r="AH627" s="108"/>
      <c r="AI627" s="108"/>
      <c r="AJ627" s="108"/>
      <c r="AK627" s="108"/>
      <c r="AL627" s="108"/>
      <c r="AM627" s="108"/>
      <c r="AN627" s="108"/>
      <c r="AO627" s="108"/>
      <c r="AP627" s="108"/>
      <c r="AQ627" s="108"/>
      <c r="AR627" s="108"/>
      <c r="AS627" s="108"/>
      <c r="AT627" s="108"/>
      <c r="AU627" s="108"/>
      <c r="AV627" s="108"/>
      <c r="AW627" s="108"/>
      <c r="AX627" s="108"/>
      <c r="AY627" s="108"/>
      <c r="AZ627" s="108"/>
      <c r="BA627" s="108"/>
      <c r="BB627" s="108"/>
      <c r="BC627" s="108"/>
      <c r="BD627" s="108"/>
      <c r="BE627" s="108"/>
      <c r="BF627" s="108"/>
      <c r="BG627" s="108"/>
      <c r="BH627" s="108"/>
      <c r="BI627" s="108"/>
      <c r="BJ627" s="108"/>
      <c r="BK627" s="108"/>
      <c r="BL627" s="108"/>
      <c r="BM627" s="109"/>
      <c r="BN627" s="108"/>
      <c r="BO627" s="108"/>
      <c r="BP627" s="108"/>
    </row>
    <row r="628" spans="1:68" ht="12" customHeight="1" x14ac:dyDescent="0.2">
      <c r="A628" s="179"/>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c r="AA628" s="108"/>
      <c r="AB628" s="108"/>
      <c r="AC628" s="108"/>
      <c r="AD628" s="108"/>
      <c r="AE628" s="108"/>
      <c r="AF628" s="108"/>
      <c r="AG628" s="108"/>
      <c r="AH628" s="108"/>
      <c r="AI628" s="108"/>
      <c r="AJ628" s="108"/>
      <c r="AK628" s="108"/>
      <c r="AL628" s="108"/>
      <c r="AM628" s="108"/>
      <c r="AN628" s="108"/>
      <c r="AO628" s="108"/>
      <c r="AP628" s="108"/>
      <c r="AQ628" s="108"/>
      <c r="AR628" s="108"/>
      <c r="AS628" s="108"/>
      <c r="AT628" s="108"/>
      <c r="AU628" s="108"/>
      <c r="AV628" s="108"/>
      <c r="AW628" s="108"/>
      <c r="AX628" s="108"/>
      <c r="AY628" s="108"/>
      <c r="AZ628" s="108"/>
      <c r="BA628" s="108"/>
      <c r="BB628" s="108"/>
      <c r="BC628" s="108"/>
      <c r="BD628" s="108"/>
      <c r="BE628" s="108"/>
      <c r="BF628" s="108"/>
      <c r="BG628" s="108"/>
      <c r="BH628" s="108"/>
      <c r="BI628" s="108"/>
      <c r="BJ628" s="108"/>
      <c r="BK628" s="108"/>
      <c r="BL628" s="108"/>
      <c r="BM628" s="109"/>
      <c r="BN628" s="108"/>
      <c r="BO628" s="108"/>
      <c r="BP628" s="108"/>
    </row>
    <row r="629" spans="1:68" ht="12" customHeight="1" x14ac:dyDescent="0.2">
      <c r="A629" s="179"/>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c r="AA629" s="108"/>
      <c r="AB629" s="108"/>
      <c r="AC629" s="108"/>
      <c r="AD629" s="108"/>
      <c r="AE629" s="108"/>
      <c r="AF629" s="108"/>
      <c r="AG629" s="108"/>
      <c r="AH629" s="108"/>
      <c r="AI629" s="108"/>
      <c r="AJ629" s="108"/>
      <c r="AK629" s="108"/>
      <c r="AL629" s="108"/>
      <c r="AM629" s="108"/>
      <c r="AN629" s="108"/>
      <c r="AO629" s="108"/>
      <c r="AP629" s="108"/>
      <c r="AQ629" s="108"/>
      <c r="AR629" s="108"/>
      <c r="AS629" s="108"/>
      <c r="AT629" s="108"/>
      <c r="AU629" s="108"/>
      <c r="AV629" s="108"/>
      <c r="AW629" s="108"/>
      <c r="AX629" s="108"/>
      <c r="AY629" s="108"/>
      <c r="AZ629" s="108"/>
      <c r="BA629" s="108"/>
      <c r="BB629" s="108"/>
      <c r="BC629" s="108"/>
      <c r="BD629" s="108"/>
      <c r="BE629" s="108"/>
      <c r="BF629" s="108"/>
      <c r="BG629" s="108"/>
      <c r="BH629" s="108"/>
      <c r="BI629" s="108"/>
      <c r="BJ629" s="108"/>
      <c r="BK629" s="108"/>
      <c r="BL629" s="108"/>
      <c r="BM629" s="109"/>
      <c r="BN629" s="108"/>
      <c r="BO629" s="108"/>
      <c r="BP629" s="108"/>
    </row>
    <row r="630" spans="1:68" ht="12" customHeight="1" x14ac:dyDescent="0.2">
      <c r="A630" s="179"/>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c r="AA630" s="108"/>
      <c r="AB630" s="108"/>
      <c r="AC630" s="108"/>
      <c r="AD630" s="108"/>
      <c r="AE630" s="108"/>
      <c r="AF630" s="108"/>
      <c r="AG630" s="108"/>
      <c r="AH630" s="108"/>
      <c r="AI630" s="108"/>
      <c r="AJ630" s="108"/>
      <c r="AK630" s="108"/>
      <c r="AL630" s="108"/>
      <c r="AM630" s="108"/>
      <c r="AN630" s="108"/>
      <c r="AO630" s="108"/>
      <c r="AP630" s="108"/>
      <c r="AQ630" s="108"/>
      <c r="AR630" s="108"/>
      <c r="AS630" s="108"/>
      <c r="AT630" s="108"/>
      <c r="AU630" s="108"/>
      <c r="AV630" s="108"/>
      <c r="AW630" s="108"/>
      <c r="AX630" s="108"/>
      <c r="AY630" s="108"/>
      <c r="AZ630" s="108"/>
      <c r="BA630" s="108"/>
      <c r="BB630" s="108"/>
      <c r="BC630" s="108"/>
      <c r="BD630" s="108"/>
      <c r="BE630" s="108"/>
      <c r="BF630" s="108"/>
      <c r="BG630" s="108"/>
      <c r="BH630" s="108"/>
      <c r="BI630" s="108"/>
      <c r="BJ630" s="108"/>
      <c r="BK630" s="108"/>
      <c r="BL630" s="108"/>
      <c r="BM630" s="109"/>
      <c r="BN630" s="108"/>
      <c r="BO630" s="108"/>
      <c r="BP630" s="108"/>
    </row>
    <row r="631" spans="1:68" ht="12" customHeight="1" x14ac:dyDescent="0.2">
      <c r="A631" s="179"/>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c r="AA631" s="108"/>
      <c r="AB631" s="108"/>
      <c r="AC631" s="108"/>
      <c r="AD631" s="108"/>
      <c r="AE631" s="108"/>
      <c r="AF631" s="108"/>
      <c r="AG631" s="108"/>
      <c r="AH631" s="108"/>
      <c r="AI631" s="108"/>
      <c r="AJ631" s="108"/>
      <c r="AK631" s="108"/>
      <c r="AL631" s="108"/>
      <c r="AM631" s="108"/>
      <c r="AN631" s="108"/>
      <c r="AO631" s="108"/>
      <c r="AP631" s="108"/>
      <c r="AQ631" s="108"/>
      <c r="AR631" s="108"/>
      <c r="AS631" s="108"/>
      <c r="AT631" s="108"/>
      <c r="AU631" s="108"/>
      <c r="AV631" s="108"/>
      <c r="AW631" s="108"/>
      <c r="AX631" s="108"/>
      <c r="AY631" s="108"/>
      <c r="AZ631" s="108"/>
      <c r="BA631" s="108"/>
      <c r="BB631" s="108"/>
      <c r="BC631" s="108"/>
      <c r="BD631" s="108"/>
      <c r="BE631" s="108"/>
      <c r="BF631" s="108"/>
      <c r="BG631" s="108"/>
      <c r="BH631" s="108"/>
      <c r="BI631" s="108"/>
      <c r="BJ631" s="108"/>
      <c r="BK631" s="108"/>
      <c r="BL631" s="108"/>
      <c r="BM631" s="109"/>
      <c r="BN631" s="108"/>
      <c r="BO631" s="108"/>
      <c r="BP631" s="108"/>
    </row>
    <row r="632" spans="1:68" ht="12" customHeight="1" x14ac:dyDescent="0.2">
      <c r="A632" s="179"/>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c r="AA632" s="108"/>
      <c r="AB632" s="108"/>
      <c r="AC632" s="108"/>
      <c r="AD632" s="108"/>
      <c r="AE632" s="108"/>
      <c r="AF632" s="108"/>
      <c r="AG632" s="108"/>
      <c r="AH632" s="108"/>
      <c r="AI632" s="108"/>
      <c r="AJ632" s="108"/>
      <c r="AK632" s="108"/>
      <c r="AL632" s="108"/>
      <c r="AM632" s="108"/>
      <c r="AN632" s="108"/>
      <c r="AO632" s="108"/>
      <c r="AP632" s="108"/>
      <c r="AQ632" s="108"/>
      <c r="AR632" s="108"/>
      <c r="AS632" s="108"/>
      <c r="AT632" s="108"/>
      <c r="AU632" s="108"/>
      <c r="AV632" s="108"/>
      <c r="AW632" s="108"/>
      <c r="AX632" s="108"/>
      <c r="AY632" s="108"/>
      <c r="AZ632" s="108"/>
      <c r="BA632" s="108"/>
      <c r="BB632" s="108"/>
      <c r="BC632" s="108"/>
      <c r="BD632" s="108"/>
      <c r="BE632" s="108"/>
      <c r="BF632" s="108"/>
      <c r="BG632" s="108"/>
      <c r="BH632" s="108"/>
      <c r="BI632" s="108"/>
      <c r="BJ632" s="108"/>
      <c r="BK632" s="108"/>
      <c r="BL632" s="108"/>
      <c r="BM632" s="109"/>
      <c r="BN632" s="108"/>
      <c r="BO632" s="108"/>
      <c r="BP632" s="108"/>
    </row>
    <row r="633" spans="1:68" ht="12" customHeight="1" x14ac:dyDescent="0.2">
      <c r="A633" s="179"/>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c r="AA633" s="108"/>
      <c r="AB633" s="108"/>
      <c r="AC633" s="108"/>
      <c r="AD633" s="108"/>
      <c r="AE633" s="108"/>
      <c r="AF633" s="108"/>
      <c r="AG633" s="108"/>
      <c r="AH633" s="108"/>
      <c r="AI633" s="108"/>
      <c r="AJ633" s="108"/>
      <c r="AK633" s="108"/>
      <c r="AL633" s="108"/>
      <c r="AM633" s="108"/>
      <c r="AN633" s="108"/>
      <c r="AO633" s="108"/>
      <c r="AP633" s="108"/>
      <c r="AQ633" s="108"/>
      <c r="AR633" s="108"/>
      <c r="AS633" s="108"/>
      <c r="AT633" s="108"/>
      <c r="AU633" s="108"/>
      <c r="AV633" s="108"/>
      <c r="AW633" s="108"/>
      <c r="AX633" s="108"/>
      <c r="AY633" s="108"/>
      <c r="AZ633" s="108"/>
      <c r="BA633" s="108"/>
      <c r="BB633" s="108"/>
      <c r="BC633" s="108"/>
      <c r="BD633" s="108"/>
      <c r="BE633" s="108"/>
      <c r="BF633" s="108"/>
      <c r="BG633" s="108"/>
      <c r="BH633" s="108"/>
      <c r="BI633" s="108"/>
      <c r="BJ633" s="108"/>
      <c r="BK633" s="108"/>
      <c r="BL633" s="108"/>
      <c r="BM633" s="109"/>
      <c r="BN633" s="108"/>
      <c r="BO633" s="108"/>
      <c r="BP633" s="108"/>
    </row>
    <row r="634" spans="1:68" ht="12" customHeight="1" x14ac:dyDescent="0.2">
      <c r="A634" s="179"/>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c r="AA634" s="108"/>
      <c r="AB634" s="108"/>
      <c r="AC634" s="108"/>
      <c r="AD634" s="108"/>
      <c r="AE634" s="108"/>
      <c r="AF634" s="108"/>
      <c r="AG634" s="108"/>
      <c r="AH634" s="108"/>
      <c r="AI634" s="108"/>
      <c r="AJ634" s="108"/>
      <c r="AK634" s="108"/>
      <c r="AL634" s="108"/>
      <c r="AM634" s="108"/>
      <c r="AN634" s="108"/>
      <c r="AO634" s="108"/>
      <c r="AP634" s="108"/>
      <c r="AQ634" s="108"/>
      <c r="AR634" s="108"/>
      <c r="AS634" s="108"/>
      <c r="AT634" s="108"/>
      <c r="AU634" s="108"/>
      <c r="AV634" s="108"/>
      <c r="AW634" s="108"/>
      <c r="AX634" s="108"/>
      <c r="AY634" s="108"/>
      <c r="AZ634" s="108"/>
      <c r="BA634" s="108"/>
      <c r="BB634" s="108"/>
      <c r="BC634" s="108"/>
      <c r="BD634" s="108"/>
      <c r="BE634" s="108"/>
      <c r="BF634" s="108"/>
      <c r="BG634" s="108"/>
      <c r="BH634" s="108"/>
      <c r="BI634" s="108"/>
      <c r="BJ634" s="108"/>
      <c r="BK634" s="108"/>
      <c r="BL634" s="108"/>
      <c r="BM634" s="109"/>
      <c r="BN634" s="108"/>
      <c r="BO634" s="108"/>
      <c r="BP634" s="108"/>
    </row>
    <row r="635" spans="1:68" ht="12" customHeight="1" x14ac:dyDescent="0.2">
      <c r="A635" s="179"/>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c r="AA635" s="108"/>
      <c r="AB635" s="108"/>
      <c r="AC635" s="108"/>
      <c r="AD635" s="108"/>
      <c r="AE635" s="108"/>
      <c r="AF635" s="108"/>
      <c r="AG635" s="108"/>
      <c r="AH635" s="108"/>
      <c r="AI635" s="108"/>
      <c r="AJ635" s="108"/>
      <c r="AK635" s="108"/>
      <c r="AL635" s="108"/>
      <c r="AM635" s="108"/>
      <c r="AN635" s="108"/>
      <c r="AO635" s="108"/>
      <c r="AP635" s="108"/>
      <c r="AQ635" s="108"/>
      <c r="AR635" s="108"/>
      <c r="AS635" s="108"/>
      <c r="AT635" s="108"/>
      <c r="AU635" s="108"/>
      <c r="AV635" s="108"/>
      <c r="AW635" s="108"/>
      <c r="AX635" s="108"/>
      <c r="AY635" s="108"/>
      <c r="AZ635" s="108"/>
      <c r="BA635" s="108"/>
      <c r="BB635" s="108"/>
      <c r="BC635" s="108"/>
      <c r="BD635" s="108"/>
      <c r="BE635" s="108"/>
      <c r="BF635" s="108"/>
      <c r="BG635" s="108"/>
      <c r="BH635" s="108"/>
      <c r="BI635" s="108"/>
      <c r="BJ635" s="108"/>
      <c r="BK635" s="108"/>
      <c r="BL635" s="108"/>
      <c r="BM635" s="109"/>
      <c r="BN635" s="108"/>
      <c r="BO635" s="108"/>
      <c r="BP635" s="108"/>
    </row>
    <row r="636" spans="1:68" ht="12" customHeight="1" x14ac:dyDescent="0.2">
      <c r="A636" s="179"/>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c r="AA636" s="108"/>
      <c r="AB636" s="108"/>
      <c r="AC636" s="108"/>
      <c r="AD636" s="108"/>
      <c r="AE636" s="108"/>
      <c r="AF636" s="108"/>
      <c r="AG636" s="108"/>
      <c r="AH636" s="108"/>
      <c r="AI636" s="108"/>
      <c r="AJ636" s="108"/>
      <c r="AK636" s="108"/>
      <c r="AL636" s="108"/>
      <c r="AM636" s="108"/>
      <c r="AN636" s="108"/>
      <c r="AO636" s="108"/>
      <c r="AP636" s="108"/>
      <c r="AQ636" s="108"/>
      <c r="AR636" s="108"/>
      <c r="AS636" s="108"/>
      <c r="AT636" s="108"/>
      <c r="AU636" s="108"/>
      <c r="AV636" s="108"/>
      <c r="AW636" s="108"/>
      <c r="AX636" s="108"/>
      <c r="AY636" s="108"/>
      <c r="AZ636" s="108"/>
      <c r="BA636" s="108"/>
      <c r="BB636" s="108"/>
      <c r="BC636" s="108"/>
      <c r="BD636" s="108"/>
      <c r="BE636" s="108"/>
      <c r="BF636" s="108"/>
      <c r="BG636" s="108"/>
      <c r="BH636" s="108"/>
      <c r="BI636" s="108"/>
      <c r="BJ636" s="108"/>
      <c r="BK636" s="108"/>
      <c r="BL636" s="108"/>
      <c r="BM636" s="109"/>
      <c r="BN636" s="108"/>
      <c r="BO636" s="108"/>
      <c r="BP636" s="108"/>
    </row>
    <row r="637" spans="1:68" ht="12" customHeight="1" x14ac:dyDescent="0.2">
      <c r="A637" s="179"/>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c r="AA637" s="108"/>
      <c r="AB637" s="108"/>
      <c r="AC637" s="108"/>
      <c r="AD637" s="108"/>
      <c r="AE637" s="108"/>
      <c r="AF637" s="108"/>
      <c r="AG637" s="108"/>
      <c r="AH637" s="108"/>
      <c r="AI637" s="108"/>
      <c r="AJ637" s="108"/>
      <c r="AK637" s="108"/>
      <c r="AL637" s="108"/>
      <c r="AM637" s="108"/>
      <c r="AN637" s="108"/>
      <c r="AO637" s="108"/>
      <c r="AP637" s="108"/>
      <c r="AQ637" s="108"/>
      <c r="AR637" s="108"/>
      <c r="AS637" s="108"/>
      <c r="AT637" s="108"/>
      <c r="AU637" s="108"/>
      <c r="AV637" s="108"/>
      <c r="AW637" s="108"/>
      <c r="AX637" s="108"/>
      <c r="AY637" s="108"/>
      <c r="AZ637" s="108"/>
      <c r="BA637" s="108"/>
      <c r="BB637" s="108"/>
      <c r="BC637" s="108"/>
      <c r="BD637" s="108"/>
      <c r="BE637" s="108"/>
      <c r="BF637" s="108"/>
      <c r="BG637" s="108"/>
      <c r="BH637" s="108"/>
      <c r="BI637" s="108"/>
      <c r="BJ637" s="108"/>
      <c r="BK637" s="108"/>
      <c r="BL637" s="108"/>
      <c r="BM637" s="109"/>
      <c r="BN637" s="108"/>
      <c r="BO637" s="108"/>
      <c r="BP637" s="108"/>
    </row>
    <row r="638" spans="1:68" ht="12" customHeight="1" x14ac:dyDescent="0.2">
      <c r="A638" s="179"/>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c r="AA638" s="108"/>
      <c r="AB638" s="108"/>
      <c r="AC638" s="108"/>
      <c r="AD638" s="108"/>
      <c r="AE638" s="108"/>
      <c r="AF638" s="108"/>
      <c r="AG638" s="108"/>
      <c r="AH638" s="108"/>
      <c r="AI638" s="108"/>
      <c r="AJ638" s="108"/>
      <c r="AK638" s="108"/>
      <c r="AL638" s="108"/>
      <c r="AM638" s="108"/>
      <c r="AN638" s="108"/>
      <c r="AO638" s="108"/>
      <c r="AP638" s="108"/>
      <c r="AQ638" s="108"/>
      <c r="AR638" s="108"/>
      <c r="AS638" s="108"/>
      <c r="AT638" s="108"/>
      <c r="AU638" s="108"/>
      <c r="AV638" s="108"/>
      <c r="AW638" s="108"/>
      <c r="AX638" s="108"/>
      <c r="AY638" s="108"/>
      <c r="AZ638" s="108"/>
      <c r="BA638" s="108"/>
      <c r="BB638" s="108"/>
      <c r="BC638" s="108"/>
      <c r="BD638" s="108"/>
      <c r="BE638" s="108"/>
      <c r="BF638" s="108"/>
      <c r="BG638" s="108"/>
      <c r="BH638" s="108"/>
      <c r="BI638" s="108"/>
      <c r="BJ638" s="108"/>
      <c r="BK638" s="108"/>
      <c r="BL638" s="108"/>
      <c r="BM638" s="109"/>
      <c r="BN638" s="108"/>
      <c r="BO638" s="108"/>
      <c r="BP638" s="108"/>
    </row>
    <row r="639" spans="1:68" ht="12" customHeight="1" x14ac:dyDescent="0.2">
      <c r="A639" s="179"/>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c r="AA639" s="108"/>
      <c r="AB639" s="108"/>
      <c r="AC639" s="108"/>
      <c r="AD639" s="108"/>
      <c r="AE639" s="108"/>
      <c r="AF639" s="108"/>
      <c r="AG639" s="108"/>
      <c r="AH639" s="108"/>
      <c r="AI639" s="108"/>
      <c r="AJ639" s="108"/>
      <c r="AK639" s="108"/>
      <c r="AL639" s="108"/>
      <c r="AM639" s="108"/>
      <c r="AN639" s="108"/>
      <c r="AO639" s="108"/>
      <c r="AP639" s="108"/>
      <c r="AQ639" s="108"/>
      <c r="AR639" s="108"/>
      <c r="AS639" s="108"/>
      <c r="AT639" s="108"/>
      <c r="AU639" s="108"/>
      <c r="AV639" s="108"/>
      <c r="AW639" s="108"/>
      <c r="AX639" s="108"/>
      <c r="AY639" s="108"/>
      <c r="AZ639" s="108"/>
      <c r="BA639" s="108"/>
      <c r="BB639" s="108"/>
      <c r="BC639" s="108"/>
      <c r="BD639" s="108"/>
      <c r="BE639" s="108"/>
      <c r="BF639" s="108"/>
      <c r="BG639" s="108"/>
      <c r="BH639" s="108"/>
      <c r="BI639" s="108"/>
      <c r="BJ639" s="108"/>
      <c r="BK639" s="108"/>
      <c r="BL639" s="108"/>
      <c r="BM639" s="109"/>
      <c r="BN639" s="108"/>
      <c r="BO639" s="108"/>
      <c r="BP639" s="108"/>
    </row>
    <row r="640" spans="1:68" ht="12" customHeight="1" x14ac:dyDescent="0.2">
      <c r="A640" s="179"/>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c r="AA640" s="108"/>
      <c r="AB640" s="108"/>
      <c r="AC640" s="108"/>
      <c r="AD640" s="108"/>
      <c r="AE640" s="108"/>
      <c r="AF640" s="108"/>
      <c r="AG640" s="108"/>
      <c r="AH640" s="108"/>
      <c r="AI640" s="108"/>
      <c r="AJ640" s="108"/>
      <c r="AK640" s="108"/>
      <c r="AL640" s="108"/>
      <c r="AM640" s="108"/>
      <c r="AN640" s="108"/>
      <c r="AO640" s="108"/>
      <c r="AP640" s="108"/>
      <c r="AQ640" s="108"/>
      <c r="AR640" s="108"/>
      <c r="AS640" s="108"/>
      <c r="AT640" s="108"/>
      <c r="AU640" s="108"/>
      <c r="AV640" s="108"/>
      <c r="AW640" s="108"/>
      <c r="AX640" s="108"/>
      <c r="AY640" s="108"/>
      <c r="AZ640" s="108"/>
      <c r="BA640" s="108"/>
      <c r="BB640" s="108"/>
      <c r="BC640" s="108"/>
      <c r="BD640" s="108"/>
      <c r="BE640" s="108"/>
      <c r="BF640" s="108"/>
      <c r="BG640" s="108"/>
      <c r="BH640" s="108"/>
      <c r="BI640" s="108"/>
      <c r="BJ640" s="108"/>
      <c r="BK640" s="108"/>
      <c r="BL640" s="108"/>
      <c r="BM640" s="109"/>
      <c r="BN640" s="108"/>
      <c r="BO640" s="108"/>
      <c r="BP640" s="108"/>
    </row>
    <row r="641" spans="1:68" ht="12" customHeight="1" x14ac:dyDescent="0.2">
      <c r="A641" s="179"/>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c r="AA641" s="108"/>
      <c r="AB641" s="108"/>
      <c r="AC641" s="108"/>
      <c r="AD641" s="108"/>
      <c r="AE641" s="108"/>
      <c r="AF641" s="108"/>
      <c r="AG641" s="108"/>
      <c r="AH641" s="108"/>
      <c r="AI641" s="108"/>
      <c r="AJ641" s="108"/>
      <c r="AK641" s="108"/>
      <c r="AL641" s="108"/>
      <c r="AM641" s="108"/>
      <c r="AN641" s="108"/>
      <c r="AO641" s="108"/>
      <c r="AP641" s="108"/>
      <c r="AQ641" s="108"/>
      <c r="AR641" s="108"/>
      <c r="AS641" s="108"/>
      <c r="AT641" s="108"/>
      <c r="AU641" s="108"/>
      <c r="AV641" s="108"/>
      <c r="AW641" s="108"/>
      <c r="AX641" s="108"/>
      <c r="AY641" s="108"/>
      <c r="AZ641" s="108"/>
      <c r="BA641" s="108"/>
      <c r="BB641" s="108"/>
      <c r="BC641" s="108"/>
      <c r="BD641" s="108"/>
      <c r="BE641" s="108"/>
      <c r="BF641" s="108"/>
      <c r="BG641" s="108"/>
      <c r="BH641" s="108"/>
      <c r="BI641" s="108"/>
      <c r="BJ641" s="108"/>
      <c r="BK641" s="108"/>
      <c r="BL641" s="108"/>
      <c r="BM641" s="109"/>
      <c r="BN641" s="108"/>
      <c r="BO641" s="108"/>
      <c r="BP641" s="108"/>
    </row>
    <row r="642" spans="1:68" ht="12" customHeight="1" x14ac:dyDescent="0.2">
      <c r="A642" s="179"/>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c r="AA642" s="108"/>
      <c r="AB642" s="108"/>
      <c r="AC642" s="108"/>
      <c r="AD642" s="108"/>
      <c r="AE642" s="108"/>
      <c r="AF642" s="108"/>
      <c r="AG642" s="108"/>
      <c r="AH642" s="108"/>
      <c r="AI642" s="108"/>
      <c r="AJ642" s="108"/>
      <c r="AK642" s="108"/>
      <c r="AL642" s="108"/>
      <c r="AM642" s="108"/>
      <c r="AN642" s="108"/>
      <c r="AO642" s="108"/>
      <c r="AP642" s="108"/>
      <c r="AQ642" s="108"/>
      <c r="AR642" s="108"/>
      <c r="AS642" s="108"/>
      <c r="AT642" s="108"/>
      <c r="AU642" s="108"/>
      <c r="AV642" s="108"/>
      <c r="AW642" s="108"/>
      <c r="AX642" s="108"/>
      <c r="AY642" s="108"/>
      <c r="AZ642" s="108"/>
      <c r="BA642" s="108"/>
      <c r="BB642" s="108"/>
      <c r="BC642" s="108"/>
      <c r="BD642" s="108"/>
      <c r="BE642" s="108"/>
      <c r="BF642" s="108"/>
      <c r="BG642" s="108"/>
      <c r="BH642" s="108"/>
      <c r="BI642" s="108"/>
      <c r="BJ642" s="108"/>
      <c r="BK642" s="108"/>
      <c r="BL642" s="108"/>
      <c r="BM642" s="109"/>
      <c r="BN642" s="108"/>
      <c r="BO642" s="108"/>
      <c r="BP642" s="108"/>
    </row>
    <row r="643" spans="1:68" ht="12" customHeight="1" x14ac:dyDescent="0.2">
      <c r="A643" s="179"/>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c r="AA643" s="108"/>
      <c r="AB643" s="108"/>
      <c r="AC643" s="108"/>
      <c r="AD643" s="108"/>
      <c r="AE643" s="108"/>
      <c r="AF643" s="108"/>
      <c r="AG643" s="108"/>
      <c r="AH643" s="108"/>
      <c r="AI643" s="108"/>
      <c r="AJ643" s="108"/>
      <c r="AK643" s="108"/>
      <c r="AL643" s="108"/>
      <c r="AM643" s="108"/>
      <c r="AN643" s="108"/>
      <c r="AO643" s="108"/>
      <c r="AP643" s="108"/>
      <c r="AQ643" s="108"/>
      <c r="AR643" s="108"/>
      <c r="AS643" s="108"/>
      <c r="AT643" s="108"/>
      <c r="AU643" s="108"/>
      <c r="AV643" s="108"/>
      <c r="AW643" s="108"/>
      <c r="AX643" s="108"/>
      <c r="AY643" s="108"/>
      <c r="AZ643" s="108"/>
      <c r="BA643" s="108"/>
      <c r="BB643" s="108"/>
      <c r="BC643" s="108"/>
      <c r="BD643" s="108"/>
      <c r="BE643" s="108"/>
      <c r="BF643" s="108"/>
      <c r="BG643" s="108"/>
      <c r="BH643" s="108"/>
      <c r="BI643" s="108"/>
      <c r="BJ643" s="108"/>
      <c r="BK643" s="108"/>
      <c r="BL643" s="108"/>
      <c r="BM643" s="109"/>
      <c r="BN643" s="108"/>
      <c r="BO643" s="108"/>
      <c r="BP643" s="108"/>
    </row>
    <row r="644" spans="1:68" ht="12" customHeight="1" x14ac:dyDescent="0.2">
      <c r="A644" s="179"/>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c r="AA644" s="108"/>
      <c r="AB644" s="108"/>
      <c r="AC644" s="108"/>
      <c r="AD644" s="108"/>
      <c r="AE644" s="108"/>
      <c r="AF644" s="108"/>
      <c r="AG644" s="108"/>
      <c r="AH644" s="108"/>
      <c r="AI644" s="108"/>
      <c r="AJ644" s="108"/>
      <c r="AK644" s="108"/>
      <c r="AL644" s="108"/>
      <c r="AM644" s="108"/>
      <c r="AN644" s="108"/>
      <c r="AO644" s="108"/>
      <c r="AP644" s="108"/>
      <c r="AQ644" s="108"/>
      <c r="AR644" s="108"/>
      <c r="AS644" s="108"/>
      <c r="AT644" s="108"/>
      <c r="AU644" s="108"/>
      <c r="AV644" s="108"/>
      <c r="AW644" s="108"/>
      <c r="AX644" s="108"/>
      <c r="AY644" s="108"/>
      <c r="AZ644" s="108"/>
      <c r="BA644" s="108"/>
      <c r="BB644" s="108"/>
      <c r="BC644" s="108"/>
      <c r="BD644" s="108"/>
      <c r="BE644" s="108"/>
      <c r="BF644" s="108"/>
      <c r="BG644" s="108"/>
      <c r="BH644" s="108"/>
      <c r="BI644" s="108"/>
      <c r="BJ644" s="108"/>
      <c r="BK644" s="108"/>
      <c r="BL644" s="108"/>
      <c r="BM644" s="109"/>
      <c r="BN644" s="108"/>
      <c r="BO644" s="108"/>
      <c r="BP644" s="108"/>
    </row>
    <row r="645" spans="1:68" ht="12" customHeight="1" x14ac:dyDescent="0.2">
      <c r="A645" s="179"/>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c r="AA645" s="108"/>
      <c r="AB645" s="108"/>
      <c r="AC645" s="108"/>
      <c r="AD645" s="108"/>
      <c r="AE645" s="108"/>
      <c r="AF645" s="108"/>
      <c r="AG645" s="108"/>
      <c r="AH645" s="108"/>
      <c r="AI645" s="108"/>
      <c r="AJ645" s="108"/>
      <c r="AK645" s="108"/>
      <c r="AL645" s="108"/>
      <c r="AM645" s="108"/>
      <c r="AN645" s="108"/>
      <c r="AO645" s="108"/>
      <c r="AP645" s="108"/>
      <c r="AQ645" s="108"/>
      <c r="AR645" s="108"/>
      <c r="AS645" s="108"/>
      <c r="AT645" s="108"/>
      <c r="AU645" s="108"/>
      <c r="AV645" s="108"/>
      <c r="AW645" s="108"/>
      <c r="AX645" s="108"/>
      <c r="AY645" s="108"/>
      <c r="AZ645" s="108"/>
      <c r="BA645" s="108"/>
      <c r="BB645" s="108"/>
      <c r="BC645" s="108"/>
      <c r="BD645" s="108"/>
      <c r="BE645" s="108"/>
      <c r="BF645" s="108"/>
      <c r="BG645" s="108"/>
      <c r="BH645" s="108"/>
      <c r="BI645" s="108"/>
      <c r="BJ645" s="108"/>
      <c r="BK645" s="108"/>
      <c r="BL645" s="108"/>
      <c r="BM645" s="109"/>
      <c r="BN645" s="108"/>
      <c r="BO645" s="108"/>
      <c r="BP645" s="108"/>
    </row>
    <row r="646" spans="1:68" ht="12" customHeight="1" x14ac:dyDescent="0.2">
      <c r="A646" s="179"/>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c r="AA646" s="108"/>
      <c r="AB646" s="108"/>
      <c r="AC646" s="108"/>
      <c r="AD646" s="108"/>
      <c r="AE646" s="108"/>
      <c r="AF646" s="108"/>
      <c r="AG646" s="108"/>
      <c r="AH646" s="108"/>
      <c r="AI646" s="108"/>
      <c r="AJ646" s="108"/>
      <c r="AK646" s="108"/>
      <c r="AL646" s="108"/>
      <c r="AM646" s="108"/>
      <c r="AN646" s="108"/>
      <c r="AO646" s="108"/>
      <c r="AP646" s="108"/>
      <c r="AQ646" s="108"/>
      <c r="AR646" s="108"/>
      <c r="AS646" s="108"/>
      <c r="AT646" s="108"/>
      <c r="AU646" s="108"/>
      <c r="AV646" s="108"/>
      <c r="AW646" s="108"/>
      <c r="AX646" s="108"/>
      <c r="AY646" s="108"/>
      <c r="AZ646" s="108"/>
      <c r="BA646" s="108"/>
      <c r="BB646" s="108"/>
      <c r="BC646" s="108"/>
      <c r="BD646" s="108"/>
      <c r="BE646" s="108"/>
      <c r="BF646" s="108"/>
      <c r="BG646" s="108"/>
      <c r="BH646" s="108"/>
      <c r="BI646" s="108"/>
      <c r="BJ646" s="108"/>
      <c r="BK646" s="108"/>
      <c r="BL646" s="108"/>
      <c r="BM646" s="109"/>
      <c r="BN646" s="108"/>
      <c r="BO646" s="108"/>
      <c r="BP646" s="108"/>
    </row>
    <row r="647" spans="1:68" ht="12" customHeight="1" x14ac:dyDescent="0.2">
      <c r="A647" s="179"/>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c r="AA647" s="108"/>
      <c r="AB647" s="108"/>
      <c r="AC647" s="108"/>
      <c r="AD647" s="108"/>
      <c r="AE647" s="108"/>
      <c r="AF647" s="108"/>
      <c r="AG647" s="108"/>
      <c r="AH647" s="108"/>
      <c r="AI647" s="108"/>
      <c r="AJ647" s="108"/>
      <c r="AK647" s="108"/>
      <c r="AL647" s="108"/>
      <c r="AM647" s="108"/>
      <c r="AN647" s="108"/>
      <c r="AO647" s="108"/>
      <c r="AP647" s="108"/>
      <c r="AQ647" s="108"/>
      <c r="AR647" s="108"/>
      <c r="AS647" s="108"/>
      <c r="AT647" s="108"/>
      <c r="AU647" s="108"/>
      <c r="AV647" s="108"/>
      <c r="AW647" s="108"/>
      <c r="AX647" s="108"/>
      <c r="AY647" s="108"/>
      <c r="AZ647" s="108"/>
      <c r="BA647" s="108"/>
      <c r="BB647" s="108"/>
      <c r="BC647" s="108"/>
      <c r="BD647" s="108"/>
      <c r="BE647" s="108"/>
      <c r="BF647" s="108"/>
      <c r="BG647" s="108"/>
      <c r="BH647" s="108"/>
      <c r="BI647" s="108"/>
      <c r="BJ647" s="108"/>
      <c r="BK647" s="108"/>
      <c r="BL647" s="108"/>
      <c r="BM647" s="109"/>
      <c r="BN647" s="108"/>
      <c r="BO647" s="108"/>
      <c r="BP647" s="108"/>
    </row>
    <row r="648" spans="1:68" ht="12" customHeight="1" x14ac:dyDescent="0.2">
      <c r="A648" s="179"/>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c r="AA648" s="108"/>
      <c r="AB648" s="108"/>
      <c r="AC648" s="108"/>
      <c r="AD648" s="108"/>
      <c r="AE648" s="108"/>
      <c r="AF648" s="108"/>
      <c r="AG648" s="108"/>
      <c r="AH648" s="108"/>
      <c r="AI648" s="108"/>
      <c r="AJ648" s="108"/>
      <c r="AK648" s="108"/>
      <c r="AL648" s="108"/>
      <c r="AM648" s="108"/>
      <c r="AN648" s="108"/>
      <c r="AO648" s="108"/>
      <c r="AP648" s="108"/>
      <c r="AQ648" s="108"/>
      <c r="AR648" s="108"/>
      <c r="AS648" s="108"/>
      <c r="AT648" s="108"/>
      <c r="AU648" s="108"/>
      <c r="AV648" s="108"/>
      <c r="AW648" s="108"/>
      <c r="AX648" s="108"/>
      <c r="AY648" s="108"/>
      <c r="AZ648" s="108"/>
      <c r="BA648" s="108"/>
      <c r="BB648" s="108"/>
      <c r="BC648" s="108"/>
      <c r="BD648" s="108"/>
      <c r="BE648" s="108"/>
      <c r="BF648" s="108"/>
      <c r="BG648" s="108"/>
      <c r="BH648" s="108"/>
      <c r="BI648" s="108"/>
      <c r="BJ648" s="108"/>
      <c r="BK648" s="108"/>
      <c r="BL648" s="108"/>
      <c r="BM648" s="109"/>
      <c r="BN648" s="108"/>
      <c r="BO648" s="108"/>
      <c r="BP648" s="108"/>
    </row>
    <row r="649" spans="1:68" ht="12" customHeight="1" x14ac:dyDescent="0.2">
      <c r="A649" s="179"/>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c r="AA649" s="108"/>
      <c r="AB649" s="108"/>
      <c r="AC649" s="108"/>
      <c r="AD649" s="108"/>
      <c r="AE649" s="108"/>
      <c r="AF649" s="108"/>
      <c r="AG649" s="108"/>
      <c r="AH649" s="108"/>
      <c r="AI649" s="108"/>
      <c r="AJ649" s="108"/>
      <c r="AK649" s="108"/>
      <c r="AL649" s="108"/>
      <c r="AM649" s="108"/>
      <c r="AN649" s="108"/>
      <c r="AO649" s="108"/>
      <c r="AP649" s="108"/>
      <c r="AQ649" s="108"/>
      <c r="AR649" s="108"/>
      <c r="AS649" s="108"/>
      <c r="AT649" s="108"/>
      <c r="AU649" s="108"/>
      <c r="AV649" s="108"/>
      <c r="AW649" s="108"/>
      <c r="AX649" s="108"/>
      <c r="AY649" s="108"/>
      <c r="AZ649" s="108"/>
      <c r="BA649" s="108"/>
      <c r="BB649" s="108"/>
      <c r="BC649" s="108"/>
      <c r="BD649" s="108"/>
      <c r="BE649" s="108"/>
      <c r="BF649" s="108"/>
      <c r="BG649" s="108"/>
      <c r="BH649" s="108"/>
      <c r="BI649" s="108"/>
      <c r="BJ649" s="108"/>
      <c r="BK649" s="108"/>
      <c r="BL649" s="108"/>
      <c r="BM649" s="109"/>
      <c r="BN649" s="108"/>
      <c r="BO649" s="108"/>
      <c r="BP649" s="108"/>
    </row>
    <row r="650" spans="1:68" ht="12" customHeight="1" x14ac:dyDescent="0.2">
      <c r="A650" s="179"/>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c r="AA650" s="108"/>
      <c r="AB650" s="108"/>
      <c r="AC650" s="108"/>
      <c r="AD650" s="108"/>
      <c r="AE650" s="108"/>
      <c r="AF650" s="108"/>
      <c r="AG650" s="108"/>
      <c r="AH650" s="108"/>
      <c r="AI650" s="108"/>
      <c r="AJ650" s="108"/>
      <c r="AK650" s="108"/>
      <c r="AL650" s="108"/>
      <c r="AM650" s="108"/>
      <c r="AN650" s="108"/>
      <c r="AO650" s="108"/>
      <c r="AP650" s="108"/>
      <c r="AQ650" s="108"/>
      <c r="AR650" s="108"/>
      <c r="AS650" s="108"/>
      <c r="AT650" s="108"/>
      <c r="AU650" s="108"/>
      <c r="AV650" s="108"/>
      <c r="AW650" s="108"/>
      <c r="AX650" s="108"/>
      <c r="AY650" s="108"/>
      <c r="AZ650" s="108"/>
      <c r="BA650" s="108"/>
      <c r="BB650" s="108"/>
      <c r="BC650" s="108"/>
      <c r="BD650" s="108"/>
      <c r="BE650" s="108"/>
      <c r="BF650" s="108"/>
      <c r="BG650" s="108"/>
      <c r="BH650" s="108"/>
      <c r="BI650" s="108"/>
      <c r="BJ650" s="108"/>
      <c r="BK650" s="108"/>
      <c r="BL650" s="108"/>
      <c r="BM650" s="109"/>
      <c r="BN650" s="108"/>
      <c r="BO650" s="108"/>
      <c r="BP650" s="108"/>
    </row>
    <row r="651" spans="1:68" ht="12" customHeight="1" x14ac:dyDescent="0.2">
      <c r="A651" s="179"/>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c r="AA651" s="108"/>
      <c r="AB651" s="108"/>
      <c r="AC651" s="108"/>
      <c r="AD651" s="108"/>
      <c r="AE651" s="108"/>
      <c r="AF651" s="108"/>
      <c r="AG651" s="108"/>
      <c r="AH651" s="108"/>
      <c r="AI651" s="108"/>
      <c r="AJ651" s="108"/>
      <c r="AK651" s="108"/>
      <c r="AL651" s="108"/>
      <c r="AM651" s="108"/>
      <c r="AN651" s="108"/>
      <c r="AO651" s="108"/>
      <c r="AP651" s="108"/>
      <c r="AQ651" s="108"/>
      <c r="AR651" s="108"/>
      <c r="AS651" s="108"/>
      <c r="AT651" s="108"/>
      <c r="AU651" s="108"/>
      <c r="AV651" s="108"/>
      <c r="AW651" s="108"/>
      <c r="AX651" s="108"/>
      <c r="AY651" s="108"/>
      <c r="AZ651" s="108"/>
      <c r="BA651" s="108"/>
      <c r="BB651" s="108"/>
      <c r="BC651" s="108"/>
      <c r="BD651" s="108"/>
      <c r="BE651" s="108"/>
      <c r="BF651" s="108"/>
      <c r="BG651" s="108"/>
      <c r="BH651" s="108"/>
      <c r="BI651" s="108"/>
      <c r="BJ651" s="108"/>
      <c r="BK651" s="108"/>
      <c r="BL651" s="108"/>
      <c r="BM651" s="109"/>
      <c r="BN651" s="108"/>
      <c r="BO651" s="108"/>
      <c r="BP651" s="108"/>
    </row>
    <row r="652" spans="1:68" ht="12" customHeight="1" x14ac:dyDescent="0.2">
      <c r="A652" s="179"/>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c r="AA652" s="108"/>
      <c r="AB652" s="108"/>
      <c r="AC652" s="108"/>
      <c r="AD652" s="108"/>
      <c r="AE652" s="108"/>
      <c r="AF652" s="108"/>
      <c r="AG652" s="108"/>
      <c r="AH652" s="108"/>
      <c r="AI652" s="108"/>
      <c r="AJ652" s="108"/>
      <c r="AK652" s="108"/>
      <c r="AL652" s="108"/>
      <c r="AM652" s="108"/>
      <c r="AN652" s="108"/>
      <c r="AO652" s="108"/>
      <c r="AP652" s="108"/>
      <c r="AQ652" s="108"/>
      <c r="AR652" s="108"/>
      <c r="AS652" s="108"/>
      <c r="AT652" s="108"/>
      <c r="AU652" s="108"/>
      <c r="AV652" s="108"/>
      <c r="AW652" s="108"/>
      <c r="AX652" s="108"/>
      <c r="AY652" s="108"/>
      <c r="AZ652" s="108"/>
      <c r="BA652" s="108"/>
      <c r="BB652" s="108"/>
      <c r="BC652" s="108"/>
      <c r="BD652" s="108"/>
      <c r="BE652" s="108"/>
      <c r="BF652" s="108"/>
      <c r="BG652" s="108"/>
      <c r="BH652" s="108"/>
      <c r="BI652" s="108"/>
      <c r="BJ652" s="108"/>
      <c r="BK652" s="108"/>
      <c r="BL652" s="108"/>
      <c r="BM652" s="109"/>
      <c r="BN652" s="108"/>
      <c r="BO652" s="108"/>
      <c r="BP652" s="108"/>
    </row>
    <row r="653" spans="1:68" ht="12" customHeight="1" x14ac:dyDescent="0.2">
      <c r="A653" s="179"/>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c r="AA653" s="108"/>
      <c r="AB653" s="108"/>
      <c r="AC653" s="108"/>
      <c r="AD653" s="108"/>
      <c r="AE653" s="108"/>
      <c r="AF653" s="108"/>
      <c r="AG653" s="108"/>
      <c r="AH653" s="108"/>
      <c r="AI653" s="108"/>
      <c r="AJ653" s="108"/>
      <c r="AK653" s="108"/>
      <c r="AL653" s="108"/>
      <c r="AM653" s="108"/>
      <c r="AN653" s="108"/>
      <c r="AO653" s="108"/>
      <c r="AP653" s="108"/>
      <c r="AQ653" s="108"/>
      <c r="AR653" s="108"/>
      <c r="AS653" s="108"/>
      <c r="AT653" s="108"/>
      <c r="AU653" s="108"/>
      <c r="AV653" s="108"/>
      <c r="AW653" s="108"/>
      <c r="AX653" s="108"/>
      <c r="AY653" s="108"/>
      <c r="AZ653" s="108"/>
      <c r="BA653" s="108"/>
      <c r="BB653" s="108"/>
      <c r="BC653" s="108"/>
      <c r="BD653" s="108"/>
      <c r="BE653" s="108"/>
      <c r="BF653" s="108"/>
      <c r="BG653" s="108"/>
      <c r="BH653" s="108"/>
      <c r="BI653" s="108"/>
      <c r="BJ653" s="108"/>
      <c r="BK653" s="108"/>
      <c r="BL653" s="108"/>
      <c r="BM653" s="109"/>
      <c r="BN653" s="108"/>
      <c r="BO653" s="108"/>
      <c r="BP653" s="108"/>
    </row>
    <row r="654" spans="1:68" ht="12" customHeight="1" x14ac:dyDescent="0.2">
      <c r="A654" s="179"/>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c r="AA654" s="108"/>
      <c r="AB654" s="108"/>
      <c r="AC654" s="108"/>
      <c r="AD654" s="108"/>
      <c r="AE654" s="108"/>
      <c r="AF654" s="108"/>
      <c r="AG654" s="108"/>
      <c r="AH654" s="108"/>
      <c r="AI654" s="108"/>
      <c r="AJ654" s="108"/>
      <c r="AK654" s="108"/>
      <c r="AL654" s="108"/>
      <c r="AM654" s="108"/>
      <c r="AN654" s="108"/>
      <c r="AO654" s="108"/>
      <c r="AP654" s="108"/>
      <c r="AQ654" s="108"/>
      <c r="AR654" s="108"/>
      <c r="AS654" s="108"/>
      <c r="AT654" s="108"/>
      <c r="AU654" s="108"/>
      <c r="AV654" s="108"/>
      <c r="AW654" s="108"/>
      <c r="AX654" s="108"/>
      <c r="AY654" s="108"/>
      <c r="AZ654" s="108"/>
      <c r="BA654" s="108"/>
      <c r="BB654" s="108"/>
      <c r="BC654" s="108"/>
      <c r="BD654" s="108"/>
      <c r="BE654" s="108"/>
      <c r="BF654" s="108"/>
      <c r="BG654" s="108"/>
      <c r="BH654" s="108"/>
      <c r="BI654" s="108"/>
      <c r="BJ654" s="108"/>
      <c r="BK654" s="108"/>
      <c r="BL654" s="108"/>
      <c r="BM654" s="109"/>
      <c r="BN654" s="108"/>
      <c r="BO654" s="108"/>
      <c r="BP654" s="108"/>
    </row>
    <row r="655" spans="1:68" ht="12" customHeight="1" x14ac:dyDescent="0.2">
      <c r="A655" s="179"/>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c r="AA655" s="108"/>
      <c r="AB655" s="108"/>
      <c r="AC655" s="108"/>
      <c r="AD655" s="108"/>
      <c r="AE655" s="108"/>
      <c r="AF655" s="108"/>
      <c r="AG655" s="108"/>
      <c r="AH655" s="108"/>
      <c r="AI655" s="108"/>
      <c r="AJ655" s="108"/>
      <c r="AK655" s="108"/>
      <c r="AL655" s="108"/>
      <c r="AM655" s="108"/>
      <c r="AN655" s="108"/>
      <c r="AO655" s="108"/>
      <c r="AP655" s="108"/>
      <c r="AQ655" s="108"/>
      <c r="AR655" s="108"/>
      <c r="AS655" s="108"/>
      <c r="AT655" s="108"/>
      <c r="AU655" s="108"/>
      <c r="AV655" s="108"/>
      <c r="AW655" s="108"/>
      <c r="AX655" s="108"/>
      <c r="AY655" s="108"/>
      <c r="AZ655" s="108"/>
      <c r="BA655" s="108"/>
      <c r="BB655" s="108"/>
      <c r="BC655" s="108"/>
      <c r="BD655" s="108"/>
      <c r="BE655" s="108"/>
      <c r="BF655" s="108"/>
      <c r="BG655" s="108"/>
      <c r="BH655" s="108"/>
      <c r="BI655" s="108"/>
      <c r="BJ655" s="108"/>
      <c r="BK655" s="108"/>
      <c r="BL655" s="108"/>
      <c r="BM655" s="109"/>
      <c r="BN655" s="108"/>
      <c r="BO655" s="108"/>
      <c r="BP655" s="108"/>
    </row>
    <row r="656" spans="1:68" ht="12" customHeight="1" x14ac:dyDescent="0.2">
      <c r="A656" s="179"/>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c r="AA656" s="108"/>
      <c r="AB656" s="108"/>
      <c r="AC656" s="108"/>
      <c r="AD656" s="108"/>
      <c r="AE656" s="108"/>
      <c r="AF656" s="108"/>
      <c r="AG656" s="108"/>
      <c r="AH656" s="108"/>
      <c r="AI656" s="108"/>
      <c r="AJ656" s="108"/>
      <c r="AK656" s="108"/>
      <c r="AL656" s="108"/>
      <c r="AM656" s="108"/>
      <c r="AN656" s="108"/>
      <c r="AO656" s="108"/>
      <c r="AP656" s="108"/>
      <c r="AQ656" s="108"/>
      <c r="AR656" s="108"/>
      <c r="AS656" s="108"/>
      <c r="AT656" s="108"/>
      <c r="AU656" s="108"/>
      <c r="AV656" s="108"/>
      <c r="AW656" s="108"/>
      <c r="AX656" s="108"/>
      <c r="AY656" s="108"/>
      <c r="AZ656" s="108"/>
      <c r="BA656" s="108"/>
      <c r="BB656" s="108"/>
      <c r="BC656" s="108"/>
      <c r="BD656" s="108"/>
      <c r="BE656" s="108"/>
      <c r="BF656" s="108"/>
      <c r="BG656" s="108"/>
      <c r="BH656" s="108"/>
      <c r="BI656" s="108"/>
      <c r="BJ656" s="108"/>
      <c r="BK656" s="108"/>
      <c r="BL656" s="108"/>
      <c r="BM656" s="109"/>
      <c r="BN656" s="108"/>
      <c r="BO656" s="108"/>
      <c r="BP656" s="108"/>
    </row>
    <row r="657" spans="1:68" ht="12" customHeight="1" x14ac:dyDescent="0.2">
      <c r="A657" s="179"/>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c r="AA657" s="108"/>
      <c r="AB657" s="108"/>
      <c r="AC657" s="108"/>
      <c r="AD657" s="108"/>
      <c r="AE657" s="108"/>
      <c r="AF657" s="108"/>
      <c r="AG657" s="108"/>
      <c r="AH657" s="108"/>
      <c r="AI657" s="108"/>
      <c r="AJ657" s="108"/>
      <c r="AK657" s="108"/>
      <c r="AL657" s="108"/>
      <c r="AM657" s="108"/>
      <c r="AN657" s="108"/>
      <c r="AO657" s="108"/>
      <c r="AP657" s="108"/>
      <c r="AQ657" s="108"/>
      <c r="AR657" s="108"/>
      <c r="AS657" s="108"/>
      <c r="AT657" s="108"/>
      <c r="AU657" s="108"/>
      <c r="AV657" s="108"/>
      <c r="AW657" s="108"/>
      <c r="AX657" s="108"/>
      <c r="AY657" s="108"/>
      <c r="AZ657" s="108"/>
      <c r="BA657" s="108"/>
      <c r="BB657" s="108"/>
      <c r="BC657" s="108"/>
      <c r="BD657" s="108"/>
      <c r="BE657" s="108"/>
      <c r="BF657" s="108"/>
      <c r="BG657" s="108"/>
      <c r="BH657" s="108"/>
      <c r="BI657" s="108"/>
      <c r="BJ657" s="108"/>
      <c r="BK657" s="108"/>
      <c r="BL657" s="108"/>
      <c r="BM657" s="109"/>
      <c r="BN657" s="108"/>
      <c r="BO657" s="108"/>
      <c r="BP657" s="108"/>
    </row>
    <row r="658" spans="1:68" ht="12" customHeight="1" x14ac:dyDescent="0.2">
      <c r="A658" s="179"/>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c r="AA658" s="108"/>
      <c r="AB658" s="108"/>
      <c r="AC658" s="108"/>
      <c r="AD658" s="108"/>
      <c r="AE658" s="108"/>
      <c r="AF658" s="108"/>
      <c r="AG658" s="108"/>
      <c r="AH658" s="108"/>
      <c r="AI658" s="108"/>
      <c r="AJ658" s="108"/>
      <c r="AK658" s="108"/>
      <c r="AL658" s="108"/>
      <c r="AM658" s="108"/>
      <c r="AN658" s="108"/>
      <c r="AO658" s="108"/>
      <c r="AP658" s="108"/>
      <c r="AQ658" s="108"/>
      <c r="AR658" s="108"/>
      <c r="AS658" s="108"/>
      <c r="AT658" s="108"/>
      <c r="AU658" s="108"/>
      <c r="AV658" s="108"/>
      <c r="AW658" s="108"/>
      <c r="AX658" s="108"/>
      <c r="AY658" s="108"/>
      <c r="AZ658" s="108"/>
      <c r="BA658" s="108"/>
      <c r="BB658" s="108"/>
      <c r="BC658" s="108"/>
      <c r="BD658" s="108"/>
      <c r="BE658" s="108"/>
      <c r="BF658" s="108"/>
      <c r="BG658" s="108"/>
      <c r="BH658" s="108"/>
      <c r="BI658" s="108"/>
      <c r="BJ658" s="108"/>
      <c r="BK658" s="108"/>
      <c r="BL658" s="108"/>
      <c r="BM658" s="109"/>
      <c r="BN658" s="108"/>
      <c r="BO658" s="108"/>
      <c r="BP658" s="108"/>
    </row>
    <row r="659" spans="1:68" ht="12" customHeight="1" x14ac:dyDescent="0.2">
      <c r="A659" s="179"/>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c r="AA659" s="108"/>
      <c r="AB659" s="108"/>
      <c r="AC659" s="108"/>
      <c r="AD659" s="108"/>
      <c r="AE659" s="108"/>
      <c r="AF659" s="108"/>
      <c r="AG659" s="108"/>
      <c r="AH659" s="108"/>
      <c r="AI659" s="108"/>
      <c r="AJ659" s="108"/>
      <c r="AK659" s="108"/>
      <c r="AL659" s="108"/>
      <c r="AM659" s="108"/>
      <c r="AN659" s="108"/>
      <c r="AO659" s="108"/>
      <c r="AP659" s="108"/>
      <c r="AQ659" s="108"/>
      <c r="AR659" s="108"/>
      <c r="AS659" s="108"/>
      <c r="AT659" s="108"/>
      <c r="AU659" s="108"/>
      <c r="AV659" s="108"/>
      <c r="AW659" s="108"/>
      <c r="AX659" s="108"/>
      <c r="AY659" s="108"/>
      <c r="AZ659" s="108"/>
      <c r="BA659" s="108"/>
      <c r="BB659" s="108"/>
      <c r="BC659" s="108"/>
      <c r="BD659" s="108"/>
      <c r="BE659" s="108"/>
      <c r="BF659" s="108"/>
      <c r="BG659" s="108"/>
      <c r="BH659" s="108"/>
      <c r="BI659" s="108"/>
      <c r="BJ659" s="108"/>
      <c r="BK659" s="108"/>
      <c r="BL659" s="108"/>
      <c r="BM659" s="109"/>
      <c r="BN659" s="108"/>
      <c r="BO659" s="108"/>
      <c r="BP659" s="108"/>
    </row>
    <row r="660" spans="1:68" ht="12" customHeight="1" x14ac:dyDescent="0.2">
      <c r="A660" s="179"/>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c r="AA660" s="108"/>
      <c r="AB660" s="108"/>
      <c r="AC660" s="108"/>
      <c r="AD660" s="108"/>
      <c r="AE660" s="108"/>
      <c r="AF660" s="108"/>
      <c r="AG660" s="108"/>
      <c r="AH660" s="108"/>
      <c r="AI660" s="108"/>
      <c r="AJ660" s="108"/>
      <c r="AK660" s="108"/>
      <c r="AL660" s="108"/>
      <c r="AM660" s="108"/>
      <c r="AN660" s="108"/>
      <c r="AO660" s="108"/>
      <c r="AP660" s="108"/>
      <c r="AQ660" s="108"/>
      <c r="AR660" s="108"/>
      <c r="AS660" s="108"/>
      <c r="AT660" s="108"/>
      <c r="AU660" s="108"/>
      <c r="AV660" s="108"/>
      <c r="AW660" s="108"/>
      <c r="AX660" s="108"/>
      <c r="AY660" s="108"/>
      <c r="AZ660" s="108"/>
      <c r="BA660" s="108"/>
      <c r="BB660" s="108"/>
      <c r="BC660" s="108"/>
      <c r="BD660" s="108"/>
      <c r="BE660" s="108"/>
      <c r="BF660" s="108"/>
      <c r="BG660" s="108"/>
      <c r="BH660" s="108"/>
      <c r="BI660" s="108"/>
      <c r="BJ660" s="108"/>
      <c r="BK660" s="108"/>
      <c r="BL660" s="108"/>
      <c r="BM660" s="109"/>
      <c r="BN660" s="108"/>
      <c r="BO660" s="108"/>
      <c r="BP660" s="108"/>
    </row>
    <row r="661" spans="1:68" ht="12" customHeight="1" x14ac:dyDescent="0.2">
      <c r="A661" s="179"/>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c r="AA661" s="108"/>
      <c r="AB661" s="108"/>
      <c r="AC661" s="108"/>
      <c r="AD661" s="108"/>
      <c r="AE661" s="108"/>
      <c r="AF661" s="108"/>
      <c r="AG661" s="108"/>
      <c r="AH661" s="108"/>
      <c r="AI661" s="108"/>
      <c r="AJ661" s="108"/>
      <c r="AK661" s="108"/>
      <c r="AL661" s="108"/>
      <c r="AM661" s="108"/>
      <c r="AN661" s="108"/>
      <c r="AO661" s="108"/>
      <c r="AP661" s="108"/>
      <c r="AQ661" s="108"/>
      <c r="AR661" s="108"/>
      <c r="AS661" s="108"/>
      <c r="AT661" s="108"/>
      <c r="AU661" s="108"/>
      <c r="AV661" s="108"/>
      <c r="AW661" s="108"/>
      <c r="AX661" s="108"/>
      <c r="AY661" s="108"/>
      <c r="AZ661" s="108"/>
      <c r="BA661" s="108"/>
      <c r="BB661" s="108"/>
      <c r="BC661" s="108"/>
      <c r="BD661" s="108"/>
      <c r="BE661" s="108"/>
      <c r="BF661" s="108"/>
      <c r="BG661" s="108"/>
      <c r="BH661" s="108"/>
      <c r="BI661" s="108"/>
      <c r="BJ661" s="108"/>
      <c r="BK661" s="108"/>
      <c r="BL661" s="108"/>
      <c r="BM661" s="109"/>
      <c r="BN661" s="108"/>
      <c r="BO661" s="108"/>
      <c r="BP661" s="108"/>
    </row>
    <row r="662" spans="1:68" ht="12" customHeight="1" x14ac:dyDescent="0.2">
      <c r="A662" s="179"/>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c r="AA662" s="108"/>
      <c r="AB662" s="108"/>
      <c r="AC662" s="108"/>
      <c r="AD662" s="108"/>
      <c r="AE662" s="108"/>
      <c r="AF662" s="108"/>
      <c r="AG662" s="108"/>
      <c r="AH662" s="108"/>
      <c r="AI662" s="108"/>
      <c r="AJ662" s="108"/>
      <c r="AK662" s="108"/>
      <c r="AL662" s="108"/>
      <c r="AM662" s="108"/>
      <c r="AN662" s="108"/>
      <c r="AO662" s="108"/>
      <c r="AP662" s="108"/>
      <c r="AQ662" s="108"/>
      <c r="AR662" s="108"/>
      <c r="AS662" s="108"/>
      <c r="AT662" s="108"/>
      <c r="AU662" s="108"/>
      <c r="AV662" s="108"/>
      <c r="AW662" s="108"/>
      <c r="AX662" s="108"/>
      <c r="AY662" s="108"/>
      <c r="AZ662" s="108"/>
      <c r="BA662" s="108"/>
      <c r="BB662" s="108"/>
      <c r="BC662" s="108"/>
      <c r="BD662" s="108"/>
      <c r="BE662" s="108"/>
      <c r="BF662" s="108"/>
      <c r="BG662" s="108"/>
      <c r="BH662" s="108"/>
      <c r="BI662" s="108"/>
      <c r="BJ662" s="108"/>
      <c r="BK662" s="108"/>
      <c r="BL662" s="108"/>
      <c r="BM662" s="109"/>
      <c r="BN662" s="108"/>
      <c r="BO662" s="108"/>
      <c r="BP662" s="108"/>
    </row>
    <row r="663" spans="1:68" ht="12" customHeight="1" x14ac:dyDescent="0.2">
      <c r="A663" s="179"/>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c r="AA663" s="108"/>
      <c r="AB663" s="108"/>
      <c r="AC663" s="108"/>
      <c r="AD663" s="108"/>
      <c r="AE663" s="108"/>
      <c r="AF663" s="108"/>
      <c r="AG663" s="108"/>
      <c r="AH663" s="108"/>
      <c r="AI663" s="108"/>
      <c r="AJ663" s="108"/>
      <c r="AK663" s="108"/>
      <c r="AL663" s="108"/>
      <c r="AM663" s="108"/>
      <c r="AN663" s="108"/>
      <c r="AO663" s="108"/>
      <c r="AP663" s="108"/>
      <c r="AQ663" s="108"/>
      <c r="AR663" s="108"/>
      <c r="AS663" s="108"/>
      <c r="AT663" s="108"/>
      <c r="AU663" s="108"/>
      <c r="AV663" s="108"/>
      <c r="AW663" s="108"/>
      <c r="AX663" s="108"/>
      <c r="AY663" s="108"/>
      <c r="AZ663" s="108"/>
      <c r="BA663" s="108"/>
      <c r="BB663" s="108"/>
      <c r="BC663" s="108"/>
      <c r="BD663" s="108"/>
      <c r="BE663" s="108"/>
      <c r="BF663" s="108"/>
      <c r="BG663" s="108"/>
      <c r="BH663" s="108"/>
      <c r="BI663" s="108"/>
      <c r="BJ663" s="108"/>
      <c r="BK663" s="108"/>
      <c r="BL663" s="108"/>
      <c r="BM663" s="109"/>
      <c r="BN663" s="108"/>
      <c r="BO663" s="108"/>
      <c r="BP663" s="108"/>
    </row>
    <row r="664" spans="1:68" ht="12" customHeight="1" x14ac:dyDescent="0.2">
      <c r="A664" s="179"/>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c r="AA664" s="108"/>
      <c r="AB664" s="108"/>
      <c r="AC664" s="108"/>
      <c r="AD664" s="108"/>
      <c r="AE664" s="108"/>
      <c r="AF664" s="108"/>
      <c r="AG664" s="108"/>
      <c r="AH664" s="108"/>
      <c r="AI664" s="108"/>
      <c r="AJ664" s="108"/>
      <c r="AK664" s="108"/>
      <c r="AL664" s="108"/>
      <c r="AM664" s="108"/>
      <c r="AN664" s="108"/>
      <c r="AO664" s="108"/>
      <c r="AP664" s="108"/>
      <c r="AQ664" s="108"/>
      <c r="AR664" s="108"/>
      <c r="AS664" s="108"/>
      <c r="AT664" s="108"/>
      <c r="AU664" s="108"/>
      <c r="AV664" s="108"/>
      <c r="AW664" s="108"/>
      <c r="AX664" s="108"/>
      <c r="AY664" s="108"/>
      <c r="AZ664" s="108"/>
      <c r="BA664" s="108"/>
      <c r="BB664" s="108"/>
      <c r="BC664" s="108"/>
      <c r="BD664" s="108"/>
      <c r="BE664" s="108"/>
      <c r="BF664" s="108"/>
      <c r="BG664" s="108"/>
      <c r="BH664" s="108"/>
      <c r="BI664" s="108"/>
      <c r="BJ664" s="108"/>
      <c r="BK664" s="108"/>
      <c r="BL664" s="108"/>
      <c r="BM664" s="109"/>
      <c r="BN664" s="108"/>
      <c r="BO664" s="108"/>
      <c r="BP664" s="108"/>
    </row>
    <row r="665" spans="1:68" ht="12" customHeight="1" x14ac:dyDescent="0.2">
      <c r="A665" s="179"/>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c r="AA665" s="108"/>
      <c r="AB665" s="108"/>
      <c r="AC665" s="108"/>
      <c r="AD665" s="108"/>
      <c r="AE665" s="108"/>
      <c r="AF665" s="108"/>
      <c r="AG665" s="108"/>
      <c r="AH665" s="108"/>
      <c r="AI665" s="108"/>
      <c r="AJ665" s="108"/>
      <c r="AK665" s="108"/>
      <c r="AL665" s="108"/>
      <c r="AM665" s="108"/>
      <c r="AN665" s="108"/>
      <c r="AO665" s="108"/>
      <c r="AP665" s="108"/>
      <c r="AQ665" s="108"/>
      <c r="AR665" s="108"/>
      <c r="AS665" s="108"/>
      <c r="AT665" s="108"/>
      <c r="AU665" s="108"/>
      <c r="AV665" s="108"/>
      <c r="AW665" s="108"/>
      <c r="AX665" s="108"/>
      <c r="AY665" s="108"/>
      <c r="AZ665" s="108"/>
      <c r="BA665" s="108"/>
      <c r="BB665" s="108"/>
      <c r="BC665" s="108"/>
      <c r="BD665" s="108"/>
      <c r="BE665" s="108"/>
      <c r="BF665" s="108"/>
      <c r="BG665" s="108"/>
      <c r="BH665" s="108"/>
      <c r="BI665" s="108"/>
      <c r="BJ665" s="108"/>
      <c r="BK665" s="108"/>
      <c r="BL665" s="108"/>
      <c r="BM665" s="109"/>
      <c r="BN665" s="108"/>
      <c r="BO665" s="108"/>
      <c r="BP665" s="108"/>
    </row>
    <row r="666" spans="1:68" ht="12" customHeight="1" x14ac:dyDescent="0.2">
      <c r="A666" s="179"/>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c r="AA666" s="108"/>
      <c r="AB666" s="108"/>
      <c r="AC666" s="108"/>
      <c r="AD666" s="108"/>
      <c r="AE666" s="108"/>
      <c r="AF666" s="108"/>
      <c r="AG666" s="108"/>
      <c r="AH666" s="108"/>
      <c r="AI666" s="108"/>
      <c r="AJ666" s="108"/>
      <c r="AK666" s="108"/>
      <c r="AL666" s="108"/>
      <c r="AM666" s="108"/>
      <c r="AN666" s="108"/>
      <c r="AO666" s="108"/>
      <c r="AP666" s="108"/>
      <c r="AQ666" s="108"/>
      <c r="AR666" s="108"/>
      <c r="AS666" s="108"/>
      <c r="AT666" s="108"/>
      <c r="AU666" s="108"/>
      <c r="AV666" s="108"/>
      <c r="AW666" s="108"/>
      <c r="AX666" s="108"/>
      <c r="AY666" s="108"/>
      <c r="AZ666" s="108"/>
      <c r="BA666" s="108"/>
      <c r="BB666" s="108"/>
      <c r="BC666" s="108"/>
      <c r="BD666" s="108"/>
      <c r="BE666" s="108"/>
      <c r="BF666" s="108"/>
      <c r="BG666" s="108"/>
      <c r="BH666" s="108"/>
      <c r="BI666" s="108"/>
      <c r="BJ666" s="108"/>
      <c r="BK666" s="108"/>
      <c r="BL666" s="108"/>
      <c r="BM666" s="109"/>
      <c r="BN666" s="108"/>
      <c r="BO666" s="108"/>
      <c r="BP666" s="108"/>
    </row>
    <row r="667" spans="1:68" ht="12" customHeight="1" x14ac:dyDescent="0.2">
      <c r="A667" s="179"/>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c r="AA667" s="108"/>
      <c r="AB667" s="108"/>
      <c r="AC667" s="108"/>
      <c r="AD667" s="108"/>
      <c r="AE667" s="108"/>
      <c r="AF667" s="108"/>
      <c r="AG667" s="108"/>
      <c r="AH667" s="108"/>
      <c r="AI667" s="108"/>
      <c r="AJ667" s="108"/>
      <c r="AK667" s="108"/>
      <c r="AL667" s="108"/>
      <c r="AM667" s="108"/>
      <c r="AN667" s="108"/>
      <c r="AO667" s="108"/>
      <c r="AP667" s="108"/>
      <c r="AQ667" s="108"/>
      <c r="AR667" s="108"/>
      <c r="AS667" s="108"/>
      <c r="AT667" s="108"/>
      <c r="AU667" s="108"/>
      <c r="AV667" s="108"/>
      <c r="AW667" s="108"/>
      <c r="AX667" s="108"/>
      <c r="AY667" s="108"/>
      <c r="AZ667" s="108"/>
      <c r="BA667" s="108"/>
      <c r="BB667" s="108"/>
      <c r="BC667" s="108"/>
      <c r="BD667" s="108"/>
      <c r="BE667" s="108"/>
      <c r="BF667" s="108"/>
      <c r="BG667" s="108"/>
      <c r="BH667" s="108"/>
      <c r="BI667" s="108"/>
      <c r="BJ667" s="108"/>
      <c r="BK667" s="108"/>
      <c r="BL667" s="108"/>
      <c r="BM667" s="109"/>
      <c r="BN667" s="108"/>
      <c r="BO667" s="108"/>
      <c r="BP667" s="108"/>
    </row>
    <row r="668" spans="1:68" ht="12" customHeight="1" x14ac:dyDescent="0.2">
      <c r="A668" s="179"/>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c r="AA668" s="108"/>
      <c r="AB668" s="108"/>
      <c r="AC668" s="108"/>
      <c r="AD668" s="108"/>
      <c r="AE668" s="108"/>
      <c r="AF668" s="108"/>
      <c r="AG668" s="108"/>
      <c r="AH668" s="108"/>
      <c r="AI668" s="108"/>
      <c r="AJ668" s="108"/>
      <c r="AK668" s="108"/>
      <c r="AL668" s="108"/>
      <c r="AM668" s="108"/>
      <c r="AN668" s="108"/>
      <c r="AO668" s="108"/>
      <c r="AP668" s="108"/>
      <c r="AQ668" s="108"/>
      <c r="AR668" s="108"/>
      <c r="AS668" s="108"/>
      <c r="AT668" s="108"/>
      <c r="AU668" s="108"/>
      <c r="AV668" s="108"/>
      <c r="AW668" s="108"/>
      <c r="AX668" s="108"/>
      <c r="AY668" s="108"/>
      <c r="AZ668" s="108"/>
      <c r="BA668" s="108"/>
      <c r="BB668" s="108"/>
      <c r="BC668" s="108"/>
      <c r="BD668" s="108"/>
      <c r="BE668" s="108"/>
      <c r="BF668" s="108"/>
      <c r="BG668" s="108"/>
      <c r="BH668" s="108"/>
      <c r="BI668" s="108"/>
      <c r="BJ668" s="108"/>
      <c r="BK668" s="108"/>
      <c r="BL668" s="108"/>
      <c r="BM668" s="109"/>
      <c r="BN668" s="108"/>
      <c r="BO668" s="108"/>
      <c r="BP668" s="108"/>
    </row>
    <row r="669" spans="1:68" ht="12" customHeight="1" x14ac:dyDescent="0.2">
      <c r="A669" s="179"/>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c r="AA669" s="108"/>
      <c r="AB669" s="108"/>
      <c r="AC669" s="108"/>
      <c r="AD669" s="108"/>
      <c r="AE669" s="108"/>
      <c r="AF669" s="108"/>
      <c r="AG669" s="108"/>
      <c r="AH669" s="108"/>
      <c r="AI669" s="108"/>
      <c r="AJ669" s="108"/>
      <c r="AK669" s="108"/>
      <c r="AL669" s="108"/>
      <c r="AM669" s="108"/>
      <c r="AN669" s="108"/>
      <c r="AO669" s="108"/>
      <c r="AP669" s="108"/>
      <c r="AQ669" s="108"/>
      <c r="AR669" s="108"/>
      <c r="AS669" s="108"/>
      <c r="AT669" s="108"/>
      <c r="AU669" s="108"/>
      <c r="AV669" s="108"/>
      <c r="AW669" s="108"/>
      <c r="AX669" s="108"/>
      <c r="AY669" s="108"/>
      <c r="AZ669" s="108"/>
      <c r="BA669" s="108"/>
      <c r="BB669" s="108"/>
      <c r="BC669" s="108"/>
      <c r="BD669" s="108"/>
      <c r="BE669" s="108"/>
      <c r="BF669" s="108"/>
      <c r="BG669" s="108"/>
      <c r="BH669" s="108"/>
      <c r="BI669" s="108"/>
      <c r="BJ669" s="108"/>
      <c r="BK669" s="108"/>
      <c r="BL669" s="108"/>
      <c r="BM669" s="109"/>
      <c r="BN669" s="108"/>
      <c r="BO669" s="108"/>
      <c r="BP669" s="108"/>
    </row>
    <row r="670" spans="1:68" ht="12" customHeight="1" x14ac:dyDescent="0.2">
      <c r="A670" s="179"/>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c r="AA670" s="108"/>
      <c r="AB670" s="108"/>
      <c r="AC670" s="108"/>
      <c r="AD670" s="108"/>
      <c r="AE670" s="108"/>
      <c r="AF670" s="108"/>
      <c r="AG670" s="108"/>
      <c r="AH670" s="108"/>
      <c r="AI670" s="108"/>
      <c r="AJ670" s="108"/>
      <c r="AK670" s="108"/>
      <c r="AL670" s="108"/>
      <c r="AM670" s="108"/>
      <c r="AN670" s="108"/>
      <c r="AO670" s="108"/>
      <c r="AP670" s="108"/>
      <c r="AQ670" s="108"/>
      <c r="AR670" s="108"/>
      <c r="AS670" s="108"/>
      <c r="AT670" s="108"/>
      <c r="AU670" s="108"/>
      <c r="AV670" s="108"/>
      <c r="AW670" s="108"/>
      <c r="AX670" s="108"/>
      <c r="AY670" s="108"/>
      <c r="AZ670" s="108"/>
      <c r="BA670" s="108"/>
      <c r="BB670" s="108"/>
      <c r="BC670" s="108"/>
      <c r="BD670" s="108"/>
      <c r="BE670" s="108"/>
      <c r="BF670" s="108"/>
      <c r="BG670" s="108"/>
      <c r="BH670" s="108"/>
      <c r="BI670" s="108"/>
      <c r="BJ670" s="108"/>
      <c r="BK670" s="108"/>
      <c r="BL670" s="108"/>
      <c r="BM670" s="109"/>
      <c r="BN670" s="108"/>
      <c r="BO670" s="108"/>
      <c r="BP670" s="108"/>
    </row>
    <row r="671" spans="1:68" ht="12" customHeight="1" x14ac:dyDescent="0.2">
      <c r="A671" s="179"/>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c r="AA671" s="108"/>
      <c r="AB671" s="108"/>
      <c r="AC671" s="108"/>
      <c r="AD671" s="108"/>
      <c r="AE671" s="108"/>
      <c r="AF671" s="108"/>
      <c r="AG671" s="108"/>
      <c r="AH671" s="108"/>
      <c r="AI671" s="108"/>
      <c r="AJ671" s="108"/>
      <c r="AK671" s="108"/>
      <c r="AL671" s="108"/>
      <c r="AM671" s="108"/>
      <c r="AN671" s="108"/>
      <c r="AO671" s="108"/>
      <c r="AP671" s="108"/>
      <c r="AQ671" s="108"/>
      <c r="AR671" s="108"/>
      <c r="AS671" s="108"/>
      <c r="AT671" s="108"/>
      <c r="AU671" s="108"/>
      <c r="AV671" s="108"/>
      <c r="AW671" s="108"/>
      <c r="AX671" s="108"/>
      <c r="AY671" s="108"/>
      <c r="AZ671" s="108"/>
      <c r="BA671" s="108"/>
      <c r="BB671" s="108"/>
      <c r="BC671" s="108"/>
      <c r="BD671" s="108"/>
      <c r="BE671" s="108"/>
      <c r="BF671" s="108"/>
      <c r="BG671" s="108"/>
      <c r="BH671" s="108"/>
      <c r="BI671" s="108"/>
      <c r="BJ671" s="108"/>
      <c r="BK671" s="108"/>
      <c r="BL671" s="108"/>
      <c r="BM671" s="109"/>
      <c r="BN671" s="108"/>
      <c r="BO671" s="108"/>
      <c r="BP671" s="108"/>
    </row>
    <row r="672" spans="1:68" ht="12" customHeight="1" x14ac:dyDescent="0.2">
      <c r="A672" s="179"/>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c r="AA672" s="108"/>
      <c r="AB672" s="108"/>
      <c r="AC672" s="108"/>
      <c r="AD672" s="108"/>
      <c r="AE672" s="108"/>
      <c r="AF672" s="108"/>
      <c r="AG672" s="108"/>
      <c r="AH672" s="108"/>
      <c r="AI672" s="108"/>
      <c r="AJ672" s="108"/>
      <c r="AK672" s="108"/>
      <c r="AL672" s="108"/>
      <c r="AM672" s="108"/>
      <c r="AN672" s="108"/>
      <c r="AO672" s="108"/>
      <c r="AP672" s="108"/>
      <c r="AQ672" s="108"/>
      <c r="AR672" s="108"/>
      <c r="AS672" s="108"/>
      <c r="AT672" s="108"/>
      <c r="AU672" s="108"/>
      <c r="AV672" s="108"/>
      <c r="AW672" s="108"/>
      <c r="AX672" s="108"/>
      <c r="AY672" s="108"/>
      <c r="AZ672" s="108"/>
      <c r="BA672" s="108"/>
      <c r="BB672" s="108"/>
      <c r="BC672" s="108"/>
      <c r="BD672" s="108"/>
      <c r="BE672" s="108"/>
      <c r="BF672" s="108"/>
      <c r="BG672" s="108"/>
      <c r="BH672" s="108"/>
      <c r="BI672" s="108"/>
      <c r="BJ672" s="108"/>
      <c r="BK672" s="108"/>
      <c r="BL672" s="108"/>
      <c r="BM672" s="109"/>
      <c r="BN672" s="108"/>
      <c r="BO672" s="108"/>
      <c r="BP672" s="108"/>
    </row>
    <row r="673" spans="1:68" ht="12" customHeight="1" x14ac:dyDescent="0.2">
      <c r="A673" s="179"/>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c r="AA673" s="108"/>
      <c r="AB673" s="108"/>
      <c r="AC673" s="108"/>
      <c r="AD673" s="108"/>
      <c r="AE673" s="108"/>
      <c r="AF673" s="108"/>
      <c r="AG673" s="108"/>
      <c r="AH673" s="108"/>
      <c r="AI673" s="108"/>
      <c r="AJ673" s="108"/>
      <c r="AK673" s="108"/>
      <c r="AL673" s="108"/>
      <c r="AM673" s="108"/>
      <c r="AN673" s="108"/>
      <c r="AO673" s="108"/>
      <c r="AP673" s="108"/>
      <c r="AQ673" s="108"/>
      <c r="AR673" s="108"/>
      <c r="AS673" s="108"/>
      <c r="AT673" s="108"/>
      <c r="AU673" s="108"/>
      <c r="AV673" s="108"/>
      <c r="AW673" s="108"/>
      <c r="AX673" s="108"/>
      <c r="AY673" s="108"/>
      <c r="AZ673" s="108"/>
      <c r="BA673" s="108"/>
      <c r="BB673" s="108"/>
      <c r="BC673" s="108"/>
      <c r="BD673" s="108"/>
      <c r="BE673" s="108"/>
      <c r="BF673" s="108"/>
      <c r="BG673" s="108"/>
      <c r="BH673" s="108"/>
      <c r="BI673" s="108"/>
      <c r="BJ673" s="108"/>
      <c r="BK673" s="108"/>
      <c r="BL673" s="108"/>
      <c r="BM673" s="109"/>
      <c r="BN673" s="108"/>
      <c r="BO673" s="108"/>
      <c r="BP673" s="108"/>
    </row>
    <row r="674" spans="1:68" ht="12" customHeight="1" x14ac:dyDescent="0.2">
      <c r="A674" s="179"/>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c r="AA674" s="108"/>
      <c r="AB674" s="108"/>
      <c r="AC674" s="108"/>
      <c r="AD674" s="108"/>
      <c r="AE674" s="108"/>
      <c r="AF674" s="108"/>
      <c r="AG674" s="108"/>
      <c r="AH674" s="108"/>
      <c r="AI674" s="108"/>
      <c r="AJ674" s="108"/>
      <c r="AK674" s="108"/>
      <c r="AL674" s="108"/>
      <c r="AM674" s="108"/>
      <c r="AN674" s="108"/>
      <c r="AO674" s="108"/>
      <c r="AP674" s="108"/>
      <c r="AQ674" s="108"/>
      <c r="AR674" s="108"/>
      <c r="AS674" s="108"/>
      <c r="AT674" s="108"/>
      <c r="AU674" s="108"/>
      <c r="AV674" s="108"/>
      <c r="AW674" s="108"/>
      <c r="AX674" s="108"/>
      <c r="AY674" s="108"/>
      <c r="AZ674" s="108"/>
      <c r="BA674" s="108"/>
      <c r="BB674" s="108"/>
      <c r="BC674" s="108"/>
      <c r="BD674" s="108"/>
      <c r="BE674" s="108"/>
      <c r="BF674" s="108"/>
      <c r="BG674" s="108"/>
      <c r="BH674" s="108"/>
      <c r="BI674" s="108"/>
      <c r="BJ674" s="108"/>
      <c r="BK674" s="108"/>
      <c r="BL674" s="108"/>
      <c r="BM674" s="109"/>
      <c r="BN674" s="108"/>
      <c r="BO674" s="108"/>
      <c r="BP674" s="108"/>
    </row>
    <row r="675" spans="1:68" ht="12" customHeight="1" x14ac:dyDescent="0.2">
      <c r="A675" s="179"/>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c r="AA675" s="108"/>
      <c r="AB675" s="108"/>
      <c r="AC675" s="108"/>
      <c r="AD675" s="108"/>
      <c r="AE675" s="108"/>
      <c r="AF675" s="108"/>
      <c r="AG675" s="108"/>
      <c r="AH675" s="108"/>
      <c r="AI675" s="108"/>
      <c r="AJ675" s="108"/>
      <c r="AK675" s="108"/>
      <c r="AL675" s="108"/>
      <c r="AM675" s="108"/>
      <c r="AN675" s="108"/>
      <c r="AO675" s="108"/>
      <c r="AP675" s="108"/>
      <c r="AQ675" s="108"/>
      <c r="AR675" s="108"/>
      <c r="AS675" s="108"/>
      <c r="AT675" s="108"/>
      <c r="AU675" s="108"/>
      <c r="AV675" s="108"/>
      <c r="AW675" s="108"/>
      <c r="AX675" s="108"/>
      <c r="AY675" s="108"/>
      <c r="AZ675" s="108"/>
      <c r="BA675" s="108"/>
      <c r="BB675" s="108"/>
      <c r="BC675" s="108"/>
      <c r="BD675" s="108"/>
      <c r="BE675" s="108"/>
      <c r="BF675" s="108"/>
      <c r="BG675" s="108"/>
      <c r="BH675" s="108"/>
      <c r="BI675" s="108"/>
      <c r="BJ675" s="108"/>
      <c r="BK675" s="108"/>
      <c r="BL675" s="108"/>
      <c r="BM675" s="109"/>
      <c r="BN675" s="108"/>
      <c r="BO675" s="108"/>
      <c r="BP675" s="108"/>
    </row>
    <row r="676" spans="1:68" ht="12" customHeight="1" x14ac:dyDescent="0.2">
      <c r="A676" s="179"/>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c r="AA676" s="108"/>
      <c r="AB676" s="108"/>
      <c r="AC676" s="108"/>
      <c r="AD676" s="108"/>
      <c r="AE676" s="108"/>
      <c r="AF676" s="108"/>
      <c r="AG676" s="108"/>
      <c r="AH676" s="108"/>
      <c r="AI676" s="108"/>
      <c r="AJ676" s="108"/>
      <c r="AK676" s="108"/>
      <c r="AL676" s="108"/>
      <c r="AM676" s="108"/>
      <c r="AN676" s="108"/>
      <c r="AO676" s="108"/>
      <c r="AP676" s="108"/>
      <c r="AQ676" s="108"/>
      <c r="AR676" s="108"/>
      <c r="AS676" s="108"/>
      <c r="AT676" s="108"/>
      <c r="AU676" s="108"/>
      <c r="AV676" s="108"/>
      <c r="AW676" s="108"/>
      <c r="AX676" s="108"/>
      <c r="AY676" s="108"/>
      <c r="AZ676" s="108"/>
      <c r="BA676" s="108"/>
      <c r="BB676" s="108"/>
      <c r="BC676" s="108"/>
      <c r="BD676" s="108"/>
      <c r="BE676" s="108"/>
      <c r="BF676" s="108"/>
      <c r="BG676" s="108"/>
      <c r="BH676" s="108"/>
      <c r="BI676" s="108"/>
      <c r="BJ676" s="108"/>
      <c r="BK676" s="108"/>
      <c r="BL676" s="108"/>
      <c r="BM676" s="109"/>
      <c r="BN676" s="108"/>
      <c r="BO676" s="108"/>
      <c r="BP676" s="108"/>
    </row>
    <row r="677" spans="1:68" ht="12" customHeight="1" x14ac:dyDescent="0.2">
      <c r="A677" s="179"/>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c r="AA677" s="108"/>
      <c r="AB677" s="108"/>
      <c r="AC677" s="108"/>
      <c r="AD677" s="108"/>
      <c r="AE677" s="108"/>
      <c r="AF677" s="108"/>
      <c r="AG677" s="108"/>
      <c r="AH677" s="108"/>
      <c r="AI677" s="108"/>
      <c r="AJ677" s="108"/>
      <c r="AK677" s="108"/>
      <c r="AL677" s="108"/>
      <c r="AM677" s="108"/>
      <c r="AN677" s="108"/>
      <c r="AO677" s="108"/>
      <c r="AP677" s="108"/>
      <c r="AQ677" s="108"/>
      <c r="AR677" s="108"/>
      <c r="AS677" s="108"/>
      <c r="AT677" s="108"/>
      <c r="AU677" s="108"/>
      <c r="AV677" s="108"/>
      <c r="AW677" s="108"/>
      <c r="AX677" s="108"/>
      <c r="AY677" s="108"/>
      <c r="AZ677" s="108"/>
      <c r="BA677" s="108"/>
      <c r="BB677" s="108"/>
      <c r="BC677" s="108"/>
      <c r="BD677" s="108"/>
      <c r="BE677" s="108"/>
      <c r="BF677" s="108"/>
      <c r="BG677" s="108"/>
      <c r="BH677" s="108"/>
      <c r="BI677" s="108"/>
      <c r="BJ677" s="108"/>
      <c r="BK677" s="108"/>
      <c r="BL677" s="108"/>
      <c r="BM677" s="109"/>
      <c r="BN677" s="108"/>
      <c r="BO677" s="108"/>
      <c r="BP677" s="108"/>
    </row>
    <row r="678" spans="1:68" ht="12" customHeight="1" x14ac:dyDescent="0.2">
      <c r="A678" s="179"/>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c r="AA678" s="108"/>
      <c r="AB678" s="108"/>
      <c r="AC678" s="108"/>
      <c r="AD678" s="108"/>
      <c r="AE678" s="108"/>
      <c r="AF678" s="108"/>
      <c r="AG678" s="108"/>
      <c r="AH678" s="108"/>
      <c r="AI678" s="108"/>
      <c r="AJ678" s="108"/>
      <c r="AK678" s="108"/>
      <c r="AL678" s="108"/>
      <c r="AM678" s="108"/>
      <c r="AN678" s="108"/>
      <c r="AO678" s="108"/>
      <c r="AP678" s="108"/>
      <c r="AQ678" s="108"/>
      <c r="AR678" s="108"/>
      <c r="AS678" s="108"/>
      <c r="AT678" s="108"/>
      <c r="AU678" s="108"/>
      <c r="AV678" s="108"/>
      <c r="AW678" s="108"/>
      <c r="AX678" s="108"/>
      <c r="AY678" s="108"/>
      <c r="AZ678" s="108"/>
      <c r="BA678" s="108"/>
      <c r="BB678" s="108"/>
      <c r="BC678" s="108"/>
      <c r="BD678" s="108"/>
      <c r="BE678" s="108"/>
      <c r="BF678" s="108"/>
      <c r="BG678" s="108"/>
      <c r="BH678" s="108"/>
      <c r="BI678" s="108"/>
      <c r="BJ678" s="108"/>
      <c r="BK678" s="108"/>
      <c r="BL678" s="108"/>
      <c r="BM678" s="109"/>
      <c r="BN678" s="108"/>
      <c r="BO678" s="108"/>
      <c r="BP678" s="108"/>
    </row>
    <row r="679" spans="1:68" ht="12" customHeight="1" x14ac:dyDescent="0.2">
      <c r="A679" s="179"/>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c r="AA679" s="108"/>
      <c r="AB679" s="108"/>
      <c r="AC679" s="108"/>
      <c r="AD679" s="108"/>
      <c r="AE679" s="108"/>
      <c r="AF679" s="108"/>
      <c r="AG679" s="108"/>
      <c r="AH679" s="108"/>
      <c r="AI679" s="108"/>
      <c r="AJ679" s="108"/>
      <c r="AK679" s="108"/>
      <c r="AL679" s="108"/>
      <c r="AM679" s="108"/>
      <c r="AN679" s="108"/>
      <c r="AO679" s="108"/>
      <c r="AP679" s="108"/>
      <c r="AQ679" s="108"/>
      <c r="AR679" s="108"/>
      <c r="AS679" s="108"/>
      <c r="AT679" s="108"/>
      <c r="AU679" s="108"/>
      <c r="AV679" s="108"/>
      <c r="AW679" s="108"/>
      <c r="AX679" s="108"/>
      <c r="AY679" s="108"/>
      <c r="AZ679" s="108"/>
      <c r="BA679" s="108"/>
      <c r="BB679" s="108"/>
      <c r="BC679" s="108"/>
      <c r="BD679" s="108"/>
      <c r="BE679" s="108"/>
      <c r="BF679" s="108"/>
      <c r="BG679" s="108"/>
      <c r="BH679" s="108"/>
      <c r="BI679" s="108"/>
      <c r="BJ679" s="108"/>
      <c r="BK679" s="108"/>
      <c r="BL679" s="108"/>
      <c r="BM679" s="109"/>
      <c r="BN679" s="108"/>
      <c r="BO679" s="108"/>
      <c r="BP679" s="108"/>
    </row>
    <row r="680" spans="1:68" ht="12" customHeight="1" x14ac:dyDescent="0.2">
      <c r="A680" s="179"/>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c r="AA680" s="108"/>
      <c r="AB680" s="108"/>
      <c r="AC680" s="108"/>
      <c r="AD680" s="108"/>
      <c r="AE680" s="108"/>
      <c r="AF680" s="108"/>
      <c r="AG680" s="108"/>
      <c r="AH680" s="108"/>
      <c r="AI680" s="108"/>
      <c r="AJ680" s="108"/>
      <c r="AK680" s="108"/>
      <c r="AL680" s="108"/>
      <c r="AM680" s="108"/>
      <c r="AN680" s="108"/>
      <c r="AO680" s="108"/>
      <c r="AP680" s="108"/>
      <c r="AQ680" s="108"/>
      <c r="AR680" s="108"/>
      <c r="AS680" s="108"/>
      <c r="AT680" s="108"/>
      <c r="AU680" s="108"/>
      <c r="AV680" s="108"/>
      <c r="AW680" s="108"/>
      <c r="AX680" s="108"/>
      <c r="AY680" s="108"/>
      <c r="AZ680" s="108"/>
      <c r="BA680" s="108"/>
      <c r="BB680" s="108"/>
      <c r="BC680" s="108"/>
      <c r="BD680" s="108"/>
      <c r="BE680" s="108"/>
      <c r="BF680" s="108"/>
      <c r="BG680" s="108"/>
      <c r="BH680" s="108"/>
      <c r="BI680" s="108"/>
      <c r="BJ680" s="108"/>
      <c r="BK680" s="108"/>
      <c r="BL680" s="108"/>
      <c r="BM680" s="109"/>
      <c r="BN680" s="108"/>
      <c r="BO680" s="108"/>
      <c r="BP680" s="108"/>
    </row>
    <row r="681" spans="1:68" ht="12" customHeight="1" x14ac:dyDescent="0.2">
      <c r="A681" s="179"/>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c r="AA681" s="108"/>
      <c r="AB681" s="108"/>
      <c r="AC681" s="108"/>
      <c r="AD681" s="108"/>
      <c r="AE681" s="108"/>
      <c r="AF681" s="108"/>
      <c r="AG681" s="108"/>
      <c r="AH681" s="108"/>
      <c r="AI681" s="108"/>
      <c r="AJ681" s="108"/>
      <c r="AK681" s="108"/>
      <c r="AL681" s="108"/>
      <c r="AM681" s="108"/>
      <c r="AN681" s="108"/>
      <c r="AO681" s="108"/>
      <c r="AP681" s="108"/>
      <c r="AQ681" s="108"/>
      <c r="AR681" s="108"/>
      <c r="AS681" s="108"/>
      <c r="AT681" s="108"/>
      <c r="AU681" s="108"/>
      <c r="AV681" s="108"/>
      <c r="AW681" s="108"/>
      <c r="AX681" s="108"/>
      <c r="AY681" s="108"/>
      <c r="AZ681" s="108"/>
      <c r="BA681" s="108"/>
      <c r="BB681" s="108"/>
      <c r="BC681" s="108"/>
      <c r="BD681" s="108"/>
      <c r="BE681" s="108"/>
      <c r="BF681" s="108"/>
      <c r="BG681" s="108"/>
      <c r="BH681" s="108"/>
      <c r="BI681" s="108"/>
      <c r="BJ681" s="108"/>
      <c r="BK681" s="108"/>
      <c r="BL681" s="108"/>
      <c r="BM681" s="109"/>
      <c r="BN681" s="108"/>
      <c r="BO681" s="108"/>
      <c r="BP681" s="108"/>
    </row>
    <row r="682" spans="1:68" ht="12" customHeight="1" x14ac:dyDescent="0.2">
      <c r="A682" s="179"/>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c r="AA682" s="108"/>
      <c r="AB682" s="108"/>
      <c r="AC682" s="108"/>
      <c r="AD682" s="108"/>
      <c r="AE682" s="108"/>
      <c r="AF682" s="108"/>
      <c r="AG682" s="108"/>
      <c r="AH682" s="108"/>
      <c r="AI682" s="108"/>
      <c r="AJ682" s="108"/>
      <c r="AK682" s="108"/>
      <c r="AL682" s="108"/>
      <c r="AM682" s="108"/>
      <c r="AN682" s="108"/>
      <c r="AO682" s="108"/>
      <c r="AP682" s="108"/>
      <c r="AQ682" s="108"/>
      <c r="AR682" s="108"/>
      <c r="AS682" s="108"/>
      <c r="AT682" s="108"/>
      <c r="AU682" s="108"/>
      <c r="AV682" s="108"/>
      <c r="AW682" s="108"/>
      <c r="AX682" s="108"/>
      <c r="AY682" s="108"/>
      <c r="AZ682" s="108"/>
      <c r="BA682" s="108"/>
      <c r="BB682" s="108"/>
      <c r="BC682" s="108"/>
      <c r="BD682" s="108"/>
      <c r="BE682" s="108"/>
      <c r="BF682" s="108"/>
      <c r="BG682" s="108"/>
      <c r="BH682" s="108"/>
      <c r="BI682" s="108"/>
      <c r="BJ682" s="108"/>
      <c r="BK682" s="108"/>
      <c r="BL682" s="108"/>
      <c r="BM682" s="109"/>
      <c r="BN682" s="108"/>
      <c r="BO682" s="108"/>
      <c r="BP682" s="108"/>
    </row>
    <row r="683" spans="1:68" ht="12" customHeight="1" x14ac:dyDescent="0.2">
      <c r="A683" s="179"/>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c r="AA683" s="108"/>
      <c r="AB683" s="108"/>
      <c r="AC683" s="108"/>
      <c r="AD683" s="108"/>
      <c r="AE683" s="108"/>
      <c r="AF683" s="108"/>
      <c r="AG683" s="108"/>
      <c r="AH683" s="108"/>
      <c r="AI683" s="108"/>
      <c r="AJ683" s="108"/>
      <c r="AK683" s="108"/>
      <c r="AL683" s="108"/>
      <c r="AM683" s="108"/>
      <c r="AN683" s="108"/>
      <c r="AO683" s="108"/>
      <c r="AP683" s="108"/>
      <c r="AQ683" s="108"/>
      <c r="AR683" s="108"/>
      <c r="AS683" s="108"/>
      <c r="AT683" s="108"/>
      <c r="AU683" s="108"/>
      <c r="AV683" s="108"/>
      <c r="AW683" s="108"/>
      <c r="AX683" s="108"/>
      <c r="AY683" s="108"/>
      <c r="AZ683" s="108"/>
      <c r="BA683" s="108"/>
      <c r="BB683" s="108"/>
      <c r="BC683" s="108"/>
      <c r="BD683" s="108"/>
      <c r="BE683" s="108"/>
      <c r="BF683" s="108"/>
      <c r="BG683" s="108"/>
      <c r="BH683" s="108"/>
      <c r="BI683" s="108"/>
      <c r="BJ683" s="108"/>
      <c r="BK683" s="108"/>
      <c r="BL683" s="108"/>
      <c r="BM683" s="109"/>
      <c r="BN683" s="108"/>
      <c r="BO683" s="108"/>
      <c r="BP683" s="108"/>
    </row>
    <row r="684" spans="1:68" ht="12" customHeight="1" x14ac:dyDescent="0.2">
      <c r="A684" s="179"/>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c r="AA684" s="108"/>
      <c r="AB684" s="108"/>
      <c r="AC684" s="108"/>
      <c r="AD684" s="108"/>
      <c r="AE684" s="108"/>
      <c r="AF684" s="108"/>
      <c r="AG684" s="108"/>
      <c r="AH684" s="108"/>
      <c r="AI684" s="108"/>
      <c r="AJ684" s="108"/>
      <c r="AK684" s="108"/>
      <c r="AL684" s="108"/>
      <c r="AM684" s="108"/>
      <c r="AN684" s="108"/>
      <c r="AO684" s="108"/>
      <c r="AP684" s="108"/>
      <c r="AQ684" s="108"/>
      <c r="AR684" s="108"/>
      <c r="AS684" s="108"/>
      <c r="AT684" s="108"/>
      <c r="AU684" s="108"/>
      <c r="AV684" s="108"/>
      <c r="AW684" s="108"/>
      <c r="AX684" s="108"/>
      <c r="AY684" s="108"/>
      <c r="AZ684" s="108"/>
      <c r="BA684" s="108"/>
      <c r="BB684" s="108"/>
      <c r="BC684" s="108"/>
      <c r="BD684" s="108"/>
      <c r="BE684" s="108"/>
      <c r="BF684" s="108"/>
      <c r="BG684" s="108"/>
      <c r="BH684" s="108"/>
      <c r="BI684" s="108"/>
      <c r="BJ684" s="108"/>
      <c r="BK684" s="108"/>
      <c r="BL684" s="108"/>
      <c r="BM684" s="109"/>
      <c r="BN684" s="108"/>
      <c r="BO684" s="108"/>
      <c r="BP684" s="108"/>
    </row>
    <row r="685" spans="1:68" ht="12" customHeight="1" x14ac:dyDescent="0.2">
      <c r="A685" s="179"/>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c r="AA685" s="108"/>
      <c r="AB685" s="108"/>
      <c r="AC685" s="108"/>
      <c r="AD685" s="108"/>
      <c r="AE685" s="108"/>
      <c r="AF685" s="108"/>
      <c r="AG685" s="108"/>
      <c r="AH685" s="108"/>
      <c r="AI685" s="108"/>
      <c r="AJ685" s="108"/>
      <c r="AK685" s="108"/>
      <c r="AL685" s="108"/>
      <c r="AM685" s="108"/>
      <c r="AN685" s="108"/>
      <c r="AO685" s="108"/>
      <c r="AP685" s="108"/>
      <c r="AQ685" s="108"/>
      <c r="AR685" s="108"/>
      <c r="AS685" s="108"/>
      <c r="AT685" s="108"/>
      <c r="AU685" s="108"/>
      <c r="AV685" s="108"/>
      <c r="AW685" s="108"/>
      <c r="AX685" s="108"/>
      <c r="AY685" s="108"/>
      <c r="AZ685" s="108"/>
      <c r="BA685" s="108"/>
      <c r="BB685" s="108"/>
      <c r="BC685" s="108"/>
      <c r="BD685" s="108"/>
      <c r="BE685" s="108"/>
      <c r="BF685" s="108"/>
      <c r="BG685" s="108"/>
      <c r="BH685" s="108"/>
      <c r="BI685" s="108"/>
      <c r="BJ685" s="108"/>
      <c r="BK685" s="108"/>
      <c r="BL685" s="108"/>
      <c r="BM685" s="109"/>
      <c r="BN685" s="108"/>
      <c r="BO685" s="108"/>
      <c r="BP685" s="108"/>
    </row>
    <row r="686" spans="1:68" ht="12" customHeight="1" x14ac:dyDescent="0.2">
      <c r="A686" s="179"/>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c r="AA686" s="108"/>
      <c r="AB686" s="108"/>
      <c r="AC686" s="108"/>
      <c r="AD686" s="108"/>
      <c r="AE686" s="108"/>
      <c r="AF686" s="108"/>
      <c r="AG686" s="108"/>
      <c r="AH686" s="108"/>
      <c r="AI686" s="108"/>
      <c r="AJ686" s="108"/>
      <c r="AK686" s="108"/>
      <c r="AL686" s="108"/>
      <c r="AM686" s="108"/>
      <c r="AN686" s="108"/>
      <c r="AO686" s="108"/>
      <c r="AP686" s="108"/>
      <c r="AQ686" s="108"/>
      <c r="AR686" s="108"/>
      <c r="AS686" s="108"/>
      <c r="AT686" s="108"/>
      <c r="AU686" s="108"/>
      <c r="AV686" s="108"/>
      <c r="AW686" s="108"/>
      <c r="AX686" s="108"/>
      <c r="AY686" s="108"/>
      <c r="AZ686" s="108"/>
      <c r="BA686" s="108"/>
      <c r="BB686" s="108"/>
      <c r="BC686" s="108"/>
      <c r="BD686" s="108"/>
      <c r="BE686" s="108"/>
      <c r="BF686" s="108"/>
      <c r="BG686" s="108"/>
      <c r="BH686" s="108"/>
      <c r="BI686" s="108"/>
      <c r="BJ686" s="108"/>
      <c r="BK686" s="108"/>
      <c r="BL686" s="108"/>
      <c r="BM686" s="109"/>
      <c r="BN686" s="108"/>
      <c r="BO686" s="108"/>
      <c r="BP686" s="108"/>
    </row>
    <row r="687" spans="1:68" ht="12" customHeight="1" x14ac:dyDescent="0.2">
      <c r="A687" s="179"/>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c r="AA687" s="108"/>
      <c r="AB687" s="108"/>
      <c r="AC687" s="108"/>
      <c r="AD687" s="108"/>
      <c r="AE687" s="108"/>
      <c r="AF687" s="108"/>
      <c r="AG687" s="108"/>
      <c r="AH687" s="108"/>
      <c r="AI687" s="108"/>
      <c r="AJ687" s="108"/>
      <c r="AK687" s="108"/>
      <c r="AL687" s="108"/>
      <c r="AM687" s="108"/>
      <c r="AN687" s="108"/>
      <c r="AO687" s="108"/>
      <c r="AP687" s="108"/>
      <c r="AQ687" s="108"/>
      <c r="AR687" s="108"/>
      <c r="AS687" s="108"/>
      <c r="AT687" s="108"/>
      <c r="AU687" s="108"/>
      <c r="AV687" s="108"/>
      <c r="AW687" s="108"/>
      <c r="AX687" s="108"/>
      <c r="AY687" s="108"/>
      <c r="AZ687" s="108"/>
      <c r="BA687" s="108"/>
      <c r="BB687" s="108"/>
      <c r="BC687" s="108"/>
      <c r="BD687" s="108"/>
      <c r="BE687" s="108"/>
      <c r="BF687" s="108"/>
      <c r="BG687" s="108"/>
      <c r="BH687" s="108"/>
      <c r="BI687" s="108"/>
      <c r="BJ687" s="108"/>
      <c r="BK687" s="108"/>
      <c r="BL687" s="108"/>
      <c r="BM687" s="109"/>
      <c r="BN687" s="108"/>
      <c r="BO687" s="108"/>
      <c r="BP687" s="108"/>
    </row>
    <row r="688" spans="1:68" ht="12" customHeight="1" x14ac:dyDescent="0.2">
      <c r="A688" s="179"/>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c r="AA688" s="108"/>
      <c r="AB688" s="108"/>
      <c r="AC688" s="108"/>
      <c r="AD688" s="108"/>
      <c r="AE688" s="108"/>
      <c r="AF688" s="108"/>
      <c r="AG688" s="108"/>
      <c r="AH688" s="108"/>
      <c r="AI688" s="108"/>
      <c r="AJ688" s="108"/>
      <c r="AK688" s="108"/>
      <c r="AL688" s="108"/>
      <c r="AM688" s="108"/>
      <c r="AN688" s="108"/>
      <c r="AO688" s="108"/>
      <c r="AP688" s="108"/>
      <c r="AQ688" s="108"/>
      <c r="AR688" s="108"/>
      <c r="AS688" s="108"/>
      <c r="AT688" s="108"/>
      <c r="AU688" s="108"/>
      <c r="AV688" s="108"/>
      <c r="AW688" s="108"/>
      <c r="AX688" s="108"/>
      <c r="AY688" s="108"/>
      <c r="AZ688" s="108"/>
      <c r="BA688" s="108"/>
      <c r="BB688" s="108"/>
      <c r="BC688" s="108"/>
      <c r="BD688" s="108"/>
      <c r="BE688" s="108"/>
      <c r="BF688" s="108"/>
      <c r="BG688" s="108"/>
      <c r="BH688" s="108"/>
      <c r="BI688" s="108"/>
      <c r="BJ688" s="108"/>
      <c r="BK688" s="108"/>
      <c r="BL688" s="108"/>
      <c r="BM688" s="109"/>
      <c r="BN688" s="108"/>
      <c r="BO688" s="108"/>
      <c r="BP688" s="108"/>
    </row>
    <row r="689" spans="1:68" ht="12" customHeight="1" x14ac:dyDescent="0.2">
      <c r="A689" s="179"/>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c r="AA689" s="108"/>
      <c r="AB689" s="108"/>
      <c r="AC689" s="108"/>
      <c r="AD689" s="108"/>
      <c r="AE689" s="108"/>
      <c r="AF689" s="108"/>
      <c r="AG689" s="108"/>
      <c r="AH689" s="108"/>
      <c r="AI689" s="108"/>
      <c r="AJ689" s="108"/>
      <c r="AK689" s="108"/>
      <c r="AL689" s="108"/>
      <c r="AM689" s="108"/>
      <c r="AN689" s="108"/>
      <c r="AO689" s="108"/>
      <c r="AP689" s="108"/>
      <c r="AQ689" s="108"/>
      <c r="AR689" s="108"/>
      <c r="AS689" s="108"/>
      <c r="AT689" s="108"/>
      <c r="AU689" s="108"/>
      <c r="AV689" s="108"/>
      <c r="AW689" s="108"/>
      <c r="AX689" s="108"/>
      <c r="AY689" s="108"/>
      <c r="AZ689" s="108"/>
      <c r="BA689" s="108"/>
      <c r="BB689" s="108"/>
      <c r="BC689" s="108"/>
      <c r="BD689" s="108"/>
      <c r="BE689" s="108"/>
      <c r="BF689" s="108"/>
      <c r="BG689" s="108"/>
      <c r="BH689" s="108"/>
      <c r="BI689" s="108"/>
      <c r="BJ689" s="108"/>
      <c r="BK689" s="108"/>
      <c r="BL689" s="108"/>
      <c r="BM689" s="109"/>
      <c r="BN689" s="108"/>
      <c r="BO689" s="108"/>
      <c r="BP689" s="108"/>
    </row>
    <row r="690" spans="1:68" ht="12" customHeight="1" x14ac:dyDescent="0.2">
      <c r="A690" s="179"/>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c r="AA690" s="108"/>
      <c r="AB690" s="108"/>
      <c r="AC690" s="108"/>
      <c r="AD690" s="108"/>
      <c r="AE690" s="108"/>
      <c r="AF690" s="108"/>
      <c r="AG690" s="108"/>
      <c r="AH690" s="108"/>
      <c r="AI690" s="108"/>
      <c r="AJ690" s="108"/>
      <c r="AK690" s="108"/>
      <c r="AL690" s="108"/>
      <c r="AM690" s="108"/>
      <c r="AN690" s="108"/>
      <c r="AO690" s="108"/>
      <c r="AP690" s="108"/>
      <c r="AQ690" s="108"/>
      <c r="AR690" s="108"/>
      <c r="AS690" s="108"/>
      <c r="AT690" s="108"/>
      <c r="AU690" s="108"/>
      <c r="AV690" s="108"/>
      <c r="AW690" s="108"/>
      <c r="AX690" s="108"/>
      <c r="AY690" s="108"/>
      <c r="AZ690" s="108"/>
      <c r="BA690" s="108"/>
      <c r="BB690" s="108"/>
      <c r="BC690" s="108"/>
      <c r="BD690" s="108"/>
      <c r="BE690" s="108"/>
      <c r="BF690" s="108"/>
      <c r="BG690" s="108"/>
      <c r="BH690" s="108"/>
      <c r="BI690" s="108"/>
      <c r="BJ690" s="108"/>
      <c r="BK690" s="108"/>
      <c r="BL690" s="108"/>
      <c r="BM690" s="109"/>
      <c r="BN690" s="108"/>
      <c r="BO690" s="108"/>
      <c r="BP690" s="108"/>
    </row>
    <row r="691" spans="1:68" ht="12" customHeight="1" x14ac:dyDescent="0.2">
      <c r="A691" s="179"/>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c r="AA691" s="108"/>
      <c r="AB691" s="108"/>
      <c r="AC691" s="108"/>
      <c r="AD691" s="108"/>
      <c r="AE691" s="108"/>
      <c r="AF691" s="108"/>
      <c r="AG691" s="108"/>
      <c r="AH691" s="108"/>
      <c r="AI691" s="108"/>
      <c r="AJ691" s="108"/>
      <c r="AK691" s="108"/>
      <c r="AL691" s="108"/>
      <c r="AM691" s="108"/>
      <c r="AN691" s="108"/>
      <c r="AO691" s="108"/>
      <c r="AP691" s="108"/>
      <c r="AQ691" s="108"/>
      <c r="AR691" s="108"/>
      <c r="AS691" s="108"/>
      <c r="AT691" s="108"/>
      <c r="AU691" s="108"/>
      <c r="AV691" s="108"/>
      <c r="AW691" s="108"/>
      <c r="AX691" s="108"/>
      <c r="AY691" s="108"/>
      <c r="AZ691" s="108"/>
      <c r="BA691" s="108"/>
      <c r="BB691" s="108"/>
      <c r="BC691" s="108"/>
      <c r="BD691" s="108"/>
      <c r="BE691" s="108"/>
      <c r="BF691" s="108"/>
      <c r="BG691" s="108"/>
      <c r="BH691" s="108"/>
      <c r="BI691" s="108"/>
      <c r="BJ691" s="108"/>
      <c r="BK691" s="108"/>
      <c r="BL691" s="108"/>
      <c r="BM691" s="109"/>
      <c r="BN691" s="108"/>
      <c r="BO691" s="108"/>
      <c r="BP691" s="108"/>
    </row>
    <row r="692" spans="1:68" ht="12" customHeight="1" x14ac:dyDescent="0.2">
      <c r="A692" s="179"/>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c r="AA692" s="108"/>
      <c r="AB692" s="108"/>
      <c r="AC692" s="108"/>
      <c r="AD692" s="108"/>
      <c r="AE692" s="108"/>
      <c r="AF692" s="108"/>
      <c r="AG692" s="108"/>
      <c r="AH692" s="108"/>
      <c r="AI692" s="108"/>
      <c r="AJ692" s="108"/>
      <c r="AK692" s="108"/>
      <c r="AL692" s="108"/>
      <c r="AM692" s="108"/>
      <c r="AN692" s="108"/>
      <c r="AO692" s="108"/>
      <c r="AP692" s="108"/>
      <c r="AQ692" s="108"/>
      <c r="AR692" s="108"/>
      <c r="AS692" s="108"/>
      <c r="AT692" s="108"/>
      <c r="AU692" s="108"/>
      <c r="AV692" s="108"/>
      <c r="AW692" s="108"/>
      <c r="AX692" s="108"/>
      <c r="AY692" s="108"/>
      <c r="AZ692" s="108"/>
      <c r="BA692" s="108"/>
      <c r="BB692" s="108"/>
      <c r="BC692" s="108"/>
      <c r="BD692" s="108"/>
      <c r="BE692" s="108"/>
      <c r="BF692" s="108"/>
      <c r="BG692" s="108"/>
      <c r="BH692" s="108"/>
      <c r="BI692" s="108"/>
      <c r="BJ692" s="108"/>
      <c r="BK692" s="108"/>
      <c r="BL692" s="108"/>
      <c r="BM692" s="109"/>
      <c r="BN692" s="108"/>
      <c r="BO692" s="108"/>
      <c r="BP692" s="108"/>
    </row>
    <row r="693" spans="1:68" ht="12" customHeight="1" x14ac:dyDescent="0.2">
      <c r="A693" s="179"/>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c r="AA693" s="108"/>
      <c r="AB693" s="108"/>
      <c r="AC693" s="108"/>
      <c r="AD693" s="108"/>
      <c r="AE693" s="108"/>
      <c r="AF693" s="108"/>
      <c r="AG693" s="108"/>
      <c r="AH693" s="108"/>
      <c r="AI693" s="108"/>
      <c r="AJ693" s="108"/>
      <c r="AK693" s="108"/>
      <c r="AL693" s="108"/>
      <c r="AM693" s="108"/>
      <c r="AN693" s="108"/>
      <c r="AO693" s="108"/>
      <c r="AP693" s="108"/>
      <c r="AQ693" s="108"/>
      <c r="AR693" s="108"/>
      <c r="AS693" s="108"/>
      <c r="AT693" s="108"/>
      <c r="AU693" s="108"/>
      <c r="AV693" s="108"/>
      <c r="AW693" s="108"/>
      <c r="AX693" s="108"/>
      <c r="AY693" s="108"/>
      <c r="AZ693" s="108"/>
      <c r="BA693" s="108"/>
      <c r="BB693" s="108"/>
      <c r="BC693" s="108"/>
      <c r="BD693" s="108"/>
      <c r="BE693" s="108"/>
      <c r="BF693" s="108"/>
      <c r="BG693" s="108"/>
      <c r="BH693" s="108"/>
      <c r="BI693" s="108"/>
      <c r="BJ693" s="108"/>
      <c r="BK693" s="108"/>
      <c r="BL693" s="108"/>
      <c r="BM693" s="109"/>
      <c r="BN693" s="108"/>
      <c r="BO693" s="108"/>
      <c r="BP693" s="108"/>
    </row>
    <row r="694" spans="1:68" ht="12" customHeight="1" x14ac:dyDescent="0.2">
      <c r="A694" s="179"/>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c r="AA694" s="108"/>
      <c r="AB694" s="108"/>
      <c r="AC694" s="108"/>
      <c r="AD694" s="108"/>
      <c r="AE694" s="108"/>
      <c r="AF694" s="108"/>
      <c r="AG694" s="108"/>
      <c r="AH694" s="108"/>
      <c r="AI694" s="108"/>
      <c r="AJ694" s="108"/>
      <c r="AK694" s="108"/>
      <c r="AL694" s="108"/>
      <c r="AM694" s="108"/>
      <c r="AN694" s="108"/>
      <c r="AO694" s="108"/>
      <c r="AP694" s="108"/>
      <c r="AQ694" s="108"/>
      <c r="AR694" s="108"/>
      <c r="AS694" s="108"/>
      <c r="AT694" s="108"/>
      <c r="AU694" s="108"/>
      <c r="AV694" s="108"/>
      <c r="AW694" s="108"/>
      <c r="AX694" s="108"/>
      <c r="AY694" s="108"/>
      <c r="AZ694" s="108"/>
      <c r="BA694" s="108"/>
      <c r="BB694" s="108"/>
      <c r="BC694" s="108"/>
      <c r="BD694" s="108"/>
      <c r="BE694" s="108"/>
      <c r="BF694" s="108"/>
      <c r="BG694" s="108"/>
      <c r="BH694" s="108"/>
      <c r="BI694" s="108"/>
      <c r="BJ694" s="108"/>
      <c r="BK694" s="108"/>
      <c r="BL694" s="108"/>
      <c r="BM694" s="109"/>
      <c r="BN694" s="108"/>
      <c r="BO694" s="108"/>
      <c r="BP694" s="108"/>
    </row>
    <row r="695" spans="1:68" ht="12" customHeight="1" x14ac:dyDescent="0.2">
      <c r="A695" s="179"/>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c r="AA695" s="108"/>
      <c r="AB695" s="108"/>
      <c r="AC695" s="108"/>
      <c r="AD695" s="108"/>
      <c r="AE695" s="108"/>
      <c r="AF695" s="108"/>
      <c r="AG695" s="108"/>
      <c r="AH695" s="108"/>
      <c r="AI695" s="108"/>
      <c r="AJ695" s="108"/>
      <c r="AK695" s="108"/>
      <c r="AL695" s="108"/>
      <c r="AM695" s="108"/>
      <c r="AN695" s="108"/>
      <c r="AO695" s="108"/>
      <c r="AP695" s="108"/>
      <c r="AQ695" s="108"/>
      <c r="AR695" s="108"/>
      <c r="AS695" s="108"/>
      <c r="AT695" s="108"/>
      <c r="AU695" s="108"/>
      <c r="AV695" s="108"/>
      <c r="AW695" s="108"/>
      <c r="AX695" s="108"/>
      <c r="AY695" s="108"/>
      <c r="AZ695" s="108"/>
      <c r="BA695" s="108"/>
      <c r="BB695" s="108"/>
      <c r="BC695" s="108"/>
      <c r="BD695" s="108"/>
      <c r="BE695" s="108"/>
      <c r="BF695" s="108"/>
      <c r="BG695" s="108"/>
      <c r="BH695" s="108"/>
      <c r="BI695" s="108"/>
      <c r="BJ695" s="108"/>
      <c r="BK695" s="108"/>
      <c r="BL695" s="108"/>
      <c r="BM695" s="109"/>
      <c r="BN695" s="108"/>
      <c r="BO695" s="108"/>
      <c r="BP695" s="108"/>
    </row>
    <row r="696" spans="1:68" ht="12" customHeight="1" x14ac:dyDescent="0.2">
      <c r="A696" s="179"/>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c r="AA696" s="108"/>
      <c r="AB696" s="108"/>
      <c r="AC696" s="108"/>
      <c r="AD696" s="108"/>
      <c r="AE696" s="108"/>
      <c r="AF696" s="108"/>
      <c r="AG696" s="108"/>
      <c r="AH696" s="108"/>
      <c r="AI696" s="108"/>
      <c r="AJ696" s="108"/>
      <c r="AK696" s="108"/>
      <c r="AL696" s="108"/>
      <c r="AM696" s="108"/>
      <c r="AN696" s="108"/>
      <c r="AO696" s="108"/>
      <c r="AP696" s="108"/>
      <c r="AQ696" s="108"/>
      <c r="AR696" s="108"/>
      <c r="AS696" s="108"/>
      <c r="AT696" s="108"/>
      <c r="AU696" s="108"/>
      <c r="AV696" s="108"/>
      <c r="AW696" s="108"/>
      <c r="AX696" s="108"/>
      <c r="AY696" s="108"/>
      <c r="AZ696" s="108"/>
      <c r="BA696" s="108"/>
      <c r="BB696" s="108"/>
      <c r="BC696" s="108"/>
      <c r="BD696" s="108"/>
      <c r="BE696" s="108"/>
      <c r="BF696" s="108"/>
      <c r="BG696" s="108"/>
      <c r="BH696" s="108"/>
      <c r="BI696" s="108"/>
      <c r="BJ696" s="108"/>
      <c r="BK696" s="108"/>
      <c r="BL696" s="108"/>
      <c r="BM696" s="109"/>
      <c r="BN696" s="108"/>
      <c r="BO696" s="108"/>
      <c r="BP696" s="108"/>
    </row>
    <row r="697" spans="1:68" ht="12" customHeight="1" x14ac:dyDescent="0.2">
      <c r="A697" s="179"/>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c r="AA697" s="108"/>
      <c r="AB697" s="108"/>
      <c r="AC697" s="108"/>
      <c r="AD697" s="108"/>
      <c r="AE697" s="108"/>
      <c r="AF697" s="108"/>
      <c r="AG697" s="108"/>
      <c r="AH697" s="108"/>
      <c r="AI697" s="108"/>
      <c r="AJ697" s="108"/>
      <c r="AK697" s="108"/>
      <c r="AL697" s="108"/>
      <c r="AM697" s="108"/>
      <c r="AN697" s="108"/>
      <c r="AO697" s="108"/>
      <c r="AP697" s="108"/>
      <c r="AQ697" s="108"/>
      <c r="AR697" s="108"/>
      <c r="AS697" s="108"/>
      <c r="AT697" s="108"/>
      <c r="AU697" s="108"/>
      <c r="AV697" s="108"/>
      <c r="AW697" s="108"/>
      <c r="AX697" s="108"/>
      <c r="AY697" s="108"/>
      <c r="AZ697" s="108"/>
      <c r="BA697" s="108"/>
      <c r="BB697" s="108"/>
      <c r="BC697" s="108"/>
      <c r="BD697" s="108"/>
      <c r="BE697" s="108"/>
      <c r="BF697" s="108"/>
      <c r="BG697" s="108"/>
      <c r="BH697" s="108"/>
      <c r="BI697" s="108"/>
      <c r="BJ697" s="108"/>
      <c r="BK697" s="108"/>
      <c r="BL697" s="108"/>
      <c r="BM697" s="109"/>
      <c r="BN697" s="108"/>
      <c r="BO697" s="108"/>
      <c r="BP697" s="108"/>
    </row>
    <row r="698" spans="1:68" ht="12" customHeight="1" x14ac:dyDescent="0.2">
      <c r="A698" s="179"/>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c r="AA698" s="108"/>
      <c r="AB698" s="108"/>
      <c r="AC698" s="108"/>
      <c r="AD698" s="108"/>
      <c r="AE698" s="108"/>
      <c r="AF698" s="108"/>
      <c r="AG698" s="108"/>
      <c r="AH698" s="108"/>
      <c r="AI698" s="108"/>
      <c r="AJ698" s="108"/>
      <c r="AK698" s="108"/>
      <c r="AL698" s="108"/>
      <c r="AM698" s="108"/>
      <c r="AN698" s="108"/>
      <c r="AO698" s="108"/>
      <c r="AP698" s="108"/>
      <c r="AQ698" s="108"/>
      <c r="AR698" s="108"/>
      <c r="AS698" s="108"/>
      <c r="AT698" s="108"/>
      <c r="AU698" s="108"/>
      <c r="AV698" s="108"/>
      <c r="AW698" s="108"/>
      <c r="AX698" s="108"/>
      <c r="AY698" s="108"/>
      <c r="AZ698" s="108"/>
      <c r="BA698" s="108"/>
      <c r="BB698" s="108"/>
      <c r="BC698" s="108"/>
      <c r="BD698" s="108"/>
      <c r="BE698" s="108"/>
      <c r="BF698" s="108"/>
      <c r="BG698" s="108"/>
      <c r="BH698" s="108"/>
      <c r="BI698" s="108"/>
      <c r="BJ698" s="108"/>
      <c r="BK698" s="108"/>
      <c r="BL698" s="108"/>
      <c r="BM698" s="109"/>
      <c r="BN698" s="108"/>
      <c r="BO698" s="108"/>
      <c r="BP698" s="108"/>
    </row>
    <row r="699" spans="1:68" ht="12" customHeight="1" x14ac:dyDescent="0.2">
      <c r="A699" s="179"/>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c r="AA699" s="108"/>
      <c r="AB699" s="108"/>
      <c r="AC699" s="108"/>
      <c r="AD699" s="108"/>
      <c r="AE699" s="108"/>
      <c r="AF699" s="108"/>
      <c r="AG699" s="108"/>
      <c r="AH699" s="108"/>
      <c r="AI699" s="108"/>
      <c r="AJ699" s="108"/>
      <c r="AK699" s="108"/>
      <c r="AL699" s="108"/>
      <c r="AM699" s="108"/>
      <c r="AN699" s="108"/>
      <c r="AO699" s="108"/>
      <c r="AP699" s="108"/>
      <c r="AQ699" s="108"/>
      <c r="AR699" s="108"/>
      <c r="AS699" s="108"/>
      <c r="AT699" s="108"/>
      <c r="AU699" s="108"/>
      <c r="AV699" s="108"/>
      <c r="AW699" s="108"/>
      <c r="AX699" s="108"/>
      <c r="AY699" s="108"/>
      <c r="AZ699" s="108"/>
      <c r="BA699" s="108"/>
      <c r="BB699" s="108"/>
      <c r="BC699" s="108"/>
      <c r="BD699" s="108"/>
      <c r="BE699" s="108"/>
      <c r="BF699" s="108"/>
      <c r="BG699" s="108"/>
      <c r="BH699" s="108"/>
      <c r="BI699" s="108"/>
      <c r="BJ699" s="108"/>
      <c r="BK699" s="108"/>
      <c r="BL699" s="108"/>
      <c r="BM699" s="109"/>
      <c r="BN699" s="108"/>
      <c r="BO699" s="108"/>
      <c r="BP699" s="108"/>
    </row>
    <row r="700" spans="1:68" ht="12" customHeight="1" x14ac:dyDescent="0.2">
      <c r="A700" s="179"/>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c r="AA700" s="108"/>
      <c r="AB700" s="108"/>
      <c r="AC700" s="108"/>
      <c r="AD700" s="108"/>
      <c r="AE700" s="108"/>
      <c r="AF700" s="108"/>
      <c r="AG700" s="108"/>
      <c r="AH700" s="108"/>
      <c r="AI700" s="108"/>
      <c r="AJ700" s="108"/>
      <c r="AK700" s="108"/>
      <c r="AL700" s="108"/>
      <c r="AM700" s="108"/>
      <c r="AN700" s="108"/>
      <c r="AO700" s="108"/>
      <c r="AP700" s="108"/>
      <c r="AQ700" s="108"/>
      <c r="AR700" s="108"/>
      <c r="AS700" s="108"/>
      <c r="AT700" s="108"/>
      <c r="AU700" s="108"/>
      <c r="AV700" s="108"/>
      <c r="AW700" s="108"/>
      <c r="AX700" s="108"/>
      <c r="AY700" s="108"/>
      <c r="AZ700" s="108"/>
      <c r="BA700" s="108"/>
      <c r="BB700" s="108"/>
      <c r="BC700" s="108"/>
      <c r="BD700" s="108"/>
      <c r="BE700" s="108"/>
      <c r="BF700" s="108"/>
      <c r="BG700" s="108"/>
      <c r="BH700" s="108"/>
      <c r="BI700" s="108"/>
      <c r="BJ700" s="108"/>
      <c r="BK700" s="108"/>
      <c r="BL700" s="108"/>
      <c r="BM700" s="109"/>
      <c r="BN700" s="108"/>
      <c r="BO700" s="108"/>
      <c r="BP700" s="108"/>
    </row>
    <row r="701" spans="1:68" ht="12" customHeight="1" x14ac:dyDescent="0.2">
      <c r="A701" s="179"/>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c r="AA701" s="108"/>
      <c r="AB701" s="108"/>
      <c r="AC701" s="108"/>
      <c r="AD701" s="108"/>
      <c r="AE701" s="108"/>
      <c r="AF701" s="108"/>
      <c r="AG701" s="108"/>
      <c r="AH701" s="108"/>
      <c r="AI701" s="108"/>
      <c r="AJ701" s="108"/>
      <c r="AK701" s="108"/>
      <c r="AL701" s="108"/>
      <c r="AM701" s="108"/>
      <c r="AN701" s="108"/>
      <c r="AO701" s="108"/>
      <c r="AP701" s="108"/>
      <c r="AQ701" s="108"/>
      <c r="AR701" s="108"/>
      <c r="AS701" s="108"/>
      <c r="AT701" s="108"/>
      <c r="AU701" s="108"/>
      <c r="AV701" s="108"/>
      <c r="AW701" s="108"/>
      <c r="AX701" s="108"/>
      <c r="AY701" s="108"/>
      <c r="AZ701" s="108"/>
      <c r="BA701" s="108"/>
      <c r="BB701" s="108"/>
      <c r="BC701" s="108"/>
      <c r="BD701" s="108"/>
      <c r="BE701" s="108"/>
      <c r="BF701" s="108"/>
      <c r="BG701" s="108"/>
      <c r="BH701" s="108"/>
      <c r="BI701" s="108"/>
      <c r="BJ701" s="108"/>
      <c r="BK701" s="108"/>
      <c r="BL701" s="108"/>
      <c r="BM701" s="109"/>
      <c r="BN701" s="108"/>
      <c r="BO701" s="108"/>
      <c r="BP701" s="108"/>
    </row>
    <row r="702" spans="1:68" ht="12" customHeight="1" x14ac:dyDescent="0.2">
      <c r="A702" s="179"/>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c r="AA702" s="108"/>
      <c r="AB702" s="108"/>
      <c r="AC702" s="108"/>
      <c r="AD702" s="108"/>
      <c r="AE702" s="108"/>
      <c r="AF702" s="108"/>
      <c r="AG702" s="108"/>
      <c r="AH702" s="108"/>
      <c r="AI702" s="108"/>
      <c r="AJ702" s="108"/>
      <c r="AK702" s="108"/>
      <c r="AL702" s="108"/>
      <c r="AM702" s="108"/>
      <c r="AN702" s="108"/>
      <c r="AO702" s="108"/>
      <c r="AP702" s="108"/>
      <c r="AQ702" s="108"/>
      <c r="AR702" s="108"/>
      <c r="AS702" s="108"/>
      <c r="AT702" s="108"/>
      <c r="AU702" s="108"/>
      <c r="AV702" s="108"/>
      <c r="AW702" s="108"/>
      <c r="AX702" s="108"/>
      <c r="AY702" s="108"/>
      <c r="AZ702" s="108"/>
      <c r="BA702" s="108"/>
      <c r="BB702" s="108"/>
      <c r="BC702" s="108"/>
      <c r="BD702" s="108"/>
      <c r="BE702" s="108"/>
      <c r="BF702" s="108"/>
      <c r="BG702" s="108"/>
      <c r="BH702" s="108"/>
      <c r="BI702" s="108"/>
      <c r="BJ702" s="108"/>
      <c r="BK702" s="108"/>
      <c r="BL702" s="108"/>
      <c r="BM702" s="109"/>
      <c r="BN702" s="108"/>
      <c r="BO702" s="108"/>
      <c r="BP702" s="108"/>
    </row>
    <row r="703" spans="1:68" ht="12" customHeight="1" x14ac:dyDescent="0.2">
      <c r="A703" s="179"/>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c r="AA703" s="108"/>
      <c r="AB703" s="108"/>
      <c r="AC703" s="108"/>
      <c r="AD703" s="108"/>
      <c r="AE703" s="108"/>
      <c r="AF703" s="108"/>
      <c r="AG703" s="108"/>
      <c r="AH703" s="108"/>
      <c r="AI703" s="108"/>
      <c r="AJ703" s="108"/>
      <c r="AK703" s="108"/>
      <c r="AL703" s="108"/>
      <c r="AM703" s="108"/>
      <c r="AN703" s="108"/>
      <c r="AO703" s="108"/>
      <c r="AP703" s="108"/>
      <c r="AQ703" s="108"/>
      <c r="AR703" s="108"/>
      <c r="AS703" s="108"/>
      <c r="AT703" s="108"/>
      <c r="AU703" s="108"/>
      <c r="AV703" s="108"/>
      <c r="AW703" s="108"/>
      <c r="AX703" s="108"/>
      <c r="AY703" s="108"/>
      <c r="AZ703" s="108"/>
      <c r="BA703" s="108"/>
      <c r="BB703" s="108"/>
      <c r="BC703" s="108"/>
      <c r="BD703" s="108"/>
      <c r="BE703" s="108"/>
      <c r="BF703" s="108"/>
      <c r="BG703" s="108"/>
      <c r="BH703" s="108"/>
      <c r="BI703" s="108"/>
      <c r="BJ703" s="108"/>
      <c r="BK703" s="108"/>
      <c r="BL703" s="108"/>
      <c r="BM703" s="109"/>
      <c r="BN703" s="108"/>
      <c r="BO703" s="108"/>
      <c r="BP703" s="108"/>
    </row>
    <row r="704" spans="1:68" ht="12" customHeight="1" x14ac:dyDescent="0.2">
      <c r="A704" s="179"/>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c r="AA704" s="108"/>
      <c r="AB704" s="108"/>
      <c r="AC704" s="108"/>
      <c r="AD704" s="108"/>
      <c r="AE704" s="108"/>
      <c r="AF704" s="108"/>
      <c r="AG704" s="108"/>
      <c r="AH704" s="108"/>
      <c r="AI704" s="108"/>
      <c r="AJ704" s="108"/>
      <c r="AK704" s="108"/>
      <c r="AL704" s="108"/>
      <c r="AM704" s="108"/>
      <c r="AN704" s="108"/>
      <c r="AO704" s="108"/>
      <c r="AP704" s="108"/>
      <c r="AQ704" s="108"/>
      <c r="AR704" s="108"/>
      <c r="AS704" s="108"/>
      <c r="AT704" s="108"/>
      <c r="AU704" s="108"/>
      <c r="AV704" s="108"/>
      <c r="AW704" s="108"/>
      <c r="AX704" s="108"/>
      <c r="AY704" s="108"/>
      <c r="AZ704" s="108"/>
      <c r="BA704" s="108"/>
      <c r="BB704" s="108"/>
      <c r="BC704" s="108"/>
      <c r="BD704" s="108"/>
      <c r="BE704" s="108"/>
      <c r="BF704" s="108"/>
      <c r="BG704" s="108"/>
      <c r="BH704" s="108"/>
      <c r="BI704" s="108"/>
      <c r="BJ704" s="108"/>
      <c r="BK704" s="108"/>
      <c r="BL704" s="108"/>
      <c r="BM704" s="109"/>
      <c r="BN704" s="108"/>
      <c r="BO704" s="108"/>
      <c r="BP704" s="108"/>
    </row>
    <row r="705" spans="1:68" ht="12" customHeight="1" x14ac:dyDescent="0.2">
      <c r="A705" s="179"/>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c r="AA705" s="108"/>
      <c r="AB705" s="108"/>
      <c r="AC705" s="108"/>
      <c r="AD705" s="108"/>
      <c r="AE705" s="108"/>
      <c r="AF705" s="108"/>
      <c r="AG705" s="108"/>
      <c r="AH705" s="108"/>
      <c r="AI705" s="108"/>
      <c r="AJ705" s="108"/>
      <c r="AK705" s="108"/>
      <c r="AL705" s="108"/>
      <c r="AM705" s="108"/>
      <c r="AN705" s="108"/>
      <c r="AO705" s="108"/>
      <c r="AP705" s="108"/>
      <c r="AQ705" s="108"/>
      <c r="AR705" s="108"/>
      <c r="AS705" s="108"/>
      <c r="AT705" s="108"/>
      <c r="AU705" s="108"/>
      <c r="AV705" s="108"/>
      <c r="AW705" s="108"/>
      <c r="AX705" s="108"/>
      <c r="AY705" s="108"/>
      <c r="AZ705" s="108"/>
      <c r="BA705" s="108"/>
      <c r="BB705" s="108"/>
      <c r="BC705" s="108"/>
      <c r="BD705" s="108"/>
      <c r="BE705" s="108"/>
      <c r="BF705" s="108"/>
      <c r="BG705" s="108"/>
      <c r="BH705" s="108"/>
      <c r="BI705" s="108"/>
      <c r="BJ705" s="108"/>
      <c r="BK705" s="108"/>
      <c r="BL705" s="108"/>
      <c r="BM705" s="109"/>
      <c r="BN705" s="108"/>
      <c r="BO705" s="108"/>
      <c r="BP705" s="108"/>
    </row>
    <row r="706" spans="1:68" ht="12" customHeight="1" x14ac:dyDescent="0.2">
      <c r="A706" s="179"/>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c r="AA706" s="108"/>
      <c r="AB706" s="108"/>
      <c r="AC706" s="108"/>
      <c r="AD706" s="108"/>
      <c r="AE706" s="108"/>
      <c r="AF706" s="108"/>
      <c r="AG706" s="108"/>
      <c r="AH706" s="108"/>
      <c r="AI706" s="108"/>
      <c r="AJ706" s="108"/>
      <c r="AK706" s="108"/>
      <c r="AL706" s="108"/>
      <c r="AM706" s="108"/>
      <c r="AN706" s="108"/>
      <c r="AO706" s="108"/>
      <c r="AP706" s="108"/>
      <c r="AQ706" s="108"/>
      <c r="AR706" s="108"/>
      <c r="AS706" s="108"/>
      <c r="AT706" s="108"/>
      <c r="AU706" s="108"/>
      <c r="AV706" s="108"/>
      <c r="AW706" s="108"/>
      <c r="AX706" s="108"/>
      <c r="AY706" s="108"/>
      <c r="AZ706" s="108"/>
      <c r="BA706" s="108"/>
      <c r="BB706" s="108"/>
      <c r="BC706" s="108"/>
      <c r="BD706" s="108"/>
      <c r="BE706" s="108"/>
      <c r="BF706" s="108"/>
      <c r="BG706" s="108"/>
      <c r="BH706" s="108"/>
      <c r="BI706" s="108"/>
      <c r="BJ706" s="108"/>
      <c r="BK706" s="108"/>
      <c r="BL706" s="108"/>
      <c r="BM706" s="109"/>
      <c r="BN706" s="108"/>
      <c r="BO706" s="108"/>
      <c r="BP706" s="108"/>
    </row>
    <row r="707" spans="1:68" ht="12" customHeight="1" x14ac:dyDescent="0.2">
      <c r="A707" s="179"/>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c r="AA707" s="108"/>
      <c r="AB707" s="108"/>
      <c r="AC707" s="108"/>
      <c r="AD707" s="108"/>
      <c r="AE707" s="108"/>
      <c r="AF707" s="108"/>
      <c r="AG707" s="108"/>
      <c r="AH707" s="108"/>
      <c r="AI707" s="108"/>
      <c r="AJ707" s="108"/>
      <c r="AK707" s="108"/>
      <c r="AL707" s="108"/>
      <c r="AM707" s="108"/>
      <c r="AN707" s="108"/>
      <c r="AO707" s="108"/>
      <c r="AP707" s="108"/>
      <c r="AQ707" s="108"/>
      <c r="AR707" s="108"/>
      <c r="AS707" s="108"/>
      <c r="AT707" s="108"/>
      <c r="AU707" s="108"/>
      <c r="AV707" s="108"/>
      <c r="AW707" s="108"/>
      <c r="AX707" s="108"/>
      <c r="AY707" s="108"/>
      <c r="AZ707" s="108"/>
      <c r="BA707" s="108"/>
      <c r="BB707" s="108"/>
      <c r="BC707" s="108"/>
      <c r="BD707" s="108"/>
      <c r="BE707" s="108"/>
      <c r="BF707" s="108"/>
      <c r="BG707" s="108"/>
      <c r="BH707" s="108"/>
      <c r="BI707" s="108"/>
      <c r="BJ707" s="108"/>
      <c r="BK707" s="108"/>
      <c r="BL707" s="108"/>
      <c r="BM707" s="109"/>
      <c r="BN707" s="108"/>
      <c r="BO707" s="108"/>
      <c r="BP707" s="108"/>
    </row>
    <row r="708" spans="1:68" ht="12" customHeight="1" x14ac:dyDescent="0.2">
      <c r="A708" s="179"/>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c r="AA708" s="108"/>
      <c r="AB708" s="108"/>
      <c r="AC708" s="108"/>
      <c r="AD708" s="108"/>
      <c r="AE708" s="108"/>
      <c r="AF708" s="108"/>
      <c r="AG708" s="108"/>
      <c r="AH708" s="108"/>
      <c r="AI708" s="108"/>
      <c r="AJ708" s="108"/>
      <c r="AK708" s="108"/>
      <c r="AL708" s="108"/>
      <c r="AM708" s="108"/>
      <c r="AN708" s="108"/>
      <c r="AO708" s="108"/>
      <c r="AP708" s="108"/>
      <c r="AQ708" s="108"/>
      <c r="AR708" s="108"/>
      <c r="AS708" s="108"/>
      <c r="AT708" s="108"/>
      <c r="AU708" s="108"/>
      <c r="AV708" s="108"/>
      <c r="AW708" s="108"/>
      <c r="AX708" s="108"/>
      <c r="AY708" s="108"/>
      <c r="AZ708" s="108"/>
      <c r="BA708" s="108"/>
      <c r="BB708" s="108"/>
      <c r="BC708" s="108"/>
      <c r="BD708" s="108"/>
      <c r="BE708" s="108"/>
      <c r="BF708" s="108"/>
      <c r="BG708" s="108"/>
      <c r="BH708" s="108"/>
      <c r="BI708" s="108"/>
      <c r="BJ708" s="108"/>
      <c r="BK708" s="108"/>
      <c r="BL708" s="108"/>
      <c r="BM708" s="109"/>
      <c r="BN708" s="108"/>
      <c r="BO708" s="108"/>
      <c r="BP708" s="108"/>
    </row>
    <row r="709" spans="1:68" ht="12" customHeight="1" x14ac:dyDescent="0.2">
      <c r="A709" s="179"/>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c r="AA709" s="108"/>
      <c r="AB709" s="108"/>
      <c r="AC709" s="108"/>
      <c r="AD709" s="108"/>
      <c r="AE709" s="108"/>
      <c r="AF709" s="108"/>
      <c r="AG709" s="108"/>
      <c r="AH709" s="108"/>
      <c r="AI709" s="108"/>
      <c r="AJ709" s="108"/>
      <c r="AK709" s="108"/>
      <c r="AL709" s="108"/>
      <c r="AM709" s="108"/>
      <c r="AN709" s="108"/>
      <c r="AO709" s="108"/>
      <c r="AP709" s="108"/>
      <c r="AQ709" s="108"/>
      <c r="AR709" s="108"/>
      <c r="AS709" s="108"/>
      <c r="AT709" s="108"/>
      <c r="AU709" s="108"/>
      <c r="AV709" s="108"/>
      <c r="AW709" s="108"/>
      <c r="AX709" s="108"/>
      <c r="AY709" s="108"/>
      <c r="AZ709" s="108"/>
      <c r="BA709" s="108"/>
      <c r="BB709" s="108"/>
      <c r="BC709" s="108"/>
      <c r="BD709" s="108"/>
      <c r="BE709" s="108"/>
      <c r="BF709" s="108"/>
      <c r="BG709" s="108"/>
      <c r="BH709" s="108"/>
      <c r="BI709" s="108"/>
      <c r="BJ709" s="108"/>
      <c r="BK709" s="108"/>
      <c r="BL709" s="108"/>
      <c r="BM709" s="109"/>
      <c r="BN709" s="108"/>
      <c r="BO709" s="108"/>
      <c r="BP709" s="108"/>
    </row>
    <row r="710" spans="1:68" ht="12" customHeight="1" x14ac:dyDescent="0.2">
      <c r="A710" s="179"/>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c r="AA710" s="108"/>
      <c r="AB710" s="108"/>
      <c r="AC710" s="108"/>
      <c r="AD710" s="108"/>
      <c r="AE710" s="108"/>
      <c r="AF710" s="108"/>
      <c r="AG710" s="108"/>
      <c r="AH710" s="108"/>
      <c r="AI710" s="108"/>
      <c r="AJ710" s="108"/>
      <c r="AK710" s="108"/>
      <c r="AL710" s="108"/>
      <c r="AM710" s="108"/>
      <c r="AN710" s="108"/>
      <c r="AO710" s="108"/>
      <c r="AP710" s="108"/>
      <c r="AQ710" s="108"/>
      <c r="AR710" s="108"/>
      <c r="AS710" s="108"/>
      <c r="AT710" s="108"/>
      <c r="AU710" s="108"/>
      <c r="AV710" s="108"/>
      <c r="AW710" s="108"/>
      <c r="AX710" s="108"/>
      <c r="AY710" s="108"/>
      <c r="AZ710" s="108"/>
      <c r="BA710" s="108"/>
      <c r="BB710" s="108"/>
      <c r="BC710" s="108"/>
      <c r="BD710" s="108"/>
      <c r="BE710" s="108"/>
      <c r="BF710" s="108"/>
      <c r="BG710" s="108"/>
      <c r="BH710" s="108"/>
      <c r="BI710" s="108"/>
      <c r="BJ710" s="108"/>
      <c r="BK710" s="108"/>
      <c r="BL710" s="108"/>
      <c r="BM710" s="109"/>
      <c r="BN710" s="108"/>
      <c r="BO710" s="108"/>
      <c r="BP710" s="108"/>
    </row>
    <row r="711" spans="1:68" ht="12" customHeight="1" x14ac:dyDescent="0.2">
      <c r="A711" s="179"/>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c r="AA711" s="108"/>
      <c r="AB711" s="108"/>
      <c r="AC711" s="108"/>
      <c r="AD711" s="108"/>
      <c r="AE711" s="108"/>
      <c r="AF711" s="108"/>
      <c r="AG711" s="108"/>
      <c r="AH711" s="108"/>
      <c r="AI711" s="108"/>
      <c r="AJ711" s="108"/>
      <c r="AK711" s="108"/>
      <c r="AL711" s="108"/>
      <c r="AM711" s="108"/>
      <c r="AN711" s="108"/>
      <c r="AO711" s="108"/>
      <c r="AP711" s="108"/>
      <c r="AQ711" s="108"/>
      <c r="AR711" s="108"/>
      <c r="AS711" s="108"/>
      <c r="AT711" s="108"/>
      <c r="AU711" s="108"/>
      <c r="AV711" s="108"/>
      <c r="AW711" s="108"/>
      <c r="AX711" s="108"/>
      <c r="AY711" s="108"/>
      <c r="AZ711" s="108"/>
      <c r="BA711" s="108"/>
      <c r="BB711" s="108"/>
      <c r="BC711" s="108"/>
      <c r="BD711" s="108"/>
      <c r="BE711" s="108"/>
      <c r="BF711" s="108"/>
      <c r="BG711" s="108"/>
      <c r="BH711" s="108"/>
      <c r="BI711" s="108"/>
      <c r="BJ711" s="108"/>
      <c r="BK711" s="108"/>
      <c r="BL711" s="108"/>
      <c r="BM711" s="109"/>
      <c r="BN711" s="108"/>
      <c r="BO711" s="108"/>
      <c r="BP711" s="108"/>
    </row>
    <row r="712" spans="1:68" ht="12" customHeight="1" x14ac:dyDescent="0.2">
      <c r="A712" s="179"/>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c r="AA712" s="108"/>
      <c r="AB712" s="108"/>
      <c r="AC712" s="108"/>
      <c r="AD712" s="108"/>
      <c r="AE712" s="108"/>
      <c r="AF712" s="108"/>
      <c r="AG712" s="108"/>
      <c r="AH712" s="108"/>
      <c r="AI712" s="108"/>
      <c r="AJ712" s="108"/>
      <c r="AK712" s="108"/>
      <c r="AL712" s="108"/>
      <c r="AM712" s="108"/>
      <c r="AN712" s="108"/>
      <c r="AO712" s="108"/>
      <c r="AP712" s="108"/>
      <c r="AQ712" s="108"/>
      <c r="AR712" s="108"/>
      <c r="AS712" s="108"/>
      <c r="AT712" s="108"/>
      <c r="AU712" s="108"/>
      <c r="AV712" s="108"/>
      <c r="AW712" s="108"/>
      <c r="AX712" s="108"/>
      <c r="AY712" s="108"/>
      <c r="AZ712" s="108"/>
      <c r="BA712" s="108"/>
      <c r="BB712" s="108"/>
      <c r="BC712" s="108"/>
      <c r="BD712" s="108"/>
      <c r="BE712" s="108"/>
      <c r="BF712" s="108"/>
      <c r="BG712" s="108"/>
      <c r="BH712" s="108"/>
      <c r="BI712" s="108"/>
      <c r="BJ712" s="108"/>
      <c r="BK712" s="108"/>
      <c r="BL712" s="108"/>
      <c r="BM712" s="109"/>
      <c r="BN712" s="108"/>
      <c r="BO712" s="108"/>
      <c r="BP712" s="108"/>
    </row>
    <row r="713" spans="1:68" ht="12" customHeight="1" x14ac:dyDescent="0.2">
      <c r="A713" s="179"/>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c r="AA713" s="108"/>
      <c r="AB713" s="108"/>
      <c r="AC713" s="108"/>
      <c r="AD713" s="108"/>
      <c r="AE713" s="108"/>
      <c r="AF713" s="108"/>
      <c r="AG713" s="108"/>
      <c r="AH713" s="108"/>
      <c r="AI713" s="108"/>
      <c r="AJ713" s="108"/>
      <c r="AK713" s="108"/>
      <c r="AL713" s="108"/>
      <c r="AM713" s="108"/>
      <c r="AN713" s="108"/>
      <c r="AO713" s="108"/>
      <c r="AP713" s="108"/>
      <c r="AQ713" s="108"/>
      <c r="AR713" s="108"/>
      <c r="AS713" s="108"/>
      <c r="AT713" s="108"/>
      <c r="AU713" s="108"/>
      <c r="AV713" s="108"/>
      <c r="AW713" s="108"/>
      <c r="AX713" s="108"/>
      <c r="AY713" s="108"/>
      <c r="AZ713" s="108"/>
      <c r="BA713" s="108"/>
      <c r="BB713" s="108"/>
      <c r="BC713" s="108"/>
      <c r="BD713" s="108"/>
      <c r="BE713" s="108"/>
      <c r="BF713" s="108"/>
      <c r="BG713" s="108"/>
      <c r="BH713" s="108"/>
      <c r="BI713" s="108"/>
      <c r="BJ713" s="108"/>
      <c r="BK713" s="108"/>
      <c r="BL713" s="108"/>
      <c r="BM713" s="109"/>
      <c r="BN713" s="108"/>
      <c r="BO713" s="108"/>
      <c r="BP713" s="108"/>
    </row>
    <row r="714" spans="1:68" ht="12" customHeight="1" x14ac:dyDescent="0.2">
      <c r="A714" s="179"/>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c r="AA714" s="108"/>
      <c r="AB714" s="108"/>
      <c r="AC714" s="108"/>
      <c r="AD714" s="108"/>
      <c r="AE714" s="108"/>
      <c r="AF714" s="108"/>
      <c r="AG714" s="108"/>
      <c r="AH714" s="108"/>
      <c r="AI714" s="108"/>
      <c r="AJ714" s="108"/>
      <c r="AK714" s="108"/>
      <c r="AL714" s="108"/>
      <c r="AM714" s="108"/>
      <c r="AN714" s="108"/>
      <c r="AO714" s="108"/>
      <c r="AP714" s="108"/>
      <c r="AQ714" s="108"/>
      <c r="AR714" s="108"/>
      <c r="AS714" s="108"/>
      <c r="AT714" s="108"/>
      <c r="AU714" s="108"/>
      <c r="AV714" s="108"/>
      <c r="AW714" s="108"/>
      <c r="AX714" s="108"/>
      <c r="AY714" s="108"/>
      <c r="AZ714" s="108"/>
      <c r="BA714" s="108"/>
      <c r="BB714" s="108"/>
      <c r="BC714" s="108"/>
      <c r="BD714" s="108"/>
      <c r="BE714" s="108"/>
      <c r="BF714" s="108"/>
      <c r="BG714" s="108"/>
      <c r="BH714" s="108"/>
      <c r="BI714" s="108"/>
      <c r="BJ714" s="108"/>
      <c r="BK714" s="108"/>
      <c r="BL714" s="108"/>
      <c r="BM714" s="109"/>
      <c r="BN714" s="108"/>
      <c r="BO714" s="108"/>
      <c r="BP714" s="108"/>
    </row>
    <row r="715" spans="1:68" ht="12" customHeight="1" x14ac:dyDescent="0.2">
      <c r="A715" s="179"/>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c r="AA715" s="108"/>
      <c r="AB715" s="108"/>
      <c r="AC715" s="108"/>
      <c r="AD715" s="108"/>
      <c r="AE715" s="108"/>
      <c r="AF715" s="108"/>
      <c r="AG715" s="108"/>
      <c r="AH715" s="108"/>
      <c r="AI715" s="108"/>
      <c r="AJ715" s="108"/>
      <c r="AK715" s="108"/>
      <c r="AL715" s="108"/>
      <c r="AM715" s="108"/>
      <c r="AN715" s="108"/>
      <c r="AO715" s="108"/>
      <c r="AP715" s="108"/>
      <c r="AQ715" s="108"/>
      <c r="AR715" s="108"/>
      <c r="AS715" s="108"/>
      <c r="AT715" s="108"/>
      <c r="AU715" s="108"/>
      <c r="AV715" s="108"/>
      <c r="AW715" s="108"/>
      <c r="AX715" s="108"/>
      <c r="AY715" s="108"/>
      <c r="AZ715" s="108"/>
      <c r="BA715" s="108"/>
      <c r="BB715" s="108"/>
      <c r="BC715" s="108"/>
      <c r="BD715" s="108"/>
      <c r="BE715" s="108"/>
      <c r="BF715" s="108"/>
      <c r="BG715" s="108"/>
      <c r="BH715" s="108"/>
      <c r="BI715" s="108"/>
      <c r="BJ715" s="108"/>
      <c r="BK715" s="108"/>
      <c r="BL715" s="108"/>
      <c r="BM715" s="109"/>
      <c r="BN715" s="108"/>
      <c r="BO715" s="108"/>
      <c r="BP715" s="108"/>
    </row>
    <row r="716" spans="1:68" ht="12" customHeight="1" x14ac:dyDescent="0.2">
      <c r="A716" s="179"/>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c r="AA716" s="108"/>
      <c r="AB716" s="108"/>
      <c r="AC716" s="108"/>
      <c r="AD716" s="108"/>
      <c r="AE716" s="108"/>
      <c r="AF716" s="108"/>
      <c r="AG716" s="108"/>
      <c r="AH716" s="108"/>
      <c r="AI716" s="108"/>
      <c r="AJ716" s="108"/>
      <c r="AK716" s="108"/>
      <c r="AL716" s="108"/>
      <c r="AM716" s="108"/>
      <c r="AN716" s="108"/>
      <c r="AO716" s="108"/>
      <c r="AP716" s="108"/>
      <c r="AQ716" s="108"/>
      <c r="AR716" s="108"/>
      <c r="AS716" s="108"/>
      <c r="AT716" s="108"/>
      <c r="AU716" s="108"/>
      <c r="AV716" s="108"/>
      <c r="AW716" s="108"/>
      <c r="AX716" s="108"/>
      <c r="AY716" s="108"/>
      <c r="AZ716" s="108"/>
      <c r="BA716" s="108"/>
      <c r="BB716" s="108"/>
      <c r="BC716" s="108"/>
      <c r="BD716" s="108"/>
      <c r="BE716" s="108"/>
      <c r="BF716" s="108"/>
      <c r="BG716" s="108"/>
      <c r="BH716" s="108"/>
      <c r="BI716" s="108"/>
      <c r="BJ716" s="108"/>
      <c r="BK716" s="108"/>
      <c r="BL716" s="108"/>
      <c r="BM716" s="109"/>
      <c r="BN716" s="108"/>
      <c r="BO716" s="108"/>
      <c r="BP716" s="108"/>
    </row>
    <row r="717" spans="1:68" ht="12" customHeight="1" x14ac:dyDescent="0.2">
      <c r="A717" s="179"/>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c r="AA717" s="108"/>
      <c r="AB717" s="108"/>
      <c r="AC717" s="108"/>
      <c r="AD717" s="108"/>
      <c r="AE717" s="108"/>
      <c r="AF717" s="108"/>
      <c r="AG717" s="108"/>
      <c r="AH717" s="108"/>
      <c r="AI717" s="108"/>
      <c r="AJ717" s="108"/>
      <c r="AK717" s="108"/>
      <c r="AL717" s="108"/>
      <c r="AM717" s="108"/>
      <c r="AN717" s="108"/>
      <c r="AO717" s="108"/>
      <c r="AP717" s="108"/>
      <c r="AQ717" s="108"/>
      <c r="AR717" s="108"/>
      <c r="AS717" s="108"/>
      <c r="AT717" s="108"/>
      <c r="AU717" s="108"/>
      <c r="AV717" s="108"/>
      <c r="AW717" s="108"/>
      <c r="AX717" s="108"/>
      <c r="AY717" s="108"/>
      <c r="AZ717" s="108"/>
      <c r="BA717" s="108"/>
      <c r="BB717" s="108"/>
      <c r="BC717" s="108"/>
      <c r="BD717" s="108"/>
      <c r="BE717" s="108"/>
      <c r="BF717" s="108"/>
      <c r="BG717" s="108"/>
      <c r="BH717" s="108"/>
      <c r="BI717" s="108"/>
      <c r="BJ717" s="108"/>
      <c r="BK717" s="108"/>
      <c r="BL717" s="108"/>
      <c r="BM717" s="109"/>
      <c r="BN717" s="108"/>
      <c r="BO717" s="108"/>
      <c r="BP717" s="108"/>
    </row>
    <row r="718" spans="1:68" ht="12" customHeight="1" x14ac:dyDescent="0.2">
      <c r="A718" s="179"/>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c r="AA718" s="108"/>
      <c r="AB718" s="108"/>
      <c r="AC718" s="108"/>
      <c r="AD718" s="108"/>
      <c r="AE718" s="108"/>
      <c r="AF718" s="108"/>
      <c r="AG718" s="108"/>
      <c r="AH718" s="108"/>
      <c r="AI718" s="108"/>
      <c r="AJ718" s="108"/>
      <c r="AK718" s="108"/>
      <c r="AL718" s="108"/>
      <c r="AM718" s="108"/>
      <c r="AN718" s="108"/>
      <c r="AO718" s="108"/>
      <c r="AP718" s="108"/>
      <c r="AQ718" s="108"/>
      <c r="AR718" s="108"/>
      <c r="AS718" s="108"/>
      <c r="AT718" s="108"/>
      <c r="AU718" s="108"/>
      <c r="AV718" s="108"/>
      <c r="AW718" s="108"/>
      <c r="AX718" s="108"/>
      <c r="AY718" s="108"/>
      <c r="AZ718" s="108"/>
      <c r="BA718" s="108"/>
      <c r="BB718" s="108"/>
      <c r="BC718" s="108"/>
      <c r="BD718" s="108"/>
      <c r="BE718" s="108"/>
      <c r="BF718" s="108"/>
      <c r="BG718" s="108"/>
      <c r="BH718" s="108"/>
      <c r="BI718" s="108"/>
      <c r="BJ718" s="108"/>
      <c r="BK718" s="108"/>
      <c r="BL718" s="108"/>
      <c r="BM718" s="109"/>
      <c r="BN718" s="108"/>
      <c r="BO718" s="108"/>
      <c r="BP718" s="108"/>
    </row>
    <row r="719" spans="1:68" ht="12" customHeight="1" x14ac:dyDescent="0.2">
      <c r="A719" s="179"/>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c r="AA719" s="108"/>
      <c r="AB719" s="108"/>
      <c r="AC719" s="108"/>
      <c r="AD719" s="108"/>
      <c r="AE719" s="108"/>
      <c r="AF719" s="108"/>
      <c r="AG719" s="108"/>
      <c r="AH719" s="108"/>
      <c r="AI719" s="108"/>
      <c r="AJ719" s="108"/>
      <c r="AK719" s="108"/>
      <c r="AL719" s="108"/>
      <c r="AM719" s="108"/>
      <c r="AN719" s="108"/>
      <c r="AO719" s="108"/>
      <c r="AP719" s="108"/>
      <c r="AQ719" s="108"/>
      <c r="AR719" s="108"/>
      <c r="AS719" s="108"/>
      <c r="AT719" s="108"/>
      <c r="AU719" s="108"/>
      <c r="AV719" s="108"/>
      <c r="AW719" s="108"/>
      <c r="AX719" s="108"/>
      <c r="AY719" s="108"/>
      <c r="AZ719" s="108"/>
      <c r="BA719" s="108"/>
      <c r="BB719" s="108"/>
      <c r="BC719" s="108"/>
      <c r="BD719" s="108"/>
      <c r="BE719" s="108"/>
      <c r="BF719" s="108"/>
      <c r="BG719" s="108"/>
      <c r="BH719" s="108"/>
      <c r="BI719" s="108"/>
      <c r="BJ719" s="108"/>
      <c r="BK719" s="108"/>
      <c r="BL719" s="108"/>
      <c r="BM719" s="109"/>
      <c r="BN719" s="108"/>
      <c r="BO719" s="108"/>
      <c r="BP719" s="108"/>
    </row>
    <row r="720" spans="1:68" ht="12" customHeight="1" x14ac:dyDescent="0.2">
      <c r="A720" s="179"/>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c r="AA720" s="108"/>
      <c r="AB720" s="108"/>
      <c r="AC720" s="108"/>
      <c r="AD720" s="108"/>
      <c r="AE720" s="108"/>
      <c r="AF720" s="108"/>
      <c r="AG720" s="108"/>
      <c r="AH720" s="108"/>
      <c r="AI720" s="108"/>
      <c r="AJ720" s="108"/>
      <c r="AK720" s="108"/>
      <c r="AL720" s="108"/>
      <c r="AM720" s="108"/>
      <c r="AN720" s="108"/>
      <c r="AO720" s="108"/>
      <c r="AP720" s="108"/>
      <c r="AQ720" s="108"/>
      <c r="AR720" s="108"/>
      <c r="AS720" s="108"/>
      <c r="AT720" s="108"/>
      <c r="AU720" s="108"/>
      <c r="AV720" s="108"/>
      <c r="AW720" s="108"/>
      <c r="AX720" s="108"/>
      <c r="AY720" s="108"/>
      <c r="AZ720" s="108"/>
      <c r="BA720" s="108"/>
      <c r="BB720" s="108"/>
      <c r="BC720" s="108"/>
      <c r="BD720" s="108"/>
      <c r="BE720" s="108"/>
      <c r="BF720" s="108"/>
      <c r="BG720" s="108"/>
      <c r="BH720" s="108"/>
      <c r="BI720" s="108"/>
      <c r="BJ720" s="108"/>
      <c r="BK720" s="108"/>
      <c r="BL720" s="108"/>
      <c r="BM720" s="109"/>
      <c r="BN720" s="108"/>
      <c r="BO720" s="108"/>
      <c r="BP720" s="108"/>
    </row>
    <row r="721" spans="1:68" ht="12" customHeight="1" x14ac:dyDescent="0.2">
      <c r="A721" s="179"/>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c r="AA721" s="108"/>
      <c r="AB721" s="108"/>
      <c r="AC721" s="108"/>
      <c r="AD721" s="108"/>
      <c r="AE721" s="108"/>
      <c r="AF721" s="108"/>
      <c r="AG721" s="108"/>
      <c r="AH721" s="108"/>
      <c r="AI721" s="108"/>
      <c r="AJ721" s="108"/>
      <c r="AK721" s="108"/>
      <c r="AL721" s="108"/>
      <c r="AM721" s="108"/>
      <c r="AN721" s="108"/>
      <c r="AO721" s="108"/>
      <c r="AP721" s="108"/>
      <c r="AQ721" s="108"/>
      <c r="AR721" s="108"/>
      <c r="AS721" s="108"/>
      <c r="AT721" s="108"/>
      <c r="AU721" s="108"/>
      <c r="AV721" s="108"/>
      <c r="AW721" s="108"/>
      <c r="AX721" s="108"/>
      <c r="AY721" s="108"/>
      <c r="AZ721" s="108"/>
      <c r="BA721" s="108"/>
      <c r="BB721" s="108"/>
      <c r="BC721" s="108"/>
      <c r="BD721" s="108"/>
      <c r="BE721" s="108"/>
      <c r="BF721" s="108"/>
      <c r="BG721" s="108"/>
      <c r="BH721" s="108"/>
      <c r="BI721" s="108"/>
      <c r="BJ721" s="108"/>
      <c r="BK721" s="108"/>
      <c r="BL721" s="108"/>
      <c r="BM721" s="109"/>
      <c r="BN721" s="108"/>
      <c r="BO721" s="108"/>
      <c r="BP721" s="108"/>
    </row>
    <row r="722" spans="1:68" ht="12" customHeight="1" x14ac:dyDescent="0.2">
      <c r="A722" s="179"/>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c r="AA722" s="108"/>
      <c r="AB722" s="108"/>
      <c r="AC722" s="108"/>
      <c r="AD722" s="108"/>
      <c r="AE722" s="108"/>
      <c r="AF722" s="108"/>
      <c r="AG722" s="108"/>
      <c r="AH722" s="108"/>
      <c r="AI722" s="108"/>
      <c r="AJ722" s="108"/>
      <c r="AK722" s="108"/>
      <c r="AL722" s="108"/>
      <c r="AM722" s="108"/>
      <c r="AN722" s="108"/>
      <c r="AO722" s="108"/>
      <c r="AP722" s="108"/>
      <c r="AQ722" s="108"/>
      <c r="AR722" s="108"/>
      <c r="AS722" s="108"/>
      <c r="AT722" s="108"/>
      <c r="AU722" s="108"/>
      <c r="AV722" s="108"/>
      <c r="AW722" s="108"/>
      <c r="AX722" s="108"/>
      <c r="AY722" s="108"/>
      <c r="AZ722" s="108"/>
      <c r="BA722" s="108"/>
      <c r="BB722" s="108"/>
      <c r="BC722" s="108"/>
      <c r="BD722" s="108"/>
      <c r="BE722" s="108"/>
      <c r="BF722" s="108"/>
      <c r="BG722" s="108"/>
      <c r="BH722" s="108"/>
      <c r="BI722" s="108"/>
      <c r="BJ722" s="108"/>
      <c r="BK722" s="108"/>
      <c r="BL722" s="108"/>
      <c r="BM722" s="109"/>
      <c r="BN722" s="108"/>
      <c r="BO722" s="108"/>
      <c r="BP722" s="108"/>
    </row>
    <row r="723" spans="1:68" ht="12" customHeight="1" x14ac:dyDescent="0.2">
      <c r="A723" s="179"/>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c r="AA723" s="108"/>
      <c r="AB723" s="108"/>
      <c r="AC723" s="108"/>
      <c r="AD723" s="108"/>
      <c r="AE723" s="108"/>
      <c r="AF723" s="108"/>
      <c r="AG723" s="108"/>
      <c r="AH723" s="108"/>
      <c r="AI723" s="108"/>
      <c r="AJ723" s="108"/>
      <c r="AK723" s="108"/>
      <c r="AL723" s="108"/>
      <c r="AM723" s="108"/>
      <c r="AN723" s="108"/>
      <c r="AO723" s="108"/>
      <c r="AP723" s="108"/>
      <c r="AQ723" s="108"/>
      <c r="AR723" s="108"/>
      <c r="AS723" s="108"/>
      <c r="AT723" s="108"/>
      <c r="AU723" s="108"/>
      <c r="AV723" s="108"/>
      <c r="AW723" s="108"/>
      <c r="AX723" s="108"/>
      <c r="AY723" s="108"/>
      <c r="AZ723" s="108"/>
      <c r="BA723" s="108"/>
      <c r="BB723" s="108"/>
      <c r="BC723" s="108"/>
      <c r="BD723" s="108"/>
      <c r="BE723" s="108"/>
      <c r="BF723" s="108"/>
      <c r="BG723" s="108"/>
      <c r="BH723" s="108"/>
      <c r="BI723" s="108"/>
      <c r="BJ723" s="108"/>
      <c r="BK723" s="108"/>
      <c r="BL723" s="108"/>
      <c r="BM723" s="109"/>
      <c r="BN723" s="108"/>
      <c r="BO723" s="108"/>
      <c r="BP723" s="108"/>
    </row>
    <row r="724" spans="1:68" ht="12" customHeight="1" x14ac:dyDescent="0.2">
      <c r="A724" s="179"/>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c r="AA724" s="108"/>
      <c r="AB724" s="108"/>
      <c r="AC724" s="108"/>
      <c r="AD724" s="108"/>
      <c r="AE724" s="108"/>
      <c r="AF724" s="108"/>
      <c r="AG724" s="108"/>
      <c r="AH724" s="108"/>
      <c r="AI724" s="108"/>
      <c r="AJ724" s="108"/>
      <c r="AK724" s="108"/>
      <c r="AL724" s="108"/>
      <c r="AM724" s="108"/>
      <c r="AN724" s="108"/>
      <c r="AO724" s="108"/>
      <c r="AP724" s="108"/>
      <c r="AQ724" s="108"/>
      <c r="AR724" s="108"/>
      <c r="AS724" s="108"/>
      <c r="AT724" s="108"/>
      <c r="AU724" s="108"/>
      <c r="AV724" s="108"/>
      <c r="AW724" s="108"/>
      <c r="AX724" s="108"/>
      <c r="AY724" s="108"/>
      <c r="AZ724" s="108"/>
      <c r="BA724" s="108"/>
      <c r="BB724" s="108"/>
      <c r="BC724" s="108"/>
      <c r="BD724" s="108"/>
      <c r="BE724" s="108"/>
      <c r="BF724" s="108"/>
      <c r="BG724" s="108"/>
      <c r="BH724" s="108"/>
      <c r="BI724" s="108"/>
      <c r="BJ724" s="108"/>
      <c r="BK724" s="108"/>
      <c r="BL724" s="108"/>
      <c r="BM724" s="109"/>
      <c r="BN724" s="108"/>
      <c r="BO724" s="108"/>
      <c r="BP724" s="108"/>
    </row>
    <row r="725" spans="1:68" ht="12" customHeight="1" x14ac:dyDescent="0.2">
      <c r="A725" s="179"/>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c r="AA725" s="108"/>
      <c r="AB725" s="108"/>
      <c r="AC725" s="108"/>
      <c r="AD725" s="108"/>
      <c r="AE725" s="108"/>
      <c r="AF725" s="108"/>
      <c r="AG725" s="108"/>
      <c r="AH725" s="108"/>
      <c r="AI725" s="108"/>
      <c r="AJ725" s="108"/>
      <c r="AK725" s="108"/>
      <c r="AL725" s="108"/>
      <c r="AM725" s="108"/>
      <c r="AN725" s="108"/>
      <c r="AO725" s="108"/>
      <c r="AP725" s="108"/>
      <c r="AQ725" s="108"/>
      <c r="AR725" s="108"/>
      <c r="AS725" s="108"/>
      <c r="AT725" s="108"/>
      <c r="AU725" s="108"/>
      <c r="AV725" s="108"/>
      <c r="AW725" s="108"/>
      <c r="AX725" s="108"/>
      <c r="AY725" s="108"/>
      <c r="AZ725" s="108"/>
      <c r="BA725" s="108"/>
      <c r="BB725" s="108"/>
      <c r="BC725" s="108"/>
      <c r="BD725" s="108"/>
      <c r="BE725" s="108"/>
      <c r="BF725" s="108"/>
      <c r="BG725" s="108"/>
      <c r="BH725" s="108"/>
      <c r="BI725" s="108"/>
      <c r="BJ725" s="108"/>
      <c r="BK725" s="108"/>
      <c r="BL725" s="108"/>
      <c r="BM725" s="109"/>
      <c r="BN725" s="108"/>
      <c r="BO725" s="108"/>
      <c r="BP725" s="108"/>
    </row>
    <row r="726" spans="1:68" ht="12" customHeight="1" x14ac:dyDescent="0.2">
      <c r="A726" s="179"/>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c r="AA726" s="108"/>
      <c r="AB726" s="108"/>
      <c r="AC726" s="108"/>
      <c r="AD726" s="108"/>
      <c r="AE726" s="108"/>
      <c r="AF726" s="108"/>
      <c r="AG726" s="108"/>
      <c r="AH726" s="108"/>
      <c r="AI726" s="108"/>
      <c r="AJ726" s="108"/>
      <c r="AK726" s="108"/>
      <c r="AL726" s="108"/>
      <c r="AM726" s="108"/>
      <c r="AN726" s="108"/>
      <c r="AO726" s="108"/>
      <c r="AP726" s="108"/>
      <c r="AQ726" s="108"/>
      <c r="AR726" s="108"/>
      <c r="AS726" s="108"/>
      <c r="AT726" s="108"/>
      <c r="AU726" s="108"/>
      <c r="AV726" s="108"/>
      <c r="AW726" s="108"/>
      <c r="AX726" s="108"/>
      <c r="AY726" s="108"/>
      <c r="AZ726" s="108"/>
      <c r="BA726" s="108"/>
      <c r="BB726" s="108"/>
      <c r="BC726" s="108"/>
      <c r="BD726" s="108"/>
      <c r="BE726" s="108"/>
      <c r="BF726" s="108"/>
      <c r="BG726" s="108"/>
      <c r="BH726" s="108"/>
      <c r="BI726" s="108"/>
      <c r="BJ726" s="108"/>
      <c r="BK726" s="108"/>
      <c r="BL726" s="108"/>
      <c r="BM726" s="109"/>
      <c r="BN726" s="108"/>
      <c r="BO726" s="108"/>
      <c r="BP726" s="108"/>
    </row>
    <row r="727" spans="1:68" ht="12" customHeight="1" x14ac:dyDescent="0.2">
      <c r="A727" s="179"/>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c r="AA727" s="108"/>
      <c r="AB727" s="108"/>
      <c r="AC727" s="108"/>
      <c r="AD727" s="108"/>
      <c r="AE727" s="108"/>
      <c r="AF727" s="108"/>
      <c r="AG727" s="108"/>
      <c r="AH727" s="108"/>
      <c r="AI727" s="108"/>
      <c r="AJ727" s="108"/>
      <c r="AK727" s="108"/>
      <c r="AL727" s="108"/>
      <c r="AM727" s="108"/>
      <c r="AN727" s="108"/>
      <c r="AO727" s="108"/>
      <c r="AP727" s="108"/>
      <c r="AQ727" s="108"/>
      <c r="AR727" s="108"/>
      <c r="AS727" s="108"/>
      <c r="AT727" s="108"/>
      <c r="AU727" s="108"/>
      <c r="AV727" s="108"/>
      <c r="AW727" s="108"/>
      <c r="AX727" s="108"/>
      <c r="AY727" s="108"/>
      <c r="AZ727" s="108"/>
      <c r="BA727" s="108"/>
      <c r="BB727" s="108"/>
      <c r="BC727" s="108"/>
      <c r="BD727" s="108"/>
      <c r="BE727" s="108"/>
      <c r="BF727" s="108"/>
      <c r="BG727" s="108"/>
      <c r="BH727" s="108"/>
      <c r="BI727" s="108"/>
      <c r="BJ727" s="108"/>
      <c r="BK727" s="108"/>
      <c r="BL727" s="108"/>
      <c r="BM727" s="109"/>
      <c r="BN727" s="108"/>
      <c r="BO727" s="108"/>
      <c r="BP727" s="108"/>
    </row>
    <row r="728" spans="1:68" ht="12" customHeight="1" x14ac:dyDescent="0.2">
      <c r="A728" s="179"/>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c r="AA728" s="108"/>
      <c r="AB728" s="108"/>
      <c r="AC728" s="108"/>
      <c r="AD728" s="108"/>
      <c r="AE728" s="108"/>
      <c r="AF728" s="108"/>
      <c r="AG728" s="108"/>
      <c r="AH728" s="108"/>
      <c r="AI728" s="108"/>
      <c r="AJ728" s="108"/>
      <c r="AK728" s="108"/>
      <c r="AL728" s="108"/>
      <c r="AM728" s="108"/>
      <c r="AN728" s="108"/>
      <c r="AO728" s="108"/>
      <c r="AP728" s="108"/>
      <c r="AQ728" s="108"/>
      <c r="AR728" s="108"/>
      <c r="AS728" s="108"/>
      <c r="AT728" s="108"/>
      <c r="AU728" s="108"/>
      <c r="AV728" s="108"/>
      <c r="AW728" s="108"/>
      <c r="AX728" s="108"/>
      <c r="AY728" s="108"/>
      <c r="AZ728" s="108"/>
      <c r="BA728" s="108"/>
      <c r="BB728" s="108"/>
      <c r="BC728" s="108"/>
      <c r="BD728" s="108"/>
      <c r="BE728" s="108"/>
      <c r="BF728" s="108"/>
      <c r="BG728" s="108"/>
      <c r="BH728" s="108"/>
      <c r="BI728" s="108"/>
      <c r="BJ728" s="108"/>
      <c r="BK728" s="108"/>
      <c r="BL728" s="108"/>
      <c r="BM728" s="109"/>
      <c r="BN728" s="108"/>
      <c r="BO728" s="108"/>
      <c r="BP728" s="108"/>
    </row>
    <row r="729" spans="1:68" ht="12" customHeight="1" x14ac:dyDescent="0.2">
      <c r="A729" s="179"/>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c r="AA729" s="108"/>
      <c r="AB729" s="108"/>
      <c r="AC729" s="108"/>
      <c r="AD729" s="108"/>
      <c r="AE729" s="108"/>
      <c r="AF729" s="108"/>
      <c r="AG729" s="108"/>
      <c r="AH729" s="108"/>
      <c r="AI729" s="108"/>
      <c r="AJ729" s="108"/>
      <c r="AK729" s="108"/>
      <c r="AL729" s="108"/>
      <c r="AM729" s="108"/>
      <c r="AN729" s="108"/>
      <c r="AO729" s="108"/>
      <c r="AP729" s="108"/>
      <c r="AQ729" s="108"/>
      <c r="AR729" s="108"/>
      <c r="AS729" s="108"/>
      <c r="AT729" s="108"/>
      <c r="AU729" s="108"/>
      <c r="AV729" s="108"/>
      <c r="AW729" s="108"/>
      <c r="AX729" s="108"/>
      <c r="AY729" s="108"/>
      <c r="AZ729" s="108"/>
      <c r="BA729" s="108"/>
      <c r="BB729" s="108"/>
      <c r="BC729" s="108"/>
      <c r="BD729" s="108"/>
      <c r="BE729" s="108"/>
      <c r="BF729" s="108"/>
      <c r="BG729" s="108"/>
      <c r="BH729" s="108"/>
      <c r="BI729" s="108"/>
      <c r="BJ729" s="108"/>
      <c r="BK729" s="108"/>
      <c r="BL729" s="108"/>
      <c r="BM729" s="109"/>
      <c r="BN729" s="108"/>
      <c r="BO729" s="108"/>
      <c r="BP729" s="108"/>
    </row>
    <row r="730" spans="1:68" ht="12" customHeight="1" x14ac:dyDescent="0.2">
      <c r="A730" s="179"/>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c r="AA730" s="108"/>
      <c r="AB730" s="108"/>
      <c r="AC730" s="108"/>
      <c r="AD730" s="108"/>
      <c r="AE730" s="108"/>
      <c r="AF730" s="108"/>
      <c r="AG730" s="108"/>
      <c r="AH730" s="108"/>
      <c r="AI730" s="108"/>
      <c r="AJ730" s="108"/>
      <c r="AK730" s="108"/>
      <c r="AL730" s="108"/>
      <c r="AM730" s="108"/>
      <c r="AN730" s="108"/>
      <c r="AO730" s="108"/>
      <c r="AP730" s="108"/>
      <c r="AQ730" s="108"/>
      <c r="AR730" s="108"/>
      <c r="AS730" s="108"/>
      <c r="AT730" s="108"/>
      <c r="AU730" s="108"/>
      <c r="AV730" s="108"/>
      <c r="AW730" s="108"/>
      <c r="AX730" s="108"/>
      <c r="AY730" s="108"/>
      <c r="AZ730" s="108"/>
      <c r="BA730" s="108"/>
      <c r="BB730" s="108"/>
      <c r="BC730" s="108"/>
      <c r="BD730" s="108"/>
      <c r="BE730" s="108"/>
      <c r="BF730" s="108"/>
      <c r="BG730" s="108"/>
      <c r="BH730" s="108"/>
      <c r="BI730" s="108"/>
      <c r="BJ730" s="108"/>
      <c r="BK730" s="108"/>
      <c r="BL730" s="108"/>
      <c r="BM730" s="109"/>
      <c r="BN730" s="108"/>
      <c r="BO730" s="108"/>
      <c r="BP730" s="108"/>
    </row>
    <row r="731" spans="1:68" ht="12" customHeight="1" x14ac:dyDescent="0.2">
      <c r="A731" s="179"/>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c r="AA731" s="108"/>
      <c r="AB731" s="108"/>
      <c r="AC731" s="108"/>
      <c r="AD731" s="108"/>
      <c r="AE731" s="108"/>
      <c r="AF731" s="108"/>
      <c r="AG731" s="108"/>
      <c r="AH731" s="108"/>
      <c r="AI731" s="108"/>
      <c r="AJ731" s="108"/>
      <c r="AK731" s="108"/>
      <c r="AL731" s="108"/>
      <c r="AM731" s="108"/>
      <c r="AN731" s="108"/>
      <c r="AO731" s="108"/>
      <c r="AP731" s="108"/>
      <c r="AQ731" s="108"/>
      <c r="AR731" s="108"/>
      <c r="AS731" s="108"/>
      <c r="AT731" s="108"/>
      <c r="AU731" s="108"/>
      <c r="AV731" s="108"/>
      <c r="AW731" s="108"/>
      <c r="AX731" s="108"/>
      <c r="AY731" s="108"/>
      <c r="AZ731" s="108"/>
      <c r="BA731" s="108"/>
      <c r="BB731" s="108"/>
      <c r="BC731" s="108"/>
      <c r="BD731" s="108"/>
      <c r="BE731" s="108"/>
      <c r="BF731" s="108"/>
      <c r="BG731" s="108"/>
      <c r="BH731" s="108"/>
      <c r="BI731" s="108"/>
      <c r="BJ731" s="108"/>
      <c r="BK731" s="108"/>
      <c r="BL731" s="108"/>
      <c r="BM731" s="109"/>
      <c r="BN731" s="108"/>
      <c r="BO731" s="108"/>
      <c r="BP731" s="108"/>
    </row>
    <row r="732" spans="1:68" ht="12" customHeight="1" x14ac:dyDescent="0.2">
      <c r="A732" s="179"/>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c r="AA732" s="108"/>
      <c r="AB732" s="108"/>
      <c r="AC732" s="108"/>
      <c r="AD732" s="108"/>
      <c r="AE732" s="108"/>
      <c r="AF732" s="108"/>
      <c r="AG732" s="108"/>
      <c r="AH732" s="108"/>
      <c r="AI732" s="108"/>
      <c r="AJ732" s="108"/>
      <c r="AK732" s="108"/>
      <c r="AL732" s="108"/>
      <c r="AM732" s="108"/>
      <c r="AN732" s="108"/>
      <c r="AO732" s="108"/>
      <c r="AP732" s="108"/>
      <c r="AQ732" s="108"/>
      <c r="AR732" s="108"/>
      <c r="AS732" s="108"/>
      <c r="AT732" s="108"/>
      <c r="AU732" s="108"/>
      <c r="AV732" s="108"/>
      <c r="AW732" s="108"/>
      <c r="AX732" s="108"/>
      <c r="AY732" s="108"/>
      <c r="AZ732" s="108"/>
      <c r="BA732" s="108"/>
      <c r="BB732" s="108"/>
      <c r="BC732" s="108"/>
      <c r="BD732" s="108"/>
      <c r="BE732" s="108"/>
      <c r="BF732" s="108"/>
      <c r="BG732" s="108"/>
      <c r="BH732" s="108"/>
      <c r="BI732" s="108"/>
      <c r="BJ732" s="108"/>
      <c r="BK732" s="108"/>
      <c r="BL732" s="108"/>
      <c r="BM732" s="109"/>
      <c r="BN732" s="108"/>
      <c r="BO732" s="108"/>
      <c r="BP732" s="108"/>
    </row>
    <row r="733" spans="1:68" ht="12" customHeight="1" x14ac:dyDescent="0.2">
      <c r="A733" s="179"/>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c r="AA733" s="108"/>
      <c r="AB733" s="108"/>
      <c r="AC733" s="108"/>
      <c r="AD733" s="108"/>
      <c r="AE733" s="108"/>
      <c r="AF733" s="108"/>
      <c r="AG733" s="108"/>
      <c r="AH733" s="108"/>
      <c r="AI733" s="108"/>
      <c r="AJ733" s="108"/>
      <c r="AK733" s="108"/>
      <c r="AL733" s="108"/>
      <c r="AM733" s="108"/>
      <c r="AN733" s="108"/>
      <c r="AO733" s="108"/>
      <c r="AP733" s="108"/>
      <c r="AQ733" s="108"/>
      <c r="AR733" s="108"/>
      <c r="AS733" s="108"/>
      <c r="AT733" s="108"/>
      <c r="AU733" s="108"/>
      <c r="AV733" s="108"/>
      <c r="AW733" s="108"/>
      <c r="AX733" s="108"/>
      <c r="AY733" s="108"/>
      <c r="AZ733" s="108"/>
      <c r="BA733" s="108"/>
      <c r="BB733" s="108"/>
      <c r="BC733" s="108"/>
      <c r="BD733" s="108"/>
      <c r="BE733" s="108"/>
      <c r="BF733" s="108"/>
      <c r="BG733" s="108"/>
      <c r="BH733" s="108"/>
      <c r="BI733" s="108"/>
      <c r="BJ733" s="108"/>
      <c r="BK733" s="108"/>
      <c r="BL733" s="108"/>
      <c r="BM733" s="109"/>
      <c r="BN733" s="108"/>
      <c r="BO733" s="108"/>
      <c r="BP733" s="108"/>
    </row>
    <row r="734" spans="1:68" ht="12" customHeight="1" x14ac:dyDescent="0.2">
      <c r="A734" s="179"/>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c r="AA734" s="108"/>
      <c r="AB734" s="108"/>
      <c r="AC734" s="108"/>
      <c r="AD734" s="108"/>
      <c r="AE734" s="108"/>
      <c r="AF734" s="108"/>
      <c r="AG734" s="108"/>
      <c r="AH734" s="108"/>
      <c r="AI734" s="108"/>
      <c r="AJ734" s="108"/>
      <c r="AK734" s="108"/>
      <c r="AL734" s="108"/>
      <c r="AM734" s="108"/>
      <c r="AN734" s="108"/>
      <c r="AO734" s="108"/>
      <c r="AP734" s="108"/>
      <c r="AQ734" s="108"/>
      <c r="AR734" s="108"/>
      <c r="AS734" s="108"/>
      <c r="AT734" s="108"/>
      <c r="AU734" s="108"/>
      <c r="AV734" s="108"/>
      <c r="AW734" s="108"/>
      <c r="AX734" s="108"/>
      <c r="AY734" s="108"/>
      <c r="AZ734" s="108"/>
      <c r="BA734" s="108"/>
      <c r="BB734" s="108"/>
      <c r="BC734" s="108"/>
      <c r="BD734" s="108"/>
      <c r="BE734" s="108"/>
      <c r="BF734" s="108"/>
      <c r="BG734" s="108"/>
      <c r="BH734" s="108"/>
      <c r="BI734" s="108"/>
      <c r="BJ734" s="108"/>
      <c r="BK734" s="108"/>
      <c r="BL734" s="108"/>
      <c r="BM734" s="109"/>
      <c r="BN734" s="108"/>
      <c r="BO734" s="108"/>
      <c r="BP734" s="108"/>
    </row>
    <row r="735" spans="1:68" ht="12" customHeight="1" x14ac:dyDescent="0.2">
      <c r="A735" s="179"/>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c r="AA735" s="108"/>
      <c r="AB735" s="108"/>
      <c r="AC735" s="108"/>
      <c r="AD735" s="108"/>
      <c r="AE735" s="108"/>
      <c r="AF735" s="108"/>
      <c r="AG735" s="108"/>
      <c r="AH735" s="108"/>
      <c r="AI735" s="108"/>
      <c r="AJ735" s="108"/>
      <c r="AK735" s="108"/>
      <c r="AL735" s="108"/>
      <c r="AM735" s="108"/>
      <c r="AN735" s="108"/>
      <c r="AO735" s="108"/>
      <c r="AP735" s="108"/>
      <c r="AQ735" s="108"/>
      <c r="AR735" s="108"/>
      <c r="AS735" s="108"/>
      <c r="AT735" s="108"/>
      <c r="AU735" s="108"/>
      <c r="AV735" s="108"/>
      <c r="AW735" s="108"/>
      <c r="AX735" s="108"/>
      <c r="AY735" s="108"/>
      <c r="AZ735" s="108"/>
      <c r="BA735" s="108"/>
      <c r="BB735" s="108"/>
      <c r="BC735" s="108"/>
      <c r="BD735" s="108"/>
      <c r="BE735" s="108"/>
      <c r="BF735" s="108"/>
      <c r="BG735" s="108"/>
      <c r="BH735" s="108"/>
      <c r="BI735" s="108"/>
      <c r="BJ735" s="108"/>
      <c r="BK735" s="108"/>
      <c r="BL735" s="108"/>
      <c r="BM735" s="109"/>
      <c r="BN735" s="108"/>
      <c r="BO735" s="108"/>
      <c r="BP735" s="108"/>
    </row>
    <row r="736" spans="1:68" ht="12" customHeight="1" x14ac:dyDescent="0.2">
      <c r="A736" s="179"/>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c r="AA736" s="108"/>
      <c r="AB736" s="108"/>
      <c r="AC736" s="108"/>
      <c r="AD736" s="108"/>
      <c r="AE736" s="108"/>
      <c r="AF736" s="108"/>
      <c r="AG736" s="108"/>
      <c r="AH736" s="108"/>
      <c r="AI736" s="108"/>
      <c r="AJ736" s="108"/>
      <c r="AK736" s="108"/>
      <c r="AL736" s="108"/>
      <c r="AM736" s="108"/>
      <c r="AN736" s="108"/>
      <c r="AO736" s="108"/>
      <c r="AP736" s="108"/>
      <c r="AQ736" s="108"/>
      <c r="AR736" s="108"/>
      <c r="AS736" s="108"/>
      <c r="AT736" s="108"/>
      <c r="AU736" s="108"/>
      <c r="AV736" s="108"/>
      <c r="AW736" s="108"/>
      <c r="AX736" s="108"/>
      <c r="AY736" s="108"/>
      <c r="AZ736" s="108"/>
      <c r="BA736" s="108"/>
      <c r="BB736" s="108"/>
      <c r="BC736" s="108"/>
      <c r="BD736" s="108"/>
      <c r="BE736" s="108"/>
      <c r="BF736" s="108"/>
      <c r="BG736" s="108"/>
      <c r="BH736" s="108"/>
      <c r="BI736" s="108"/>
      <c r="BJ736" s="108"/>
      <c r="BK736" s="108"/>
      <c r="BL736" s="108"/>
      <c r="BM736" s="109"/>
      <c r="BN736" s="108"/>
      <c r="BO736" s="108"/>
      <c r="BP736" s="108"/>
    </row>
    <row r="737" spans="1:68" ht="12" customHeight="1" x14ac:dyDescent="0.2">
      <c r="A737" s="179"/>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c r="AA737" s="108"/>
      <c r="AB737" s="108"/>
      <c r="AC737" s="108"/>
      <c r="AD737" s="108"/>
      <c r="AE737" s="108"/>
      <c r="AF737" s="108"/>
      <c r="AG737" s="108"/>
      <c r="AH737" s="108"/>
      <c r="AI737" s="108"/>
      <c r="AJ737" s="108"/>
      <c r="AK737" s="108"/>
      <c r="AL737" s="108"/>
      <c r="AM737" s="108"/>
      <c r="AN737" s="108"/>
      <c r="AO737" s="108"/>
      <c r="AP737" s="108"/>
      <c r="AQ737" s="108"/>
      <c r="AR737" s="108"/>
      <c r="AS737" s="108"/>
      <c r="AT737" s="108"/>
      <c r="AU737" s="108"/>
      <c r="AV737" s="108"/>
      <c r="AW737" s="108"/>
      <c r="AX737" s="108"/>
      <c r="AY737" s="108"/>
      <c r="AZ737" s="108"/>
      <c r="BA737" s="108"/>
      <c r="BB737" s="108"/>
      <c r="BC737" s="108"/>
      <c r="BD737" s="108"/>
      <c r="BE737" s="108"/>
      <c r="BF737" s="108"/>
      <c r="BG737" s="108"/>
      <c r="BH737" s="108"/>
      <c r="BI737" s="108"/>
      <c r="BJ737" s="108"/>
      <c r="BK737" s="108"/>
      <c r="BL737" s="108"/>
      <c r="BM737" s="109"/>
      <c r="BN737" s="108"/>
      <c r="BO737" s="108"/>
      <c r="BP737" s="108"/>
    </row>
    <row r="738" spans="1:68" ht="12" customHeight="1" x14ac:dyDescent="0.2">
      <c r="A738" s="179"/>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c r="AA738" s="108"/>
      <c r="AB738" s="108"/>
      <c r="AC738" s="108"/>
      <c r="AD738" s="108"/>
      <c r="AE738" s="108"/>
      <c r="AF738" s="108"/>
      <c r="AG738" s="108"/>
      <c r="AH738" s="108"/>
      <c r="AI738" s="108"/>
      <c r="AJ738" s="108"/>
      <c r="AK738" s="108"/>
      <c r="AL738" s="108"/>
      <c r="AM738" s="108"/>
      <c r="AN738" s="108"/>
      <c r="AO738" s="108"/>
      <c r="AP738" s="108"/>
      <c r="AQ738" s="108"/>
      <c r="AR738" s="108"/>
      <c r="AS738" s="108"/>
      <c r="AT738" s="108"/>
      <c r="AU738" s="108"/>
      <c r="AV738" s="108"/>
      <c r="AW738" s="108"/>
      <c r="AX738" s="108"/>
      <c r="AY738" s="108"/>
      <c r="AZ738" s="108"/>
      <c r="BA738" s="108"/>
      <c r="BB738" s="108"/>
      <c r="BC738" s="108"/>
      <c r="BD738" s="108"/>
      <c r="BE738" s="108"/>
      <c r="BF738" s="108"/>
      <c r="BG738" s="108"/>
      <c r="BH738" s="108"/>
      <c r="BI738" s="108"/>
      <c r="BJ738" s="108"/>
      <c r="BK738" s="108"/>
      <c r="BL738" s="108"/>
      <c r="BM738" s="109"/>
      <c r="BN738" s="108"/>
      <c r="BO738" s="108"/>
      <c r="BP738" s="108"/>
    </row>
    <row r="739" spans="1:68" ht="12" customHeight="1" x14ac:dyDescent="0.2">
      <c r="A739" s="179"/>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c r="AA739" s="108"/>
      <c r="AB739" s="108"/>
      <c r="AC739" s="108"/>
      <c r="AD739" s="108"/>
      <c r="AE739" s="108"/>
      <c r="AF739" s="108"/>
      <c r="AG739" s="108"/>
      <c r="AH739" s="108"/>
      <c r="AI739" s="108"/>
      <c r="AJ739" s="108"/>
      <c r="AK739" s="108"/>
      <c r="AL739" s="108"/>
      <c r="AM739" s="108"/>
      <c r="AN739" s="108"/>
      <c r="AO739" s="108"/>
      <c r="AP739" s="108"/>
      <c r="AQ739" s="108"/>
      <c r="AR739" s="108"/>
      <c r="AS739" s="108"/>
      <c r="AT739" s="108"/>
      <c r="AU739" s="108"/>
      <c r="AV739" s="108"/>
      <c r="AW739" s="108"/>
      <c r="AX739" s="108"/>
      <c r="AY739" s="108"/>
      <c r="AZ739" s="108"/>
      <c r="BA739" s="108"/>
      <c r="BB739" s="108"/>
      <c r="BC739" s="108"/>
      <c r="BD739" s="108"/>
      <c r="BE739" s="108"/>
      <c r="BF739" s="108"/>
      <c r="BG739" s="108"/>
      <c r="BH739" s="108"/>
      <c r="BI739" s="108"/>
      <c r="BJ739" s="108"/>
      <c r="BK739" s="108"/>
      <c r="BL739" s="108"/>
      <c r="BM739" s="109"/>
      <c r="BN739" s="108"/>
      <c r="BO739" s="108"/>
      <c r="BP739" s="108"/>
    </row>
    <row r="740" spans="1:68" ht="12" customHeight="1" x14ac:dyDescent="0.2">
      <c r="A740" s="179"/>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c r="AA740" s="108"/>
      <c r="AB740" s="108"/>
      <c r="AC740" s="108"/>
      <c r="AD740" s="108"/>
      <c r="AE740" s="108"/>
      <c r="AF740" s="108"/>
      <c r="AG740" s="108"/>
      <c r="AH740" s="108"/>
      <c r="AI740" s="108"/>
      <c r="AJ740" s="108"/>
      <c r="AK740" s="108"/>
      <c r="AL740" s="108"/>
      <c r="AM740" s="108"/>
      <c r="AN740" s="108"/>
      <c r="AO740" s="108"/>
      <c r="AP740" s="108"/>
      <c r="AQ740" s="108"/>
      <c r="AR740" s="108"/>
      <c r="AS740" s="108"/>
      <c r="AT740" s="108"/>
      <c r="AU740" s="108"/>
      <c r="AV740" s="108"/>
      <c r="AW740" s="108"/>
      <c r="AX740" s="108"/>
      <c r="AY740" s="108"/>
      <c r="AZ740" s="108"/>
      <c r="BA740" s="108"/>
      <c r="BB740" s="108"/>
      <c r="BC740" s="108"/>
      <c r="BD740" s="108"/>
      <c r="BE740" s="108"/>
      <c r="BF740" s="108"/>
      <c r="BG740" s="108"/>
      <c r="BH740" s="108"/>
      <c r="BI740" s="108"/>
      <c r="BJ740" s="108"/>
      <c r="BK740" s="108"/>
      <c r="BL740" s="108"/>
      <c r="BM740" s="109"/>
      <c r="BN740" s="108"/>
      <c r="BO740" s="108"/>
      <c r="BP740" s="108"/>
    </row>
    <row r="741" spans="1:68" ht="12" customHeight="1" x14ac:dyDescent="0.2">
      <c r="A741" s="179"/>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c r="AA741" s="108"/>
      <c r="AB741" s="108"/>
      <c r="AC741" s="108"/>
      <c r="AD741" s="108"/>
      <c r="AE741" s="108"/>
      <c r="AF741" s="108"/>
      <c r="AG741" s="108"/>
      <c r="AH741" s="108"/>
      <c r="AI741" s="108"/>
      <c r="AJ741" s="108"/>
      <c r="AK741" s="108"/>
      <c r="AL741" s="108"/>
      <c r="AM741" s="108"/>
      <c r="AN741" s="108"/>
      <c r="AO741" s="108"/>
      <c r="AP741" s="108"/>
      <c r="AQ741" s="108"/>
      <c r="AR741" s="108"/>
      <c r="AS741" s="108"/>
      <c r="AT741" s="108"/>
      <c r="AU741" s="108"/>
      <c r="AV741" s="108"/>
      <c r="AW741" s="108"/>
      <c r="AX741" s="108"/>
      <c r="AY741" s="108"/>
      <c r="AZ741" s="108"/>
      <c r="BA741" s="108"/>
      <c r="BB741" s="108"/>
      <c r="BC741" s="108"/>
      <c r="BD741" s="108"/>
      <c r="BE741" s="108"/>
      <c r="BF741" s="108"/>
      <c r="BG741" s="108"/>
      <c r="BH741" s="108"/>
      <c r="BI741" s="108"/>
      <c r="BJ741" s="108"/>
      <c r="BK741" s="108"/>
      <c r="BL741" s="108"/>
      <c r="BM741" s="109"/>
      <c r="BN741" s="108"/>
      <c r="BO741" s="108"/>
      <c r="BP741" s="108"/>
    </row>
    <row r="742" spans="1:68" ht="12" customHeight="1" x14ac:dyDescent="0.2">
      <c r="A742" s="179"/>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c r="AA742" s="108"/>
      <c r="AB742" s="108"/>
      <c r="AC742" s="108"/>
      <c r="AD742" s="108"/>
      <c r="AE742" s="108"/>
      <c r="AF742" s="108"/>
      <c r="AG742" s="108"/>
      <c r="AH742" s="108"/>
      <c r="AI742" s="108"/>
      <c r="AJ742" s="108"/>
      <c r="AK742" s="108"/>
      <c r="AL742" s="108"/>
      <c r="AM742" s="108"/>
      <c r="AN742" s="108"/>
      <c r="AO742" s="108"/>
      <c r="AP742" s="108"/>
      <c r="AQ742" s="108"/>
      <c r="AR742" s="108"/>
      <c r="AS742" s="108"/>
      <c r="AT742" s="108"/>
      <c r="AU742" s="108"/>
      <c r="AV742" s="108"/>
      <c r="AW742" s="108"/>
      <c r="AX742" s="108"/>
      <c r="AY742" s="108"/>
      <c r="AZ742" s="108"/>
      <c r="BA742" s="108"/>
      <c r="BB742" s="108"/>
      <c r="BC742" s="108"/>
      <c r="BD742" s="108"/>
      <c r="BE742" s="108"/>
      <c r="BF742" s="108"/>
      <c r="BG742" s="108"/>
      <c r="BH742" s="108"/>
      <c r="BI742" s="108"/>
      <c r="BJ742" s="108"/>
      <c r="BK742" s="108"/>
      <c r="BL742" s="108"/>
      <c r="BM742" s="109"/>
      <c r="BN742" s="108"/>
      <c r="BO742" s="108"/>
      <c r="BP742" s="108"/>
    </row>
    <row r="743" spans="1:68" ht="12" customHeight="1" x14ac:dyDescent="0.2">
      <c r="A743" s="179"/>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c r="AA743" s="108"/>
      <c r="AB743" s="108"/>
      <c r="AC743" s="108"/>
      <c r="AD743" s="108"/>
      <c r="AE743" s="108"/>
      <c r="AF743" s="108"/>
      <c r="AG743" s="108"/>
      <c r="AH743" s="108"/>
      <c r="AI743" s="108"/>
      <c r="AJ743" s="108"/>
      <c r="AK743" s="108"/>
      <c r="AL743" s="108"/>
      <c r="AM743" s="108"/>
      <c r="AN743" s="108"/>
      <c r="AO743" s="108"/>
      <c r="AP743" s="108"/>
      <c r="AQ743" s="108"/>
      <c r="AR743" s="108"/>
      <c r="AS743" s="108"/>
      <c r="AT743" s="108"/>
      <c r="AU743" s="108"/>
      <c r="AV743" s="108"/>
      <c r="AW743" s="108"/>
      <c r="AX743" s="108"/>
      <c r="AY743" s="108"/>
      <c r="AZ743" s="108"/>
      <c r="BA743" s="108"/>
      <c r="BB743" s="108"/>
      <c r="BC743" s="108"/>
      <c r="BD743" s="108"/>
      <c r="BE743" s="108"/>
      <c r="BF743" s="108"/>
      <c r="BG743" s="108"/>
      <c r="BH743" s="108"/>
      <c r="BI743" s="108"/>
      <c r="BJ743" s="108"/>
      <c r="BK743" s="108"/>
      <c r="BL743" s="108"/>
      <c r="BM743" s="109"/>
      <c r="BN743" s="108"/>
      <c r="BO743" s="108"/>
      <c r="BP743" s="108"/>
    </row>
    <row r="744" spans="1:68" ht="12" customHeight="1" x14ac:dyDescent="0.2">
      <c r="A744" s="179"/>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c r="AA744" s="108"/>
      <c r="AB744" s="108"/>
      <c r="AC744" s="108"/>
      <c r="AD744" s="108"/>
      <c r="AE744" s="108"/>
      <c r="AF744" s="108"/>
      <c r="AG744" s="108"/>
      <c r="AH744" s="108"/>
      <c r="AI744" s="108"/>
      <c r="AJ744" s="108"/>
      <c r="AK744" s="108"/>
      <c r="AL744" s="108"/>
      <c r="AM744" s="108"/>
      <c r="AN744" s="108"/>
      <c r="AO744" s="108"/>
      <c r="AP744" s="108"/>
      <c r="AQ744" s="108"/>
      <c r="AR744" s="108"/>
      <c r="AS744" s="108"/>
      <c r="AT744" s="108"/>
      <c r="AU744" s="108"/>
      <c r="AV744" s="108"/>
      <c r="AW744" s="108"/>
      <c r="AX744" s="108"/>
      <c r="AY744" s="108"/>
      <c r="AZ744" s="108"/>
      <c r="BA744" s="108"/>
      <c r="BB744" s="108"/>
      <c r="BC744" s="108"/>
      <c r="BD744" s="108"/>
      <c r="BE744" s="108"/>
      <c r="BF744" s="108"/>
      <c r="BG744" s="108"/>
      <c r="BH744" s="108"/>
      <c r="BI744" s="108"/>
      <c r="BJ744" s="108"/>
      <c r="BK744" s="108"/>
      <c r="BL744" s="108"/>
      <c r="BM744" s="109"/>
      <c r="BN744" s="108"/>
      <c r="BO744" s="108"/>
      <c r="BP744" s="108"/>
    </row>
    <row r="745" spans="1:68" ht="12" customHeight="1" x14ac:dyDescent="0.2">
      <c r="A745" s="179"/>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c r="AA745" s="108"/>
      <c r="AB745" s="108"/>
      <c r="AC745" s="108"/>
      <c r="AD745" s="108"/>
      <c r="AE745" s="108"/>
      <c r="AF745" s="108"/>
      <c r="AG745" s="108"/>
      <c r="AH745" s="108"/>
      <c r="AI745" s="108"/>
      <c r="AJ745" s="108"/>
      <c r="AK745" s="108"/>
      <c r="AL745" s="108"/>
      <c r="AM745" s="108"/>
      <c r="AN745" s="108"/>
      <c r="AO745" s="108"/>
      <c r="AP745" s="108"/>
      <c r="AQ745" s="108"/>
      <c r="AR745" s="108"/>
      <c r="AS745" s="108"/>
      <c r="AT745" s="108"/>
      <c r="AU745" s="108"/>
      <c r="AV745" s="108"/>
      <c r="AW745" s="108"/>
      <c r="AX745" s="108"/>
      <c r="AY745" s="108"/>
      <c r="AZ745" s="108"/>
      <c r="BA745" s="108"/>
      <c r="BB745" s="108"/>
      <c r="BC745" s="108"/>
      <c r="BD745" s="108"/>
      <c r="BE745" s="108"/>
      <c r="BF745" s="108"/>
      <c r="BG745" s="108"/>
      <c r="BH745" s="108"/>
      <c r="BI745" s="108"/>
      <c r="BJ745" s="108"/>
      <c r="BK745" s="108"/>
      <c r="BL745" s="108"/>
      <c r="BM745" s="109"/>
      <c r="BN745" s="108"/>
      <c r="BO745" s="108"/>
      <c r="BP745" s="108"/>
    </row>
    <row r="746" spans="1:68" ht="12" customHeight="1" x14ac:dyDescent="0.2">
      <c r="A746" s="179"/>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c r="AA746" s="108"/>
      <c r="AB746" s="108"/>
      <c r="AC746" s="108"/>
      <c r="AD746" s="108"/>
      <c r="AE746" s="108"/>
      <c r="AF746" s="108"/>
      <c r="AG746" s="108"/>
      <c r="AH746" s="108"/>
      <c r="AI746" s="108"/>
      <c r="AJ746" s="108"/>
      <c r="AK746" s="108"/>
      <c r="AL746" s="108"/>
      <c r="AM746" s="108"/>
      <c r="AN746" s="108"/>
      <c r="AO746" s="108"/>
      <c r="AP746" s="108"/>
      <c r="AQ746" s="108"/>
      <c r="AR746" s="108"/>
      <c r="AS746" s="108"/>
      <c r="AT746" s="108"/>
      <c r="AU746" s="108"/>
      <c r="AV746" s="108"/>
      <c r="AW746" s="108"/>
      <c r="AX746" s="108"/>
      <c r="AY746" s="108"/>
      <c r="AZ746" s="108"/>
      <c r="BA746" s="108"/>
      <c r="BB746" s="108"/>
      <c r="BC746" s="108"/>
      <c r="BD746" s="108"/>
      <c r="BE746" s="108"/>
      <c r="BF746" s="108"/>
      <c r="BG746" s="108"/>
      <c r="BH746" s="108"/>
      <c r="BI746" s="108"/>
      <c r="BJ746" s="108"/>
      <c r="BK746" s="108"/>
      <c r="BL746" s="108"/>
      <c r="BM746" s="109"/>
      <c r="BN746" s="108"/>
      <c r="BO746" s="108"/>
      <c r="BP746" s="108"/>
    </row>
    <row r="747" spans="1:68" ht="12" customHeight="1" x14ac:dyDescent="0.2">
      <c r="A747" s="179"/>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c r="AA747" s="108"/>
      <c r="AB747" s="108"/>
      <c r="AC747" s="108"/>
      <c r="AD747" s="108"/>
      <c r="AE747" s="108"/>
      <c r="AF747" s="108"/>
      <c r="AG747" s="108"/>
      <c r="AH747" s="108"/>
      <c r="AI747" s="108"/>
      <c r="AJ747" s="108"/>
      <c r="AK747" s="108"/>
      <c r="AL747" s="108"/>
      <c r="AM747" s="108"/>
      <c r="AN747" s="108"/>
      <c r="AO747" s="108"/>
      <c r="AP747" s="108"/>
      <c r="AQ747" s="108"/>
      <c r="AR747" s="108"/>
      <c r="AS747" s="108"/>
      <c r="AT747" s="108"/>
      <c r="AU747" s="108"/>
      <c r="AV747" s="108"/>
      <c r="AW747" s="108"/>
      <c r="AX747" s="108"/>
      <c r="AY747" s="108"/>
      <c r="AZ747" s="108"/>
      <c r="BA747" s="108"/>
      <c r="BB747" s="108"/>
      <c r="BC747" s="108"/>
      <c r="BD747" s="108"/>
      <c r="BE747" s="108"/>
      <c r="BF747" s="108"/>
      <c r="BG747" s="108"/>
      <c r="BH747" s="108"/>
      <c r="BI747" s="108"/>
      <c r="BJ747" s="108"/>
      <c r="BK747" s="108"/>
      <c r="BL747" s="108"/>
      <c r="BM747" s="109"/>
      <c r="BN747" s="108"/>
      <c r="BO747" s="108"/>
      <c r="BP747" s="108"/>
    </row>
    <row r="748" spans="1:68" ht="12" customHeight="1" x14ac:dyDescent="0.2">
      <c r="A748" s="179"/>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c r="AA748" s="108"/>
      <c r="AB748" s="108"/>
      <c r="AC748" s="108"/>
      <c r="AD748" s="108"/>
      <c r="AE748" s="108"/>
      <c r="AF748" s="108"/>
      <c r="AG748" s="108"/>
      <c r="AH748" s="108"/>
      <c r="AI748" s="108"/>
      <c r="AJ748" s="108"/>
      <c r="AK748" s="108"/>
      <c r="AL748" s="108"/>
      <c r="AM748" s="108"/>
      <c r="AN748" s="108"/>
      <c r="AO748" s="108"/>
      <c r="AP748" s="108"/>
      <c r="AQ748" s="108"/>
      <c r="AR748" s="108"/>
      <c r="AS748" s="108"/>
      <c r="AT748" s="108"/>
      <c r="AU748" s="108"/>
      <c r="AV748" s="108"/>
      <c r="AW748" s="108"/>
      <c r="AX748" s="108"/>
      <c r="AY748" s="108"/>
      <c r="AZ748" s="108"/>
      <c r="BA748" s="108"/>
      <c r="BB748" s="108"/>
      <c r="BC748" s="108"/>
      <c r="BD748" s="108"/>
      <c r="BE748" s="108"/>
      <c r="BF748" s="108"/>
      <c r="BG748" s="108"/>
      <c r="BH748" s="108"/>
      <c r="BI748" s="108"/>
      <c r="BJ748" s="108"/>
      <c r="BK748" s="108"/>
      <c r="BL748" s="108"/>
      <c r="BM748" s="109"/>
      <c r="BN748" s="108"/>
      <c r="BO748" s="108"/>
      <c r="BP748" s="108"/>
    </row>
    <row r="749" spans="1:68" ht="12" customHeight="1" x14ac:dyDescent="0.2">
      <c r="A749" s="179"/>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c r="AA749" s="108"/>
      <c r="AB749" s="108"/>
      <c r="AC749" s="108"/>
      <c r="AD749" s="108"/>
      <c r="AE749" s="108"/>
      <c r="AF749" s="108"/>
      <c r="AG749" s="108"/>
      <c r="AH749" s="108"/>
      <c r="AI749" s="108"/>
      <c r="AJ749" s="108"/>
      <c r="AK749" s="108"/>
      <c r="AL749" s="108"/>
      <c r="AM749" s="108"/>
      <c r="AN749" s="108"/>
      <c r="AO749" s="108"/>
      <c r="AP749" s="108"/>
      <c r="AQ749" s="108"/>
      <c r="AR749" s="108"/>
      <c r="AS749" s="108"/>
      <c r="AT749" s="108"/>
      <c r="AU749" s="108"/>
      <c r="AV749" s="108"/>
      <c r="AW749" s="108"/>
      <c r="AX749" s="108"/>
      <c r="AY749" s="108"/>
      <c r="AZ749" s="108"/>
      <c r="BA749" s="108"/>
      <c r="BB749" s="108"/>
      <c r="BC749" s="108"/>
      <c r="BD749" s="108"/>
      <c r="BE749" s="108"/>
      <c r="BF749" s="108"/>
      <c r="BG749" s="108"/>
      <c r="BH749" s="108"/>
      <c r="BI749" s="108"/>
      <c r="BJ749" s="108"/>
      <c r="BK749" s="108"/>
      <c r="BL749" s="108"/>
      <c r="BM749" s="109"/>
      <c r="BN749" s="108"/>
      <c r="BO749" s="108"/>
      <c r="BP749" s="108"/>
    </row>
    <row r="750" spans="1:68" ht="12" customHeight="1" x14ac:dyDescent="0.2">
      <c r="A750" s="179"/>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c r="AA750" s="108"/>
      <c r="AB750" s="108"/>
      <c r="AC750" s="108"/>
      <c r="AD750" s="108"/>
      <c r="AE750" s="108"/>
      <c r="AF750" s="108"/>
      <c r="AG750" s="108"/>
      <c r="AH750" s="108"/>
      <c r="AI750" s="108"/>
      <c r="AJ750" s="108"/>
      <c r="AK750" s="108"/>
      <c r="AL750" s="108"/>
      <c r="AM750" s="108"/>
      <c r="AN750" s="108"/>
      <c r="AO750" s="108"/>
      <c r="AP750" s="108"/>
      <c r="AQ750" s="108"/>
      <c r="AR750" s="108"/>
      <c r="AS750" s="108"/>
      <c r="AT750" s="108"/>
      <c r="AU750" s="108"/>
      <c r="AV750" s="108"/>
      <c r="AW750" s="108"/>
      <c r="AX750" s="108"/>
      <c r="AY750" s="108"/>
      <c r="AZ750" s="108"/>
      <c r="BA750" s="108"/>
      <c r="BB750" s="108"/>
      <c r="BC750" s="108"/>
      <c r="BD750" s="108"/>
      <c r="BE750" s="108"/>
      <c r="BF750" s="108"/>
      <c r="BG750" s="108"/>
      <c r="BH750" s="108"/>
      <c r="BI750" s="108"/>
      <c r="BJ750" s="108"/>
      <c r="BK750" s="108"/>
      <c r="BL750" s="108"/>
      <c r="BM750" s="109"/>
      <c r="BN750" s="108"/>
      <c r="BO750" s="108"/>
      <c r="BP750" s="108"/>
    </row>
    <row r="751" spans="1:68" ht="12" customHeight="1" x14ac:dyDescent="0.2">
      <c r="A751" s="179"/>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c r="AA751" s="108"/>
      <c r="AB751" s="108"/>
      <c r="AC751" s="108"/>
      <c r="AD751" s="108"/>
      <c r="AE751" s="108"/>
      <c r="AF751" s="108"/>
      <c r="AG751" s="108"/>
      <c r="AH751" s="108"/>
      <c r="AI751" s="108"/>
      <c r="AJ751" s="108"/>
      <c r="AK751" s="108"/>
      <c r="AL751" s="108"/>
      <c r="AM751" s="108"/>
      <c r="AN751" s="108"/>
      <c r="AO751" s="108"/>
      <c r="AP751" s="108"/>
      <c r="AQ751" s="108"/>
      <c r="AR751" s="108"/>
      <c r="AS751" s="108"/>
      <c r="AT751" s="108"/>
      <c r="AU751" s="108"/>
      <c r="AV751" s="108"/>
      <c r="AW751" s="108"/>
      <c r="AX751" s="108"/>
      <c r="AY751" s="108"/>
      <c r="AZ751" s="108"/>
      <c r="BA751" s="108"/>
      <c r="BB751" s="108"/>
      <c r="BC751" s="108"/>
      <c r="BD751" s="108"/>
      <c r="BE751" s="108"/>
      <c r="BF751" s="108"/>
      <c r="BG751" s="108"/>
      <c r="BH751" s="108"/>
      <c r="BI751" s="108"/>
      <c r="BJ751" s="108"/>
      <c r="BK751" s="108"/>
      <c r="BL751" s="108"/>
      <c r="BM751" s="109"/>
      <c r="BN751" s="108"/>
      <c r="BO751" s="108"/>
      <c r="BP751" s="108"/>
    </row>
    <row r="752" spans="1:68" ht="12" customHeight="1" x14ac:dyDescent="0.2">
      <c r="A752" s="179"/>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c r="AA752" s="108"/>
      <c r="AB752" s="108"/>
      <c r="AC752" s="108"/>
      <c r="AD752" s="108"/>
      <c r="AE752" s="108"/>
      <c r="AF752" s="108"/>
      <c r="AG752" s="108"/>
      <c r="AH752" s="108"/>
      <c r="AI752" s="108"/>
      <c r="AJ752" s="108"/>
      <c r="AK752" s="108"/>
      <c r="AL752" s="108"/>
      <c r="AM752" s="108"/>
      <c r="AN752" s="108"/>
      <c r="AO752" s="108"/>
      <c r="AP752" s="108"/>
      <c r="AQ752" s="108"/>
      <c r="AR752" s="108"/>
      <c r="AS752" s="108"/>
      <c r="AT752" s="108"/>
      <c r="AU752" s="108"/>
      <c r="AV752" s="108"/>
      <c r="AW752" s="108"/>
      <c r="AX752" s="108"/>
      <c r="AY752" s="108"/>
      <c r="AZ752" s="108"/>
      <c r="BA752" s="108"/>
      <c r="BB752" s="108"/>
      <c r="BC752" s="108"/>
      <c r="BD752" s="108"/>
      <c r="BE752" s="108"/>
      <c r="BF752" s="108"/>
      <c r="BG752" s="108"/>
      <c r="BH752" s="108"/>
      <c r="BI752" s="108"/>
      <c r="BJ752" s="108"/>
      <c r="BK752" s="108"/>
      <c r="BL752" s="108"/>
      <c r="BM752" s="109"/>
      <c r="BN752" s="108"/>
      <c r="BO752" s="108"/>
      <c r="BP752" s="108"/>
    </row>
    <row r="753" spans="1:68" ht="12" customHeight="1" x14ac:dyDescent="0.2">
      <c r="A753" s="179"/>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c r="AA753" s="108"/>
      <c r="AB753" s="108"/>
      <c r="AC753" s="108"/>
      <c r="AD753" s="108"/>
      <c r="AE753" s="108"/>
      <c r="AF753" s="108"/>
      <c r="AG753" s="108"/>
      <c r="AH753" s="108"/>
      <c r="AI753" s="108"/>
      <c r="AJ753" s="108"/>
      <c r="AK753" s="108"/>
      <c r="AL753" s="108"/>
      <c r="AM753" s="108"/>
      <c r="AN753" s="108"/>
      <c r="AO753" s="108"/>
      <c r="AP753" s="108"/>
      <c r="AQ753" s="108"/>
      <c r="AR753" s="108"/>
      <c r="AS753" s="108"/>
      <c r="AT753" s="108"/>
      <c r="AU753" s="108"/>
      <c r="AV753" s="108"/>
      <c r="AW753" s="108"/>
      <c r="AX753" s="108"/>
      <c r="AY753" s="108"/>
      <c r="AZ753" s="108"/>
      <c r="BA753" s="108"/>
      <c r="BB753" s="108"/>
      <c r="BC753" s="108"/>
      <c r="BD753" s="108"/>
      <c r="BE753" s="108"/>
      <c r="BF753" s="108"/>
      <c r="BG753" s="108"/>
      <c r="BH753" s="108"/>
      <c r="BI753" s="108"/>
      <c r="BJ753" s="108"/>
      <c r="BK753" s="108"/>
      <c r="BL753" s="108"/>
      <c r="BM753" s="109"/>
      <c r="BN753" s="108"/>
      <c r="BO753" s="108"/>
      <c r="BP753" s="108"/>
    </row>
    <row r="754" spans="1:68" ht="12" customHeight="1" x14ac:dyDescent="0.2">
      <c r="A754" s="179"/>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c r="AA754" s="108"/>
      <c r="AB754" s="108"/>
      <c r="AC754" s="108"/>
      <c r="AD754" s="108"/>
      <c r="AE754" s="108"/>
      <c r="AF754" s="108"/>
      <c r="AG754" s="108"/>
      <c r="AH754" s="108"/>
      <c r="AI754" s="108"/>
      <c r="AJ754" s="108"/>
      <c r="AK754" s="108"/>
      <c r="AL754" s="108"/>
      <c r="AM754" s="108"/>
      <c r="AN754" s="108"/>
      <c r="AO754" s="108"/>
      <c r="AP754" s="108"/>
      <c r="AQ754" s="108"/>
      <c r="AR754" s="108"/>
      <c r="AS754" s="108"/>
      <c r="AT754" s="108"/>
      <c r="AU754" s="108"/>
      <c r="AV754" s="108"/>
      <c r="AW754" s="108"/>
      <c r="AX754" s="108"/>
      <c r="AY754" s="108"/>
      <c r="AZ754" s="108"/>
      <c r="BA754" s="108"/>
      <c r="BB754" s="108"/>
      <c r="BC754" s="108"/>
      <c r="BD754" s="108"/>
      <c r="BE754" s="108"/>
      <c r="BF754" s="108"/>
      <c r="BG754" s="108"/>
      <c r="BH754" s="108"/>
      <c r="BI754" s="108"/>
      <c r="BJ754" s="108"/>
      <c r="BK754" s="108"/>
      <c r="BL754" s="108"/>
      <c r="BM754" s="109"/>
      <c r="BN754" s="108"/>
      <c r="BO754" s="108"/>
      <c r="BP754" s="108"/>
    </row>
    <row r="755" spans="1:68" ht="12" customHeight="1" x14ac:dyDescent="0.2">
      <c r="A755" s="179"/>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c r="AA755" s="108"/>
      <c r="AB755" s="108"/>
      <c r="AC755" s="108"/>
      <c r="AD755" s="108"/>
      <c r="AE755" s="108"/>
      <c r="AF755" s="108"/>
      <c r="AG755" s="108"/>
      <c r="AH755" s="108"/>
      <c r="AI755" s="108"/>
      <c r="AJ755" s="108"/>
      <c r="AK755" s="108"/>
      <c r="AL755" s="108"/>
      <c r="AM755" s="108"/>
      <c r="AN755" s="108"/>
      <c r="AO755" s="108"/>
      <c r="AP755" s="108"/>
      <c r="AQ755" s="108"/>
      <c r="AR755" s="108"/>
      <c r="AS755" s="108"/>
      <c r="AT755" s="108"/>
      <c r="AU755" s="108"/>
      <c r="AV755" s="108"/>
      <c r="AW755" s="108"/>
      <c r="AX755" s="108"/>
      <c r="AY755" s="108"/>
      <c r="AZ755" s="108"/>
      <c r="BA755" s="108"/>
      <c r="BB755" s="108"/>
      <c r="BC755" s="108"/>
      <c r="BD755" s="108"/>
      <c r="BE755" s="108"/>
      <c r="BF755" s="108"/>
      <c r="BG755" s="108"/>
      <c r="BH755" s="108"/>
      <c r="BI755" s="108"/>
      <c r="BJ755" s="108"/>
      <c r="BK755" s="108"/>
      <c r="BL755" s="108"/>
      <c r="BM755" s="109"/>
      <c r="BN755" s="108"/>
      <c r="BO755" s="108"/>
      <c r="BP755" s="108"/>
    </row>
    <row r="756" spans="1:68" ht="12" customHeight="1" x14ac:dyDescent="0.2">
      <c r="A756" s="179"/>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c r="AA756" s="108"/>
      <c r="AB756" s="108"/>
      <c r="AC756" s="108"/>
      <c r="AD756" s="108"/>
      <c r="AE756" s="108"/>
      <c r="AF756" s="108"/>
      <c r="AG756" s="108"/>
      <c r="AH756" s="108"/>
      <c r="AI756" s="108"/>
      <c r="AJ756" s="108"/>
      <c r="AK756" s="108"/>
      <c r="AL756" s="108"/>
      <c r="AM756" s="108"/>
      <c r="AN756" s="108"/>
      <c r="AO756" s="108"/>
      <c r="AP756" s="108"/>
      <c r="AQ756" s="108"/>
      <c r="AR756" s="108"/>
      <c r="AS756" s="108"/>
      <c r="AT756" s="108"/>
      <c r="AU756" s="108"/>
      <c r="AV756" s="108"/>
      <c r="AW756" s="108"/>
      <c r="AX756" s="108"/>
      <c r="AY756" s="108"/>
      <c r="AZ756" s="108"/>
      <c r="BA756" s="108"/>
      <c r="BB756" s="108"/>
      <c r="BC756" s="108"/>
      <c r="BD756" s="108"/>
      <c r="BE756" s="108"/>
      <c r="BF756" s="108"/>
      <c r="BG756" s="108"/>
      <c r="BH756" s="108"/>
      <c r="BI756" s="108"/>
      <c r="BJ756" s="108"/>
      <c r="BK756" s="108"/>
      <c r="BL756" s="108"/>
      <c r="BM756" s="109"/>
      <c r="BN756" s="108"/>
      <c r="BO756" s="108"/>
      <c r="BP756" s="108"/>
    </row>
    <row r="757" spans="1:68" ht="12" customHeight="1" x14ac:dyDescent="0.2">
      <c r="A757" s="179"/>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c r="AA757" s="108"/>
      <c r="AB757" s="108"/>
      <c r="AC757" s="108"/>
      <c r="AD757" s="108"/>
      <c r="AE757" s="108"/>
      <c r="AF757" s="108"/>
      <c r="AG757" s="108"/>
      <c r="AH757" s="108"/>
      <c r="AI757" s="108"/>
      <c r="AJ757" s="108"/>
      <c r="AK757" s="108"/>
      <c r="AL757" s="108"/>
      <c r="AM757" s="108"/>
      <c r="AN757" s="108"/>
      <c r="AO757" s="108"/>
      <c r="AP757" s="108"/>
      <c r="AQ757" s="108"/>
      <c r="AR757" s="108"/>
      <c r="AS757" s="108"/>
      <c r="AT757" s="108"/>
      <c r="AU757" s="108"/>
      <c r="AV757" s="108"/>
      <c r="AW757" s="108"/>
      <c r="AX757" s="108"/>
      <c r="AY757" s="108"/>
      <c r="AZ757" s="108"/>
      <c r="BA757" s="108"/>
      <c r="BB757" s="108"/>
      <c r="BC757" s="108"/>
      <c r="BD757" s="108"/>
      <c r="BE757" s="108"/>
      <c r="BF757" s="108"/>
      <c r="BG757" s="108"/>
      <c r="BH757" s="108"/>
      <c r="BI757" s="108"/>
      <c r="BJ757" s="108"/>
      <c r="BK757" s="108"/>
      <c r="BL757" s="108"/>
      <c r="BM757" s="109"/>
      <c r="BN757" s="108"/>
      <c r="BO757" s="108"/>
      <c r="BP757" s="108"/>
    </row>
    <row r="758" spans="1:68" ht="12" customHeight="1" x14ac:dyDescent="0.2">
      <c r="A758" s="179"/>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c r="AA758" s="108"/>
      <c r="AB758" s="108"/>
      <c r="AC758" s="108"/>
      <c r="AD758" s="108"/>
      <c r="AE758" s="108"/>
      <c r="AF758" s="108"/>
      <c r="AG758" s="108"/>
      <c r="AH758" s="108"/>
      <c r="AI758" s="108"/>
      <c r="AJ758" s="108"/>
      <c r="AK758" s="108"/>
      <c r="AL758" s="108"/>
      <c r="AM758" s="108"/>
      <c r="AN758" s="108"/>
      <c r="AO758" s="108"/>
      <c r="AP758" s="108"/>
      <c r="AQ758" s="108"/>
      <c r="AR758" s="108"/>
      <c r="AS758" s="108"/>
      <c r="AT758" s="108"/>
      <c r="AU758" s="108"/>
      <c r="AV758" s="108"/>
      <c r="AW758" s="108"/>
      <c r="AX758" s="108"/>
      <c r="AY758" s="108"/>
      <c r="AZ758" s="108"/>
      <c r="BA758" s="108"/>
      <c r="BB758" s="108"/>
      <c r="BC758" s="108"/>
      <c r="BD758" s="108"/>
      <c r="BE758" s="108"/>
      <c r="BF758" s="108"/>
      <c r="BG758" s="108"/>
      <c r="BH758" s="108"/>
      <c r="BI758" s="108"/>
      <c r="BJ758" s="108"/>
      <c r="BK758" s="108"/>
      <c r="BL758" s="108"/>
      <c r="BM758" s="109"/>
      <c r="BN758" s="108"/>
      <c r="BO758" s="108"/>
      <c r="BP758" s="108"/>
    </row>
    <row r="759" spans="1:68" ht="12" customHeight="1" x14ac:dyDescent="0.2">
      <c r="A759" s="179"/>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c r="AA759" s="108"/>
      <c r="AB759" s="108"/>
      <c r="AC759" s="108"/>
      <c r="AD759" s="108"/>
      <c r="AE759" s="108"/>
      <c r="AF759" s="108"/>
      <c r="AG759" s="108"/>
      <c r="AH759" s="108"/>
      <c r="AI759" s="108"/>
      <c r="AJ759" s="108"/>
      <c r="AK759" s="108"/>
      <c r="AL759" s="108"/>
      <c r="AM759" s="108"/>
      <c r="AN759" s="108"/>
      <c r="AO759" s="108"/>
      <c r="AP759" s="108"/>
      <c r="AQ759" s="108"/>
      <c r="AR759" s="108"/>
      <c r="AS759" s="108"/>
      <c r="AT759" s="108"/>
      <c r="AU759" s="108"/>
      <c r="AV759" s="108"/>
      <c r="AW759" s="108"/>
      <c r="AX759" s="108"/>
      <c r="AY759" s="108"/>
      <c r="AZ759" s="108"/>
      <c r="BA759" s="108"/>
      <c r="BB759" s="108"/>
      <c r="BC759" s="108"/>
      <c r="BD759" s="108"/>
      <c r="BE759" s="108"/>
      <c r="BF759" s="108"/>
      <c r="BG759" s="108"/>
      <c r="BH759" s="108"/>
      <c r="BI759" s="108"/>
      <c r="BJ759" s="108"/>
      <c r="BK759" s="108"/>
      <c r="BL759" s="108"/>
      <c r="BM759" s="109"/>
      <c r="BN759" s="108"/>
      <c r="BO759" s="108"/>
      <c r="BP759" s="108"/>
    </row>
    <row r="760" spans="1:68" ht="12" customHeight="1" x14ac:dyDescent="0.2">
      <c r="A760" s="179"/>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c r="AA760" s="108"/>
      <c r="AB760" s="108"/>
      <c r="AC760" s="108"/>
      <c r="AD760" s="108"/>
      <c r="AE760" s="108"/>
      <c r="AF760" s="108"/>
      <c r="AG760" s="108"/>
      <c r="AH760" s="108"/>
      <c r="AI760" s="108"/>
      <c r="AJ760" s="108"/>
      <c r="AK760" s="108"/>
      <c r="AL760" s="108"/>
      <c r="AM760" s="108"/>
      <c r="AN760" s="108"/>
      <c r="AO760" s="108"/>
      <c r="AP760" s="108"/>
      <c r="AQ760" s="108"/>
      <c r="AR760" s="108"/>
      <c r="AS760" s="108"/>
      <c r="AT760" s="108"/>
      <c r="AU760" s="108"/>
      <c r="AV760" s="108"/>
      <c r="AW760" s="108"/>
      <c r="AX760" s="108"/>
      <c r="AY760" s="108"/>
      <c r="AZ760" s="108"/>
      <c r="BA760" s="108"/>
      <c r="BB760" s="108"/>
      <c r="BC760" s="108"/>
      <c r="BD760" s="108"/>
      <c r="BE760" s="108"/>
      <c r="BF760" s="108"/>
      <c r="BG760" s="108"/>
      <c r="BH760" s="108"/>
      <c r="BI760" s="108"/>
      <c r="BJ760" s="108"/>
      <c r="BK760" s="108"/>
      <c r="BL760" s="108"/>
      <c r="BM760" s="109"/>
      <c r="BN760" s="108"/>
      <c r="BO760" s="108"/>
      <c r="BP760" s="108"/>
    </row>
    <row r="761" spans="1:68" ht="12" customHeight="1" x14ac:dyDescent="0.2">
      <c r="A761" s="179"/>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c r="AA761" s="108"/>
      <c r="AB761" s="108"/>
      <c r="AC761" s="108"/>
      <c r="AD761" s="108"/>
      <c r="AE761" s="108"/>
      <c r="AF761" s="108"/>
      <c r="AG761" s="108"/>
      <c r="AH761" s="108"/>
      <c r="AI761" s="108"/>
      <c r="AJ761" s="108"/>
      <c r="AK761" s="108"/>
      <c r="AL761" s="108"/>
      <c r="AM761" s="108"/>
      <c r="AN761" s="108"/>
      <c r="AO761" s="108"/>
      <c r="AP761" s="108"/>
      <c r="AQ761" s="108"/>
      <c r="AR761" s="108"/>
      <c r="AS761" s="108"/>
      <c r="AT761" s="108"/>
      <c r="AU761" s="108"/>
      <c r="AV761" s="108"/>
      <c r="AW761" s="108"/>
      <c r="AX761" s="108"/>
      <c r="AY761" s="108"/>
      <c r="AZ761" s="108"/>
      <c r="BA761" s="108"/>
      <c r="BB761" s="108"/>
      <c r="BC761" s="108"/>
      <c r="BD761" s="108"/>
      <c r="BE761" s="108"/>
      <c r="BF761" s="108"/>
      <c r="BG761" s="108"/>
      <c r="BH761" s="108"/>
      <c r="BI761" s="108"/>
      <c r="BJ761" s="108"/>
      <c r="BK761" s="108"/>
      <c r="BL761" s="108"/>
      <c r="BM761" s="109"/>
      <c r="BN761" s="108"/>
      <c r="BO761" s="108"/>
      <c r="BP761" s="108"/>
    </row>
    <row r="762" spans="1:68" ht="12" customHeight="1" x14ac:dyDescent="0.2">
      <c r="A762" s="179"/>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c r="AA762" s="108"/>
      <c r="AB762" s="108"/>
      <c r="AC762" s="108"/>
      <c r="AD762" s="108"/>
      <c r="AE762" s="108"/>
      <c r="AF762" s="108"/>
      <c r="AG762" s="108"/>
      <c r="AH762" s="108"/>
      <c r="AI762" s="108"/>
      <c r="AJ762" s="108"/>
      <c r="AK762" s="108"/>
      <c r="AL762" s="108"/>
      <c r="AM762" s="108"/>
      <c r="AN762" s="108"/>
      <c r="AO762" s="108"/>
      <c r="AP762" s="108"/>
      <c r="AQ762" s="108"/>
      <c r="AR762" s="108"/>
      <c r="AS762" s="108"/>
      <c r="AT762" s="108"/>
      <c r="AU762" s="108"/>
      <c r="AV762" s="108"/>
      <c r="AW762" s="108"/>
      <c r="AX762" s="108"/>
      <c r="AY762" s="108"/>
      <c r="AZ762" s="108"/>
      <c r="BA762" s="108"/>
      <c r="BB762" s="108"/>
      <c r="BC762" s="108"/>
      <c r="BD762" s="108"/>
      <c r="BE762" s="108"/>
      <c r="BF762" s="108"/>
      <c r="BG762" s="108"/>
      <c r="BH762" s="108"/>
      <c r="BI762" s="108"/>
      <c r="BJ762" s="108"/>
      <c r="BK762" s="108"/>
      <c r="BL762" s="108"/>
      <c r="BM762" s="109"/>
      <c r="BN762" s="108"/>
      <c r="BO762" s="108"/>
      <c r="BP762" s="108"/>
    </row>
    <row r="763" spans="1:68" ht="12" customHeight="1" x14ac:dyDescent="0.2">
      <c r="A763" s="179"/>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c r="AA763" s="108"/>
      <c r="AB763" s="108"/>
      <c r="AC763" s="108"/>
      <c r="AD763" s="108"/>
      <c r="AE763" s="108"/>
      <c r="AF763" s="108"/>
      <c r="AG763" s="108"/>
      <c r="AH763" s="108"/>
      <c r="AI763" s="108"/>
      <c r="AJ763" s="108"/>
      <c r="AK763" s="108"/>
      <c r="AL763" s="108"/>
      <c r="AM763" s="108"/>
      <c r="AN763" s="108"/>
      <c r="AO763" s="108"/>
      <c r="AP763" s="108"/>
      <c r="AQ763" s="108"/>
      <c r="AR763" s="108"/>
      <c r="AS763" s="108"/>
      <c r="AT763" s="108"/>
      <c r="AU763" s="108"/>
      <c r="AV763" s="108"/>
      <c r="AW763" s="108"/>
      <c r="AX763" s="108"/>
      <c r="AY763" s="108"/>
      <c r="AZ763" s="108"/>
      <c r="BA763" s="108"/>
      <c r="BB763" s="108"/>
      <c r="BC763" s="108"/>
      <c r="BD763" s="108"/>
      <c r="BE763" s="108"/>
      <c r="BF763" s="108"/>
      <c r="BG763" s="108"/>
      <c r="BH763" s="108"/>
      <c r="BI763" s="108"/>
      <c r="BJ763" s="108"/>
      <c r="BK763" s="108"/>
      <c r="BL763" s="108"/>
      <c r="BM763" s="109"/>
      <c r="BN763" s="108"/>
      <c r="BO763" s="108"/>
      <c r="BP763" s="108"/>
    </row>
    <row r="764" spans="1:68" ht="12" customHeight="1" x14ac:dyDescent="0.2">
      <c r="A764" s="179"/>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c r="AA764" s="108"/>
      <c r="AB764" s="108"/>
      <c r="AC764" s="108"/>
      <c r="AD764" s="108"/>
      <c r="AE764" s="108"/>
      <c r="AF764" s="108"/>
      <c r="AG764" s="108"/>
      <c r="AH764" s="108"/>
      <c r="AI764" s="108"/>
      <c r="AJ764" s="108"/>
      <c r="AK764" s="108"/>
      <c r="AL764" s="108"/>
      <c r="AM764" s="108"/>
      <c r="AN764" s="108"/>
      <c r="AO764" s="108"/>
      <c r="AP764" s="108"/>
      <c r="AQ764" s="108"/>
      <c r="AR764" s="108"/>
      <c r="AS764" s="108"/>
      <c r="AT764" s="108"/>
      <c r="AU764" s="108"/>
      <c r="AV764" s="108"/>
      <c r="AW764" s="108"/>
      <c r="AX764" s="108"/>
      <c r="AY764" s="108"/>
      <c r="AZ764" s="108"/>
      <c r="BA764" s="108"/>
      <c r="BB764" s="108"/>
      <c r="BC764" s="108"/>
      <c r="BD764" s="108"/>
      <c r="BE764" s="108"/>
      <c r="BF764" s="108"/>
      <c r="BG764" s="108"/>
      <c r="BH764" s="108"/>
      <c r="BI764" s="108"/>
      <c r="BJ764" s="108"/>
      <c r="BK764" s="108"/>
      <c r="BL764" s="108"/>
      <c r="BM764" s="109"/>
      <c r="BN764" s="108"/>
      <c r="BO764" s="108"/>
      <c r="BP764" s="108"/>
    </row>
    <row r="765" spans="1:68" ht="12" customHeight="1" x14ac:dyDescent="0.2">
      <c r="A765" s="179"/>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c r="AA765" s="108"/>
      <c r="AB765" s="108"/>
      <c r="AC765" s="108"/>
      <c r="AD765" s="108"/>
      <c r="AE765" s="108"/>
      <c r="AF765" s="108"/>
      <c r="AG765" s="108"/>
      <c r="AH765" s="108"/>
      <c r="AI765" s="108"/>
      <c r="AJ765" s="108"/>
      <c r="AK765" s="108"/>
      <c r="AL765" s="108"/>
      <c r="AM765" s="108"/>
      <c r="AN765" s="108"/>
      <c r="AO765" s="108"/>
      <c r="AP765" s="108"/>
      <c r="AQ765" s="108"/>
      <c r="AR765" s="108"/>
      <c r="AS765" s="108"/>
      <c r="AT765" s="108"/>
      <c r="AU765" s="108"/>
      <c r="AV765" s="108"/>
      <c r="AW765" s="108"/>
      <c r="AX765" s="108"/>
      <c r="AY765" s="108"/>
      <c r="AZ765" s="108"/>
      <c r="BA765" s="108"/>
      <c r="BB765" s="108"/>
      <c r="BC765" s="108"/>
      <c r="BD765" s="108"/>
      <c r="BE765" s="108"/>
      <c r="BF765" s="108"/>
      <c r="BG765" s="108"/>
      <c r="BH765" s="108"/>
      <c r="BI765" s="108"/>
      <c r="BJ765" s="108"/>
      <c r="BK765" s="108"/>
      <c r="BL765" s="108"/>
      <c r="BM765" s="109"/>
      <c r="BN765" s="108"/>
      <c r="BO765" s="108"/>
      <c r="BP765" s="108"/>
    </row>
    <row r="766" spans="1:68" ht="12" customHeight="1" x14ac:dyDescent="0.2">
      <c r="A766" s="179"/>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c r="AA766" s="108"/>
      <c r="AB766" s="108"/>
      <c r="AC766" s="108"/>
      <c r="AD766" s="108"/>
      <c r="AE766" s="108"/>
      <c r="AF766" s="108"/>
      <c r="AG766" s="108"/>
      <c r="AH766" s="108"/>
      <c r="AI766" s="108"/>
      <c r="AJ766" s="108"/>
      <c r="AK766" s="108"/>
      <c r="AL766" s="108"/>
      <c r="AM766" s="108"/>
      <c r="AN766" s="108"/>
      <c r="AO766" s="108"/>
      <c r="AP766" s="108"/>
      <c r="AQ766" s="108"/>
      <c r="AR766" s="108"/>
      <c r="AS766" s="108"/>
      <c r="AT766" s="108"/>
      <c r="AU766" s="108"/>
      <c r="AV766" s="108"/>
      <c r="AW766" s="108"/>
      <c r="AX766" s="108"/>
      <c r="AY766" s="108"/>
      <c r="AZ766" s="108"/>
      <c r="BA766" s="108"/>
      <c r="BB766" s="108"/>
      <c r="BC766" s="108"/>
      <c r="BD766" s="108"/>
      <c r="BE766" s="108"/>
      <c r="BF766" s="108"/>
      <c r="BG766" s="108"/>
      <c r="BH766" s="108"/>
      <c r="BI766" s="108"/>
      <c r="BJ766" s="108"/>
      <c r="BK766" s="108"/>
      <c r="BL766" s="108"/>
      <c r="BM766" s="109"/>
      <c r="BN766" s="108"/>
      <c r="BO766" s="108"/>
      <c r="BP766" s="108"/>
    </row>
    <row r="767" spans="1:68" ht="12" customHeight="1" x14ac:dyDescent="0.2">
      <c r="A767" s="179"/>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c r="AA767" s="108"/>
      <c r="AB767" s="108"/>
      <c r="AC767" s="108"/>
      <c r="AD767" s="108"/>
      <c r="AE767" s="108"/>
      <c r="AF767" s="108"/>
      <c r="AG767" s="108"/>
      <c r="AH767" s="108"/>
      <c r="AI767" s="108"/>
      <c r="AJ767" s="108"/>
      <c r="AK767" s="108"/>
      <c r="AL767" s="108"/>
      <c r="AM767" s="108"/>
      <c r="AN767" s="108"/>
      <c r="AO767" s="108"/>
      <c r="AP767" s="108"/>
      <c r="AQ767" s="108"/>
      <c r="AR767" s="108"/>
      <c r="AS767" s="108"/>
      <c r="AT767" s="108"/>
      <c r="AU767" s="108"/>
      <c r="AV767" s="108"/>
      <c r="AW767" s="108"/>
      <c r="AX767" s="108"/>
      <c r="AY767" s="108"/>
      <c r="AZ767" s="108"/>
      <c r="BA767" s="108"/>
      <c r="BB767" s="108"/>
      <c r="BC767" s="108"/>
      <c r="BD767" s="108"/>
      <c r="BE767" s="108"/>
      <c r="BF767" s="108"/>
      <c r="BG767" s="108"/>
      <c r="BH767" s="108"/>
      <c r="BI767" s="108"/>
      <c r="BJ767" s="108"/>
      <c r="BK767" s="108"/>
      <c r="BL767" s="108"/>
      <c r="BM767" s="109"/>
      <c r="BN767" s="108"/>
      <c r="BO767" s="108"/>
      <c r="BP767" s="108"/>
    </row>
    <row r="768" spans="1:68" ht="12" customHeight="1" x14ac:dyDescent="0.2">
      <c r="A768" s="179"/>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c r="AA768" s="108"/>
      <c r="AB768" s="108"/>
      <c r="AC768" s="108"/>
      <c r="AD768" s="108"/>
      <c r="AE768" s="108"/>
      <c r="AF768" s="108"/>
      <c r="AG768" s="108"/>
      <c r="AH768" s="108"/>
      <c r="AI768" s="108"/>
      <c r="AJ768" s="108"/>
      <c r="AK768" s="108"/>
      <c r="AL768" s="108"/>
      <c r="AM768" s="108"/>
      <c r="AN768" s="108"/>
      <c r="AO768" s="108"/>
      <c r="AP768" s="108"/>
      <c r="AQ768" s="108"/>
      <c r="AR768" s="108"/>
      <c r="AS768" s="108"/>
      <c r="AT768" s="108"/>
      <c r="AU768" s="108"/>
      <c r="AV768" s="108"/>
      <c r="AW768" s="108"/>
      <c r="AX768" s="108"/>
      <c r="AY768" s="108"/>
      <c r="AZ768" s="108"/>
      <c r="BA768" s="108"/>
      <c r="BB768" s="108"/>
      <c r="BC768" s="108"/>
      <c r="BD768" s="108"/>
      <c r="BE768" s="108"/>
      <c r="BF768" s="108"/>
      <c r="BG768" s="108"/>
      <c r="BH768" s="108"/>
      <c r="BI768" s="108"/>
      <c r="BJ768" s="108"/>
      <c r="BK768" s="108"/>
      <c r="BL768" s="108"/>
      <c r="BM768" s="109"/>
      <c r="BN768" s="108"/>
      <c r="BO768" s="108"/>
      <c r="BP768" s="108"/>
    </row>
    <row r="769" spans="1:68" ht="12" customHeight="1" x14ac:dyDescent="0.2">
      <c r="A769" s="179"/>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c r="AA769" s="108"/>
      <c r="AB769" s="108"/>
      <c r="AC769" s="108"/>
      <c r="AD769" s="108"/>
      <c r="AE769" s="108"/>
      <c r="AF769" s="108"/>
      <c r="AG769" s="108"/>
      <c r="AH769" s="108"/>
      <c r="AI769" s="108"/>
      <c r="AJ769" s="108"/>
      <c r="AK769" s="108"/>
      <c r="AL769" s="108"/>
      <c r="AM769" s="108"/>
      <c r="AN769" s="108"/>
      <c r="AO769" s="108"/>
      <c r="AP769" s="108"/>
      <c r="AQ769" s="108"/>
      <c r="AR769" s="108"/>
      <c r="AS769" s="108"/>
      <c r="AT769" s="108"/>
      <c r="AU769" s="108"/>
      <c r="AV769" s="108"/>
      <c r="AW769" s="108"/>
      <c r="AX769" s="108"/>
      <c r="AY769" s="108"/>
      <c r="AZ769" s="108"/>
      <c r="BA769" s="108"/>
      <c r="BB769" s="108"/>
      <c r="BC769" s="108"/>
      <c r="BD769" s="108"/>
      <c r="BE769" s="108"/>
      <c r="BF769" s="108"/>
      <c r="BG769" s="108"/>
      <c r="BH769" s="108"/>
      <c r="BI769" s="108"/>
      <c r="BJ769" s="108"/>
      <c r="BK769" s="108"/>
      <c r="BL769" s="108"/>
      <c r="BM769" s="109"/>
      <c r="BN769" s="108"/>
      <c r="BO769" s="108"/>
      <c r="BP769" s="108"/>
    </row>
    <row r="770" spans="1:68" ht="12" customHeight="1" x14ac:dyDescent="0.2">
      <c r="A770" s="179"/>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c r="AA770" s="108"/>
      <c r="AB770" s="108"/>
      <c r="AC770" s="108"/>
      <c r="AD770" s="108"/>
      <c r="AE770" s="108"/>
      <c r="AF770" s="108"/>
      <c r="AG770" s="108"/>
      <c r="AH770" s="108"/>
      <c r="AI770" s="108"/>
      <c r="AJ770" s="108"/>
      <c r="AK770" s="108"/>
      <c r="AL770" s="108"/>
      <c r="AM770" s="108"/>
      <c r="AN770" s="108"/>
      <c r="AO770" s="108"/>
      <c r="AP770" s="108"/>
      <c r="AQ770" s="108"/>
      <c r="AR770" s="108"/>
      <c r="AS770" s="108"/>
      <c r="AT770" s="108"/>
      <c r="AU770" s="108"/>
      <c r="AV770" s="108"/>
      <c r="AW770" s="108"/>
      <c r="AX770" s="108"/>
      <c r="AY770" s="108"/>
      <c r="AZ770" s="108"/>
      <c r="BA770" s="108"/>
      <c r="BB770" s="108"/>
      <c r="BC770" s="108"/>
      <c r="BD770" s="108"/>
      <c r="BE770" s="108"/>
      <c r="BF770" s="108"/>
      <c r="BG770" s="108"/>
      <c r="BH770" s="108"/>
      <c r="BI770" s="108"/>
      <c r="BJ770" s="108"/>
      <c r="BK770" s="108"/>
      <c r="BL770" s="108"/>
      <c r="BM770" s="109"/>
      <c r="BN770" s="108"/>
      <c r="BO770" s="108"/>
      <c r="BP770" s="108"/>
    </row>
    <row r="771" spans="1:68" ht="12" customHeight="1" x14ac:dyDescent="0.2">
      <c r="A771" s="179"/>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c r="AA771" s="108"/>
      <c r="AB771" s="108"/>
      <c r="AC771" s="108"/>
      <c r="AD771" s="108"/>
      <c r="AE771" s="108"/>
      <c r="AF771" s="108"/>
      <c r="AG771" s="108"/>
      <c r="AH771" s="108"/>
      <c r="AI771" s="108"/>
      <c r="AJ771" s="108"/>
      <c r="AK771" s="108"/>
      <c r="AL771" s="108"/>
      <c r="AM771" s="108"/>
      <c r="AN771" s="108"/>
      <c r="AO771" s="108"/>
      <c r="AP771" s="108"/>
      <c r="AQ771" s="108"/>
      <c r="AR771" s="108"/>
      <c r="AS771" s="108"/>
      <c r="AT771" s="108"/>
      <c r="AU771" s="108"/>
      <c r="AV771" s="108"/>
      <c r="AW771" s="108"/>
      <c r="AX771" s="108"/>
      <c r="AY771" s="108"/>
      <c r="AZ771" s="108"/>
      <c r="BA771" s="108"/>
      <c r="BB771" s="108"/>
      <c r="BC771" s="108"/>
      <c r="BD771" s="108"/>
      <c r="BE771" s="108"/>
      <c r="BF771" s="108"/>
      <c r="BG771" s="108"/>
      <c r="BH771" s="108"/>
      <c r="BI771" s="108"/>
      <c r="BJ771" s="108"/>
      <c r="BK771" s="108"/>
      <c r="BL771" s="108"/>
      <c r="BM771" s="109"/>
      <c r="BN771" s="108"/>
      <c r="BO771" s="108"/>
      <c r="BP771" s="108"/>
    </row>
    <row r="772" spans="1:68" ht="12" customHeight="1" x14ac:dyDescent="0.2">
      <c r="A772" s="179"/>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c r="AA772" s="108"/>
      <c r="AB772" s="108"/>
      <c r="AC772" s="108"/>
      <c r="AD772" s="108"/>
      <c r="AE772" s="108"/>
      <c r="AF772" s="108"/>
      <c r="AG772" s="108"/>
      <c r="AH772" s="108"/>
      <c r="AI772" s="108"/>
      <c r="AJ772" s="108"/>
      <c r="AK772" s="108"/>
      <c r="AL772" s="108"/>
      <c r="AM772" s="108"/>
      <c r="AN772" s="108"/>
      <c r="AO772" s="108"/>
      <c r="AP772" s="108"/>
      <c r="AQ772" s="108"/>
      <c r="AR772" s="108"/>
      <c r="AS772" s="108"/>
      <c r="AT772" s="108"/>
      <c r="AU772" s="108"/>
      <c r="AV772" s="108"/>
      <c r="AW772" s="108"/>
      <c r="AX772" s="108"/>
      <c r="AY772" s="108"/>
      <c r="AZ772" s="108"/>
      <c r="BA772" s="108"/>
      <c r="BB772" s="108"/>
      <c r="BC772" s="108"/>
      <c r="BD772" s="108"/>
      <c r="BE772" s="108"/>
      <c r="BF772" s="108"/>
      <c r="BG772" s="108"/>
      <c r="BH772" s="108"/>
      <c r="BI772" s="108"/>
      <c r="BJ772" s="108"/>
      <c r="BK772" s="108"/>
      <c r="BL772" s="108"/>
      <c r="BM772" s="109"/>
      <c r="BN772" s="108"/>
      <c r="BO772" s="108"/>
      <c r="BP772" s="108"/>
    </row>
    <row r="773" spans="1:68" ht="12" customHeight="1" x14ac:dyDescent="0.2">
      <c r="A773" s="179"/>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c r="AA773" s="108"/>
      <c r="AB773" s="108"/>
      <c r="AC773" s="108"/>
      <c r="AD773" s="108"/>
      <c r="AE773" s="108"/>
      <c r="AF773" s="108"/>
      <c r="AG773" s="108"/>
      <c r="AH773" s="108"/>
      <c r="AI773" s="108"/>
      <c r="AJ773" s="108"/>
      <c r="AK773" s="108"/>
      <c r="AL773" s="108"/>
      <c r="AM773" s="108"/>
      <c r="AN773" s="108"/>
      <c r="AO773" s="108"/>
      <c r="AP773" s="108"/>
      <c r="AQ773" s="108"/>
      <c r="AR773" s="108"/>
      <c r="AS773" s="108"/>
      <c r="AT773" s="108"/>
      <c r="AU773" s="108"/>
      <c r="AV773" s="108"/>
      <c r="AW773" s="108"/>
      <c r="AX773" s="108"/>
      <c r="AY773" s="108"/>
      <c r="AZ773" s="108"/>
      <c r="BA773" s="108"/>
      <c r="BB773" s="108"/>
      <c r="BC773" s="108"/>
      <c r="BD773" s="108"/>
      <c r="BE773" s="108"/>
      <c r="BF773" s="108"/>
      <c r="BG773" s="108"/>
      <c r="BH773" s="108"/>
      <c r="BI773" s="108"/>
      <c r="BJ773" s="108"/>
      <c r="BK773" s="108"/>
      <c r="BL773" s="108"/>
      <c r="BM773" s="109"/>
      <c r="BN773" s="108"/>
      <c r="BO773" s="108"/>
      <c r="BP773" s="108"/>
    </row>
    <row r="774" spans="1:68" ht="12" customHeight="1" x14ac:dyDescent="0.2">
      <c r="A774" s="179"/>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c r="AA774" s="108"/>
      <c r="AB774" s="108"/>
      <c r="AC774" s="108"/>
      <c r="AD774" s="108"/>
      <c r="AE774" s="108"/>
      <c r="AF774" s="108"/>
      <c r="AG774" s="108"/>
      <c r="AH774" s="108"/>
      <c r="AI774" s="108"/>
      <c r="AJ774" s="108"/>
      <c r="AK774" s="108"/>
      <c r="AL774" s="108"/>
      <c r="AM774" s="108"/>
      <c r="AN774" s="108"/>
      <c r="AO774" s="108"/>
      <c r="AP774" s="108"/>
      <c r="AQ774" s="108"/>
      <c r="AR774" s="108"/>
      <c r="AS774" s="108"/>
      <c r="AT774" s="108"/>
      <c r="AU774" s="108"/>
      <c r="AV774" s="108"/>
      <c r="AW774" s="108"/>
      <c r="AX774" s="108"/>
      <c r="AY774" s="108"/>
      <c r="AZ774" s="108"/>
      <c r="BA774" s="108"/>
      <c r="BB774" s="108"/>
      <c r="BC774" s="108"/>
      <c r="BD774" s="108"/>
      <c r="BE774" s="108"/>
      <c r="BF774" s="108"/>
      <c r="BG774" s="108"/>
      <c r="BH774" s="108"/>
      <c r="BI774" s="108"/>
      <c r="BJ774" s="108"/>
      <c r="BK774" s="108"/>
      <c r="BL774" s="108"/>
      <c r="BM774" s="109"/>
      <c r="BN774" s="108"/>
      <c r="BO774" s="108"/>
      <c r="BP774" s="108"/>
    </row>
    <row r="775" spans="1:68" ht="12" customHeight="1" x14ac:dyDescent="0.2">
      <c r="A775" s="179"/>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c r="AA775" s="108"/>
      <c r="AB775" s="108"/>
      <c r="AC775" s="108"/>
      <c r="AD775" s="108"/>
      <c r="AE775" s="108"/>
      <c r="AF775" s="108"/>
      <c r="AG775" s="108"/>
      <c r="AH775" s="108"/>
      <c r="AI775" s="108"/>
      <c r="AJ775" s="108"/>
      <c r="AK775" s="108"/>
      <c r="AL775" s="108"/>
      <c r="AM775" s="108"/>
      <c r="AN775" s="108"/>
      <c r="AO775" s="108"/>
      <c r="AP775" s="108"/>
      <c r="AQ775" s="108"/>
      <c r="AR775" s="108"/>
      <c r="AS775" s="108"/>
      <c r="AT775" s="108"/>
      <c r="AU775" s="108"/>
      <c r="AV775" s="108"/>
      <c r="AW775" s="108"/>
      <c r="AX775" s="108"/>
      <c r="AY775" s="108"/>
      <c r="AZ775" s="108"/>
      <c r="BA775" s="108"/>
      <c r="BB775" s="108"/>
      <c r="BC775" s="108"/>
      <c r="BD775" s="108"/>
      <c r="BE775" s="108"/>
      <c r="BF775" s="108"/>
      <c r="BG775" s="108"/>
      <c r="BH775" s="108"/>
      <c r="BI775" s="108"/>
      <c r="BJ775" s="108"/>
      <c r="BK775" s="108"/>
      <c r="BL775" s="108"/>
      <c r="BM775" s="109"/>
      <c r="BN775" s="108"/>
      <c r="BO775" s="108"/>
      <c r="BP775" s="108"/>
    </row>
    <row r="776" spans="1:68" ht="12" customHeight="1" x14ac:dyDescent="0.2">
      <c r="A776" s="179"/>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c r="AA776" s="108"/>
      <c r="AB776" s="108"/>
      <c r="AC776" s="108"/>
      <c r="AD776" s="108"/>
      <c r="AE776" s="108"/>
      <c r="AF776" s="108"/>
      <c r="AG776" s="108"/>
      <c r="AH776" s="108"/>
      <c r="AI776" s="108"/>
      <c r="AJ776" s="108"/>
      <c r="AK776" s="108"/>
      <c r="AL776" s="108"/>
      <c r="AM776" s="108"/>
      <c r="AN776" s="108"/>
      <c r="AO776" s="108"/>
      <c r="AP776" s="108"/>
      <c r="AQ776" s="108"/>
      <c r="AR776" s="108"/>
      <c r="AS776" s="108"/>
      <c r="AT776" s="108"/>
      <c r="AU776" s="108"/>
      <c r="AV776" s="108"/>
      <c r="AW776" s="108"/>
      <c r="AX776" s="108"/>
      <c r="AY776" s="108"/>
      <c r="AZ776" s="108"/>
      <c r="BA776" s="108"/>
      <c r="BB776" s="108"/>
      <c r="BC776" s="108"/>
      <c r="BD776" s="108"/>
      <c r="BE776" s="108"/>
      <c r="BF776" s="108"/>
      <c r="BG776" s="108"/>
      <c r="BH776" s="108"/>
      <c r="BI776" s="108"/>
      <c r="BJ776" s="108"/>
      <c r="BK776" s="108"/>
      <c r="BL776" s="108"/>
      <c r="BM776" s="109"/>
      <c r="BN776" s="108"/>
      <c r="BO776" s="108"/>
      <c r="BP776" s="108"/>
    </row>
    <row r="777" spans="1:68" ht="12" customHeight="1" x14ac:dyDescent="0.2">
      <c r="A777" s="179"/>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c r="AA777" s="108"/>
      <c r="AB777" s="108"/>
      <c r="AC777" s="108"/>
      <c r="AD777" s="108"/>
      <c r="AE777" s="108"/>
      <c r="AF777" s="108"/>
      <c r="AG777" s="108"/>
      <c r="AH777" s="108"/>
      <c r="AI777" s="108"/>
      <c r="AJ777" s="108"/>
      <c r="AK777" s="108"/>
      <c r="AL777" s="108"/>
      <c r="AM777" s="108"/>
      <c r="AN777" s="108"/>
      <c r="AO777" s="108"/>
      <c r="AP777" s="108"/>
      <c r="AQ777" s="108"/>
      <c r="AR777" s="108"/>
      <c r="AS777" s="108"/>
      <c r="AT777" s="108"/>
      <c r="AU777" s="108"/>
      <c r="AV777" s="108"/>
      <c r="AW777" s="108"/>
      <c r="AX777" s="108"/>
      <c r="AY777" s="108"/>
      <c r="AZ777" s="108"/>
      <c r="BA777" s="108"/>
      <c r="BB777" s="108"/>
      <c r="BC777" s="108"/>
      <c r="BD777" s="108"/>
      <c r="BE777" s="108"/>
      <c r="BF777" s="108"/>
      <c r="BG777" s="108"/>
      <c r="BH777" s="108"/>
      <c r="BI777" s="108"/>
      <c r="BJ777" s="108"/>
      <c r="BK777" s="108"/>
      <c r="BL777" s="108"/>
      <c r="BM777" s="109"/>
      <c r="BN777" s="108"/>
      <c r="BO777" s="108"/>
      <c r="BP777" s="108"/>
    </row>
    <row r="778" spans="1:68" ht="12" customHeight="1" x14ac:dyDescent="0.2">
      <c r="A778" s="179"/>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c r="AA778" s="108"/>
      <c r="AB778" s="108"/>
      <c r="AC778" s="108"/>
      <c r="AD778" s="108"/>
      <c r="AE778" s="108"/>
      <c r="AF778" s="108"/>
      <c r="AG778" s="108"/>
      <c r="AH778" s="108"/>
      <c r="AI778" s="108"/>
      <c r="AJ778" s="108"/>
      <c r="AK778" s="108"/>
      <c r="AL778" s="108"/>
      <c r="AM778" s="108"/>
      <c r="AN778" s="108"/>
      <c r="AO778" s="108"/>
      <c r="AP778" s="108"/>
      <c r="AQ778" s="108"/>
      <c r="AR778" s="108"/>
      <c r="AS778" s="108"/>
      <c r="AT778" s="108"/>
      <c r="AU778" s="108"/>
      <c r="AV778" s="108"/>
      <c r="AW778" s="108"/>
      <c r="AX778" s="108"/>
      <c r="AY778" s="108"/>
      <c r="AZ778" s="108"/>
      <c r="BA778" s="108"/>
      <c r="BB778" s="108"/>
      <c r="BC778" s="108"/>
      <c r="BD778" s="108"/>
      <c r="BE778" s="108"/>
      <c r="BF778" s="108"/>
      <c r="BG778" s="108"/>
      <c r="BH778" s="108"/>
      <c r="BI778" s="108"/>
      <c r="BJ778" s="108"/>
      <c r="BK778" s="108"/>
      <c r="BL778" s="108"/>
      <c r="BM778" s="109"/>
      <c r="BN778" s="108"/>
      <c r="BO778" s="108"/>
      <c r="BP778" s="108"/>
    </row>
    <row r="779" spans="1:68" ht="12" customHeight="1" x14ac:dyDescent="0.2">
      <c r="A779" s="179"/>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c r="AA779" s="108"/>
      <c r="AB779" s="108"/>
      <c r="AC779" s="108"/>
      <c r="AD779" s="108"/>
      <c r="AE779" s="108"/>
      <c r="AF779" s="108"/>
      <c r="AG779" s="108"/>
      <c r="AH779" s="108"/>
      <c r="AI779" s="108"/>
      <c r="AJ779" s="108"/>
      <c r="AK779" s="108"/>
      <c r="AL779" s="108"/>
      <c r="AM779" s="108"/>
      <c r="AN779" s="108"/>
      <c r="AO779" s="108"/>
      <c r="AP779" s="108"/>
      <c r="AQ779" s="108"/>
      <c r="AR779" s="108"/>
      <c r="AS779" s="108"/>
      <c r="AT779" s="108"/>
      <c r="AU779" s="108"/>
      <c r="AV779" s="108"/>
      <c r="AW779" s="108"/>
      <c r="AX779" s="108"/>
      <c r="AY779" s="108"/>
      <c r="AZ779" s="108"/>
      <c r="BA779" s="108"/>
      <c r="BB779" s="108"/>
      <c r="BC779" s="108"/>
      <c r="BD779" s="108"/>
      <c r="BE779" s="108"/>
      <c r="BF779" s="108"/>
      <c r="BG779" s="108"/>
      <c r="BH779" s="108"/>
      <c r="BI779" s="108"/>
      <c r="BJ779" s="108"/>
      <c r="BK779" s="108"/>
      <c r="BL779" s="108"/>
      <c r="BM779" s="109"/>
      <c r="BN779" s="108"/>
      <c r="BO779" s="108"/>
      <c r="BP779" s="108"/>
    </row>
    <row r="780" spans="1:68" ht="12" customHeight="1" x14ac:dyDescent="0.2">
      <c r="A780" s="179"/>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c r="AA780" s="108"/>
      <c r="AB780" s="108"/>
      <c r="AC780" s="108"/>
      <c r="AD780" s="108"/>
      <c r="AE780" s="108"/>
      <c r="AF780" s="108"/>
      <c r="AG780" s="108"/>
      <c r="AH780" s="108"/>
      <c r="AI780" s="108"/>
      <c r="AJ780" s="108"/>
      <c r="AK780" s="108"/>
      <c r="AL780" s="108"/>
      <c r="AM780" s="108"/>
      <c r="AN780" s="108"/>
      <c r="AO780" s="108"/>
      <c r="AP780" s="108"/>
      <c r="AQ780" s="108"/>
      <c r="AR780" s="108"/>
      <c r="AS780" s="108"/>
      <c r="AT780" s="108"/>
      <c r="AU780" s="108"/>
      <c r="AV780" s="108"/>
      <c r="AW780" s="108"/>
      <c r="AX780" s="108"/>
      <c r="AY780" s="108"/>
      <c r="AZ780" s="108"/>
      <c r="BA780" s="108"/>
      <c r="BB780" s="108"/>
      <c r="BC780" s="108"/>
      <c r="BD780" s="108"/>
      <c r="BE780" s="108"/>
      <c r="BF780" s="108"/>
      <c r="BG780" s="108"/>
      <c r="BH780" s="108"/>
      <c r="BI780" s="108"/>
      <c r="BJ780" s="108"/>
      <c r="BK780" s="108"/>
      <c r="BL780" s="108"/>
      <c r="BM780" s="109"/>
      <c r="BN780" s="108"/>
      <c r="BO780" s="108"/>
      <c r="BP780" s="108"/>
    </row>
    <row r="781" spans="1:68" ht="12" customHeight="1" x14ac:dyDescent="0.2">
      <c r="A781" s="179"/>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c r="AA781" s="108"/>
      <c r="AB781" s="108"/>
      <c r="AC781" s="108"/>
      <c r="AD781" s="108"/>
      <c r="AE781" s="108"/>
      <c r="AF781" s="108"/>
      <c r="AG781" s="108"/>
      <c r="AH781" s="108"/>
      <c r="AI781" s="108"/>
      <c r="AJ781" s="108"/>
      <c r="AK781" s="108"/>
      <c r="AL781" s="108"/>
      <c r="AM781" s="108"/>
      <c r="AN781" s="108"/>
      <c r="AO781" s="108"/>
      <c r="AP781" s="108"/>
      <c r="AQ781" s="108"/>
      <c r="AR781" s="108"/>
      <c r="AS781" s="108"/>
      <c r="AT781" s="108"/>
      <c r="AU781" s="108"/>
      <c r="AV781" s="108"/>
      <c r="AW781" s="108"/>
      <c r="AX781" s="108"/>
      <c r="AY781" s="108"/>
      <c r="AZ781" s="108"/>
      <c r="BA781" s="108"/>
      <c r="BB781" s="108"/>
      <c r="BC781" s="108"/>
      <c r="BD781" s="108"/>
      <c r="BE781" s="108"/>
      <c r="BF781" s="108"/>
      <c r="BG781" s="108"/>
      <c r="BH781" s="108"/>
      <c r="BI781" s="108"/>
      <c r="BJ781" s="108"/>
      <c r="BK781" s="108"/>
      <c r="BL781" s="108"/>
      <c r="BM781" s="109"/>
      <c r="BN781" s="108"/>
      <c r="BO781" s="108"/>
      <c r="BP781" s="108"/>
    </row>
    <row r="782" spans="1:68" ht="12" customHeight="1" x14ac:dyDescent="0.2">
      <c r="A782" s="179"/>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c r="AA782" s="108"/>
      <c r="AB782" s="108"/>
      <c r="AC782" s="108"/>
      <c r="AD782" s="108"/>
      <c r="AE782" s="108"/>
      <c r="AF782" s="108"/>
      <c r="AG782" s="108"/>
      <c r="AH782" s="108"/>
      <c r="AI782" s="108"/>
      <c r="AJ782" s="108"/>
      <c r="AK782" s="108"/>
      <c r="AL782" s="108"/>
      <c r="AM782" s="108"/>
      <c r="AN782" s="108"/>
      <c r="AO782" s="108"/>
      <c r="AP782" s="108"/>
      <c r="AQ782" s="108"/>
      <c r="AR782" s="108"/>
      <c r="AS782" s="108"/>
      <c r="AT782" s="108"/>
      <c r="AU782" s="108"/>
      <c r="AV782" s="108"/>
      <c r="AW782" s="108"/>
      <c r="AX782" s="108"/>
      <c r="AY782" s="108"/>
      <c r="AZ782" s="108"/>
      <c r="BA782" s="108"/>
      <c r="BB782" s="108"/>
      <c r="BC782" s="108"/>
      <c r="BD782" s="108"/>
      <c r="BE782" s="108"/>
      <c r="BF782" s="108"/>
      <c r="BG782" s="108"/>
      <c r="BH782" s="108"/>
      <c r="BI782" s="108"/>
      <c r="BJ782" s="108"/>
      <c r="BK782" s="108"/>
      <c r="BL782" s="108"/>
      <c r="BM782" s="109"/>
      <c r="BN782" s="108"/>
      <c r="BO782" s="108"/>
      <c r="BP782" s="108"/>
    </row>
    <row r="783" spans="1:68" ht="12" customHeight="1" x14ac:dyDescent="0.2">
      <c r="A783" s="179"/>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c r="AA783" s="108"/>
      <c r="AB783" s="108"/>
      <c r="AC783" s="108"/>
      <c r="AD783" s="108"/>
      <c r="AE783" s="108"/>
      <c r="AF783" s="108"/>
      <c r="AG783" s="108"/>
      <c r="AH783" s="108"/>
      <c r="AI783" s="108"/>
      <c r="AJ783" s="108"/>
      <c r="AK783" s="108"/>
      <c r="AL783" s="108"/>
      <c r="AM783" s="108"/>
      <c r="AN783" s="108"/>
      <c r="AO783" s="108"/>
      <c r="AP783" s="108"/>
      <c r="AQ783" s="108"/>
      <c r="AR783" s="108"/>
      <c r="AS783" s="108"/>
      <c r="AT783" s="108"/>
      <c r="AU783" s="108"/>
      <c r="AV783" s="108"/>
      <c r="AW783" s="108"/>
      <c r="AX783" s="108"/>
      <c r="AY783" s="108"/>
      <c r="AZ783" s="108"/>
      <c r="BA783" s="108"/>
      <c r="BB783" s="108"/>
      <c r="BC783" s="108"/>
      <c r="BD783" s="108"/>
      <c r="BE783" s="108"/>
      <c r="BF783" s="108"/>
      <c r="BG783" s="108"/>
      <c r="BH783" s="108"/>
      <c r="BI783" s="108"/>
      <c r="BJ783" s="108"/>
      <c r="BK783" s="108"/>
      <c r="BL783" s="108"/>
      <c r="BM783" s="109"/>
      <c r="BN783" s="108"/>
      <c r="BO783" s="108"/>
      <c r="BP783" s="108"/>
    </row>
    <row r="784" spans="1:68" ht="12" customHeight="1" x14ac:dyDescent="0.2">
      <c r="A784" s="179"/>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c r="AA784" s="108"/>
      <c r="AB784" s="108"/>
      <c r="AC784" s="108"/>
      <c r="AD784" s="108"/>
      <c r="AE784" s="108"/>
      <c r="AF784" s="108"/>
      <c r="AG784" s="108"/>
      <c r="AH784" s="108"/>
      <c r="AI784" s="108"/>
      <c r="AJ784" s="108"/>
      <c r="AK784" s="108"/>
      <c r="AL784" s="108"/>
      <c r="AM784" s="108"/>
      <c r="AN784" s="108"/>
      <c r="AO784" s="108"/>
      <c r="AP784" s="108"/>
      <c r="AQ784" s="108"/>
      <c r="AR784" s="108"/>
      <c r="AS784" s="108"/>
      <c r="AT784" s="108"/>
      <c r="AU784" s="108"/>
      <c r="AV784" s="108"/>
      <c r="AW784" s="108"/>
      <c r="AX784" s="108"/>
      <c r="AY784" s="108"/>
      <c r="AZ784" s="108"/>
      <c r="BA784" s="108"/>
      <c r="BB784" s="108"/>
      <c r="BC784" s="108"/>
      <c r="BD784" s="108"/>
      <c r="BE784" s="108"/>
      <c r="BF784" s="108"/>
      <c r="BG784" s="108"/>
      <c r="BH784" s="108"/>
      <c r="BI784" s="108"/>
      <c r="BJ784" s="108"/>
      <c r="BK784" s="108"/>
      <c r="BL784" s="108"/>
      <c r="BM784" s="109"/>
      <c r="BN784" s="108"/>
      <c r="BO784" s="108"/>
      <c r="BP784" s="108"/>
    </row>
    <row r="785" spans="1:68" ht="12" customHeight="1" x14ac:dyDescent="0.2">
      <c r="A785" s="179"/>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c r="AA785" s="108"/>
      <c r="AB785" s="108"/>
      <c r="AC785" s="108"/>
      <c r="AD785" s="108"/>
      <c r="AE785" s="108"/>
      <c r="AF785" s="108"/>
      <c r="AG785" s="108"/>
      <c r="AH785" s="108"/>
      <c r="AI785" s="108"/>
      <c r="AJ785" s="108"/>
      <c r="AK785" s="108"/>
      <c r="AL785" s="108"/>
      <c r="AM785" s="108"/>
      <c r="AN785" s="108"/>
      <c r="AO785" s="108"/>
      <c r="AP785" s="108"/>
      <c r="AQ785" s="108"/>
      <c r="AR785" s="108"/>
      <c r="AS785" s="108"/>
      <c r="AT785" s="108"/>
      <c r="AU785" s="108"/>
      <c r="AV785" s="108"/>
      <c r="AW785" s="108"/>
      <c r="AX785" s="108"/>
      <c r="AY785" s="108"/>
      <c r="AZ785" s="108"/>
      <c r="BA785" s="108"/>
      <c r="BB785" s="108"/>
      <c r="BC785" s="108"/>
      <c r="BD785" s="108"/>
      <c r="BE785" s="108"/>
      <c r="BF785" s="108"/>
      <c r="BG785" s="108"/>
      <c r="BH785" s="108"/>
      <c r="BI785" s="108"/>
      <c r="BJ785" s="108"/>
      <c r="BK785" s="108"/>
      <c r="BL785" s="108"/>
      <c r="BM785" s="109"/>
      <c r="BN785" s="108"/>
      <c r="BO785" s="108"/>
      <c r="BP785" s="108"/>
    </row>
    <row r="786" spans="1:68" ht="12" customHeight="1" x14ac:dyDescent="0.2">
      <c r="A786" s="179"/>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c r="AA786" s="108"/>
      <c r="AB786" s="108"/>
      <c r="AC786" s="108"/>
      <c r="AD786" s="108"/>
      <c r="AE786" s="108"/>
      <c r="AF786" s="108"/>
      <c r="AG786" s="108"/>
      <c r="AH786" s="108"/>
      <c r="AI786" s="108"/>
      <c r="AJ786" s="108"/>
      <c r="AK786" s="108"/>
      <c r="AL786" s="108"/>
      <c r="AM786" s="108"/>
      <c r="AN786" s="108"/>
      <c r="AO786" s="108"/>
      <c r="AP786" s="108"/>
      <c r="AQ786" s="108"/>
      <c r="AR786" s="108"/>
      <c r="AS786" s="108"/>
      <c r="AT786" s="108"/>
      <c r="AU786" s="108"/>
      <c r="AV786" s="108"/>
      <c r="AW786" s="108"/>
      <c r="AX786" s="108"/>
      <c r="AY786" s="108"/>
      <c r="AZ786" s="108"/>
      <c r="BA786" s="108"/>
      <c r="BB786" s="108"/>
      <c r="BC786" s="108"/>
      <c r="BD786" s="108"/>
      <c r="BE786" s="108"/>
      <c r="BF786" s="108"/>
      <c r="BG786" s="108"/>
      <c r="BH786" s="108"/>
      <c r="BI786" s="108"/>
      <c r="BJ786" s="108"/>
      <c r="BK786" s="108"/>
      <c r="BL786" s="108"/>
      <c r="BM786" s="109"/>
      <c r="BN786" s="108"/>
      <c r="BO786" s="108"/>
      <c r="BP786" s="108"/>
    </row>
    <row r="787" spans="1:68" ht="12" customHeight="1" x14ac:dyDescent="0.2">
      <c r="A787" s="179"/>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c r="AA787" s="108"/>
      <c r="AB787" s="108"/>
      <c r="AC787" s="108"/>
      <c r="AD787" s="108"/>
      <c r="AE787" s="108"/>
      <c r="AF787" s="108"/>
      <c r="AG787" s="108"/>
      <c r="AH787" s="108"/>
      <c r="AI787" s="108"/>
      <c r="AJ787" s="108"/>
      <c r="AK787" s="108"/>
      <c r="AL787" s="108"/>
      <c r="AM787" s="108"/>
      <c r="AN787" s="108"/>
      <c r="AO787" s="108"/>
      <c r="AP787" s="108"/>
      <c r="AQ787" s="108"/>
      <c r="AR787" s="108"/>
      <c r="AS787" s="108"/>
      <c r="AT787" s="108"/>
      <c r="AU787" s="108"/>
      <c r="AV787" s="108"/>
      <c r="AW787" s="108"/>
      <c r="AX787" s="108"/>
      <c r="AY787" s="108"/>
      <c r="AZ787" s="108"/>
      <c r="BA787" s="108"/>
      <c r="BB787" s="108"/>
      <c r="BC787" s="108"/>
      <c r="BD787" s="108"/>
      <c r="BE787" s="108"/>
      <c r="BF787" s="108"/>
      <c r="BG787" s="108"/>
      <c r="BH787" s="108"/>
      <c r="BI787" s="108"/>
      <c r="BJ787" s="108"/>
      <c r="BK787" s="108"/>
      <c r="BL787" s="108"/>
      <c r="BM787" s="109"/>
      <c r="BN787" s="108"/>
      <c r="BO787" s="108"/>
      <c r="BP787" s="108"/>
    </row>
    <row r="788" spans="1:68" ht="12" customHeight="1" x14ac:dyDescent="0.2">
      <c r="A788" s="179"/>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c r="AA788" s="108"/>
      <c r="AB788" s="108"/>
      <c r="AC788" s="108"/>
      <c r="AD788" s="108"/>
      <c r="AE788" s="108"/>
      <c r="AF788" s="108"/>
      <c r="AG788" s="108"/>
      <c r="AH788" s="108"/>
      <c r="AI788" s="108"/>
      <c r="AJ788" s="108"/>
      <c r="AK788" s="108"/>
      <c r="AL788" s="108"/>
      <c r="AM788" s="108"/>
      <c r="AN788" s="108"/>
      <c r="AO788" s="108"/>
      <c r="AP788" s="108"/>
      <c r="AQ788" s="108"/>
      <c r="AR788" s="108"/>
      <c r="AS788" s="108"/>
      <c r="AT788" s="108"/>
      <c r="AU788" s="108"/>
      <c r="AV788" s="108"/>
      <c r="AW788" s="108"/>
      <c r="AX788" s="108"/>
      <c r="AY788" s="108"/>
      <c r="AZ788" s="108"/>
      <c r="BA788" s="108"/>
      <c r="BB788" s="108"/>
      <c r="BC788" s="108"/>
      <c r="BD788" s="108"/>
      <c r="BE788" s="108"/>
      <c r="BF788" s="108"/>
      <c r="BG788" s="108"/>
      <c r="BH788" s="108"/>
      <c r="BI788" s="108"/>
      <c r="BJ788" s="108"/>
      <c r="BK788" s="108"/>
      <c r="BL788" s="108"/>
      <c r="BM788" s="109"/>
      <c r="BN788" s="108"/>
      <c r="BO788" s="108"/>
      <c r="BP788" s="108"/>
    </row>
    <row r="789" spans="1:68" ht="12" customHeight="1" x14ac:dyDescent="0.2">
      <c r="A789" s="179"/>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c r="AA789" s="108"/>
      <c r="AB789" s="108"/>
      <c r="AC789" s="108"/>
      <c r="AD789" s="108"/>
      <c r="AE789" s="108"/>
      <c r="AF789" s="108"/>
      <c r="AG789" s="108"/>
      <c r="AH789" s="108"/>
      <c r="AI789" s="108"/>
      <c r="AJ789" s="108"/>
      <c r="AK789" s="108"/>
      <c r="AL789" s="108"/>
      <c r="AM789" s="108"/>
      <c r="AN789" s="108"/>
      <c r="AO789" s="108"/>
      <c r="AP789" s="108"/>
      <c r="AQ789" s="108"/>
      <c r="AR789" s="108"/>
      <c r="AS789" s="108"/>
      <c r="AT789" s="108"/>
      <c r="AU789" s="108"/>
      <c r="AV789" s="108"/>
      <c r="AW789" s="108"/>
      <c r="AX789" s="108"/>
      <c r="AY789" s="108"/>
      <c r="AZ789" s="108"/>
      <c r="BA789" s="108"/>
      <c r="BB789" s="108"/>
      <c r="BC789" s="108"/>
      <c r="BD789" s="108"/>
      <c r="BE789" s="108"/>
      <c r="BF789" s="108"/>
      <c r="BG789" s="108"/>
      <c r="BH789" s="108"/>
      <c r="BI789" s="108"/>
      <c r="BJ789" s="108"/>
      <c r="BK789" s="108"/>
      <c r="BL789" s="108"/>
      <c r="BM789" s="109"/>
      <c r="BN789" s="108"/>
      <c r="BO789" s="108"/>
      <c r="BP789" s="108"/>
    </row>
    <row r="790" spans="1:68" ht="12" customHeight="1" x14ac:dyDescent="0.2">
      <c r="A790" s="179"/>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c r="AA790" s="108"/>
      <c r="AB790" s="108"/>
      <c r="AC790" s="108"/>
      <c r="AD790" s="108"/>
      <c r="AE790" s="108"/>
      <c r="AF790" s="108"/>
      <c r="AG790" s="108"/>
      <c r="AH790" s="108"/>
      <c r="AI790" s="108"/>
      <c r="AJ790" s="108"/>
      <c r="AK790" s="108"/>
      <c r="AL790" s="108"/>
      <c r="AM790" s="108"/>
      <c r="AN790" s="108"/>
      <c r="AO790" s="108"/>
      <c r="AP790" s="108"/>
      <c r="AQ790" s="108"/>
      <c r="AR790" s="108"/>
      <c r="AS790" s="108"/>
      <c r="AT790" s="108"/>
      <c r="AU790" s="108"/>
      <c r="AV790" s="108"/>
      <c r="AW790" s="108"/>
      <c r="AX790" s="108"/>
      <c r="AY790" s="108"/>
      <c r="AZ790" s="108"/>
      <c r="BA790" s="108"/>
      <c r="BB790" s="108"/>
      <c r="BC790" s="108"/>
      <c r="BD790" s="108"/>
      <c r="BE790" s="108"/>
      <c r="BF790" s="108"/>
      <c r="BG790" s="108"/>
      <c r="BH790" s="108"/>
      <c r="BI790" s="108"/>
      <c r="BJ790" s="108"/>
      <c r="BK790" s="108"/>
      <c r="BL790" s="108"/>
      <c r="BM790" s="109"/>
      <c r="BN790" s="108"/>
      <c r="BO790" s="108"/>
      <c r="BP790" s="108"/>
    </row>
    <row r="791" spans="1:68" ht="12" customHeight="1" x14ac:dyDescent="0.2">
      <c r="A791" s="179"/>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c r="AA791" s="108"/>
      <c r="AB791" s="108"/>
      <c r="AC791" s="108"/>
      <c r="AD791" s="108"/>
      <c r="AE791" s="108"/>
      <c r="AF791" s="108"/>
      <c r="AG791" s="108"/>
      <c r="AH791" s="108"/>
      <c r="AI791" s="108"/>
      <c r="AJ791" s="108"/>
      <c r="AK791" s="108"/>
      <c r="AL791" s="108"/>
      <c r="AM791" s="108"/>
      <c r="AN791" s="108"/>
      <c r="AO791" s="108"/>
      <c r="AP791" s="108"/>
      <c r="AQ791" s="108"/>
      <c r="AR791" s="108"/>
      <c r="AS791" s="108"/>
      <c r="AT791" s="108"/>
      <c r="AU791" s="108"/>
      <c r="AV791" s="108"/>
      <c r="AW791" s="108"/>
      <c r="AX791" s="108"/>
      <c r="AY791" s="108"/>
      <c r="AZ791" s="108"/>
      <c r="BA791" s="108"/>
      <c r="BB791" s="108"/>
      <c r="BC791" s="108"/>
      <c r="BD791" s="108"/>
      <c r="BE791" s="108"/>
      <c r="BF791" s="108"/>
      <c r="BG791" s="108"/>
      <c r="BH791" s="108"/>
      <c r="BI791" s="108"/>
      <c r="BJ791" s="108"/>
      <c r="BK791" s="108"/>
      <c r="BL791" s="108"/>
      <c r="BM791" s="109"/>
      <c r="BN791" s="108"/>
      <c r="BO791" s="108"/>
      <c r="BP791" s="108"/>
    </row>
    <row r="792" spans="1:68" ht="12" customHeight="1" x14ac:dyDescent="0.2">
      <c r="A792" s="179"/>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c r="AA792" s="108"/>
      <c r="AB792" s="108"/>
      <c r="AC792" s="108"/>
      <c r="AD792" s="108"/>
      <c r="AE792" s="108"/>
      <c r="AF792" s="108"/>
      <c r="AG792" s="108"/>
      <c r="AH792" s="108"/>
      <c r="AI792" s="108"/>
      <c r="AJ792" s="108"/>
      <c r="AK792" s="108"/>
      <c r="AL792" s="108"/>
      <c r="AM792" s="108"/>
      <c r="AN792" s="108"/>
      <c r="AO792" s="108"/>
      <c r="AP792" s="108"/>
      <c r="AQ792" s="108"/>
      <c r="AR792" s="108"/>
      <c r="AS792" s="108"/>
      <c r="AT792" s="108"/>
      <c r="AU792" s="108"/>
      <c r="AV792" s="108"/>
      <c r="AW792" s="108"/>
      <c r="AX792" s="108"/>
      <c r="AY792" s="108"/>
      <c r="AZ792" s="108"/>
      <c r="BA792" s="108"/>
      <c r="BB792" s="108"/>
      <c r="BC792" s="108"/>
      <c r="BD792" s="108"/>
      <c r="BE792" s="108"/>
      <c r="BF792" s="108"/>
      <c r="BG792" s="108"/>
      <c r="BH792" s="108"/>
      <c r="BI792" s="108"/>
      <c r="BJ792" s="108"/>
      <c r="BK792" s="108"/>
      <c r="BL792" s="108"/>
      <c r="BM792" s="109"/>
      <c r="BN792" s="108"/>
      <c r="BO792" s="108"/>
      <c r="BP792" s="108"/>
    </row>
    <row r="793" spans="1:68" ht="12" customHeight="1" x14ac:dyDescent="0.2">
      <c r="A793" s="179"/>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c r="AA793" s="108"/>
      <c r="AB793" s="108"/>
      <c r="AC793" s="108"/>
      <c r="AD793" s="108"/>
      <c r="AE793" s="108"/>
      <c r="AF793" s="108"/>
      <c r="AG793" s="108"/>
      <c r="AH793" s="108"/>
      <c r="AI793" s="108"/>
      <c r="AJ793" s="108"/>
      <c r="AK793" s="108"/>
      <c r="AL793" s="108"/>
      <c r="AM793" s="108"/>
      <c r="AN793" s="108"/>
      <c r="AO793" s="108"/>
      <c r="AP793" s="108"/>
      <c r="AQ793" s="108"/>
      <c r="AR793" s="108"/>
      <c r="AS793" s="108"/>
      <c r="AT793" s="108"/>
      <c r="AU793" s="108"/>
      <c r="AV793" s="108"/>
      <c r="AW793" s="108"/>
      <c r="AX793" s="108"/>
      <c r="AY793" s="108"/>
      <c r="AZ793" s="108"/>
      <c r="BA793" s="108"/>
      <c r="BB793" s="108"/>
      <c r="BC793" s="108"/>
      <c r="BD793" s="108"/>
      <c r="BE793" s="108"/>
      <c r="BF793" s="108"/>
      <c r="BG793" s="108"/>
      <c r="BH793" s="108"/>
      <c r="BI793" s="108"/>
      <c r="BJ793" s="108"/>
      <c r="BK793" s="108"/>
      <c r="BL793" s="108"/>
      <c r="BM793" s="109"/>
      <c r="BN793" s="108"/>
      <c r="BO793" s="108"/>
      <c r="BP793" s="108"/>
    </row>
    <row r="794" spans="1:68" ht="12" customHeight="1" x14ac:dyDescent="0.2">
      <c r="A794" s="179"/>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c r="AA794" s="108"/>
      <c r="AB794" s="108"/>
      <c r="AC794" s="108"/>
      <c r="AD794" s="108"/>
      <c r="AE794" s="108"/>
      <c r="AF794" s="108"/>
      <c r="AG794" s="108"/>
      <c r="AH794" s="108"/>
      <c r="AI794" s="108"/>
      <c r="AJ794" s="108"/>
      <c r="AK794" s="108"/>
      <c r="AL794" s="108"/>
      <c r="AM794" s="108"/>
      <c r="AN794" s="108"/>
      <c r="AO794" s="108"/>
      <c r="AP794" s="108"/>
      <c r="AQ794" s="108"/>
      <c r="AR794" s="108"/>
      <c r="AS794" s="108"/>
      <c r="AT794" s="108"/>
      <c r="AU794" s="108"/>
      <c r="AV794" s="108"/>
      <c r="AW794" s="108"/>
      <c r="AX794" s="108"/>
      <c r="AY794" s="108"/>
      <c r="AZ794" s="108"/>
      <c r="BA794" s="108"/>
      <c r="BB794" s="108"/>
      <c r="BC794" s="108"/>
      <c r="BD794" s="108"/>
      <c r="BE794" s="108"/>
      <c r="BF794" s="108"/>
      <c r="BG794" s="108"/>
      <c r="BH794" s="108"/>
      <c r="BI794" s="108"/>
      <c r="BJ794" s="108"/>
      <c r="BK794" s="108"/>
      <c r="BL794" s="108"/>
      <c r="BM794" s="109"/>
      <c r="BN794" s="108"/>
      <c r="BO794" s="108"/>
      <c r="BP794" s="108"/>
    </row>
    <row r="795" spans="1:68" ht="12" customHeight="1" x14ac:dyDescent="0.2">
      <c r="A795" s="179"/>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c r="AA795" s="108"/>
      <c r="AB795" s="108"/>
      <c r="AC795" s="108"/>
      <c r="AD795" s="108"/>
      <c r="AE795" s="108"/>
      <c r="AF795" s="108"/>
      <c r="AG795" s="108"/>
      <c r="AH795" s="108"/>
      <c r="AI795" s="108"/>
      <c r="AJ795" s="108"/>
      <c r="AK795" s="108"/>
      <c r="AL795" s="108"/>
      <c r="AM795" s="108"/>
      <c r="AN795" s="108"/>
      <c r="AO795" s="108"/>
      <c r="AP795" s="108"/>
      <c r="AQ795" s="108"/>
      <c r="AR795" s="108"/>
      <c r="AS795" s="108"/>
      <c r="AT795" s="108"/>
      <c r="AU795" s="108"/>
      <c r="AV795" s="108"/>
      <c r="AW795" s="108"/>
      <c r="AX795" s="108"/>
      <c r="AY795" s="108"/>
      <c r="AZ795" s="108"/>
      <c r="BA795" s="108"/>
      <c r="BB795" s="108"/>
      <c r="BC795" s="108"/>
      <c r="BD795" s="108"/>
      <c r="BE795" s="108"/>
      <c r="BF795" s="108"/>
      <c r="BG795" s="108"/>
      <c r="BH795" s="108"/>
      <c r="BI795" s="108"/>
      <c r="BJ795" s="108"/>
      <c r="BK795" s="108"/>
      <c r="BL795" s="108"/>
      <c r="BM795" s="109"/>
      <c r="BN795" s="108"/>
      <c r="BO795" s="108"/>
      <c r="BP795" s="108"/>
    </row>
    <row r="796" spans="1:68" ht="12" customHeight="1" x14ac:dyDescent="0.2">
      <c r="A796" s="179"/>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c r="AA796" s="108"/>
      <c r="AB796" s="108"/>
      <c r="AC796" s="108"/>
      <c r="AD796" s="108"/>
      <c r="AE796" s="108"/>
      <c r="AF796" s="108"/>
      <c r="AG796" s="108"/>
      <c r="AH796" s="108"/>
      <c r="AI796" s="108"/>
      <c r="AJ796" s="108"/>
      <c r="AK796" s="108"/>
      <c r="AL796" s="108"/>
      <c r="AM796" s="108"/>
      <c r="AN796" s="108"/>
      <c r="AO796" s="108"/>
      <c r="AP796" s="108"/>
      <c r="AQ796" s="108"/>
      <c r="AR796" s="108"/>
      <c r="AS796" s="108"/>
      <c r="AT796" s="108"/>
      <c r="AU796" s="108"/>
      <c r="AV796" s="108"/>
      <c r="AW796" s="108"/>
      <c r="AX796" s="108"/>
      <c r="AY796" s="108"/>
      <c r="AZ796" s="108"/>
      <c r="BA796" s="108"/>
      <c r="BB796" s="108"/>
      <c r="BC796" s="108"/>
      <c r="BD796" s="108"/>
      <c r="BE796" s="108"/>
      <c r="BF796" s="108"/>
      <c r="BG796" s="108"/>
      <c r="BH796" s="108"/>
      <c r="BI796" s="108"/>
      <c r="BJ796" s="108"/>
      <c r="BK796" s="108"/>
      <c r="BL796" s="108"/>
      <c r="BM796" s="109"/>
      <c r="BN796" s="108"/>
      <c r="BO796" s="108"/>
      <c r="BP796" s="108"/>
    </row>
    <row r="797" spans="1:68" ht="12" customHeight="1" x14ac:dyDescent="0.2">
      <c r="A797" s="179"/>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c r="AA797" s="108"/>
      <c r="AB797" s="108"/>
      <c r="AC797" s="108"/>
      <c r="AD797" s="108"/>
      <c r="AE797" s="108"/>
      <c r="AF797" s="108"/>
      <c r="AG797" s="108"/>
      <c r="AH797" s="108"/>
      <c r="AI797" s="108"/>
      <c r="AJ797" s="108"/>
      <c r="AK797" s="108"/>
      <c r="AL797" s="108"/>
      <c r="AM797" s="108"/>
      <c r="AN797" s="108"/>
      <c r="AO797" s="108"/>
      <c r="AP797" s="108"/>
      <c r="AQ797" s="108"/>
      <c r="AR797" s="108"/>
      <c r="AS797" s="108"/>
      <c r="AT797" s="108"/>
      <c r="AU797" s="108"/>
      <c r="AV797" s="108"/>
      <c r="AW797" s="108"/>
      <c r="AX797" s="108"/>
      <c r="AY797" s="108"/>
      <c r="AZ797" s="108"/>
      <c r="BA797" s="108"/>
      <c r="BB797" s="108"/>
      <c r="BC797" s="108"/>
      <c r="BD797" s="108"/>
      <c r="BE797" s="108"/>
      <c r="BF797" s="108"/>
      <c r="BG797" s="108"/>
      <c r="BH797" s="108"/>
      <c r="BI797" s="108"/>
      <c r="BJ797" s="108"/>
      <c r="BK797" s="108"/>
      <c r="BL797" s="108"/>
      <c r="BM797" s="109"/>
      <c r="BN797" s="108"/>
      <c r="BO797" s="108"/>
      <c r="BP797" s="108"/>
    </row>
    <row r="798" spans="1:68" ht="12" customHeight="1" x14ac:dyDescent="0.2">
      <c r="A798" s="179"/>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c r="AA798" s="108"/>
      <c r="AB798" s="108"/>
      <c r="AC798" s="108"/>
      <c r="AD798" s="108"/>
      <c r="AE798" s="108"/>
      <c r="AF798" s="108"/>
      <c r="AG798" s="108"/>
      <c r="AH798" s="108"/>
      <c r="AI798" s="108"/>
      <c r="AJ798" s="108"/>
      <c r="AK798" s="108"/>
      <c r="AL798" s="108"/>
      <c r="AM798" s="108"/>
      <c r="AN798" s="108"/>
      <c r="AO798" s="108"/>
      <c r="AP798" s="108"/>
      <c r="AQ798" s="108"/>
      <c r="AR798" s="108"/>
      <c r="AS798" s="108"/>
      <c r="AT798" s="108"/>
      <c r="AU798" s="108"/>
      <c r="AV798" s="108"/>
      <c r="AW798" s="108"/>
      <c r="AX798" s="108"/>
      <c r="AY798" s="108"/>
      <c r="AZ798" s="108"/>
      <c r="BA798" s="108"/>
      <c r="BB798" s="108"/>
      <c r="BC798" s="108"/>
      <c r="BD798" s="108"/>
      <c r="BE798" s="108"/>
      <c r="BF798" s="108"/>
      <c r="BG798" s="108"/>
      <c r="BH798" s="108"/>
      <c r="BI798" s="108"/>
      <c r="BJ798" s="108"/>
      <c r="BK798" s="108"/>
      <c r="BL798" s="108"/>
      <c r="BM798" s="109"/>
      <c r="BN798" s="108"/>
      <c r="BO798" s="108"/>
      <c r="BP798" s="108"/>
    </row>
    <row r="799" spans="1:68" ht="12" customHeight="1" x14ac:dyDescent="0.2">
      <c r="A799" s="179"/>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c r="AA799" s="108"/>
      <c r="AB799" s="108"/>
      <c r="AC799" s="108"/>
      <c r="AD799" s="108"/>
      <c r="AE799" s="108"/>
      <c r="AF799" s="108"/>
      <c r="AG799" s="108"/>
      <c r="AH799" s="108"/>
      <c r="AI799" s="108"/>
      <c r="AJ799" s="108"/>
      <c r="AK799" s="108"/>
      <c r="AL799" s="108"/>
      <c r="AM799" s="108"/>
      <c r="AN799" s="108"/>
      <c r="AO799" s="108"/>
      <c r="AP799" s="108"/>
      <c r="AQ799" s="108"/>
      <c r="AR799" s="108"/>
      <c r="AS799" s="108"/>
      <c r="AT799" s="108"/>
      <c r="AU799" s="108"/>
      <c r="AV799" s="108"/>
      <c r="AW799" s="108"/>
      <c r="AX799" s="108"/>
      <c r="AY799" s="108"/>
      <c r="AZ799" s="108"/>
      <c r="BA799" s="108"/>
      <c r="BB799" s="108"/>
      <c r="BC799" s="108"/>
      <c r="BD799" s="108"/>
      <c r="BE799" s="108"/>
      <c r="BF799" s="108"/>
      <c r="BG799" s="108"/>
      <c r="BH799" s="108"/>
      <c r="BI799" s="108"/>
      <c r="BJ799" s="108"/>
      <c r="BK799" s="108"/>
      <c r="BL799" s="108"/>
      <c r="BM799" s="109"/>
      <c r="BN799" s="108"/>
      <c r="BO799" s="108"/>
      <c r="BP799" s="108"/>
    </row>
    <row r="800" spans="1:68" ht="12" customHeight="1" x14ac:dyDescent="0.2">
      <c r="A800" s="179"/>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c r="AA800" s="108"/>
      <c r="AB800" s="108"/>
      <c r="AC800" s="108"/>
      <c r="AD800" s="108"/>
      <c r="AE800" s="108"/>
      <c r="AF800" s="108"/>
      <c r="AG800" s="108"/>
      <c r="AH800" s="108"/>
      <c r="AI800" s="108"/>
      <c r="AJ800" s="108"/>
      <c r="AK800" s="108"/>
      <c r="AL800" s="108"/>
      <c r="AM800" s="108"/>
      <c r="AN800" s="108"/>
      <c r="AO800" s="108"/>
      <c r="AP800" s="108"/>
      <c r="AQ800" s="108"/>
      <c r="AR800" s="108"/>
      <c r="AS800" s="108"/>
      <c r="AT800" s="108"/>
      <c r="AU800" s="108"/>
      <c r="AV800" s="108"/>
      <c r="AW800" s="108"/>
      <c r="AX800" s="108"/>
      <c r="AY800" s="108"/>
      <c r="AZ800" s="108"/>
      <c r="BA800" s="108"/>
      <c r="BB800" s="108"/>
      <c r="BC800" s="108"/>
      <c r="BD800" s="108"/>
      <c r="BE800" s="108"/>
      <c r="BF800" s="108"/>
      <c r="BG800" s="108"/>
      <c r="BH800" s="108"/>
      <c r="BI800" s="108"/>
      <c r="BJ800" s="108"/>
      <c r="BK800" s="108"/>
      <c r="BL800" s="108"/>
      <c r="BM800" s="109"/>
      <c r="BN800" s="108"/>
      <c r="BO800" s="108"/>
      <c r="BP800" s="108"/>
    </row>
    <row r="801" spans="1:68" ht="12" customHeight="1" x14ac:dyDescent="0.2">
      <c r="A801" s="179"/>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c r="AA801" s="108"/>
      <c r="AB801" s="108"/>
      <c r="AC801" s="108"/>
      <c r="AD801" s="108"/>
      <c r="AE801" s="108"/>
      <c r="AF801" s="108"/>
      <c r="AG801" s="108"/>
      <c r="AH801" s="108"/>
      <c r="AI801" s="108"/>
      <c r="AJ801" s="108"/>
      <c r="AK801" s="108"/>
      <c r="AL801" s="108"/>
      <c r="AM801" s="108"/>
      <c r="AN801" s="108"/>
      <c r="AO801" s="108"/>
      <c r="AP801" s="108"/>
      <c r="AQ801" s="108"/>
      <c r="AR801" s="108"/>
      <c r="AS801" s="108"/>
      <c r="AT801" s="108"/>
      <c r="AU801" s="108"/>
      <c r="AV801" s="108"/>
      <c r="AW801" s="108"/>
      <c r="AX801" s="108"/>
      <c r="AY801" s="108"/>
      <c r="AZ801" s="108"/>
      <c r="BA801" s="108"/>
      <c r="BB801" s="108"/>
      <c r="BC801" s="108"/>
      <c r="BD801" s="108"/>
      <c r="BE801" s="108"/>
      <c r="BF801" s="108"/>
      <c r="BG801" s="108"/>
      <c r="BH801" s="108"/>
      <c r="BI801" s="108"/>
      <c r="BJ801" s="108"/>
      <c r="BK801" s="108"/>
      <c r="BL801" s="108"/>
      <c r="BM801" s="109"/>
      <c r="BN801" s="108"/>
      <c r="BO801" s="108"/>
      <c r="BP801" s="108"/>
    </row>
    <row r="802" spans="1:68" ht="12" customHeight="1" x14ac:dyDescent="0.2">
      <c r="A802" s="179"/>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c r="AA802" s="108"/>
      <c r="AB802" s="108"/>
      <c r="AC802" s="108"/>
      <c r="AD802" s="108"/>
      <c r="AE802" s="108"/>
      <c r="AF802" s="108"/>
      <c r="AG802" s="108"/>
      <c r="AH802" s="108"/>
      <c r="AI802" s="108"/>
      <c r="AJ802" s="108"/>
      <c r="AK802" s="108"/>
      <c r="AL802" s="108"/>
      <c r="AM802" s="108"/>
      <c r="AN802" s="108"/>
      <c r="AO802" s="108"/>
      <c r="AP802" s="108"/>
      <c r="AQ802" s="108"/>
      <c r="AR802" s="108"/>
      <c r="AS802" s="108"/>
      <c r="AT802" s="108"/>
      <c r="AU802" s="108"/>
      <c r="AV802" s="108"/>
      <c r="AW802" s="108"/>
      <c r="AX802" s="108"/>
      <c r="AY802" s="108"/>
      <c r="AZ802" s="108"/>
      <c r="BA802" s="108"/>
      <c r="BB802" s="108"/>
      <c r="BC802" s="108"/>
      <c r="BD802" s="108"/>
      <c r="BE802" s="108"/>
      <c r="BF802" s="108"/>
      <c r="BG802" s="108"/>
      <c r="BH802" s="108"/>
      <c r="BI802" s="108"/>
      <c r="BJ802" s="108"/>
      <c r="BK802" s="108"/>
      <c r="BL802" s="108"/>
      <c r="BM802" s="109"/>
      <c r="BN802" s="108"/>
      <c r="BO802" s="108"/>
      <c r="BP802" s="108"/>
    </row>
    <row r="803" spans="1:68" ht="12" customHeight="1" x14ac:dyDescent="0.2">
      <c r="A803" s="179"/>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c r="AA803" s="108"/>
      <c r="AB803" s="108"/>
      <c r="AC803" s="108"/>
      <c r="AD803" s="108"/>
      <c r="AE803" s="108"/>
      <c r="AF803" s="108"/>
      <c r="AG803" s="108"/>
      <c r="AH803" s="108"/>
      <c r="AI803" s="108"/>
      <c r="AJ803" s="108"/>
      <c r="AK803" s="108"/>
      <c r="AL803" s="108"/>
      <c r="AM803" s="108"/>
      <c r="AN803" s="108"/>
      <c r="AO803" s="108"/>
      <c r="AP803" s="108"/>
      <c r="AQ803" s="108"/>
      <c r="AR803" s="108"/>
      <c r="AS803" s="108"/>
      <c r="AT803" s="108"/>
      <c r="AU803" s="108"/>
      <c r="AV803" s="108"/>
      <c r="AW803" s="108"/>
      <c r="AX803" s="108"/>
      <c r="AY803" s="108"/>
      <c r="AZ803" s="108"/>
      <c r="BA803" s="108"/>
      <c r="BB803" s="108"/>
      <c r="BC803" s="108"/>
      <c r="BD803" s="108"/>
      <c r="BE803" s="108"/>
      <c r="BF803" s="108"/>
      <c r="BG803" s="108"/>
      <c r="BH803" s="108"/>
      <c r="BI803" s="108"/>
      <c r="BJ803" s="108"/>
      <c r="BK803" s="108"/>
      <c r="BL803" s="108"/>
      <c r="BM803" s="109"/>
      <c r="BN803" s="108"/>
      <c r="BO803" s="108"/>
      <c r="BP803" s="108"/>
    </row>
    <row r="804" spans="1:68" ht="12" customHeight="1" x14ac:dyDescent="0.2">
      <c r="A804" s="179"/>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c r="AA804" s="108"/>
      <c r="AB804" s="108"/>
      <c r="AC804" s="108"/>
      <c r="AD804" s="108"/>
      <c r="AE804" s="108"/>
      <c r="AF804" s="108"/>
      <c r="AG804" s="108"/>
      <c r="AH804" s="108"/>
      <c r="AI804" s="108"/>
      <c r="AJ804" s="108"/>
      <c r="AK804" s="108"/>
      <c r="AL804" s="108"/>
      <c r="AM804" s="108"/>
      <c r="AN804" s="108"/>
      <c r="AO804" s="108"/>
      <c r="AP804" s="108"/>
      <c r="AQ804" s="108"/>
      <c r="AR804" s="108"/>
      <c r="AS804" s="108"/>
      <c r="AT804" s="108"/>
      <c r="AU804" s="108"/>
      <c r="AV804" s="108"/>
      <c r="AW804" s="108"/>
      <c r="AX804" s="108"/>
      <c r="AY804" s="108"/>
      <c r="AZ804" s="108"/>
      <c r="BA804" s="108"/>
      <c r="BB804" s="108"/>
      <c r="BC804" s="108"/>
      <c r="BD804" s="108"/>
      <c r="BE804" s="108"/>
      <c r="BF804" s="108"/>
      <c r="BG804" s="108"/>
      <c r="BH804" s="108"/>
      <c r="BI804" s="108"/>
      <c r="BJ804" s="108"/>
      <c r="BK804" s="108"/>
      <c r="BL804" s="108"/>
      <c r="BM804" s="109"/>
      <c r="BN804" s="108"/>
      <c r="BO804" s="108"/>
      <c r="BP804" s="108"/>
    </row>
    <row r="805" spans="1:68" ht="12" customHeight="1" x14ac:dyDescent="0.2">
      <c r="A805" s="179"/>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c r="AA805" s="108"/>
      <c r="AB805" s="108"/>
      <c r="AC805" s="108"/>
      <c r="AD805" s="108"/>
      <c r="AE805" s="108"/>
      <c r="AF805" s="108"/>
      <c r="AG805" s="108"/>
      <c r="AH805" s="108"/>
      <c r="AI805" s="108"/>
      <c r="AJ805" s="108"/>
      <c r="AK805" s="108"/>
      <c r="AL805" s="108"/>
      <c r="AM805" s="108"/>
      <c r="AN805" s="108"/>
      <c r="AO805" s="108"/>
      <c r="AP805" s="108"/>
      <c r="AQ805" s="108"/>
      <c r="AR805" s="108"/>
      <c r="AS805" s="108"/>
      <c r="AT805" s="108"/>
      <c r="AU805" s="108"/>
      <c r="AV805" s="108"/>
      <c r="AW805" s="108"/>
      <c r="AX805" s="108"/>
      <c r="AY805" s="108"/>
      <c r="AZ805" s="108"/>
      <c r="BA805" s="108"/>
      <c r="BB805" s="108"/>
      <c r="BC805" s="108"/>
      <c r="BD805" s="108"/>
      <c r="BE805" s="108"/>
      <c r="BF805" s="108"/>
      <c r="BG805" s="108"/>
      <c r="BH805" s="108"/>
      <c r="BI805" s="108"/>
      <c r="BJ805" s="108"/>
      <c r="BK805" s="108"/>
      <c r="BL805" s="108"/>
      <c r="BM805" s="109"/>
      <c r="BN805" s="108"/>
      <c r="BO805" s="108"/>
      <c r="BP805" s="108"/>
    </row>
    <row r="806" spans="1:68" ht="12" customHeight="1" x14ac:dyDescent="0.2">
      <c r="A806" s="179"/>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c r="AA806" s="108"/>
      <c r="AB806" s="108"/>
      <c r="AC806" s="108"/>
      <c r="AD806" s="108"/>
      <c r="AE806" s="108"/>
      <c r="AF806" s="108"/>
      <c r="AG806" s="108"/>
      <c r="AH806" s="108"/>
      <c r="AI806" s="108"/>
      <c r="AJ806" s="108"/>
      <c r="AK806" s="108"/>
      <c r="AL806" s="108"/>
      <c r="AM806" s="108"/>
      <c r="AN806" s="108"/>
      <c r="AO806" s="108"/>
      <c r="AP806" s="108"/>
      <c r="AQ806" s="108"/>
      <c r="AR806" s="108"/>
      <c r="AS806" s="108"/>
      <c r="AT806" s="108"/>
      <c r="AU806" s="108"/>
      <c r="AV806" s="108"/>
      <c r="AW806" s="108"/>
      <c r="AX806" s="108"/>
      <c r="AY806" s="108"/>
      <c r="AZ806" s="108"/>
      <c r="BA806" s="108"/>
      <c r="BB806" s="108"/>
      <c r="BC806" s="108"/>
      <c r="BD806" s="108"/>
      <c r="BE806" s="108"/>
      <c r="BF806" s="108"/>
      <c r="BG806" s="108"/>
      <c r="BH806" s="108"/>
      <c r="BI806" s="108"/>
      <c r="BJ806" s="108"/>
      <c r="BK806" s="108"/>
      <c r="BL806" s="108"/>
      <c r="BM806" s="109"/>
      <c r="BN806" s="108"/>
      <c r="BO806" s="108"/>
      <c r="BP806" s="108"/>
    </row>
    <row r="807" spans="1:68" ht="12" customHeight="1" x14ac:dyDescent="0.2">
      <c r="A807" s="179"/>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c r="AA807" s="108"/>
      <c r="AB807" s="108"/>
      <c r="AC807" s="108"/>
      <c r="AD807" s="108"/>
      <c r="AE807" s="108"/>
      <c r="AF807" s="108"/>
      <c r="AG807" s="108"/>
      <c r="AH807" s="108"/>
      <c r="AI807" s="108"/>
      <c r="AJ807" s="108"/>
      <c r="AK807" s="108"/>
      <c r="AL807" s="108"/>
      <c r="AM807" s="108"/>
      <c r="AN807" s="108"/>
      <c r="AO807" s="108"/>
      <c r="AP807" s="108"/>
      <c r="AQ807" s="108"/>
      <c r="AR807" s="108"/>
      <c r="AS807" s="108"/>
      <c r="AT807" s="108"/>
      <c r="AU807" s="108"/>
      <c r="AV807" s="108"/>
      <c r="AW807" s="108"/>
      <c r="AX807" s="108"/>
      <c r="AY807" s="108"/>
      <c r="AZ807" s="108"/>
      <c r="BA807" s="108"/>
      <c r="BB807" s="108"/>
      <c r="BC807" s="108"/>
      <c r="BD807" s="108"/>
      <c r="BE807" s="108"/>
      <c r="BF807" s="108"/>
      <c r="BG807" s="108"/>
      <c r="BH807" s="108"/>
      <c r="BI807" s="108"/>
      <c r="BJ807" s="108"/>
      <c r="BK807" s="108"/>
      <c r="BL807" s="108"/>
      <c r="BM807" s="109"/>
      <c r="BN807" s="108"/>
      <c r="BO807" s="108"/>
      <c r="BP807" s="108"/>
    </row>
    <row r="808" spans="1:68" ht="12" customHeight="1" x14ac:dyDescent="0.2">
      <c r="A808" s="179"/>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c r="AA808" s="108"/>
      <c r="AB808" s="108"/>
      <c r="AC808" s="108"/>
      <c r="AD808" s="108"/>
      <c r="AE808" s="108"/>
      <c r="AF808" s="108"/>
      <c r="AG808" s="108"/>
      <c r="AH808" s="108"/>
      <c r="AI808" s="108"/>
      <c r="AJ808" s="108"/>
      <c r="AK808" s="108"/>
      <c r="AL808" s="108"/>
      <c r="AM808" s="108"/>
      <c r="AN808" s="108"/>
      <c r="AO808" s="108"/>
      <c r="AP808" s="108"/>
      <c r="AQ808" s="108"/>
      <c r="AR808" s="108"/>
      <c r="AS808" s="108"/>
      <c r="AT808" s="108"/>
      <c r="AU808" s="108"/>
      <c r="AV808" s="108"/>
      <c r="AW808" s="108"/>
      <c r="AX808" s="108"/>
      <c r="AY808" s="108"/>
      <c r="AZ808" s="108"/>
      <c r="BA808" s="108"/>
      <c r="BB808" s="108"/>
      <c r="BC808" s="108"/>
      <c r="BD808" s="108"/>
      <c r="BE808" s="108"/>
      <c r="BF808" s="108"/>
      <c r="BG808" s="108"/>
      <c r="BH808" s="108"/>
      <c r="BI808" s="108"/>
      <c r="BJ808" s="108"/>
      <c r="BK808" s="108"/>
      <c r="BL808" s="108"/>
      <c r="BM808" s="109"/>
      <c r="BN808" s="108"/>
      <c r="BO808" s="108"/>
      <c r="BP808" s="108"/>
    </row>
    <row r="809" spans="1:68" ht="12" customHeight="1" x14ac:dyDescent="0.2">
      <c r="A809" s="179"/>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c r="AA809" s="108"/>
      <c r="AB809" s="108"/>
      <c r="AC809" s="108"/>
      <c r="AD809" s="108"/>
      <c r="AE809" s="108"/>
      <c r="AF809" s="108"/>
      <c r="AG809" s="108"/>
      <c r="AH809" s="108"/>
      <c r="AI809" s="108"/>
      <c r="AJ809" s="108"/>
      <c r="AK809" s="108"/>
      <c r="AL809" s="108"/>
      <c r="AM809" s="108"/>
      <c r="AN809" s="108"/>
      <c r="AO809" s="108"/>
      <c r="AP809" s="108"/>
      <c r="AQ809" s="108"/>
      <c r="AR809" s="108"/>
      <c r="AS809" s="108"/>
      <c r="AT809" s="108"/>
      <c r="AU809" s="108"/>
      <c r="AV809" s="108"/>
      <c r="AW809" s="108"/>
      <c r="AX809" s="108"/>
      <c r="AY809" s="108"/>
      <c r="AZ809" s="108"/>
      <c r="BA809" s="108"/>
      <c r="BB809" s="108"/>
      <c r="BC809" s="108"/>
      <c r="BD809" s="108"/>
      <c r="BE809" s="108"/>
      <c r="BF809" s="108"/>
      <c r="BG809" s="108"/>
      <c r="BH809" s="108"/>
      <c r="BI809" s="108"/>
      <c r="BJ809" s="108"/>
      <c r="BK809" s="108"/>
      <c r="BL809" s="108"/>
      <c r="BM809" s="109"/>
      <c r="BN809" s="108"/>
      <c r="BO809" s="108"/>
      <c r="BP809" s="108"/>
    </row>
    <row r="810" spans="1:68" ht="12" customHeight="1" x14ac:dyDescent="0.2">
      <c r="A810" s="179"/>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c r="AA810" s="108"/>
      <c r="AB810" s="108"/>
      <c r="AC810" s="108"/>
      <c r="AD810" s="108"/>
      <c r="AE810" s="108"/>
      <c r="AF810" s="108"/>
      <c r="AG810" s="108"/>
      <c r="AH810" s="108"/>
      <c r="AI810" s="108"/>
      <c r="AJ810" s="108"/>
      <c r="AK810" s="108"/>
      <c r="AL810" s="108"/>
      <c r="AM810" s="108"/>
      <c r="AN810" s="108"/>
      <c r="AO810" s="108"/>
      <c r="AP810" s="108"/>
      <c r="AQ810" s="108"/>
      <c r="AR810" s="108"/>
      <c r="AS810" s="108"/>
      <c r="AT810" s="108"/>
      <c r="AU810" s="108"/>
      <c r="AV810" s="108"/>
      <c r="AW810" s="108"/>
      <c r="AX810" s="108"/>
      <c r="AY810" s="108"/>
      <c r="AZ810" s="108"/>
      <c r="BA810" s="108"/>
      <c r="BB810" s="108"/>
      <c r="BC810" s="108"/>
      <c r="BD810" s="108"/>
      <c r="BE810" s="108"/>
      <c r="BF810" s="108"/>
      <c r="BG810" s="108"/>
      <c r="BH810" s="108"/>
      <c r="BI810" s="108"/>
      <c r="BJ810" s="108"/>
      <c r="BK810" s="108"/>
      <c r="BL810" s="108"/>
      <c r="BM810" s="109"/>
      <c r="BN810" s="108"/>
      <c r="BO810" s="108"/>
      <c r="BP810" s="108"/>
    </row>
    <row r="811" spans="1:68" ht="12" customHeight="1" x14ac:dyDescent="0.2">
      <c r="A811" s="179"/>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c r="AA811" s="108"/>
      <c r="AB811" s="108"/>
      <c r="AC811" s="108"/>
      <c r="AD811" s="108"/>
      <c r="AE811" s="108"/>
      <c r="AF811" s="108"/>
      <c r="AG811" s="108"/>
      <c r="AH811" s="108"/>
      <c r="AI811" s="108"/>
      <c r="AJ811" s="108"/>
      <c r="AK811" s="108"/>
      <c r="AL811" s="108"/>
      <c r="AM811" s="108"/>
      <c r="AN811" s="108"/>
      <c r="AO811" s="108"/>
      <c r="AP811" s="108"/>
      <c r="AQ811" s="108"/>
      <c r="AR811" s="108"/>
      <c r="AS811" s="108"/>
      <c r="AT811" s="108"/>
      <c r="AU811" s="108"/>
      <c r="AV811" s="108"/>
      <c r="AW811" s="108"/>
      <c r="AX811" s="108"/>
      <c r="AY811" s="108"/>
      <c r="AZ811" s="108"/>
      <c r="BA811" s="108"/>
      <c r="BB811" s="108"/>
      <c r="BC811" s="108"/>
      <c r="BD811" s="108"/>
      <c r="BE811" s="108"/>
      <c r="BF811" s="108"/>
      <c r="BG811" s="108"/>
      <c r="BH811" s="108"/>
      <c r="BI811" s="108"/>
      <c r="BJ811" s="108"/>
      <c r="BK811" s="108"/>
      <c r="BL811" s="108"/>
      <c r="BM811" s="109"/>
      <c r="BN811" s="108"/>
      <c r="BO811" s="108"/>
      <c r="BP811" s="108"/>
    </row>
    <row r="812" spans="1:68" ht="12" customHeight="1" x14ac:dyDescent="0.2">
      <c r="A812" s="179"/>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c r="AA812" s="108"/>
      <c r="AB812" s="108"/>
      <c r="AC812" s="108"/>
      <c r="AD812" s="108"/>
      <c r="AE812" s="108"/>
      <c r="AF812" s="108"/>
      <c r="AG812" s="108"/>
      <c r="AH812" s="108"/>
      <c r="AI812" s="108"/>
      <c r="AJ812" s="108"/>
      <c r="AK812" s="108"/>
      <c r="AL812" s="108"/>
      <c r="AM812" s="108"/>
      <c r="AN812" s="108"/>
      <c r="AO812" s="108"/>
      <c r="AP812" s="108"/>
      <c r="AQ812" s="108"/>
      <c r="AR812" s="108"/>
      <c r="AS812" s="108"/>
      <c r="AT812" s="108"/>
      <c r="AU812" s="108"/>
      <c r="AV812" s="108"/>
      <c r="AW812" s="108"/>
      <c r="AX812" s="108"/>
      <c r="AY812" s="108"/>
      <c r="AZ812" s="108"/>
      <c r="BA812" s="108"/>
      <c r="BB812" s="108"/>
      <c r="BC812" s="108"/>
      <c r="BD812" s="108"/>
      <c r="BE812" s="108"/>
      <c r="BF812" s="108"/>
      <c r="BG812" s="108"/>
      <c r="BH812" s="108"/>
      <c r="BI812" s="108"/>
      <c r="BJ812" s="108"/>
      <c r="BK812" s="108"/>
      <c r="BL812" s="108"/>
      <c r="BM812" s="109"/>
      <c r="BN812" s="108"/>
      <c r="BO812" s="108"/>
      <c r="BP812" s="108"/>
    </row>
    <row r="813" spans="1:68" ht="12" customHeight="1" x14ac:dyDescent="0.2">
      <c r="A813" s="179"/>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c r="AA813" s="108"/>
      <c r="AB813" s="108"/>
      <c r="AC813" s="108"/>
      <c r="AD813" s="108"/>
      <c r="AE813" s="108"/>
      <c r="AF813" s="108"/>
      <c r="AG813" s="108"/>
      <c r="AH813" s="108"/>
      <c r="AI813" s="108"/>
      <c r="AJ813" s="108"/>
      <c r="AK813" s="108"/>
      <c r="AL813" s="108"/>
      <c r="AM813" s="108"/>
      <c r="AN813" s="108"/>
      <c r="AO813" s="108"/>
      <c r="AP813" s="108"/>
      <c r="AQ813" s="108"/>
      <c r="AR813" s="108"/>
      <c r="AS813" s="108"/>
      <c r="AT813" s="108"/>
      <c r="AU813" s="108"/>
      <c r="AV813" s="108"/>
      <c r="AW813" s="108"/>
      <c r="AX813" s="108"/>
      <c r="AY813" s="108"/>
      <c r="AZ813" s="108"/>
      <c r="BA813" s="108"/>
      <c r="BB813" s="108"/>
      <c r="BC813" s="108"/>
      <c r="BD813" s="108"/>
      <c r="BE813" s="108"/>
      <c r="BF813" s="108"/>
      <c r="BG813" s="108"/>
      <c r="BH813" s="108"/>
      <c r="BI813" s="108"/>
      <c r="BJ813" s="108"/>
      <c r="BK813" s="108"/>
      <c r="BL813" s="108"/>
      <c r="BM813" s="109"/>
      <c r="BN813" s="108"/>
      <c r="BO813" s="108"/>
      <c r="BP813" s="108"/>
    </row>
    <row r="814" spans="1:68" ht="12" customHeight="1" x14ac:dyDescent="0.2">
      <c r="A814" s="179"/>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c r="AA814" s="108"/>
      <c r="AB814" s="108"/>
      <c r="AC814" s="108"/>
      <c r="AD814" s="108"/>
      <c r="AE814" s="108"/>
      <c r="AF814" s="108"/>
      <c r="AG814" s="108"/>
      <c r="AH814" s="108"/>
      <c r="AI814" s="108"/>
      <c r="AJ814" s="108"/>
      <c r="AK814" s="108"/>
      <c r="AL814" s="108"/>
      <c r="AM814" s="108"/>
      <c r="AN814" s="108"/>
      <c r="AO814" s="108"/>
      <c r="AP814" s="108"/>
      <c r="AQ814" s="108"/>
      <c r="AR814" s="108"/>
      <c r="AS814" s="108"/>
      <c r="AT814" s="108"/>
      <c r="AU814" s="108"/>
      <c r="AV814" s="108"/>
      <c r="AW814" s="108"/>
      <c r="AX814" s="108"/>
      <c r="AY814" s="108"/>
      <c r="AZ814" s="108"/>
      <c r="BA814" s="108"/>
      <c r="BB814" s="108"/>
      <c r="BC814" s="108"/>
      <c r="BD814" s="108"/>
      <c r="BE814" s="108"/>
      <c r="BF814" s="108"/>
      <c r="BG814" s="108"/>
      <c r="BH814" s="108"/>
      <c r="BI814" s="108"/>
      <c r="BJ814" s="108"/>
      <c r="BK814" s="108"/>
      <c r="BL814" s="108"/>
      <c r="BM814" s="109"/>
      <c r="BN814" s="108"/>
      <c r="BO814" s="108"/>
      <c r="BP814" s="108"/>
    </row>
    <row r="815" spans="1:68" ht="12" customHeight="1" x14ac:dyDescent="0.2">
      <c r="A815" s="179"/>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c r="AA815" s="108"/>
      <c r="AB815" s="108"/>
      <c r="AC815" s="108"/>
      <c r="AD815" s="108"/>
      <c r="AE815" s="108"/>
      <c r="AF815" s="108"/>
      <c r="AG815" s="108"/>
      <c r="AH815" s="108"/>
      <c r="AI815" s="108"/>
      <c r="AJ815" s="108"/>
      <c r="AK815" s="108"/>
      <c r="AL815" s="108"/>
      <c r="AM815" s="108"/>
      <c r="AN815" s="108"/>
      <c r="AO815" s="108"/>
      <c r="AP815" s="108"/>
      <c r="AQ815" s="108"/>
      <c r="AR815" s="108"/>
      <c r="AS815" s="108"/>
      <c r="AT815" s="108"/>
      <c r="AU815" s="108"/>
      <c r="AV815" s="108"/>
      <c r="AW815" s="108"/>
      <c r="AX815" s="108"/>
      <c r="AY815" s="108"/>
      <c r="AZ815" s="108"/>
      <c r="BA815" s="108"/>
      <c r="BB815" s="108"/>
      <c r="BC815" s="108"/>
      <c r="BD815" s="108"/>
      <c r="BE815" s="108"/>
      <c r="BF815" s="108"/>
      <c r="BG815" s="108"/>
      <c r="BH815" s="108"/>
      <c r="BI815" s="108"/>
      <c r="BJ815" s="108"/>
      <c r="BK815" s="108"/>
      <c r="BL815" s="108"/>
      <c r="BM815" s="109"/>
      <c r="BN815" s="108"/>
      <c r="BO815" s="108"/>
      <c r="BP815" s="108"/>
    </row>
    <row r="816" spans="1:68" ht="12" customHeight="1" x14ac:dyDescent="0.2">
      <c r="A816" s="179"/>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c r="AA816" s="108"/>
      <c r="AB816" s="108"/>
      <c r="AC816" s="108"/>
      <c r="AD816" s="108"/>
      <c r="AE816" s="108"/>
      <c r="AF816" s="108"/>
      <c r="AG816" s="108"/>
      <c r="AH816" s="108"/>
      <c r="AI816" s="108"/>
      <c r="AJ816" s="108"/>
      <c r="AK816" s="108"/>
      <c r="AL816" s="108"/>
      <c r="AM816" s="108"/>
      <c r="AN816" s="108"/>
      <c r="AO816" s="108"/>
      <c r="AP816" s="108"/>
      <c r="AQ816" s="108"/>
      <c r="AR816" s="108"/>
      <c r="AS816" s="108"/>
      <c r="AT816" s="108"/>
      <c r="AU816" s="108"/>
      <c r="AV816" s="108"/>
      <c r="AW816" s="108"/>
      <c r="AX816" s="108"/>
      <c r="AY816" s="108"/>
      <c r="AZ816" s="108"/>
      <c r="BA816" s="108"/>
      <c r="BB816" s="108"/>
      <c r="BC816" s="108"/>
      <c r="BD816" s="108"/>
      <c r="BE816" s="108"/>
      <c r="BF816" s="108"/>
      <c r="BG816" s="108"/>
      <c r="BH816" s="108"/>
      <c r="BI816" s="108"/>
      <c r="BJ816" s="108"/>
      <c r="BK816" s="108"/>
      <c r="BL816" s="108"/>
      <c r="BM816" s="109"/>
      <c r="BN816" s="108"/>
      <c r="BO816" s="108"/>
      <c r="BP816" s="108"/>
    </row>
    <row r="817" spans="1:68" ht="12" customHeight="1" x14ac:dyDescent="0.2">
      <c r="A817" s="179"/>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c r="AA817" s="108"/>
      <c r="AB817" s="108"/>
      <c r="AC817" s="108"/>
      <c r="AD817" s="108"/>
      <c r="AE817" s="108"/>
      <c r="AF817" s="108"/>
      <c r="AG817" s="108"/>
      <c r="AH817" s="108"/>
      <c r="AI817" s="108"/>
      <c r="AJ817" s="108"/>
      <c r="AK817" s="108"/>
      <c r="AL817" s="108"/>
      <c r="AM817" s="108"/>
      <c r="AN817" s="108"/>
      <c r="AO817" s="108"/>
      <c r="AP817" s="108"/>
      <c r="AQ817" s="108"/>
      <c r="AR817" s="108"/>
      <c r="AS817" s="108"/>
      <c r="AT817" s="108"/>
      <c r="AU817" s="108"/>
      <c r="AV817" s="108"/>
      <c r="AW817" s="108"/>
      <c r="AX817" s="108"/>
      <c r="AY817" s="108"/>
      <c r="AZ817" s="108"/>
      <c r="BA817" s="108"/>
      <c r="BB817" s="108"/>
      <c r="BC817" s="108"/>
      <c r="BD817" s="108"/>
      <c r="BE817" s="108"/>
      <c r="BF817" s="108"/>
      <c r="BG817" s="108"/>
      <c r="BH817" s="108"/>
      <c r="BI817" s="108"/>
      <c r="BJ817" s="108"/>
      <c r="BK817" s="108"/>
      <c r="BL817" s="108"/>
      <c r="BM817" s="109"/>
      <c r="BN817" s="108"/>
      <c r="BO817" s="108"/>
      <c r="BP817" s="108"/>
    </row>
    <row r="818" spans="1:68" ht="12" customHeight="1" x14ac:dyDescent="0.2">
      <c r="A818" s="179"/>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c r="AA818" s="108"/>
      <c r="AB818" s="108"/>
      <c r="AC818" s="108"/>
      <c r="AD818" s="108"/>
      <c r="AE818" s="108"/>
      <c r="AF818" s="108"/>
      <c r="AG818" s="108"/>
      <c r="AH818" s="108"/>
      <c r="AI818" s="108"/>
      <c r="AJ818" s="108"/>
      <c r="AK818" s="108"/>
      <c r="AL818" s="108"/>
      <c r="AM818" s="108"/>
      <c r="AN818" s="108"/>
      <c r="AO818" s="108"/>
      <c r="AP818" s="108"/>
      <c r="AQ818" s="108"/>
      <c r="AR818" s="108"/>
      <c r="AS818" s="108"/>
      <c r="AT818" s="108"/>
      <c r="AU818" s="108"/>
      <c r="AV818" s="108"/>
      <c r="AW818" s="108"/>
      <c r="AX818" s="108"/>
      <c r="AY818" s="108"/>
      <c r="AZ818" s="108"/>
      <c r="BA818" s="108"/>
      <c r="BB818" s="108"/>
      <c r="BC818" s="108"/>
      <c r="BD818" s="108"/>
      <c r="BE818" s="108"/>
      <c r="BF818" s="108"/>
      <c r="BG818" s="108"/>
      <c r="BH818" s="108"/>
      <c r="BI818" s="108"/>
      <c r="BJ818" s="108"/>
      <c r="BK818" s="108"/>
      <c r="BL818" s="108"/>
      <c r="BM818" s="109"/>
      <c r="BN818" s="108"/>
      <c r="BO818" s="108"/>
      <c r="BP818" s="108"/>
    </row>
    <row r="819" spans="1:68" ht="12" customHeight="1" x14ac:dyDescent="0.2">
      <c r="A819" s="179"/>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c r="AA819" s="108"/>
      <c r="AB819" s="108"/>
      <c r="AC819" s="108"/>
      <c r="AD819" s="108"/>
      <c r="AE819" s="108"/>
      <c r="AF819" s="108"/>
      <c r="AG819" s="108"/>
      <c r="AH819" s="108"/>
      <c r="AI819" s="108"/>
      <c r="AJ819" s="108"/>
      <c r="AK819" s="108"/>
      <c r="AL819" s="108"/>
      <c r="AM819" s="108"/>
      <c r="AN819" s="108"/>
      <c r="AO819" s="108"/>
      <c r="AP819" s="108"/>
      <c r="AQ819" s="108"/>
      <c r="AR819" s="108"/>
      <c r="AS819" s="108"/>
      <c r="AT819" s="108"/>
      <c r="AU819" s="108"/>
      <c r="AV819" s="108"/>
      <c r="AW819" s="108"/>
      <c r="AX819" s="108"/>
      <c r="AY819" s="108"/>
      <c r="AZ819" s="108"/>
      <c r="BA819" s="108"/>
      <c r="BB819" s="108"/>
      <c r="BC819" s="108"/>
      <c r="BD819" s="108"/>
      <c r="BE819" s="108"/>
      <c r="BF819" s="108"/>
      <c r="BG819" s="108"/>
      <c r="BH819" s="108"/>
      <c r="BI819" s="108"/>
      <c r="BJ819" s="108"/>
      <c r="BK819" s="108"/>
      <c r="BL819" s="108"/>
      <c r="BM819" s="109"/>
      <c r="BN819" s="108"/>
      <c r="BO819" s="108"/>
      <c r="BP819" s="108"/>
    </row>
    <row r="820" spans="1:68" ht="12" customHeight="1" x14ac:dyDescent="0.2">
      <c r="A820" s="179"/>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c r="AA820" s="108"/>
      <c r="AB820" s="108"/>
      <c r="AC820" s="108"/>
      <c r="AD820" s="108"/>
      <c r="AE820" s="108"/>
      <c r="AF820" s="108"/>
      <c r="AG820" s="108"/>
      <c r="AH820" s="108"/>
      <c r="AI820" s="108"/>
      <c r="AJ820" s="108"/>
      <c r="AK820" s="108"/>
      <c r="AL820" s="108"/>
      <c r="AM820" s="108"/>
      <c r="AN820" s="108"/>
      <c r="AO820" s="108"/>
      <c r="AP820" s="108"/>
      <c r="AQ820" s="108"/>
      <c r="AR820" s="108"/>
      <c r="AS820" s="108"/>
      <c r="AT820" s="108"/>
      <c r="AU820" s="108"/>
      <c r="AV820" s="108"/>
      <c r="AW820" s="108"/>
      <c r="AX820" s="108"/>
      <c r="AY820" s="108"/>
      <c r="AZ820" s="108"/>
      <c r="BA820" s="108"/>
      <c r="BB820" s="108"/>
      <c r="BC820" s="108"/>
      <c r="BD820" s="108"/>
      <c r="BE820" s="108"/>
      <c r="BF820" s="108"/>
      <c r="BG820" s="108"/>
      <c r="BH820" s="108"/>
      <c r="BI820" s="108"/>
      <c r="BJ820" s="108"/>
      <c r="BK820" s="108"/>
      <c r="BL820" s="108"/>
      <c r="BM820" s="109"/>
      <c r="BN820" s="108"/>
      <c r="BO820" s="108"/>
      <c r="BP820" s="108"/>
    </row>
    <row r="821" spans="1:68" ht="12" customHeight="1" x14ac:dyDescent="0.2">
      <c r="A821" s="179"/>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c r="AA821" s="108"/>
      <c r="AB821" s="108"/>
      <c r="AC821" s="108"/>
      <c r="AD821" s="108"/>
      <c r="AE821" s="108"/>
      <c r="AF821" s="108"/>
      <c r="AG821" s="108"/>
      <c r="AH821" s="108"/>
      <c r="AI821" s="108"/>
      <c r="AJ821" s="108"/>
      <c r="AK821" s="108"/>
      <c r="AL821" s="108"/>
      <c r="AM821" s="108"/>
      <c r="AN821" s="108"/>
      <c r="AO821" s="108"/>
      <c r="AP821" s="108"/>
      <c r="AQ821" s="108"/>
      <c r="AR821" s="108"/>
      <c r="AS821" s="108"/>
      <c r="AT821" s="108"/>
      <c r="AU821" s="108"/>
      <c r="AV821" s="108"/>
      <c r="AW821" s="108"/>
      <c r="AX821" s="108"/>
      <c r="AY821" s="108"/>
      <c r="AZ821" s="108"/>
      <c r="BA821" s="108"/>
      <c r="BB821" s="108"/>
      <c r="BC821" s="108"/>
      <c r="BD821" s="108"/>
      <c r="BE821" s="108"/>
      <c r="BF821" s="108"/>
      <c r="BG821" s="108"/>
      <c r="BH821" s="108"/>
      <c r="BI821" s="108"/>
      <c r="BJ821" s="108"/>
      <c r="BK821" s="108"/>
      <c r="BL821" s="108"/>
      <c r="BM821" s="109"/>
      <c r="BN821" s="108"/>
      <c r="BO821" s="108"/>
      <c r="BP821" s="108"/>
    </row>
    <row r="822" spans="1:68" ht="12" customHeight="1" x14ac:dyDescent="0.2">
      <c r="A822" s="179"/>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c r="AA822" s="108"/>
      <c r="AB822" s="108"/>
      <c r="AC822" s="108"/>
      <c r="AD822" s="108"/>
      <c r="AE822" s="108"/>
      <c r="AF822" s="108"/>
      <c r="AG822" s="108"/>
      <c r="AH822" s="108"/>
      <c r="AI822" s="108"/>
      <c r="AJ822" s="108"/>
      <c r="AK822" s="108"/>
      <c r="AL822" s="108"/>
      <c r="AM822" s="108"/>
      <c r="AN822" s="108"/>
      <c r="AO822" s="108"/>
      <c r="AP822" s="108"/>
      <c r="AQ822" s="108"/>
      <c r="AR822" s="108"/>
      <c r="AS822" s="108"/>
      <c r="AT822" s="108"/>
      <c r="AU822" s="108"/>
      <c r="AV822" s="108"/>
      <c r="AW822" s="108"/>
      <c r="AX822" s="108"/>
      <c r="AY822" s="108"/>
      <c r="AZ822" s="108"/>
      <c r="BA822" s="108"/>
      <c r="BB822" s="108"/>
      <c r="BC822" s="108"/>
      <c r="BD822" s="108"/>
      <c r="BE822" s="108"/>
      <c r="BF822" s="108"/>
      <c r="BG822" s="108"/>
      <c r="BH822" s="108"/>
      <c r="BI822" s="108"/>
      <c r="BJ822" s="108"/>
      <c r="BK822" s="108"/>
      <c r="BL822" s="108"/>
      <c r="BM822" s="109"/>
      <c r="BN822" s="108"/>
      <c r="BO822" s="108"/>
      <c r="BP822" s="108"/>
    </row>
    <row r="823" spans="1:68" ht="12" customHeight="1" x14ac:dyDescent="0.2">
      <c r="A823" s="179"/>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c r="AA823" s="108"/>
      <c r="AB823" s="108"/>
      <c r="AC823" s="108"/>
      <c r="AD823" s="108"/>
      <c r="AE823" s="108"/>
      <c r="AF823" s="108"/>
      <c r="AG823" s="108"/>
      <c r="AH823" s="108"/>
      <c r="AI823" s="108"/>
      <c r="AJ823" s="108"/>
      <c r="AK823" s="108"/>
      <c r="AL823" s="108"/>
      <c r="AM823" s="108"/>
      <c r="AN823" s="108"/>
      <c r="AO823" s="108"/>
      <c r="AP823" s="108"/>
      <c r="AQ823" s="108"/>
      <c r="AR823" s="108"/>
      <c r="AS823" s="108"/>
      <c r="AT823" s="108"/>
      <c r="AU823" s="108"/>
      <c r="AV823" s="108"/>
      <c r="AW823" s="108"/>
      <c r="AX823" s="108"/>
      <c r="AY823" s="108"/>
      <c r="AZ823" s="108"/>
      <c r="BA823" s="108"/>
      <c r="BB823" s="108"/>
      <c r="BC823" s="108"/>
      <c r="BD823" s="108"/>
      <c r="BE823" s="108"/>
      <c r="BF823" s="108"/>
      <c r="BG823" s="108"/>
      <c r="BH823" s="108"/>
      <c r="BI823" s="108"/>
      <c r="BJ823" s="108"/>
      <c r="BK823" s="108"/>
      <c r="BL823" s="108"/>
      <c r="BM823" s="109"/>
      <c r="BN823" s="108"/>
      <c r="BO823" s="108"/>
      <c r="BP823" s="108"/>
    </row>
    <row r="824" spans="1:68" ht="12" customHeight="1" x14ac:dyDescent="0.2">
      <c r="A824" s="179"/>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c r="AA824" s="108"/>
      <c r="AB824" s="108"/>
      <c r="AC824" s="108"/>
      <c r="AD824" s="108"/>
      <c r="AE824" s="108"/>
      <c r="AF824" s="108"/>
      <c r="AG824" s="108"/>
      <c r="AH824" s="108"/>
      <c r="AI824" s="108"/>
      <c r="AJ824" s="108"/>
      <c r="AK824" s="108"/>
      <c r="AL824" s="108"/>
      <c r="AM824" s="108"/>
      <c r="AN824" s="108"/>
      <c r="AO824" s="108"/>
      <c r="AP824" s="108"/>
      <c r="AQ824" s="108"/>
      <c r="AR824" s="108"/>
      <c r="AS824" s="108"/>
      <c r="AT824" s="108"/>
      <c r="AU824" s="108"/>
      <c r="AV824" s="108"/>
      <c r="AW824" s="108"/>
      <c r="AX824" s="108"/>
      <c r="AY824" s="108"/>
      <c r="AZ824" s="108"/>
      <c r="BA824" s="108"/>
      <c r="BB824" s="108"/>
      <c r="BC824" s="108"/>
      <c r="BD824" s="108"/>
      <c r="BE824" s="108"/>
      <c r="BF824" s="108"/>
      <c r="BG824" s="108"/>
      <c r="BH824" s="108"/>
      <c r="BI824" s="108"/>
      <c r="BJ824" s="108"/>
      <c r="BK824" s="108"/>
      <c r="BL824" s="108"/>
      <c r="BM824" s="109"/>
      <c r="BN824" s="108"/>
      <c r="BO824" s="108"/>
      <c r="BP824" s="108"/>
    </row>
    <row r="825" spans="1:68" ht="12" customHeight="1" x14ac:dyDescent="0.2">
      <c r="A825" s="179"/>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c r="AA825" s="108"/>
      <c r="AB825" s="108"/>
      <c r="AC825" s="108"/>
      <c r="AD825" s="108"/>
      <c r="AE825" s="108"/>
      <c r="AF825" s="108"/>
      <c r="AG825" s="108"/>
      <c r="AH825" s="108"/>
      <c r="AI825" s="108"/>
      <c r="AJ825" s="108"/>
      <c r="AK825" s="108"/>
      <c r="AL825" s="108"/>
      <c r="AM825" s="108"/>
      <c r="AN825" s="108"/>
      <c r="AO825" s="108"/>
      <c r="AP825" s="108"/>
      <c r="AQ825" s="108"/>
      <c r="AR825" s="108"/>
      <c r="AS825" s="108"/>
      <c r="AT825" s="108"/>
      <c r="AU825" s="108"/>
      <c r="AV825" s="108"/>
      <c r="AW825" s="108"/>
      <c r="AX825" s="108"/>
      <c r="AY825" s="108"/>
      <c r="AZ825" s="108"/>
      <c r="BA825" s="108"/>
      <c r="BB825" s="108"/>
      <c r="BC825" s="108"/>
      <c r="BD825" s="108"/>
      <c r="BE825" s="108"/>
      <c r="BF825" s="108"/>
      <c r="BG825" s="108"/>
      <c r="BH825" s="108"/>
      <c r="BI825" s="108"/>
      <c r="BJ825" s="108"/>
      <c r="BK825" s="108"/>
      <c r="BL825" s="108"/>
      <c r="BM825" s="109"/>
      <c r="BN825" s="108"/>
      <c r="BO825" s="108"/>
      <c r="BP825" s="108"/>
    </row>
    <row r="826" spans="1:68" ht="12" customHeight="1" x14ac:dyDescent="0.2">
      <c r="A826" s="179"/>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c r="AA826" s="108"/>
      <c r="AB826" s="108"/>
      <c r="AC826" s="108"/>
      <c r="AD826" s="108"/>
      <c r="AE826" s="108"/>
      <c r="AF826" s="108"/>
      <c r="AG826" s="108"/>
      <c r="AH826" s="108"/>
      <c r="AI826" s="108"/>
      <c r="AJ826" s="108"/>
      <c r="AK826" s="108"/>
      <c r="AL826" s="108"/>
      <c r="AM826" s="108"/>
      <c r="AN826" s="108"/>
      <c r="AO826" s="108"/>
      <c r="AP826" s="108"/>
      <c r="AQ826" s="108"/>
      <c r="AR826" s="108"/>
      <c r="AS826" s="108"/>
      <c r="AT826" s="108"/>
      <c r="AU826" s="108"/>
      <c r="AV826" s="108"/>
      <c r="AW826" s="108"/>
      <c r="AX826" s="108"/>
      <c r="AY826" s="108"/>
      <c r="AZ826" s="108"/>
      <c r="BA826" s="108"/>
      <c r="BB826" s="108"/>
      <c r="BC826" s="108"/>
      <c r="BD826" s="108"/>
      <c r="BE826" s="108"/>
      <c r="BF826" s="108"/>
      <c r="BG826" s="108"/>
      <c r="BH826" s="108"/>
      <c r="BI826" s="108"/>
      <c r="BJ826" s="108"/>
      <c r="BK826" s="108"/>
      <c r="BL826" s="108"/>
      <c r="BM826" s="109"/>
      <c r="BN826" s="108"/>
      <c r="BO826" s="108"/>
      <c r="BP826" s="108"/>
    </row>
    <row r="827" spans="1:68" ht="12" customHeight="1" x14ac:dyDescent="0.2">
      <c r="A827" s="179"/>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c r="AA827" s="108"/>
      <c r="AB827" s="108"/>
      <c r="AC827" s="108"/>
      <c r="AD827" s="108"/>
      <c r="AE827" s="108"/>
      <c r="AF827" s="108"/>
      <c r="AG827" s="108"/>
      <c r="AH827" s="108"/>
      <c r="AI827" s="108"/>
      <c r="AJ827" s="108"/>
      <c r="AK827" s="108"/>
      <c r="AL827" s="108"/>
      <c r="AM827" s="108"/>
      <c r="AN827" s="108"/>
      <c r="AO827" s="108"/>
      <c r="AP827" s="108"/>
      <c r="AQ827" s="108"/>
      <c r="AR827" s="108"/>
      <c r="AS827" s="108"/>
      <c r="AT827" s="108"/>
      <c r="AU827" s="108"/>
      <c r="AV827" s="108"/>
      <c r="AW827" s="108"/>
      <c r="AX827" s="108"/>
      <c r="AY827" s="108"/>
      <c r="AZ827" s="108"/>
      <c r="BA827" s="108"/>
      <c r="BB827" s="108"/>
      <c r="BC827" s="108"/>
      <c r="BD827" s="108"/>
      <c r="BE827" s="108"/>
      <c r="BF827" s="108"/>
      <c r="BG827" s="108"/>
      <c r="BH827" s="108"/>
      <c r="BI827" s="108"/>
      <c r="BJ827" s="108"/>
      <c r="BK827" s="108"/>
      <c r="BL827" s="108"/>
      <c r="BM827" s="109"/>
      <c r="BN827" s="108"/>
      <c r="BO827" s="108"/>
      <c r="BP827" s="108"/>
    </row>
    <row r="828" spans="1:68" ht="12" customHeight="1" x14ac:dyDescent="0.2">
      <c r="A828" s="179"/>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c r="AA828" s="108"/>
      <c r="AB828" s="108"/>
      <c r="AC828" s="108"/>
      <c r="AD828" s="108"/>
      <c r="AE828" s="108"/>
      <c r="AF828" s="108"/>
      <c r="AG828" s="108"/>
      <c r="AH828" s="108"/>
      <c r="AI828" s="108"/>
      <c r="AJ828" s="108"/>
      <c r="AK828" s="108"/>
      <c r="AL828" s="108"/>
      <c r="AM828" s="108"/>
      <c r="AN828" s="108"/>
      <c r="AO828" s="108"/>
      <c r="AP828" s="108"/>
      <c r="AQ828" s="108"/>
      <c r="AR828" s="108"/>
      <c r="AS828" s="108"/>
      <c r="AT828" s="108"/>
      <c r="AU828" s="108"/>
      <c r="AV828" s="108"/>
      <c r="AW828" s="108"/>
      <c r="AX828" s="108"/>
      <c r="AY828" s="108"/>
      <c r="AZ828" s="108"/>
      <c r="BA828" s="108"/>
      <c r="BB828" s="108"/>
      <c r="BC828" s="108"/>
      <c r="BD828" s="108"/>
      <c r="BE828" s="108"/>
      <c r="BF828" s="108"/>
      <c r="BG828" s="108"/>
      <c r="BH828" s="108"/>
      <c r="BI828" s="108"/>
      <c r="BJ828" s="108"/>
      <c r="BK828" s="108"/>
      <c r="BL828" s="108"/>
      <c r="BM828" s="109"/>
      <c r="BN828" s="108"/>
      <c r="BO828" s="108"/>
      <c r="BP828" s="108"/>
    </row>
    <row r="829" spans="1:68" ht="12" customHeight="1" x14ac:dyDescent="0.2">
      <c r="A829" s="179"/>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c r="AA829" s="108"/>
      <c r="AB829" s="108"/>
      <c r="AC829" s="108"/>
      <c r="AD829" s="108"/>
      <c r="AE829" s="108"/>
      <c r="AF829" s="108"/>
      <c r="AG829" s="108"/>
      <c r="AH829" s="108"/>
      <c r="AI829" s="108"/>
      <c r="AJ829" s="108"/>
      <c r="AK829" s="108"/>
      <c r="AL829" s="108"/>
      <c r="AM829" s="108"/>
      <c r="AN829" s="108"/>
      <c r="AO829" s="108"/>
      <c r="AP829" s="108"/>
      <c r="AQ829" s="108"/>
      <c r="AR829" s="108"/>
      <c r="AS829" s="108"/>
      <c r="AT829" s="108"/>
      <c r="AU829" s="108"/>
      <c r="AV829" s="108"/>
      <c r="AW829" s="108"/>
      <c r="AX829" s="108"/>
      <c r="AY829" s="108"/>
      <c r="AZ829" s="108"/>
      <c r="BA829" s="108"/>
      <c r="BB829" s="108"/>
      <c r="BC829" s="108"/>
      <c r="BD829" s="108"/>
      <c r="BE829" s="108"/>
      <c r="BF829" s="108"/>
      <c r="BG829" s="108"/>
      <c r="BH829" s="108"/>
      <c r="BI829" s="108"/>
      <c r="BJ829" s="108"/>
      <c r="BK829" s="108"/>
      <c r="BL829" s="108"/>
      <c r="BM829" s="109"/>
      <c r="BN829" s="108"/>
      <c r="BO829" s="108"/>
      <c r="BP829" s="108"/>
    </row>
    <row r="830" spans="1:68" ht="12" customHeight="1" x14ac:dyDescent="0.2">
      <c r="A830" s="179"/>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c r="AA830" s="108"/>
      <c r="AB830" s="108"/>
      <c r="AC830" s="108"/>
      <c r="AD830" s="108"/>
      <c r="AE830" s="108"/>
      <c r="AF830" s="108"/>
      <c r="AG830" s="108"/>
      <c r="AH830" s="108"/>
      <c r="AI830" s="108"/>
      <c r="AJ830" s="108"/>
      <c r="AK830" s="108"/>
      <c r="AL830" s="108"/>
      <c r="AM830" s="108"/>
      <c r="AN830" s="108"/>
      <c r="AO830" s="108"/>
      <c r="AP830" s="108"/>
      <c r="AQ830" s="108"/>
      <c r="AR830" s="108"/>
      <c r="AS830" s="108"/>
      <c r="AT830" s="108"/>
      <c r="AU830" s="108"/>
      <c r="AV830" s="108"/>
      <c r="AW830" s="108"/>
      <c r="AX830" s="108"/>
      <c r="AY830" s="108"/>
      <c r="AZ830" s="108"/>
      <c r="BA830" s="108"/>
      <c r="BB830" s="108"/>
      <c r="BC830" s="108"/>
      <c r="BD830" s="108"/>
      <c r="BE830" s="108"/>
      <c r="BF830" s="108"/>
      <c r="BG830" s="108"/>
      <c r="BH830" s="108"/>
      <c r="BI830" s="108"/>
      <c r="BJ830" s="108"/>
      <c r="BK830" s="108"/>
      <c r="BL830" s="108"/>
      <c r="BM830" s="109"/>
      <c r="BN830" s="108"/>
      <c r="BO830" s="108"/>
      <c r="BP830" s="108"/>
    </row>
    <row r="831" spans="1:68" ht="12" customHeight="1" x14ac:dyDescent="0.2">
      <c r="A831" s="179"/>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c r="AA831" s="108"/>
      <c r="AB831" s="108"/>
      <c r="AC831" s="108"/>
      <c r="AD831" s="108"/>
      <c r="AE831" s="108"/>
      <c r="AF831" s="108"/>
      <c r="AG831" s="108"/>
      <c r="AH831" s="108"/>
      <c r="AI831" s="108"/>
      <c r="AJ831" s="108"/>
      <c r="AK831" s="108"/>
      <c r="AL831" s="108"/>
      <c r="AM831" s="108"/>
      <c r="AN831" s="108"/>
      <c r="AO831" s="108"/>
      <c r="AP831" s="108"/>
      <c r="AQ831" s="108"/>
      <c r="AR831" s="108"/>
      <c r="AS831" s="108"/>
      <c r="AT831" s="108"/>
      <c r="AU831" s="108"/>
      <c r="AV831" s="108"/>
      <c r="AW831" s="108"/>
      <c r="AX831" s="108"/>
      <c r="AY831" s="108"/>
      <c r="AZ831" s="108"/>
      <c r="BA831" s="108"/>
      <c r="BB831" s="108"/>
      <c r="BC831" s="108"/>
      <c r="BD831" s="108"/>
      <c r="BE831" s="108"/>
      <c r="BF831" s="108"/>
      <c r="BG831" s="108"/>
      <c r="BH831" s="108"/>
      <c r="BI831" s="108"/>
      <c r="BJ831" s="108"/>
      <c r="BK831" s="108"/>
      <c r="BL831" s="108"/>
      <c r="BM831" s="109"/>
      <c r="BN831" s="108"/>
      <c r="BO831" s="108"/>
      <c r="BP831" s="108"/>
    </row>
    <row r="832" spans="1:68" ht="12" customHeight="1" x14ac:dyDescent="0.2">
      <c r="A832" s="179"/>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c r="AA832" s="108"/>
      <c r="AB832" s="108"/>
      <c r="AC832" s="108"/>
      <c r="AD832" s="108"/>
      <c r="AE832" s="108"/>
      <c r="AF832" s="108"/>
      <c r="AG832" s="108"/>
      <c r="AH832" s="108"/>
      <c r="AI832" s="108"/>
      <c r="AJ832" s="108"/>
      <c r="AK832" s="108"/>
      <c r="AL832" s="108"/>
      <c r="AM832" s="108"/>
      <c r="AN832" s="108"/>
      <c r="AO832" s="108"/>
      <c r="AP832" s="108"/>
      <c r="AQ832" s="108"/>
      <c r="AR832" s="108"/>
      <c r="AS832" s="108"/>
      <c r="AT832" s="108"/>
      <c r="AU832" s="108"/>
      <c r="AV832" s="108"/>
      <c r="AW832" s="108"/>
      <c r="AX832" s="108"/>
      <c r="AY832" s="108"/>
      <c r="AZ832" s="108"/>
      <c r="BA832" s="108"/>
      <c r="BB832" s="108"/>
      <c r="BC832" s="108"/>
      <c r="BD832" s="108"/>
      <c r="BE832" s="108"/>
      <c r="BF832" s="108"/>
      <c r="BG832" s="108"/>
      <c r="BH832" s="108"/>
      <c r="BI832" s="108"/>
      <c r="BJ832" s="108"/>
      <c r="BK832" s="108"/>
      <c r="BL832" s="108"/>
      <c r="BM832" s="109"/>
      <c r="BN832" s="108"/>
      <c r="BO832" s="108"/>
      <c r="BP832" s="108"/>
    </row>
    <row r="833" spans="1:68" ht="12" customHeight="1" x14ac:dyDescent="0.2">
      <c r="A833" s="179"/>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c r="AA833" s="108"/>
      <c r="AB833" s="108"/>
      <c r="AC833" s="108"/>
      <c r="AD833" s="108"/>
      <c r="AE833" s="108"/>
      <c r="AF833" s="108"/>
      <c r="AG833" s="108"/>
      <c r="AH833" s="108"/>
      <c r="AI833" s="108"/>
      <c r="AJ833" s="108"/>
      <c r="AK833" s="108"/>
      <c r="AL833" s="108"/>
      <c r="AM833" s="108"/>
      <c r="AN833" s="108"/>
      <c r="AO833" s="108"/>
      <c r="AP833" s="108"/>
      <c r="AQ833" s="108"/>
      <c r="AR833" s="108"/>
      <c r="AS833" s="108"/>
      <c r="AT833" s="108"/>
      <c r="AU833" s="108"/>
      <c r="AV833" s="108"/>
      <c r="AW833" s="108"/>
      <c r="AX833" s="108"/>
      <c r="AY833" s="108"/>
      <c r="AZ833" s="108"/>
      <c r="BA833" s="108"/>
      <c r="BB833" s="108"/>
      <c r="BC833" s="108"/>
      <c r="BD833" s="108"/>
      <c r="BE833" s="108"/>
      <c r="BF833" s="108"/>
      <c r="BG833" s="108"/>
      <c r="BH833" s="108"/>
      <c r="BI833" s="108"/>
      <c r="BJ833" s="108"/>
      <c r="BK833" s="108"/>
      <c r="BL833" s="108"/>
      <c r="BM833" s="109"/>
      <c r="BN833" s="108"/>
      <c r="BO833" s="108"/>
      <c r="BP833" s="108"/>
    </row>
    <row r="834" spans="1:68" ht="12" customHeight="1" x14ac:dyDescent="0.2">
      <c r="A834" s="179"/>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c r="AA834" s="108"/>
      <c r="AB834" s="108"/>
      <c r="AC834" s="108"/>
      <c r="AD834" s="108"/>
      <c r="AE834" s="108"/>
      <c r="AF834" s="108"/>
      <c r="AG834" s="108"/>
      <c r="AH834" s="108"/>
      <c r="AI834" s="108"/>
      <c r="AJ834" s="108"/>
      <c r="AK834" s="108"/>
      <c r="AL834" s="108"/>
      <c r="AM834" s="108"/>
      <c r="AN834" s="108"/>
      <c r="AO834" s="108"/>
      <c r="AP834" s="108"/>
      <c r="AQ834" s="108"/>
      <c r="AR834" s="108"/>
      <c r="AS834" s="108"/>
      <c r="AT834" s="108"/>
      <c r="AU834" s="108"/>
      <c r="AV834" s="108"/>
      <c r="AW834" s="108"/>
      <c r="AX834" s="108"/>
      <c r="AY834" s="108"/>
      <c r="AZ834" s="108"/>
      <c r="BA834" s="108"/>
      <c r="BB834" s="108"/>
      <c r="BC834" s="108"/>
      <c r="BD834" s="108"/>
      <c r="BE834" s="108"/>
      <c r="BF834" s="108"/>
      <c r="BG834" s="108"/>
      <c r="BH834" s="108"/>
      <c r="BI834" s="108"/>
      <c r="BJ834" s="108"/>
      <c r="BK834" s="108"/>
      <c r="BL834" s="108"/>
      <c r="BM834" s="109"/>
      <c r="BN834" s="108"/>
      <c r="BO834" s="108"/>
      <c r="BP834" s="108"/>
    </row>
    <row r="835" spans="1:68" ht="12" customHeight="1" x14ac:dyDescent="0.2">
      <c r="A835" s="179"/>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c r="AA835" s="108"/>
      <c r="AB835" s="108"/>
      <c r="AC835" s="108"/>
      <c r="AD835" s="108"/>
      <c r="AE835" s="108"/>
      <c r="AF835" s="108"/>
      <c r="AG835" s="108"/>
      <c r="AH835" s="108"/>
      <c r="AI835" s="108"/>
      <c r="AJ835" s="108"/>
      <c r="AK835" s="108"/>
      <c r="AL835" s="108"/>
      <c r="AM835" s="108"/>
      <c r="AN835" s="108"/>
      <c r="AO835" s="108"/>
      <c r="AP835" s="108"/>
      <c r="AQ835" s="108"/>
      <c r="AR835" s="108"/>
      <c r="AS835" s="108"/>
      <c r="AT835" s="108"/>
      <c r="AU835" s="108"/>
      <c r="AV835" s="108"/>
      <c r="AW835" s="108"/>
      <c r="AX835" s="108"/>
      <c r="AY835" s="108"/>
      <c r="AZ835" s="108"/>
      <c r="BA835" s="108"/>
      <c r="BB835" s="108"/>
      <c r="BC835" s="108"/>
      <c r="BD835" s="108"/>
      <c r="BE835" s="108"/>
      <c r="BF835" s="108"/>
      <c r="BG835" s="108"/>
      <c r="BH835" s="108"/>
      <c r="BI835" s="108"/>
      <c r="BJ835" s="108"/>
      <c r="BK835" s="108"/>
      <c r="BL835" s="108"/>
      <c r="BM835" s="109"/>
      <c r="BN835" s="108"/>
      <c r="BO835" s="108"/>
      <c r="BP835" s="108"/>
    </row>
    <row r="836" spans="1:68" ht="12" customHeight="1" x14ac:dyDescent="0.2">
      <c r="A836" s="179"/>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c r="AA836" s="108"/>
      <c r="AB836" s="108"/>
      <c r="AC836" s="108"/>
      <c r="AD836" s="108"/>
      <c r="AE836" s="108"/>
      <c r="AF836" s="108"/>
      <c r="AG836" s="108"/>
      <c r="AH836" s="108"/>
      <c r="AI836" s="108"/>
      <c r="AJ836" s="108"/>
      <c r="AK836" s="108"/>
      <c r="AL836" s="108"/>
      <c r="AM836" s="108"/>
      <c r="AN836" s="108"/>
      <c r="AO836" s="108"/>
      <c r="AP836" s="108"/>
      <c r="AQ836" s="108"/>
      <c r="AR836" s="108"/>
      <c r="AS836" s="108"/>
      <c r="AT836" s="108"/>
      <c r="AU836" s="108"/>
      <c r="AV836" s="108"/>
      <c r="AW836" s="108"/>
      <c r="AX836" s="108"/>
      <c r="AY836" s="108"/>
      <c r="AZ836" s="108"/>
      <c r="BA836" s="108"/>
      <c r="BB836" s="108"/>
      <c r="BC836" s="108"/>
      <c r="BD836" s="108"/>
      <c r="BE836" s="108"/>
      <c r="BF836" s="108"/>
      <c r="BG836" s="108"/>
      <c r="BH836" s="108"/>
      <c r="BI836" s="108"/>
      <c r="BJ836" s="108"/>
      <c r="BK836" s="108"/>
      <c r="BL836" s="108"/>
      <c r="BM836" s="109"/>
      <c r="BN836" s="108"/>
      <c r="BO836" s="108"/>
      <c r="BP836" s="108"/>
    </row>
    <row r="837" spans="1:68" ht="12" customHeight="1" x14ac:dyDescent="0.2">
      <c r="A837" s="179"/>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c r="AA837" s="108"/>
      <c r="AB837" s="108"/>
      <c r="AC837" s="108"/>
      <c r="AD837" s="108"/>
      <c r="AE837" s="108"/>
      <c r="AF837" s="108"/>
      <c r="AG837" s="108"/>
      <c r="AH837" s="108"/>
      <c r="AI837" s="108"/>
      <c r="AJ837" s="108"/>
      <c r="AK837" s="108"/>
      <c r="AL837" s="108"/>
      <c r="AM837" s="108"/>
      <c r="AN837" s="108"/>
      <c r="AO837" s="108"/>
      <c r="AP837" s="108"/>
      <c r="AQ837" s="108"/>
      <c r="AR837" s="108"/>
      <c r="AS837" s="108"/>
      <c r="AT837" s="108"/>
      <c r="AU837" s="108"/>
      <c r="AV837" s="108"/>
      <c r="AW837" s="108"/>
      <c r="AX837" s="108"/>
      <c r="AY837" s="108"/>
      <c r="AZ837" s="108"/>
      <c r="BA837" s="108"/>
      <c r="BB837" s="108"/>
      <c r="BC837" s="108"/>
      <c r="BD837" s="108"/>
      <c r="BE837" s="108"/>
      <c r="BF837" s="108"/>
      <c r="BG837" s="108"/>
      <c r="BH837" s="108"/>
      <c r="BI837" s="108"/>
      <c r="BJ837" s="108"/>
      <c r="BK837" s="108"/>
      <c r="BL837" s="108"/>
      <c r="BM837" s="109"/>
      <c r="BN837" s="108"/>
      <c r="BO837" s="108"/>
      <c r="BP837" s="108"/>
    </row>
    <row r="838" spans="1:68" ht="12" customHeight="1" x14ac:dyDescent="0.2">
      <c r="A838" s="179"/>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c r="AA838" s="108"/>
      <c r="AB838" s="108"/>
      <c r="AC838" s="108"/>
      <c r="AD838" s="108"/>
      <c r="AE838" s="108"/>
      <c r="AF838" s="108"/>
      <c r="AG838" s="108"/>
      <c r="AH838" s="108"/>
      <c r="AI838" s="108"/>
      <c r="AJ838" s="108"/>
      <c r="AK838" s="108"/>
      <c r="AL838" s="108"/>
      <c r="AM838" s="108"/>
      <c r="AN838" s="108"/>
      <c r="AO838" s="108"/>
      <c r="AP838" s="108"/>
      <c r="AQ838" s="108"/>
      <c r="AR838" s="108"/>
      <c r="AS838" s="108"/>
      <c r="AT838" s="108"/>
      <c r="AU838" s="108"/>
      <c r="AV838" s="108"/>
      <c r="AW838" s="108"/>
      <c r="AX838" s="108"/>
      <c r="AY838" s="108"/>
      <c r="AZ838" s="108"/>
      <c r="BA838" s="108"/>
      <c r="BB838" s="108"/>
      <c r="BC838" s="108"/>
      <c r="BD838" s="108"/>
      <c r="BE838" s="108"/>
      <c r="BF838" s="108"/>
      <c r="BG838" s="108"/>
      <c r="BH838" s="108"/>
      <c r="BI838" s="108"/>
      <c r="BJ838" s="108"/>
      <c r="BK838" s="108"/>
      <c r="BL838" s="108"/>
      <c r="BM838" s="109"/>
      <c r="BN838" s="108"/>
      <c r="BO838" s="108"/>
      <c r="BP838" s="108"/>
    </row>
    <row r="839" spans="1:68" ht="12" customHeight="1" x14ac:dyDescent="0.2">
      <c r="A839" s="179"/>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c r="AA839" s="108"/>
      <c r="AB839" s="108"/>
      <c r="AC839" s="108"/>
      <c r="AD839" s="108"/>
      <c r="AE839" s="108"/>
      <c r="AF839" s="108"/>
      <c r="AG839" s="108"/>
      <c r="AH839" s="108"/>
      <c r="AI839" s="108"/>
      <c r="AJ839" s="108"/>
      <c r="AK839" s="108"/>
      <c r="AL839" s="108"/>
      <c r="AM839" s="108"/>
      <c r="AN839" s="108"/>
      <c r="AO839" s="108"/>
      <c r="AP839" s="108"/>
      <c r="AQ839" s="108"/>
      <c r="AR839" s="108"/>
      <c r="AS839" s="108"/>
      <c r="AT839" s="108"/>
      <c r="AU839" s="108"/>
      <c r="AV839" s="108"/>
      <c r="AW839" s="108"/>
      <c r="AX839" s="108"/>
      <c r="AY839" s="108"/>
      <c r="AZ839" s="108"/>
      <c r="BA839" s="108"/>
      <c r="BB839" s="108"/>
      <c r="BC839" s="108"/>
      <c r="BD839" s="108"/>
      <c r="BE839" s="108"/>
      <c r="BF839" s="108"/>
      <c r="BG839" s="108"/>
      <c r="BH839" s="108"/>
      <c r="BI839" s="108"/>
      <c r="BJ839" s="108"/>
      <c r="BK839" s="108"/>
      <c r="BL839" s="108"/>
      <c r="BM839" s="109"/>
      <c r="BN839" s="108"/>
      <c r="BO839" s="108"/>
      <c r="BP839" s="108"/>
    </row>
    <row r="840" spans="1:68" ht="12" customHeight="1" x14ac:dyDescent="0.2">
      <c r="A840" s="179"/>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c r="AA840" s="108"/>
      <c r="AB840" s="108"/>
      <c r="AC840" s="108"/>
      <c r="AD840" s="108"/>
      <c r="AE840" s="108"/>
      <c r="AF840" s="108"/>
      <c r="AG840" s="108"/>
      <c r="AH840" s="108"/>
      <c r="AI840" s="108"/>
      <c r="AJ840" s="108"/>
      <c r="AK840" s="108"/>
      <c r="AL840" s="108"/>
      <c r="AM840" s="108"/>
      <c r="AN840" s="108"/>
      <c r="AO840" s="108"/>
      <c r="AP840" s="108"/>
      <c r="AQ840" s="108"/>
      <c r="AR840" s="108"/>
      <c r="AS840" s="108"/>
      <c r="AT840" s="108"/>
      <c r="AU840" s="108"/>
      <c r="AV840" s="108"/>
      <c r="AW840" s="108"/>
      <c r="AX840" s="108"/>
      <c r="AY840" s="108"/>
      <c r="AZ840" s="108"/>
      <c r="BA840" s="108"/>
      <c r="BB840" s="108"/>
      <c r="BC840" s="108"/>
      <c r="BD840" s="108"/>
      <c r="BE840" s="108"/>
      <c r="BF840" s="108"/>
      <c r="BG840" s="108"/>
      <c r="BH840" s="108"/>
      <c r="BI840" s="108"/>
      <c r="BJ840" s="108"/>
      <c r="BK840" s="108"/>
      <c r="BL840" s="108"/>
      <c r="BM840" s="109"/>
      <c r="BN840" s="108"/>
      <c r="BO840" s="108"/>
      <c r="BP840" s="108"/>
    </row>
    <row r="841" spans="1:68" ht="12" customHeight="1" x14ac:dyDescent="0.2">
      <c r="A841" s="179"/>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c r="AA841" s="108"/>
      <c r="AB841" s="108"/>
      <c r="AC841" s="108"/>
      <c r="AD841" s="108"/>
      <c r="AE841" s="108"/>
      <c r="AF841" s="108"/>
      <c r="AG841" s="108"/>
      <c r="AH841" s="108"/>
      <c r="AI841" s="108"/>
      <c r="AJ841" s="108"/>
      <c r="AK841" s="108"/>
      <c r="AL841" s="108"/>
      <c r="AM841" s="108"/>
      <c r="AN841" s="108"/>
      <c r="AO841" s="108"/>
      <c r="AP841" s="108"/>
      <c r="AQ841" s="108"/>
      <c r="AR841" s="108"/>
      <c r="AS841" s="108"/>
      <c r="AT841" s="108"/>
      <c r="AU841" s="108"/>
      <c r="AV841" s="108"/>
      <c r="AW841" s="108"/>
      <c r="AX841" s="108"/>
      <c r="AY841" s="108"/>
      <c r="AZ841" s="108"/>
      <c r="BA841" s="108"/>
      <c r="BB841" s="108"/>
      <c r="BC841" s="108"/>
      <c r="BD841" s="108"/>
      <c r="BE841" s="108"/>
      <c r="BF841" s="108"/>
      <c r="BG841" s="108"/>
      <c r="BH841" s="108"/>
      <c r="BI841" s="108"/>
      <c r="BJ841" s="108"/>
      <c r="BK841" s="108"/>
      <c r="BL841" s="108"/>
      <c r="BM841" s="109"/>
      <c r="BN841" s="108"/>
      <c r="BO841" s="108"/>
      <c r="BP841" s="108"/>
    </row>
    <row r="842" spans="1:68" ht="12" customHeight="1" x14ac:dyDescent="0.2">
      <c r="A842" s="179"/>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c r="AA842" s="108"/>
      <c r="AB842" s="108"/>
      <c r="AC842" s="108"/>
      <c r="AD842" s="108"/>
      <c r="AE842" s="108"/>
      <c r="AF842" s="108"/>
      <c r="AG842" s="108"/>
      <c r="AH842" s="108"/>
      <c r="AI842" s="108"/>
      <c r="AJ842" s="108"/>
      <c r="AK842" s="108"/>
      <c r="AL842" s="108"/>
      <c r="AM842" s="108"/>
      <c r="AN842" s="108"/>
      <c r="AO842" s="108"/>
      <c r="AP842" s="108"/>
      <c r="AQ842" s="108"/>
      <c r="AR842" s="108"/>
      <c r="AS842" s="108"/>
      <c r="AT842" s="108"/>
      <c r="AU842" s="108"/>
      <c r="AV842" s="108"/>
      <c r="AW842" s="108"/>
      <c r="AX842" s="108"/>
      <c r="AY842" s="108"/>
      <c r="AZ842" s="108"/>
      <c r="BA842" s="108"/>
      <c r="BB842" s="108"/>
      <c r="BC842" s="108"/>
      <c r="BD842" s="108"/>
      <c r="BE842" s="108"/>
      <c r="BF842" s="108"/>
      <c r="BG842" s="108"/>
      <c r="BH842" s="108"/>
      <c r="BI842" s="108"/>
      <c r="BJ842" s="108"/>
      <c r="BK842" s="108"/>
      <c r="BL842" s="108"/>
      <c r="BM842" s="109"/>
      <c r="BN842" s="108"/>
      <c r="BO842" s="108"/>
      <c r="BP842" s="108"/>
    </row>
    <row r="843" spans="1:68" ht="12" customHeight="1" x14ac:dyDescent="0.2">
      <c r="A843" s="179"/>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c r="AA843" s="108"/>
      <c r="AB843" s="108"/>
      <c r="AC843" s="108"/>
      <c r="AD843" s="108"/>
      <c r="AE843" s="108"/>
      <c r="AF843" s="108"/>
      <c r="AG843" s="108"/>
      <c r="AH843" s="108"/>
      <c r="AI843" s="108"/>
      <c r="AJ843" s="108"/>
      <c r="AK843" s="108"/>
      <c r="AL843" s="108"/>
      <c r="AM843" s="108"/>
      <c r="AN843" s="108"/>
      <c r="AO843" s="108"/>
      <c r="AP843" s="108"/>
      <c r="AQ843" s="108"/>
      <c r="AR843" s="108"/>
      <c r="AS843" s="108"/>
      <c r="AT843" s="108"/>
      <c r="AU843" s="108"/>
      <c r="AV843" s="108"/>
      <c r="AW843" s="108"/>
      <c r="AX843" s="108"/>
      <c r="AY843" s="108"/>
      <c r="AZ843" s="108"/>
      <c r="BA843" s="108"/>
      <c r="BB843" s="108"/>
      <c r="BC843" s="108"/>
      <c r="BD843" s="108"/>
      <c r="BE843" s="108"/>
      <c r="BF843" s="108"/>
      <c r="BG843" s="108"/>
      <c r="BH843" s="108"/>
      <c r="BI843" s="108"/>
      <c r="BJ843" s="108"/>
      <c r="BK843" s="108"/>
      <c r="BL843" s="108"/>
      <c r="BM843" s="109"/>
      <c r="BN843" s="108"/>
      <c r="BO843" s="108"/>
      <c r="BP843" s="108"/>
    </row>
    <row r="844" spans="1:68" ht="12" customHeight="1" x14ac:dyDescent="0.2">
      <c r="A844" s="179"/>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c r="AA844" s="108"/>
      <c r="AB844" s="108"/>
      <c r="AC844" s="108"/>
      <c r="AD844" s="108"/>
      <c r="AE844" s="108"/>
      <c r="AF844" s="108"/>
      <c r="AG844" s="108"/>
      <c r="AH844" s="108"/>
      <c r="AI844" s="108"/>
      <c r="AJ844" s="108"/>
      <c r="AK844" s="108"/>
      <c r="AL844" s="108"/>
      <c r="AM844" s="108"/>
      <c r="AN844" s="108"/>
      <c r="AO844" s="108"/>
      <c r="AP844" s="108"/>
      <c r="AQ844" s="108"/>
      <c r="AR844" s="108"/>
      <c r="AS844" s="108"/>
      <c r="AT844" s="108"/>
      <c r="AU844" s="108"/>
      <c r="AV844" s="108"/>
      <c r="AW844" s="108"/>
      <c r="AX844" s="108"/>
      <c r="AY844" s="108"/>
      <c r="AZ844" s="108"/>
      <c r="BA844" s="108"/>
      <c r="BB844" s="108"/>
      <c r="BC844" s="108"/>
      <c r="BD844" s="108"/>
      <c r="BE844" s="108"/>
      <c r="BF844" s="108"/>
      <c r="BG844" s="108"/>
      <c r="BH844" s="108"/>
      <c r="BI844" s="108"/>
      <c r="BJ844" s="108"/>
      <c r="BK844" s="108"/>
      <c r="BL844" s="108"/>
      <c r="BM844" s="109"/>
      <c r="BN844" s="108"/>
      <c r="BO844" s="108"/>
      <c r="BP844" s="108"/>
    </row>
    <row r="845" spans="1:68" ht="12" customHeight="1" x14ac:dyDescent="0.2">
      <c r="A845" s="179"/>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c r="AA845" s="108"/>
      <c r="AB845" s="108"/>
      <c r="AC845" s="108"/>
      <c r="AD845" s="108"/>
      <c r="AE845" s="108"/>
      <c r="AF845" s="108"/>
      <c r="AG845" s="108"/>
      <c r="AH845" s="108"/>
      <c r="AI845" s="108"/>
      <c r="AJ845" s="108"/>
      <c r="AK845" s="108"/>
      <c r="AL845" s="108"/>
      <c r="AM845" s="108"/>
      <c r="AN845" s="108"/>
      <c r="AO845" s="108"/>
      <c r="AP845" s="108"/>
      <c r="AQ845" s="108"/>
      <c r="AR845" s="108"/>
      <c r="AS845" s="108"/>
      <c r="AT845" s="108"/>
      <c r="AU845" s="108"/>
      <c r="AV845" s="108"/>
      <c r="AW845" s="108"/>
      <c r="AX845" s="108"/>
      <c r="AY845" s="108"/>
      <c r="AZ845" s="108"/>
      <c r="BA845" s="108"/>
      <c r="BB845" s="108"/>
      <c r="BC845" s="108"/>
      <c r="BD845" s="108"/>
      <c r="BE845" s="108"/>
      <c r="BF845" s="108"/>
      <c r="BG845" s="108"/>
      <c r="BH845" s="108"/>
      <c r="BI845" s="108"/>
      <c r="BJ845" s="108"/>
      <c r="BK845" s="108"/>
      <c r="BL845" s="108"/>
      <c r="BM845" s="109"/>
      <c r="BN845" s="108"/>
      <c r="BO845" s="108"/>
      <c r="BP845" s="108"/>
    </row>
    <row r="846" spans="1:68" ht="12" customHeight="1" x14ac:dyDescent="0.2">
      <c r="A846" s="179"/>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c r="AA846" s="108"/>
      <c r="AB846" s="108"/>
      <c r="AC846" s="108"/>
      <c r="AD846" s="108"/>
      <c r="AE846" s="108"/>
      <c r="AF846" s="108"/>
      <c r="AG846" s="108"/>
      <c r="AH846" s="108"/>
      <c r="AI846" s="108"/>
      <c r="AJ846" s="108"/>
      <c r="AK846" s="108"/>
      <c r="AL846" s="108"/>
      <c r="AM846" s="108"/>
      <c r="AN846" s="108"/>
      <c r="AO846" s="108"/>
      <c r="AP846" s="108"/>
      <c r="AQ846" s="108"/>
      <c r="AR846" s="108"/>
      <c r="AS846" s="108"/>
      <c r="AT846" s="108"/>
      <c r="AU846" s="108"/>
      <c r="AV846" s="108"/>
      <c r="AW846" s="108"/>
      <c r="AX846" s="108"/>
      <c r="AY846" s="108"/>
      <c r="AZ846" s="108"/>
      <c r="BA846" s="108"/>
      <c r="BB846" s="108"/>
      <c r="BC846" s="108"/>
      <c r="BD846" s="108"/>
      <c r="BE846" s="108"/>
      <c r="BF846" s="108"/>
      <c r="BG846" s="108"/>
      <c r="BH846" s="108"/>
      <c r="BI846" s="108"/>
      <c r="BJ846" s="108"/>
      <c r="BK846" s="108"/>
      <c r="BL846" s="108"/>
      <c r="BM846" s="109"/>
      <c r="BN846" s="108"/>
      <c r="BO846" s="108"/>
      <c r="BP846" s="108"/>
    </row>
    <row r="847" spans="1:68" ht="12" customHeight="1" x14ac:dyDescent="0.2">
      <c r="A847" s="179"/>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c r="AA847" s="108"/>
      <c r="AB847" s="108"/>
      <c r="AC847" s="108"/>
      <c r="AD847" s="108"/>
      <c r="AE847" s="108"/>
      <c r="AF847" s="108"/>
      <c r="AG847" s="108"/>
      <c r="AH847" s="108"/>
      <c r="AI847" s="108"/>
      <c r="AJ847" s="108"/>
      <c r="AK847" s="108"/>
      <c r="AL847" s="108"/>
      <c r="AM847" s="108"/>
      <c r="AN847" s="108"/>
      <c r="AO847" s="108"/>
      <c r="AP847" s="108"/>
      <c r="AQ847" s="108"/>
      <c r="AR847" s="108"/>
      <c r="AS847" s="108"/>
      <c r="AT847" s="108"/>
      <c r="AU847" s="108"/>
      <c r="AV847" s="108"/>
      <c r="AW847" s="108"/>
      <c r="AX847" s="108"/>
      <c r="AY847" s="108"/>
      <c r="AZ847" s="108"/>
      <c r="BA847" s="108"/>
      <c r="BB847" s="108"/>
      <c r="BC847" s="108"/>
      <c r="BD847" s="108"/>
      <c r="BE847" s="108"/>
      <c r="BF847" s="108"/>
      <c r="BG847" s="108"/>
      <c r="BH847" s="108"/>
      <c r="BI847" s="108"/>
      <c r="BJ847" s="108"/>
      <c r="BK847" s="108"/>
      <c r="BL847" s="108"/>
      <c r="BM847" s="109"/>
      <c r="BN847" s="108"/>
      <c r="BO847" s="108"/>
      <c r="BP847" s="108"/>
    </row>
    <row r="848" spans="1:68" ht="12" customHeight="1" x14ac:dyDescent="0.2">
      <c r="A848" s="179"/>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c r="AA848" s="108"/>
      <c r="AB848" s="108"/>
      <c r="AC848" s="108"/>
      <c r="AD848" s="108"/>
      <c r="AE848" s="108"/>
      <c r="AF848" s="108"/>
      <c r="AG848" s="108"/>
      <c r="AH848" s="108"/>
      <c r="AI848" s="108"/>
      <c r="AJ848" s="108"/>
      <c r="AK848" s="108"/>
      <c r="AL848" s="108"/>
      <c r="AM848" s="108"/>
      <c r="AN848" s="108"/>
      <c r="AO848" s="108"/>
      <c r="AP848" s="108"/>
      <c r="AQ848" s="108"/>
      <c r="AR848" s="108"/>
      <c r="AS848" s="108"/>
      <c r="AT848" s="108"/>
      <c r="AU848" s="108"/>
      <c r="AV848" s="108"/>
      <c r="AW848" s="108"/>
      <c r="AX848" s="108"/>
      <c r="AY848" s="108"/>
      <c r="AZ848" s="108"/>
      <c r="BA848" s="108"/>
      <c r="BB848" s="108"/>
      <c r="BC848" s="108"/>
      <c r="BD848" s="108"/>
      <c r="BE848" s="108"/>
      <c r="BF848" s="108"/>
      <c r="BG848" s="108"/>
      <c r="BH848" s="108"/>
      <c r="BI848" s="108"/>
      <c r="BJ848" s="108"/>
      <c r="BK848" s="108"/>
      <c r="BL848" s="108"/>
      <c r="BM848" s="109"/>
      <c r="BN848" s="108"/>
      <c r="BO848" s="108"/>
      <c r="BP848" s="108"/>
    </row>
    <row r="849" spans="1:68" ht="12" customHeight="1" x14ac:dyDescent="0.2">
      <c r="A849" s="179"/>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c r="AA849" s="108"/>
      <c r="AB849" s="108"/>
      <c r="AC849" s="108"/>
      <c r="AD849" s="108"/>
      <c r="AE849" s="108"/>
      <c r="AF849" s="108"/>
      <c r="AG849" s="108"/>
      <c r="AH849" s="108"/>
      <c r="AI849" s="108"/>
      <c r="AJ849" s="108"/>
      <c r="AK849" s="108"/>
      <c r="AL849" s="108"/>
      <c r="AM849" s="108"/>
      <c r="AN849" s="108"/>
      <c r="AO849" s="108"/>
      <c r="AP849" s="108"/>
      <c r="AQ849" s="108"/>
      <c r="AR849" s="108"/>
      <c r="AS849" s="108"/>
      <c r="AT849" s="108"/>
      <c r="AU849" s="108"/>
      <c r="AV849" s="108"/>
      <c r="AW849" s="108"/>
      <c r="AX849" s="108"/>
      <c r="AY849" s="108"/>
      <c r="AZ849" s="108"/>
      <c r="BA849" s="108"/>
      <c r="BB849" s="108"/>
      <c r="BC849" s="108"/>
      <c r="BD849" s="108"/>
      <c r="BE849" s="108"/>
      <c r="BF849" s="108"/>
      <c r="BG849" s="108"/>
      <c r="BH849" s="108"/>
      <c r="BI849" s="108"/>
      <c r="BJ849" s="108"/>
      <c r="BK849" s="108"/>
      <c r="BL849" s="108"/>
      <c r="BM849" s="109"/>
      <c r="BN849" s="108"/>
      <c r="BO849" s="108"/>
      <c r="BP849" s="108"/>
    </row>
    <row r="850" spans="1:68" ht="12" customHeight="1" x14ac:dyDescent="0.2">
      <c r="A850" s="179"/>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c r="AA850" s="108"/>
      <c r="AB850" s="108"/>
      <c r="AC850" s="108"/>
      <c r="AD850" s="108"/>
      <c r="AE850" s="108"/>
      <c r="AF850" s="108"/>
      <c r="AG850" s="108"/>
      <c r="AH850" s="108"/>
      <c r="AI850" s="108"/>
      <c r="AJ850" s="108"/>
      <c r="AK850" s="108"/>
      <c r="AL850" s="108"/>
      <c r="AM850" s="108"/>
      <c r="AN850" s="108"/>
      <c r="AO850" s="108"/>
      <c r="AP850" s="108"/>
      <c r="AQ850" s="108"/>
      <c r="AR850" s="108"/>
      <c r="AS850" s="108"/>
      <c r="AT850" s="108"/>
      <c r="AU850" s="108"/>
      <c r="AV850" s="108"/>
      <c r="AW850" s="108"/>
      <c r="AX850" s="108"/>
      <c r="AY850" s="108"/>
      <c r="AZ850" s="108"/>
      <c r="BA850" s="108"/>
      <c r="BB850" s="108"/>
      <c r="BC850" s="108"/>
      <c r="BD850" s="108"/>
      <c r="BE850" s="108"/>
      <c r="BF850" s="108"/>
      <c r="BG850" s="108"/>
      <c r="BH850" s="108"/>
      <c r="BI850" s="108"/>
      <c r="BJ850" s="108"/>
      <c r="BK850" s="108"/>
      <c r="BL850" s="108"/>
      <c r="BM850" s="109"/>
      <c r="BN850" s="108"/>
      <c r="BO850" s="108"/>
      <c r="BP850" s="108"/>
    </row>
    <row r="851" spans="1:68" ht="12" customHeight="1" x14ac:dyDescent="0.2">
      <c r="A851" s="179"/>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c r="AA851" s="108"/>
      <c r="AB851" s="108"/>
      <c r="AC851" s="108"/>
      <c r="AD851" s="108"/>
      <c r="AE851" s="108"/>
      <c r="AF851" s="108"/>
      <c r="AG851" s="108"/>
      <c r="AH851" s="108"/>
      <c r="AI851" s="108"/>
      <c r="AJ851" s="108"/>
      <c r="AK851" s="108"/>
      <c r="AL851" s="108"/>
      <c r="AM851" s="108"/>
      <c r="AN851" s="108"/>
      <c r="AO851" s="108"/>
      <c r="AP851" s="108"/>
      <c r="AQ851" s="108"/>
      <c r="AR851" s="108"/>
      <c r="AS851" s="108"/>
      <c r="AT851" s="108"/>
      <c r="AU851" s="108"/>
      <c r="AV851" s="108"/>
      <c r="AW851" s="108"/>
      <c r="AX851" s="108"/>
      <c r="AY851" s="108"/>
      <c r="AZ851" s="108"/>
      <c r="BA851" s="108"/>
      <c r="BB851" s="108"/>
      <c r="BC851" s="108"/>
      <c r="BD851" s="108"/>
      <c r="BE851" s="108"/>
      <c r="BF851" s="108"/>
      <c r="BG851" s="108"/>
      <c r="BH851" s="108"/>
      <c r="BI851" s="108"/>
      <c r="BJ851" s="108"/>
      <c r="BK851" s="108"/>
      <c r="BL851" s="108"/>
      <c r="BM851" s="109"/>
      <c r="BN851" s="108"/>
      <c r="BO851" s="108"/>
      <c r="BP851" s="108"/>
    </row>
    <row r="852" spans="1:68" ht="12" customHeight="1" x14ac:dyDescent="0.2">
      <c r="A852" s="179"/>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c r="AA852" s="108"/>
      <c r="AB852" s="108"/>
      <c r="AC852" s="108"/>
      <c r="AD852" s="108"/>
      <c r="AE852" s="108"/>
      <c r="AF852" s="108"/>
      <c r="AG852" s="108"/>
      <c r="AH852" s="108"/>
      <c r="AI852" s="108"/>
      <c r="AJ852" s="108"/>
      <c r="AK852" s="108"/>
      <c r="AL852" s="108"/>
      <c r="AM852" s="108"/>
      <c r="AN852" s="108"/>
      <c r="AO852" s="108"/>
      <c r="AP852" s="108"/>
      <c r="AQ852" s="108"/>
      <c r="AR852" s="108"/>
      <c r="AS852" s="108"/>
      <c r="AT852" s="108"/>
      <c r="AU852" s="108"/>
      <c r="AV852" s="108"/>
      <c r="AW852" s="108"/>
      <c r="AX852" s="108"/>
      <c r="AY852" s="108"/>
      <c r="AZ852" s="108"/>
      <c r="BA852" s="108"/>
      <c r="BB852" s="108"/>
      <c r="BC852" s="108"/>
      <c r="BD852" s="108"/>
      <c r="BE852" s="108"/>
      <c r="BF852" s="108"/>
      <c r="BG852" s="108"/>
      <c r="BH852" s="108"/>
      <c r="BI852" s="108"/>
      <c r="BJ852" s="108"/>
      <c r="BK852" s="108"/>
      <c r="BL852" s="108"/>
      <c r="BM852" s="109"/>
      <c r="BN852" s="108"/>
      <c r="BO852" s="108"/>
      <c r="BP852" s="108"/>
    </row>
    <row r="853" spans="1:68" ht="12" customHeight="1" x14ac:dyDescent="0.2">
      <c r="A853" s="179"/>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c r="AA853" s="108"/>
      <c r="AB853" s="108"/>
      <c r="AC853" s="108"/>
      <c r="AD853" s="108"/>
      <c r="AE853" s="108"/>
      <c r="AF853" s="108"/>
      <c r="AG853" s="108"/>
      <c r="AH853" s="108"/>
      <c r="AI853" s="108"/>
      <c r="AJ853" s="108"/>
      <c r="AK853" s="108"/>
      <c r="AL853" s="108"/>
      <c r="AM853" s="108"/>
      <c r="AN853" s="108"/>
      <c r="AO853" s="108"/>
      <c r="AP853" s="108"/>
      <c r="AQ853" s="108"/>
      <c r="AR853" s="108"/>
      <c r="AS853" s="108"/>
      <c r="AT853" s="108"/>
      <c r="AU853" s="108"/>
      <c r="AV853" s="108"/>
      <c r="AW853" s="108"/>
      <c r="AX853" s="108"/>
      <c r="AY853" s="108"/>
      <c r="AZ853" s="108"/>
      <c r="BA853" s="108"/>
      <c r="BB853" s="108"/>
      <c r="BC853" s="108"/>
      <c r="BD853" s="108"/>
      <c r="BE853" s="108"/>
      <c r="BF853" s="108"/>
      <c r="BG853" s="108"/>
      <c r="BH853" s="108"/>
      <c r="BI853" s="108"/>
      <c r="BJ853" s="108"/>
      <c r="BK853" s="108"/>
      <c r="BL853" s="108"/>
      <c r="BM853" s="109"/>
      <c r="BN853" s="108"/>
      <c r="BO853" s="108"/>
      <c r="BP853" s="108"/>
    </row>
    <row r="854" spans="1:68" ht="12" customHeight="1" x14ac:dyDescent="0.2">
      <c r="A854" s="179"/>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c r="AA854" s="108"/>
      <c r="AB854" s="108"/>
      <c r="AC854" s="108"/>
      <c r="AD854" s="108"/>
      <c r="AE854" s="108"/>
      <c r="AF854" s="108"/>
      <c r="AG854" s="108"/>
      <c r="AH854" s="108"/>
      <c r="AI854" s="108"/>
      <c r="AJ854" s="108"/>
      <c r="AK854" s="108"/>
      <c r="AL854" s="108"/>
      <c r="AM854" s="108"/>
      <c r="AN854" s="108"/>
      <c r="AO854" s="108"/>
      <c r="AP854" s="108"/>
      <c r="AQ854" s="108"/>
      <c r="AR854" s="108"/>
      <c r="AS854" s="108"/>
      <c r="AT854" s="108"/>
      <c r="AU854" s="108"/>
      <c r="AV854" s="108"/>
      <c r="AW854" s="108"/>
      <c r="AX854" s="108"/>
      <c r="AY854" s="108"/>
      <c r="AZ854" s="108"/>
      <c r="BA854" s="108"/>
      <c r="BB854" s="108"/>
      <c r="BC854" s="108"/>
      <c r="BD854" s="108"/>
      <c r="BE854" s="108"/>
      <c r="BF854" s="108"/>
      <c r="BG854" s="108"/>
      <c r="BH854" s="108"/>
      <c r="BI854" s="108"/>
      <c r="BJ854" s="108"/>
      <c r="BK854" s="108"/>
      <c r="BL854" s="108"/>
      <c r="BM854" s="109"/>
      <c r="BN854" s="108"/>
      <c r="BO854" s="108"/>
      <c r="BP854" s="108"/>
    </row>
    <row r="855" spans="1:68" ht="12" customHeight="1" x14ac:dyDescent="0.2">
      <c r="A855" s="179"/>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c r="AA855" s="108"/>
      <c r="AB855" s="108"/>
      <c r="AC855" s="108"/>
      <c r="AD855" s="108"/>
      <c r="AE855" s="108"/>
      <c r="AF855" s="108"/>
      <c r="AG855" s="108"/>
      <c r="AH855" s="108"/>
      <c r="AI855" s="108"/>
      <c r="AJ855" s="108"/>
      <c r="AK855" s="108"/>
      <c r="AL855" s="108"/>
      <c r="AM855" s="108"/>
      <c r="AN855" s="108"/>
      <c r="AO855" s="108"/>
      <c r="AP855" s="108"/>
      <c r="AQ855" s="108"/>
      <c r="AR855" s="108"/>
      <c r="AS855" s="108"/>
      <c r="AT855" s="108"/>
      <c r="AU855" s="108"/>
      <c r="AV855" s="108"/>
      <c r="AW855" s="108"/>
      <c r="AX855" s="108"/>
      <c r="AY855" s="108"/>
      <c r="AZ855" s="108"/>
      <c r="BA855" s="108"/>
      <c r="BB855" s="108"/>
      <c r="BC855" s="108"/>
      <c r="BD855" s="108"/>
      <c r="BE855" s="108"/>
      <c r="BF855" s="108"/>
      <c r="BG855" s="108"/>
      <c r="BH855" s="108"/>
      <c r="BI855" s="108"/>
      <c r="BJ855" s="108"/>
      <c r="BK855" s="108"/>
      <c r="BL855" s="108"/>
      <c r="BM855" s="109"/>
      <c r="BN855" s="108"/>
      <c r="BO855" s="108"/>
      <c r="BP855" s="108"/>
    </row>
    <row r="856" spans="1:68" ht="12" customHeight="1" x14ac:dyDescent="0.2">
      <c r="A856" s="179"/>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c r="AA856" s="108"/>
      <c r="AB856" s="108"/>
      <c r="AC856" s="108"/>
      <c r="AD856" s="108"/>
      <c r="AE856" s="108"/>
      <c r="AF856" s="108"/>
      <c r="AG856" s="108"/>
      <c r="AH856" s="108"/>
      <c r="AI856" s="108"/>
      <c r="AJ856" s="108"/>
      <c r="AK856" s="108"/>
      <c r="AL856" s="108"/>
      <c r="AM856" s="108"/>
      <c r="AN856" s="108"/>
      <c r="AO856" s="108"/>
      <c r="AP856" s="108"/>
      <c r="AQ856" s="108"/>
      <c r="AR856" s="108"/>
      <c r="AS856" s="108"/>
      <c r="AT856" s="108"/>
      <c r="AU856" s="108"/>
      <c r="AV856" s="108"/>
      <c r="AW856" s="108"/>
      <c r="AX856" s="108"/>
      <c r="AY856" s="108"/>
      <c r="AZ856" s="108"/>
      <c r="BA856" s="108"/>
      <c r="BB856" s="108"/>
      <c r="BC856" s="108"/>
      <c r="BD856" s="108"/>
      <c r="BE856" s="108"/>
      <c r="BF856" s="108"/>
      <c r="BG856" s="108"/>
      <c r="BH856" s="108"/>
      <c r="BI856" s="108"/>
      <c r="BJ856" s="108"/>
      <c r="BK856" s="108"/>
      <c r="BL856" s="108"/>
      <c r="BM856" s="109"/>
      <c r="BN856" s="108"/>
      <c r="BO856" s="108"/>
      <c r="BP856" s="108"/>
    </row>
    <row r="857" spans="1:68" ht="12" customHeight="1" x14ac:dyDescent="0.2">
      <c r="A857" s="179"/>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c r="AA857" s="108"/>
      <c r="AB857" s="108"/>
      <c r="AC857" s="108"/>
      <c r="AD857" s="108"/>
      <c r="AE857" s="108"/>
      <c r="AF857" s="108"/>
      <c r="AG857" s="108"/>
      <c r="AH857" s="108"/>
      <c r="AI857" s="108"/>
      <c r="AJ857" s="108"/>
      <c r="AK857" s="108"/>
      <c r="AL857" s="108"/>
      <c r="AM857" s="108"/>
      <c r="AN857" s="108"/>
      <c r="AO857" s="108"/>
      <c r="AP857" s="108"/>
      <c r="AQ857" s="108"/>
      <c r="AR857" s="108"/>
      <c r="AS857" s="108"/>
      <c r="AT857" s="108"/>
      <c r="AU857" s="108"/>
      <c r="AV857" s="108"/>
      <c r="AW857" s="108"/>
      <c r="AX857" s="108"/>
      <c r="AY857" s="108"/>
      <c r="AZ857" s="108"/>
      <c r="BA857" s="108"/>
      <c r="BB857" s="108"/>
      <c r="BC857" s="108"/>
      <c r="BD857" s="108"/>
      <c r="BE857" s="108"/>
      <c r="BF857" s="108"/>
      <c r="BG857" s="108"/>
      <c r="BH857" s="108"/>
      <c r="BI857" s="108"/>
      <c r="BJ857" s="108"/>
      <c r="BK857" s="108"/>
      <c r="BL857" s="108"/>
      <c r="BM857" s="109"/>
      <c r="BN857" s="108"/>
      <c r="BO857" s="108"/>
      <c r="BP857" s="108"/>
    </row>
    <row r="858" spans="1:68" ht="12" customHeight="1" x14ac:dyDescent="0.2">
      <c r="A858" s="179"/>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c r="AA858" s="108"/>
      <c r="AB858" s="108"/>
      <c r="AC858" s="108"/>
      <c r="AD858" s="108"/>
      <c r="AE858" s="108"/>
      <c r="AF858" s="108"/>
      <c r="AG858" s="108"/>
      <c r="AH858" s="108"/>
      <c r="AI858" s="108"/>
      <c r="AJ858" s="108"/>
      <c r="AK858" s="108"/>
      <c r="AL858" s="108"/>
      <c r="AM858" s="108"/>
      <c r="AN858" s="108"/>
      <c r="AO858" s="108"/>
      <c r="AP858" s="108"/>
      <c r="AQ858" s="108"/>
      <c r="AR858" s="108"/>
      <c r="AS858" s="108"/>
      <c r="AT858" s="108"/>
      <c r="AU858" s="108"/>
      <c r="AV858" s="108"/>
      <c r="AW858" s="108"/>
      <c r="AX858" s="108"/>
      <c r="AY858" s="108"/>
      <c r="AZ858" s="108"/>
      <c r="BA858" s="108"/>
      <c r="BB858" s="108"/>
      <c r="BC858" s="108"/>
      <c r="BD858" s="108"/>
      <c r="BE858" s="108"/>
      <c r="BF858" s="108"/>
      <c r="BG858" s="108"/>
      <c r="BH858" s="108"/>
      <c r="BI858" s="108"/>
      <c r="BJ858" s="108"/>
      <c r="BK858" s="108"/>
      <c r="BL858" s="108"/>
      <c r="BM858" s="109"/>
      <c r="BN858" s="108"/>
      <c r="BO858" s="108"/>
      <c r="BP858" s="108"/>
    </row>
    <row r="859" spans="1:68" ht="12" customHeight="1" x14ac:dyDescent="0.2">
      <c r="A859" s="179"/>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c r="AA859" s="108"/>
      <c r="AB859" s="108"/>
      <c r="AC859" s="108"/>
      <c r="AD859" s="108"/>
      <c r="AE859" s="108"/>
      <c r="AF859" s="108"/>
      <c r="AG859" s="108"/>
      <c r="AH859" s="108"/>
      <c r="AI859" s="108"/>
      <c r="AJ859" s="108"/>
      <c r="AK859" s="108"/>
      <c r="AL859" s="108"/>
      <c r="AM859" s="108"/>
      <c r="AN859" s="108"/>
      <c r="AO859" s="108"/>
      <c r="AP859" s="108"/>
      <c r="AQ859" s="108"/>
      <c r="AR859" s="108"/>
      <c r="AS859" s="108"/>
      <c r="AT859" s="108"/>
      <c r="AU859" s="108"/>
      <c r="AV859" s="108"/>
      <c r="AW859" s="108"/>
      <c r="AX859" s="108"/>
      <c r="AY859" s="108"/>
      <c r="AZ859" s="108"/>
      <c r="BA859" s="108"/>
      <c r="BB859" s="108"/>
      <c r="BC859" s="108"/>
      <c r="BD859" s="108"/>
      <c r="BE859" s="108"/>
      <c r="BF859" s="108"/>
      <c r="BG859" s="108"/>
      <c r="BH859" s="108"/>
      <c r="BI859" s="108"/>
      <c r="BJ859" s="108"/>
      <c r="BK859" s="108"/>
      <c r="BL859" s="108"/>
      <c r="BM859" s="109"/>
      <c r="BN859" s="108"/>
      <c r="BO859" s="108"/>
      <c r="BP859" s="108"/>
    </row>
    <row r="860" spans="1:68" ht="12" customHeight="1" x14ac:dyDescent="0.2">
      <c r="A860" s="179"/>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c r="AA860" s="108"/>
      <c r="AB860" s="108"/>
      <c r="AC860" s="108"/>
      <c r="AD860" s="108"/>
      <c r="AE860" s="108"/>
      <c r="AF860" s="108"/>
      <c r="AG860" s="108"/>
      <c r="AH860" s="108"/>
      <c r="AI860" s="108"/>
      <c r="AJ860" s="108"/>
      <c r="AK860" s="108"/>
      <c r="AL860" s="108"/>
      <c r="AM860" s="108"/>
      <c r="AN860" s="108"/>
      <c r="AO860" s="108"/>
      <c r="AP860" s="108"/>
      <c r="AQ860" s="108"/>
      <c r="AR860" s="108"/>
      <c r="AS860" s="108"/>
      <c r="AT860" s="108"/>
      <c r="AU860" s="108"/>
      <c r="AV860" s="108"/>
      <c r="AW860" s="108"/>
      <c r="AX860" s="108"/>
      <c r="AY860" s="108"/>
      <c r="AZ860" s="108"/>
      <c r="BA860" s="108"/>
      <c r="BB860" s="108"/>
      <c r="BC860" s="108"/>
      <c r="BD860" s="108"/>
      <c r="BE860" s="108"/>
      <c r="BF860" s="108"/>
      <c r="BG860" s="108"/>
      <c r="BH860" s="108"/>
      <c r="BI860" s="108"/>
      <c r="BJ860" s="108"/>
      <c r="BK860" s="108"/>
      <c r="BL860" s="108"/>
      <c r="BM860" s="109"/>
      <c r="BN860" s="108"/>
      <c r="BO860" s="108"/>
      <c r="BP860" s="108"/>
    </row>
    <row r="861" spans="1:68" ht="12" customHeight="1" x14ac:dyDescent="0.2">
      <c r="A861" s="179"/>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c r="AA861" s="108"/>
      <c r="AB861" s="108"/>
      <c r="AC861" s="108"/>
      <c r="AD861" s="108"/>
      <c r="AE861" s="108"/>
      <c r="AF861" s="108"/>
      <c r="AG861" s="108"/>
      <c r="AH861" s="108"/>
      <c r="AI861" s="108"/>
      <c r="AJ861" s="108"/>
      <c r="AK861" s="108"/>
      <c r="AL861" s="108"/>
      <c r="AM861" s="108"/>
      <c r="AN861" s="108"/>
      <c r="AO861" s="108"/>
      <c r="AP861" s="108"/>
      <c r="AQ861" s="108"/>
      <c r="AR861" s="108"/>
      <c r="AS861" s="108"/>
      <c r="AT861" s="108"/>
      <c r="AU861" s="108"/>
      <c r="AV861" s="108"/>
      <c r="AW861" s="108"/>
      <c r="AX861" s="108"/>
      <c r="AY861" s="108"/>
      <c r="AZ861" s="108"/>
      <c r="BA861" s="108"/>
      <c r="BB861" s="108"/>
      <c r="BC861" s="108"/>
      <c r="BD861" s="108"/>
      <c r="BE861" s="108"/>
      <c r="BF861" s="108"/>
      <c r="BG861" s="108"/>
      <c r="BH861" s="108"/>
      <c r="BI861" s="108"/>
      <c r="BJ861" s="108"/>
      <c r="BK861" s="108"/>
      <c r="BL861" s="108"/>
      <c r="BM861" s="109"/>
      <c r="BN861" s="108"/>
      <c r="BO861" s="108"/>
      <c r="BP861" s="108"/>
    </row>
    <row r="862" spans="1:68" ht="12" customHeight="1" x14ac:dyDescent="0.2">
      <c r="A862" s="179"/>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c r="AA862" s="108"/>
      <c r="AB862" s="108"/>
      <c r="AC862" s="108"/>
      <c r="AD862" s="108"/>
      <c r="AE862" s="108"/>
      <c r="AF862" s="108"/>
      <c r="AG862" s="108"/>
      <c r="AH862" s="108"/>
      <c r="AI862" s="108"/>
      <c r="AJ862" s="108"/>
      <c r="AK862" s="108"/>
      <c r="AL862" s="108"/>
      <c r="AM862" s="108"/>
      <c r="AN862" s="108"/>
      <c r="AO862" s="108"/>
      <c r="AP862" s="108"/>
      <c r="AQ862" s="108"/>
      <c r="AR862" s="108"/>
      <c r="AS862" s="108"/>
      <c r="AT862" s="108"/>
      <c r="AU862" s="108"/>
      <c r="AV862" s="108"/>
      <c r="AW862" s="108"/>
      <c r="AX862" s="108"/>
      <c r="AY862" s="108"/>
      <c r="AZ862" s="108"/>
      <c r="BA862" s="108"/>
      <c r="BB862" s="108"/>
      <c r="BC862" s="108"/>
      <c r="BD862" s="108"/>
      <c r="BE862" s="108"/>
      <c r="BF862" s="108"/>
      <c r="BG862" s="108"/>
      <c r="BH862" s="108"/>
      <c r="BI862" s="108"/>
      <c r="BJ862" s="108"/>
      <c r="BK862" s="108"/>
      <c r="BL862" s="108"/>
      <c r="BM862" s="109"/>
      <c r="BN862" s="108"/>
      <c r="BO862" s="108"/>
      <c r="BP862" s="108"/>
    </row>
    <row r="863" spans="1:68" ht="12" customHeight="1" x14ac:dyDescent="0.2">
      <c r="A863" s="179"/>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c r="AA863" s="108"/>
      <c r="AB863" s="108"/>
      <c r="AC863" s="108"/>
      <c r="AD863" s="108"/>
      <c r="AE863" s="108"/>
      <c r="AF863" s="108"/>
      <c r="AG863" s="108"/>
      <c r="AH863" s="108"/>
      <c r="AI863" s="108"/>
      <c r="AJ863" s="108"/>
      <c r="AK863" s="108"/>
      <c r="AL863" s="108"/>
      <c r="AM863" s="108"/>
      <c r="AN863" s="108"/>
      <c r="AO863" s="108"/>
      <c r="AP863" s="108"/>
      <c r="AQ863" s="108"/>
      <c r="AR863" s="108"/>
      <c r="AS863" s="108"/>
      <c r="AT863" s="108"/>
      <c r="AU863" s="108"/>
      <c r="AV863" s="108"/>
      <c r="AW863" s="108"/>
      <c r="AX863" s="108"/>
      <c r="AY863" s="108"/>
      <c r="AZ863" s="108"/>
      <c r="BA863" s="108"/>
      <c r="BB863" s="108"/>
      <c r="BC863" s="108"/>
      <c r="BD863" s="108"/>
      <c r="BE863" s="108"/>
      <c r="BF863" s="108"/>
      <c r="BG863" s="108"/>
      <c r="BH863" s="108"/>
      <c r="BI863" s="108"/>
      <c r="BJ863" s="108"/>
      <c r="BK863" s="108"/>
      <c r="BL863" s="108"/>
      <c r="BM863" s="109"/>
      <c r="BN863" s="108"/>
      <c r="BO863" s="108"/>
      <c r="BP863" s="108"/>
    </row>
    <row r="864" spans="1:68" ht="12" customHeight="1" x14ac:dyDescent="0.2">
      <c r="A864" s="179"/>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c r="AA864" s="108"/>
      <c r="AB864" s="108"/>
      <c r="AC864" s="108"/>
      <c r="AD864" s="108"/>
      <c r="AE864" s="108"/>
      <c r="AF864" s="108"/>
      <c r="AG864" s="108"/>
      <c r="AH864" s="108"/>
      <c r="AI864" s="108"/>
      <c r="AJ864" s="108"/>
      <c r="AK864" s="108"/>
      <c r="AL864" s="108"/>
      <c r="AM864" s="108"/>
      <c r="AN864" s="108"/>
      <c r="AO864" s="108"/>
      <c r="AP864" s="108"/>
      <c r="AQ864" s="108"/>
      <c r="AR864" s="108"/>
      <c r="AS864" s="108"/>
      <c r="AT864" s="108"/>
      <c r="AU864" s="108"/>
      <c r="AV864" s="108"/>
      <c r="AW864" s="108"/>
      <c r="AX864" s="108"/>
      <c r="AY864" s="108"/>
      <c r="AZ864" s="108"/>
      <c r="BA864" s="108"/>
      <c r="BB864" s="108"/>
      <c r="BC864" s="108"/>
      <c r="BD864" s="108"/>
      <c r="BE864" s="108"/>
      <c r="BF864" s="108"/>
      <c r="BG864" s="108"/>
      <c r="BH864" s="108"/>
      <c r="BI864" s="108"/>
      <c r="BJ864" s="108"/>
      <c r="BK864" s="108"/>
      <c r="BL864" s="108"/>
      <c r="BM864" s="109"/>
      <c r="BN864" s="108"/>
      <c r="BO864" s="108"/>
      <c r="BP864" s="108"/>
    </row>
    <row r="865" spans="1:68" ht="12" customHeight="1" x14ac:dyDescent="0.2">
      <c r="A865" s="179"/>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c r="AA865" s="108"/>
      <c r="AB865" s="108"/>
      <c r="AC865" s="108"/>
      <c r="AD865" s="108"/>
      <c r="AE865" s="108"/>
      <c r="AF865" s="108"/>
      <c r="AG865" s="108"/>
      <c r="AH865" s="108"/>
      <c r="AI865" s="108"/>
      <c r="AJ865" s="108"/>
      <c r="AK865" s="108"/>
      <c r="AL865" s="108"/>
      <c r="AM865" s="108"/>
      <c r="AN865" s="108"/>
      <c r="AO865" s="108"/>
      <c r="AP865" s="108"/>
      <c r="AQ865" s="108"/>
      <c r="AR865" s="108"/>
      <c r="AS865" s="108"/>
      <c r="AT865" s="108"/>
      <c r="AU865" s="108"/>
      <c r="AV865" s="108"/>
      <c r="AW865" s="108"/>
      <c r="AX865" s="108"/>
      <c r="AY865" s="108"/>
      <c r="AZ865" s="108"/>
      <c r="BA865" s="108"/>
      <c r="BB865" s="108"/>
      <c r="BC865" s="108"/>
      <c r="BD865" s="108"/>
      <c r="BE865" s="108"/>
      <c r="BF865" s="108"/>
      <c r="BG865" s="108"/>
      <c r="BH865" s="108"/>
      <c r="BI865" s="108"/>
      <c r="BJ865" s="108"/>
      <c r="BK865" s="108"/>
      <c r="BL865" s="108"/>
      <c r="BM865" s="109"/>
      <c r="BN865" s="108"/>
      <c r="BO865" s="108"/>
      <c r="BP865" s="108"/>
    </row>
    <row r="866" spans="1:68" ht="12" customHeight="1" x14ac:dyDescent="0.2">
      <c r="A866" s="179"/>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c r="AA866" s="108"/>
      <c r="AB866" s="108"/>
      <c r="AC866" s="108"/>
      <c r="AD866" s="108"/>
      <c r="AE866" s="108"/>
      <c r="AF866" s="108"/>
      <c r="AG866" s="108"/>
      <c r="AH866" s="108"/>
      <c r="AI866" s="108"/>
      <c r="AJ866" s="108"/>
      <c r="AK866" s="108"/>
      <c r="AL866" s="108"/>
      <c r="AM866" s="108"/>
      <c r="AN866" s="108"/>
      <c r="AO866" s="108"/>
      <c r="AP866" s="108"/>
      <c r="AQ866" s="108"/>
      <c r="AR866" s="108"/>
      <c r="AS866" s="108"/>
      <c r="AT866" s="108"/>
      <c r="AU866" s="108"/>
      <c r="AV866" s="108"/>
      <c r="AW866" s="108"/>
      <c r="AX866" s="108"/>
      <c r="AY866" s="108"/>
      <c r="AZ866" s="108"/>
      <c r="BA866" s="108"/>
      <c r="BB866" s="108"/>
      <c r="BC866" s="108"/>
      <c r="BD866" s="108"/>
      <c r="BE866" s="108"/>
      <c r="BF866" s="108"/>
      <c r="BG866" s="108"/>
      <c r="BH866" s="108"/>
      <c r="BI866" s="108"/>
      <c r="BJ866" s="108"/>
      <c r="BK866" s="108"/>
      <c r="BL866" s="108"/>
      <c r="BM866" s="109"/>
      <c r="BN866" s="108"/>
      <c r="BO866" s="108"/>
      <c r="BP866" s="108"/>
    </row>
    <row r="867" spans="1:68" ht="12" customHeight="1" x14ac:dyDescent="0.2">
      <c r="A867" s="179"/>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c r="AA867" s="108"/>
      <c r="AB867" s="108"/>
      <c r="AC867" s="108"/>
      <c r="AD867" s="108"/>
      <c r="AE867" s="108"/>
      <c r="AF867" s="108"/>
      <c r="AG867" s="108"/>
      <c r="AH867" s="108"/>
      <c r="AI867" s="108"/>
      <c r="AJ867" s="108"/>
      <c r="AK867" s="108"/>
      <c r="AL867" s="108"/>
      <c r="AM867" s="108"/>
      <c r="AN867" s="108"/>
      <c r="AO867" s="108"/>
      <c r="AP867" s="108"/>
      <c r="AQ867" s="108"/>
      <c r="AR867" s="108"/>
      <c r="AS867" s="108"/>
      <c r="AT867" s="108"/>
      <c r="AU867" s="108"/>
      <c r="AV867" s="108"/>
      <c r="AW867" s="108"/>
      <c r="AX867" s="108"/>
      <c r="AY867" s="108"/>
      <c r="AZ867" s="108"/>
      <c r="BA867" s="108"/>
      <c r="BB867" s="108"/>
      <c r="BC867" s="108"/>
      <c r="BD867" s="108"/>
      <c r="BE867" s="108"/>
      <c r="BF867" s="108"/>
      <c r="BG867" s="108"/>
      <c r="BH867" s="108"/>
      <c r="BI867" s="108"/>
      <c r="BJ867" s="108"/>
      <c r="BK867" s="108"/>
      <c r="BL867" s="108"/>
      <c r="BM867" s="109"/>
      <c r="BN867" s="108"/>
      <c r="BO867" s="108"/>
      <c r="BP867" s="108"/>
    </row>
    <row r="868" spans="1:68" ht="12" customHeight="1" x14ac:dyDescent="0.2">
      <c r="A868" s="179"/>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c r="AA868" s="108"/>
      <c r="AB868" s="108"/>
      <c r="AC868" s="108"/>
      <c r="AD868" s="108"/>
      <c r="AE868" s="108"/>
      <c r="AF868" s="108"/>
      <c r="AG868" s="108"/>
      <c r="AH868" s="108"/>
      <c r="AI868" s="108"/>
      <c r="AJ868" s="108"/>
      <c r="AK868" s="108"/>
      <c r="AL868" s="108"/>
      <c r="AM868" s="108"/>
      <c r="AN868" s="108"/>
      <c r="AO868" s="108"/>
      <c r="AP868" s="108"/>
      <c r="AQ868" s="108"/>
      <c r="AR868" s="108"/>
      <c r="AS868" s="108"/>
      <c r="AT868" s="108"/>
      <c r="AU868" s="108"/>
      <c r="AV868" s="108"/>
      <c r="AW868" s="108"/>
      <c r="AX868" s="108"/>
      <c r="AY868" s="108"/>
      <c r="AZ868" s="108"/>
      <c r="BA868" s="108"/>
      <c r="BB868" s="108"/>
      <c r="BC868" s="108"/>
      <c r="BD868" s="108"/>
      <c r="BE868" s="108"/>
      <c r="BF868" s="108"/>
      <c r="BG868" s="108"/>
      <c r="BH868" s="108"/>
      <c r="BI868" s="108"/>
      <c r="BJ868" s="108"/>
      <c r="BK868" s="108"/>
      <c r="BL868" s="108"/>
      <c r="BM868" s="109"/>
      <c r="BN868" s="108"/>
      <c r="BO868" s="108"/>
      <c r="BP868" s="108"/>
    </row>
    <row r="869" spans="1:68" ht="12" customHeight="1" x14ac:dyDescent="0.2">
      <c r="A869" s="179"/>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c r="AA869" s="108"/>
      <c r="AB869" s="108"/>
      <c r="AC869" s="108"/>
      <c r="AD869" s="108"/>
      <c r="AE869" s="108"/>
      <c r="AF869" s="108"/>
      <c r="AG869" s="108"/>
      <c r="AH869" s="108"/>
      <c r="AI869" s="108"/>
      <c r="AJ869" s="108"/>
      <c r="AK869" s="108"/>
      <c r="AL869" s="108"/>
      <c r="AM869" s="108"/>
      <c r="AN869" s="108"/>
      <c r="AO869" s="108"/>
      <c r="AP869" s="108"/>
      <c r="AQ869" s="108"/>
      <c r="AR869" s="108"/>
      <c r="AS869" s="108"/>
      <c r="AT869" s="108"/>
      <c r="AU869" s="108"/>
      <c r="AV869" s="108"/>
      <c r="AW869" s="108"/>
      <c r="AX869" s="108"/>
      <c r="AY869" s="108"/>
      <c r="AZ869" s="108"/>
      <c r="BA869" s="108"/>
      <c r="BB869" s="108"/>
      <c r="BC869" s="108"/>
      <c r="BD869" s="108"/>
      <c r="BE869" s="108"/>
      <c r="BF869" s="108"/>
      <c r="BG869" s="108"/>
      <c r="BH869" s="108"/>
      <c r="BI869" s="108"/>
      <c r="BJ869" s="108"/>
      <c r="BK869" s="108"/>
      <c r="BL869" s="108"/>
      <c r="BM869" s="109"/>
      <c r="BN869" s="108"/>
      <c r="BO869" s="108"/>
      <c r="BP869" s="108"/>
    </row>
    <row r="870" spans="1:68" ht="12" customHeight="1" x14ac:dyDescent="0.2">
      <c r="A870" s="179"/>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c r="AA870" s="108"/>
      <c r="AB870" s="108"/>
      <c r="AC870" s="108"/>
      <c r="AD870" s="108"/>
      <c r="AE870" s="108"/>
      <c r="AF870" s="108"/>
      <c r="AG870" s="108"/>
      <c r="AH870" s="108"/>
      <c r="AI870" s="108"/>
      <c r="AJ870" s="108"/>
      <c r="AK870" s="108"/>
      <c r="AL870" s="108"/>
      <c r="AM870" s="108"/>
      <c r="AN870" s="108"/>
      <c r="AO870" s="108"/>
      <c r="AP870" s="108"/>
      <c r="AQ870" s="108"/>
      <c r="AR870" s="108"/>
      <c r="AS870" s="108"/>
      <c r="AT870" s="108"/>
      <c r="AU870" s="108"/>
      <c r="AV870" s="108"/>
      <c r="AW870" s="108"/>
      <c r="AX870" s="108"/>
      <c r="AY870" s="108"/>
      <c r="AZ870" s="108"/>
      <c r="BA870" s="108"/>
      <c r="BB870" s="108"/>
      <c r="BC870" s="108"/>
      <c r="BD870" s="108"/>
      <c r="BE870" s="108"/>
      <c r="BF870" s="108"/>
      <c r="BG870" s="108"/>
      <c r="BH870" s="108"/>
      <c r="BI870" s="108"/>
      <c r="BJ870" s="108"/>
      <c r="BK870" s="108"/>
      <c r="BL870" s="108"/>
      <c r="BM870" s="109"/>
      <c r="BN870" s="108"/>
      <c r="BO870" s="108"/>
      <c r="BP870" s="108"/>
    </row>
    <row r="871" spans="1:68" ht="12" customHeight="1" x14ac:dyDescent="0.2">
      <c r="A871" s="179"/>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c r="AA871" s="108"/>
      <c r="AB871" s="108"/>
      <c r="AC871" s="108"/>
      <c r="AD871" s="108"/>
      <c r="AE871" s="108"/>
      <c r="AF871" s="108"/>
      <c r="AG871" s="108"/>
      <c r="AH871" s="108"/>
      <c r="AI871" s="108"/>
      <c r="AJ871" s="108"/>
      <c r="AK871" s="108"/>
      <c r="AL871" s="108"/>
      <c r="AM871" s="108"/>
      <c r="AN871" s="108"/>
      <c r="AO871" s="108"/>
      <c r="AP871" s="108"/>
      <c r="AQ871" s="108"/>
      <c r="AR871" s="108"/>
      <c r="AS871" s="108"/>
      <c r="AT871" s="108"/>
      <c r="AU871" s="108"/>
      <c r="AV871" s="108"/>
      <c r="AW871" s="108"/>
      <c r="AX871" s="108"/>
      <c r="AY871" s="108"/>
      <c r="AZ871" s="108"/>
      <c r="BA871" s="108"/>
      <c r="BB871" s="108"/>
      <c r="BC871" s="108"/>
      <c r="BD871" s="108"/>
      <c r="BE871" s="108"/>
      <c r="BF871" s="108"/>
      <c r="BG871" s="108"/>
      <c r="BH871" s="108"/>
      <c r="BI871" s="108"/>
      <c r="BJ871" s="108"/>
      <c r="BK871" s="108"/>
      <c r="BL871" s="108"/>
      <c r="BM871" s="109"/>
      <c r="BN871" s="108"/>
      <c r="BO871" s="108"/>
      <c r="BP871" s="108"/>
    </row>
    <row r="872" spans="1:68" ht="12" customHeight="1" x14ac:dyDescent="0.2">
      <c r="A872" s="179"/>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c r="AA872" s="108"/>
      <c r="AB872" s="108"/>
      <c r="AC872" s="108"/>
      <c r="AD872" s="108"/>
      <c r="AE872" s="108"/>
      <c r="AF872" s="108"/>
      <c r="AG872" s="108"/>
      <c r="AH872" s="108"/>
      <c r="AI872" s="108"/>
      <c r="AJ872" s="108"/>
      <c r="AK872" s="108"/>
      <c r="AL872" s="108"/>
      <c r="AM872" s="108"/>
      <c r="AN872" s="108"/>
      <c r="AO872" s="108"/>
      <c r="AP872" s="108"/>
      <c r="AQ872" s="108"/>
      <c r="AR872" s="108"/>
      <c r="AS872" s="108"/>
      <c r="AT872" s="108"/>
      <c r="AU872" s="108"/>
      <c r="AV872" s="108"/>
      <c r="AW872" s="108"/>
      <c r="AX872" s="108"/>
      <c r="AY872" s="108"/>
      <c r="AZ872" s="108"/>
      <c r="BA872" s="108"/>
      <c r="BB872" s="108"/>
      <c r="BC872" s="108"/>
      <c r="BD872" s="108"/>
      <c r="BE872" s="108"/>
      <c r="BF872" s="108"/>
      <c r="BG872" s="108"/>
      <c r="BH872" s="108"/>
      <c r="BI872" s="108"/>
      <c r="BJ872" s="108"/>
      <c r="BK872" s="108"/>
      <c r="BL872" s="108"/>
      <c r="BM872" s="109"/>
      <c r="BN872" s="108"/>
      <c r="BO872" s="108"/>
      <c r="BP872" s="108"/>
    </row>
    <row r="873" spans="1:68" ht="12" customHeight="1" x14ac:dyDescent="0.2">
      <c r="A873" s="179"/>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c r="AA873" s="108"/>
      <c r="AB873" s="108"/>
      <c r="AC873" s="108"/>
      <c r="AD873" s="108"/>
      <c r="AE873" s="108"/>
      <c r="AF873" s="108"/>
      <c r="AG873" s="108"/>
      <c r="AH873" s="108"/>
      <c r="AI873" s="108"/>
      <c r="AJ873" s="108"/>
      <c r="AK873" s="108"/>
      <c r="AL873" s="108"/>
      <c r="AM873" s="108"/>
      <c r="AN873" s="108"/>
      <c r="AO873" s="108"/>
      <c r="AP873" s="108"/>
      <c r="AQ873" s="108"/>
      <c r="AR873" s="108"/>
      <c r="AS873" s="108"/>
      <c r="AT873" s="108"/>
      <c r="AU873" s="108"/>
      <c r="AV873" s="108"/>
      <c r="AW873" s="108"/>
      <c r="AX873" s="108"/>
      <c r="AY873" s="108"/>
      <c r="AZ873" s="108"/>
      <c r="BA873" s="108"/>
      <c r="BB873" s="108"/>
      <c r="BC873" s="108"/>
      <c r="BD873" s="108"/>
      <c r="BE873" s="108"/>
      <c r="BF873" s="108"/>
      <c r="BG873" s="108"/>
      <c r="BH873" s="108"/>
      <c r="BI873" s="108"/>
      <c r="BJ873" s="108"/>
      <c r="BK873" s="108"/>
      <c r="BL873" s="108"/>
      <c r="BM873" s="109"/>
      <c r="BN873" s="108"/>
      <c r="BO873" s="108"/>
      <c r="BP873" s="108"/>
    </row>
    <row r="874" spans="1:68" ht="12" customHeight="1" x14ac:dyDescent="0.2">
      <c r="A874" s="179"/>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c r="AA874" s="108"/>
      <c r="AB874" s="108"/>
      <c r="AC874" s="108"/>
      <c r="AD874" s="108"/>
      <c r="AE874" s="108"/>
      <c r="AF874" s="108"/>
      <c r="AG874" s="108"/>
      <c r="AH874" s="108"/>
      <c r="AI874" s="108"/>
      <c r="AJ874" s="108"/>
      <c r="AK874" s="108"/>
      <c r="AL874" s="108"/>
      <c r="AM874" s="108"/>
      <c r="AN874" s="108"/>
      <c r="AO874" s="108"/>
      <c r="AP874" s="108"/>
      <c r="AQ874" s="108"/>
      <c r="AR874" s="108"/>
      <c r="AS874" s="108"/>
      <c r="AT874" s="108"/>
      <c r="AU874" s="108"/>
      <c r="AV874" s="108"/>
      <c r="AW874" s="108"/>
      <c r="AX874" s="108"/>
      <c r="AY874" s="108"/>
      <c r="AZ874" s="108"/>
      <c r="BA874" s="108"/>
      <c r="BB874" s="108"/>
      <c r="BC874" s="108"/>
      <c r="BD874" s="108"/>
      <c r="BE874" s="108"/>
      <c r="BF874" s="108"/>
      <c r="BG874" s="108"/>
      <c r="BH874" s="108"/>
      <c r="BI874" s="108"/>
      <c r="BJ874" s="108"/>
      <c r="BK874" s="108"/>
      <c r="BL874" s="108"/>
      <c r="BM874" s="109"/>
      <c r="BN874" s="108"/>
      <c r="BO874" s="108"/>
      <c r="BP874" s="108"/>
    </row>
    <row r="875" spans="1:68" ht="12" customHeight="1" x14ac:dyDescent="0.2">
      <c r="A875" s="179"/>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c r="AA875" s="108"/>
      <c r="AB875" s="108"/>
      <c r="AC875" s="108"/>
      <c r="AD875" s="108"/>
      <c r="AE875" s="108"/>
      <c r="AF875" s="108"/>
      <c r="AG875" s="108"/>
      <c r="AH875" s="108"/>
      <c r="AI875" s="108"/>
      <c r="AJ875" s="108"/>
      <c r="AK875" s="108"/>
      <c r="AL875" s="108"/>
      <c r="AM875" s="108"/>
      <c r="AN875" s="108"/>
      <c r="AO875" s="108"/>
      <c r="AP875" s="108"/>
      <c r="AQ875" s="108"/>
      <c r="AR875" s="108"/>
      <c r="AS875" s="108"/>
      <c r="AT875" s="108"/>
      <c r="AU875" s="108"/>
      <c r="AV875" s="108"/>
      <c r="AW875" s="108"/>
      <c r="AX875" s="108"/>
      <c r="AY875" s="108"/>
      <c r="AZ875" s="108"/>
      <c r="BA875" s="108"/>
      <c r="BB875" s="108"/>
      <c r="BC875" s="108"/>
      <c r="BD875" s="108"/>
      <c r="BE875" s="108"/>
      <c r="BF875" s="108"/>
      <c r="BG875" s="108"/>
      <c r="BH875" s="108"/>
      <c r="BI875" s="108"/>
      <c r="BJ875" s="108"/>
      <c r="BK875" s="108"/>
      <c r="BL875" s="108"/>
      <c r="BM875" s="109"/>
      <c r="BN875" s="108"/>
      <c r="BO875" s="108"/>
      <c r="BP875" s="108"/>
    </row>
    <row r="876" spans="1:68" ht="12" customHeight="1" x14ac:dyDescent="0.2">
      <c r="A876" s="179"/>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c r="AA876" s="108"/>
      <c r="AB876" s="108"/>
      <c r="AC876" s="108"/>
      <c r="AD876" s="108"/>
      <c r="AE876" s="108"/>
      <c r="AF876" s="108"/>
      <c r="AG876" s="108"/>
      <c r="AH876" s="108"/>
      <c r="AI876" s="108"/>
      <c r="AJ876" s="108"/>
      <c r="AK876" s="108"/>
      <c r="AL876" s="108"/>
      <c r="AM876" s="108"/>
      <c r="AN876" s="108"/>
      <c r="AO876" s="108"/>
      <c r="AP876" s="108"/>
      <c r="AQ876" s="108"/>
      <c r="AR876" s="108"/>
      <c r="AS876" s="108"/>
      <c r="AT876" s="108"/>
      <c r="AU876" s="108"/>
      <c r="AV876" s="108"/>
      <c r="AW876" s="108"/>
      <c r="AX876" s="108"/>
      <c r="AY876" s="108"/>
      <c r="AZ876" s="108"/>
      <c r="BA876" s="108"/>
      <c r="BB876" s="108"/>
      <c r="BC876" s="108"/>
      <c r="BD876" s="108"/>
      <c r="BE876" s="108"/>
      <c r="BF876" s="108"/>
      <c r="BG876" s="108"/>
      <c r="BH876" s="108"/>
      <c r="BI876" s="108"/>
      <c r="BJ876" s="108"/>
      <c r="BK876" s="108"/>
      <c r="BL876" s="108"/>
      <c r="BM876" s="109"/>
      <c r="BN876" s="108"/>
      <c r="BO876" s="108"/>
      <c r="BP876" s="108"/>
    </row>
    <row r="877" spans="1:68" ht="12" customHeight="1" x14ac:dyDescent="0.2">
      <c r="A877" s="179"/>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c r="AA877" s="108"/>
      <c r="AB877" s="108"/>
      <c r="AC877" s="108"/>
      <c r="AD877" s="108"/>
      <c r="AE877" s="108"/>
      <c r="AF877" s="108"/>
      <c r="AG877" s="108"/>
      <c r="AH877" s="108"/>
      <c r="AI877" s="108"/>
      <c r="AJ877" s="108"/>
      <c r="AK877" s="108"/>
      <c r="AL877" s="108"/>
      <c r="AM877" s="108"/>
      <c r="AN877" s="108"/>
      <c r="AO877" s="108"/>
      <c r="AP877" s="108"/>
      <c r="AQ877" s="108"/>
      <c r="AR877" s="108"/>
      <c r="AS877" s="108"/>
      <c r="AT877" s="108"/>
      <c r="AU877" s="108"/>
      <c r="AV877" s="108"/>
      <c r="AW877" s="108"/>
      <c r="AX877" s="108"/>
      <c r="AY877" s="108"/>
      <c r="AZ877" s="108"/>
      <c r="BA877" s="108"/>
      <c r="BB877" s="108"/>
      <c r="BC877" s="108"/>
      <c r="BD877" s="108"/>
      <c r="BE877" s="108"/>
      <c r="BF877" s="108"/>
      <c r="BG877" s="108"/>
      <c r="BH877" s="108"/>
      <c r="BI877" s="108"/>
      <c r="BJ877" s="108"/>
      <c r="BK877" s="108"/>
      <c r="BL877" s="108"/>
      <c r="BM877" s="109"/>
      <c r="BN877" s="108"/>
      <c r="BO877" s="108"/>
      <c r="BP877" s="108"/>
    </row>
    <row r="878" spans="1:68" ht="12" customHeight="1" x14ac:dyDescent="0.2">
      <c r="A878" s="179"/>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c r="AA878" s="108"/>
      <c r="AB878" s="108"/>
      <c r="AC878" s="108"/>
      <c r="AD878" s="108"/>
      <c r="AE878" s="108"/>
      <c r="AF878" s="108"/>
      <c r="AG878" s="108"/>
      <c r="AH878" s="108"/>
      <c r="AI878" s="108"/>
      <c r="AJ878" s="108"/>
      <c r="AK878" s="108"/>
      <c r="AL878" s="108"/>
      <c r="AM878" s="108"/>
      <c r="AN878" s="108"/>
      <c r="AO878" s="108"/>
      <c r="AP878" s="108"/>
      <c r="AQ878" s="108"/>
      <c r="AR878" s="108"/>
      <c r="AS878" s="108"/>
      <c r="AT878" s="108"/>
      <c r="AU878" s="108"/>
      <c r="AV878" s="108"/>
      <c r="AW878" s="108"/>
      <c r="AX878" s="108"/>
      <c r="AY878" s="108"/>
      <c r="AZ878" s="108"/>
      <c r="BA878" s="108"/>
      <c r="BB878" s="108"/>
      <c r="BC878" s="108"/>
      <c r="BD878" s="108"/>
      <c r="BE878" s="108"/>
      <c r="BF878" s="108"/>
      <c r="BG878" s="108"/>
      <c r="BH878" s="108"/>
      <c r="BI878" s="108"/>
      <c r="BJ878" s="108"/>
      <c r="BK878" s="108"/>
      <c r="BL878" s="108"/>
      <c r="BM878" s="109"/>
      <c r="BN878" s="108"/>
      <c r="BO878" s="108"/>
      <c r="BP878" s="108"/>
    </row>
    <row r="879" spans="1:68" ht="12" customHeight="1" x14ac:dyDescent="0.2">
      <c r="A879" s="179"/>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c r="AA879" s="108"/>
      <c r="AB879" s="108"/>
      <c r="AC879" s="108"/>
      <c r="AD879" s="108"/>
      <c r="AE879" s="108"/>
      <c r="AF879" s="108"/>
      <c r="AG879" s="108"/>
      <c r="AH879" s="108"/>
      <c r="AI879" s="108"/>
      <c r="AJ879" s="108"/>
      <c r="AK879" s="108"/>
      <c r="AL879" s="108"/>
      <c r="AM879" s="108"/>
      <c r="AN879" s="108"/>
      <c r="AO879" s="108"/>
      <c r="AP879" s="108"/>
      <c r="AQ879" s="108"/>
      <c r="AR879" s="108"/>
      <c r="AS879" s="108"/>
      <c r="AT879" s="108"/>
      <c r="AU879" s="108"/>
      <c r="AV879" s="108"/>
      <c r="AW879" s="108"/>
      <c r="AX879" s="108"/>
      <c r="AY879" s="108"/>
      <c r="AZ879" s="108"/>
      <c r="BA879" s="108"/>
      <c r="BB879" s="108"/>
      <c r="BC879" s="108"/>
      <c r="BD879" s="108"/>
      <c r="BE879" s="108"/>
      <c r="BF879" s="108"/>
      <c r="BG879" s="108"/>
      <c r="BH879" s="108"/>
      <c r="BI879" s="108"/>
      <c r="BJ879" s="108"/>
      <c r="BK879" s="108"/>
      <c r="BL879" s="108"/>
      <c r="BM879" s="109"/>
      <c r="BN879" s="108"/>
      <c r="BO879" s="108"/>
      <c r="BP879" s="108"/>
    </row>
    <row r="880" spans="1:68" ht="12" customHeight="1" x14ac:dyDescent="0.2">
      <c r="A880" s="179"/>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c r="AA880" s="108"/>
      <c r="AB880" s="108"/>
      <c r="AC880" s="108"/>
      <c r="AD880" s="108"/>
      <c r="AE880" s="108"/>
      <c r="AF880" s="108"/>
      <c r="AG880" s="108"/>
      <c r="AH880" s="108"/>
      <c r="AI880" s="108"/>
      <c r="AJ880" s="108"/>
      <c r="AK880" s="108"/>
      <c r="AL880" s="108"/>
      <c r="AM880" s="108"/>
      <c r="AN880" s="108"/>
      <c r="AO880" s="108"/>
      <c r="AP880" s="108"/>
      <c r="AQ880" s="108"/>
      <c r="AR880" s="108"/>
      <c r="AS880" s="108"/>
      <c r="AT880" s="108"/>
      <c r="AU880" s="108"/>
      <c r="AV880" s="108"/>
      <c r="AW880" s="108"/>
      <c r="AX880" s="108"/>
      <c r="AY880" s="108"/>
      <c r="AZ880" s="108"/>
      <c r="BA880" s="108"/>
      <c r="BB880" s="108"/>
      <c r="BC880" s="108"/>
      <c r="BD880" s="108"/>
      <c r="BE880" s="108"/>
      <c r="BF880" s="108"/>
      <c r="BG880" s="108"/>
      <c r="BH880" s="108"/>
      <c r="BI880" s="108"/>
      <c r="BJ880" s="108"/>
      <c r="BK880" s="108"/>
      <c r="BL880" s="108"/>
      <c r="BM880" s="109"/>
      <c r="BN880" s="108"/>
      <c r="BO880" s="108"/>
      <c r="BP880" s="108"/>
    </row>
    <row r="881" spans="1:68" ht="12" customHeight="1" x14ac:dyDescent="0.2">
      <c r="A881" s="179"/>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c r="AA881" s="108"/>
      <c r="AB881" s="108"/>
      <c r="AC881" s="108"/>
      <c r="AD881" s="108"/>
      <c r="AE881" s="108"/>
      <c r="AF881" s="108"/>
      <c r="AG881" s="108"/>
      <c r="AH881" s="108"/>
      <c r="AI881" s="108"/>
      <c r="AJ881" s="108"/>
      <c r="AK881" s="108"/>
      <c r="AL881" s="108"/>
      <c r="AM881" s="108"/>
      <c r="AN881" s="108"/>
      <c r="AO881" s="108"/>
      <c r="AP881" s="108"/>
      <c r="AQ881" s="108"/>
      <c r="AR881" s="108"/>
      <c r="AS881" s="108"/>
      <c r="AT881" s="108"/>
      <c r="AU881" s="108"/>
      <c r="AV881" s="108"/>
      <c r="AW881" s="108"/>
      <c r="AX881" s="108"/>
      <c r="AY881" s="108"/>
      <c r="AZ881" s="108"/>
      <c r="BA881" s="108"/>
      <c r="BB881" s="108"/>
      <c r="BC881" s="108"/>
      <c r="BD881" s="108"/>
      <c r="BE881" s="108"/>
      <c r="BF881" s="108"/>
      <c r="BG881" s="108"/>
      <c r="BH881" s="108"/>
      <c r="BI881" s="108"/>
      <c r="BJ881" s="108"/>
      <c r="BK881" s="108"/>
      <c r="BL881" s="108"/>
      <c r="BM881" s="109"/>
      <c r="BN881" s="108"/>
      <c r="BO881" s="108"/>
      <c r="BP881" s="108"/>
    </row>
    <row r="882" spans="1:68" ht="12" customHeight="1" x14ac:dyDescent="0.2">
      <c r="A882" s="179"/>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c r="AA882" s="108"/>
      <c r="AB882" s="108"/>
      <c r="AC882" s="108"/>
      <c r="AD882" s="108"/>
      <c r="AE882" s="108"/>
      <c r="AF882" s="108"/>
      <c r="AG882" s="108"/>
      <c r="AH882" s="108"/>
      <c r="AI882" s="108"/>
      <c r="AJ882" s="108"/>
      <c r="AK882" s="108"/>
      <c r="AL882" s="108"/>
      <c r="AM882" s="108"/>
      <c r="AN882" s="108"/>
      <c r="AO882" s="108"/>
      <c r="AP882" s="108"/>
      <c r="AQ882" s="108"/>
      <c r="AR882" s="108"/>
      <c r="AS882" s="108"/>
      <c r="AT882" s="108"/>
      <c r="AU882" s="108"/>
      <c r="AV882" s="108"/>
      <c r="AW882" s="108"/>
      <c r="AX882" s="108"/>
      <c r="AY882" s="108"/>
      <c r="AZ882" s="108"/>
      <c r="BA882" s="108"/>
      <c r="BB882" s="108"/>
      <c r="BC882" s="108"/>
      <c r="BD882" s="108"/>
      <c r="BE882" s="108"/>
      <c r="BF882" s="108"/>
      <c r="BG882" s="108"/>
      <c r="BH882" s="108"/>
      <c r="BI882" s="108"/>
      <c r="BJ882" s="108"/>
      <c r="BK882" s="108"/>
      <c r="BL882" s="108"/>
      <c r="BM882" s="109"/>
      <c r="BN882" s="108"/>
      <c r="BO882" s="108"/>
      <c r="BP882" s="108"/>
    </row>
    <row r="883" spans="1:68" ht="12" customHeight="1" x14ac:dyDescent="0.2">
      <c r="A883" s="179"/>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c r="AA883" s="108"/>
      <c r="AB883" s="108"/>
      <c r="AC883" s="108"/>
      <c r="AD883" s="108"/>
      <c r="AE883" s="108"/>
      <c r="AF883" s="108"/>
      <c r="AG883" s="108"/>
      <c r="AH883" s="108"/>
      <c r="AI883" s="108"/>
      <c r="AJ883" s="108"/>
      <c r="AK883" s="108"/>
      <c r="AL883" s="108"/>
      <c r="AM883" s="108"/>
      <c r="AN883" s="108"/>
      <c r="AO883" s="108"/>
      <c r="AP883" s="108"/>
      <c r="AQ883" s="108"/>
      <c r="AR883" s="108"/>
      <c r="AS883" s="108"/>
      <c r="AT883" s="108"/>
      <c r="AU883" s="108"/>
      <c r="AV883" s="108"/>
      <c r="AW883" s="108"/>
      <c r="AX883" s="108"/>
      <c r="AY883" s="108"/>
      <c r="AZ883" s="108"/>
      <c r="BA883" s="108"/>
      <c r="BB883" s="108"/>
      <c r="BC883" s="108"/>
      <c r="BD883" s="108"/>
      <c r="BE883" s="108"/>
      <c r="BF883" s="108"/>
      <c r="BG883" s="108"/>
      <c r="BH883" s="108"/>
      <c r="BI883" s="108"/>
      <c r="BJ883" s="108"/>
      <c r="BK883" s="108"/>
      <c r="BL883" s="108"/>
      <c r="BM883" s="109"/>
      <c r="BN883" s="108"/>
      <c r="BO883" s="108"/>
      <c r="BP883" s="108"/>
    </row>
    <row r="884" spans="1:68" ht="12" customHeight="1" x14ac:dyDescent="0.2">
      <c r="A884" s="179"/>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c r="AA884" s="108"/>
      <c r="AB884" s="108"/>
      <c r="AC884" s="108"/>
      <c r="AD884" s="108"/>
      <c r="AE884" s="108"/>
      <c r="AF884" s="108"/>
      <c r="AG884" s="108"/>
      <c r="AH884" s="108"/>
      <c r="AI884" s="108"/>
      <c r="AJ884" s="108"/>
      <c r="AK884" s="108"/>
      <c r="AL884" s="108"/>
      <c r="AM884" s="108"/>
      <c r="AN884" s="108"/>
      <c r="AO884" s="108"/>
      <c r="AP884" s="108"/>
      <c r="AQ884" s="108"/>
      <c r="AR884" s="108"/>
      <c r="AS884" s="108"/>
      <c r="AT884" s="108"/>
      <c r="AU884" s="108"/>
      <c r="AV884" s="108"/>
      <c r="AW884" s="108"/>
      <c r="AX884" s="108"/>
      <c r="AY884" s="108"/>
      <c r="AZ884" s="108"/>
      <c r="BA884" s="108"/>
      <c r="BB884" s="108"/>
      <c r="BC884" s="108"/>
      <c r="BD884" s="108"/>
      <c r="BE884" s="108"/>
      <c r="BF884" s="108"/>
      <c r="BG884" s="108"/>
      <c r="BH884" s="108"/>
      <c r="BI884" s="108"/>
      <c r="BJ884" s="108"/>
      <c r="BK884" s="108"/>
      <c r="BL884" s="108"/>
      <c r="BM884" s="109"/>
      <c r="BN884" s="108"/>
      <c r="BO884" s="108"/>
      <c r="BP884" s="108"/>
    </row>
    <row r="885" spans="1:68" ht="12" customHeight="1" x14ac:dyDescent="0.2">
      <c r="A885" s="179"/>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c r="AA885" s="108"/>
      <c r="AB885" s="108"/>
      <c r="AC885" s="108"/>
      <c r="AD885" s="108"/>
      <c r="AE885" s="108"/>
      <c r="AF885" s="108"/>
      <c r="AG885" s="108"/>
      <c r="AH885" s="108"/>
      <c r="AI885" s="108"/>
      <c r="AJ885" s="108"/>
      <c r="AK885" s="108"/>
      <c r="AL885" s="108"/>
      <c r="AM885" s="108"/>
      <c r="AN885" s="108"/>
      <c r="AO885" s="108"/>
      <c r="AP885" s="108"/>
      <c r="AQ885" s="108"/>
      <c r="AR885" s="108"/>
      <c r="AS885" s="108"/>
      <c r="AT885" s="108"/>
      <c r="AU885" s="108"/>
      <c r="AV885" s="108"/>
      <c r="AW885" s="108"/>
      <c r="AX885" s="108"/>
      <c r="AY885" s="108"/>
      <c r="AZ885" s="108"/>
      <c r="BA885" s="108"/>
      <c r="BB885" s="108"/>
      <c r="BC885" s="108"/>
      <c r="BD885" s="108"/>
      <c r="BE885" s="108"/>
      <c r="BF885" s="108"/>
      <c r="BG885" s="108"/>
      <c r="BH885" s="108"/>
      <c r="BI885" s="108"/>
      <c r="BJ885" s="108"/>
      <c r="BK885" s="108"/>
      <c r="BL885" s="108"/>
      <c r="BM885" s="109"/>
      <c r="BN885" s="108"/>
      <c r="BO885" s="108"/>
      <c r="BP885" s="108"/>
    </row>
    <row r="886" spans="1:68" ht="12" customHeight="1" x14ac:dyDescent="0.2">
      <c r="A886" s="179"/>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c r="AA886" s="108"/>
      <c r="AB886" s="108"/>
      <c r="AC886" s="108"/>
      <c r="AD886" s="108"/>
      <c r="AE886" s="108"/>
      <c r="AF886" s="108"/>
      <c r="AG886" s="108"/>
      <c r="AH886" s="108"/>
      <c r="AI886" s="108"/>
      <c r="AJ886" s="108"/>
      <c r="AK886" s="108"/>
      <c r="AL886" s="108"/>
      <c r="AM886" s="108"/>
      <c r="AN886" s="108"/>
      <c r="AO886" s="108"/>
      <c r="AP886" s="108"/>
      <c r="AQ886" s="108"/>
      <c r="AR886" s="108"/>
      <c r="AS886" s="108"/>
      <c r="AT886" s="108"/>
      <c r="AU886" s="108"/>
      <c r="AV886" s="108"/>
      <c r="AW886" s="108"/>
      <c r="AX886" s="108"/>
      <c r="AY886" s="108"/>
      <c r="AZ886" s="108"/>
      <c r="BA886" s="108"/>
      <c r="BB886" s="108"/>
      <c r="BC886" s="108"/>
      <c r="BD886" s="108"/>
      <c r="BE886" s="108"/>
      <c r="BF886" s="108"/>
      <c r="BG886" s="108"/>
      <c r="BH886" s="108"/>
      <c r="BI886" s="108"/>
      <c r="BJ886" s="108"/>
      <c r="BK886" s="108"/>
      <c r="BL886" s="108"/>
      <c r="BM886" s="109"/>
      <c r="BN886" s="108"/>
      <c r="BO886" s="108"/>
      <c r="BP886" s="108"/>
    </row>
    <row r="887" spans="1:68" ht="12" customHeight="1" x14ac:dyDescent="0.2">
      <c r="A887" s="179"/>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c r="AA887" s="108"/>
      <c r="AB887" s="108"/>
      <c r="AC887" s="108"/>
      <c r="AD887" s="108"/>
      <c r="AE887" s="108"/>
      <c r="AF887" s="108"/>
      <c r="AG887" s="108"/>
      <c r="AH887" s="108"/>
      <c r="AI887" s="108"/>
      <c r="AJ887" s="108"/>
      <c r="AK887" s="108"/>
      <c r="AL887" s="108"/>
      <c r="AM887" s="108"/>
      <c r="AN887" s="108"/>
      <c r="AO887" s="108"/>
      <c r="AP887" s="108"/>
      <c r="AQ887" s="108"/>
      <c r="AR887" s="108"/>
      <c r="AS887" s="108"/>
      <c r="AT887" s="108"/>
      <c r="AU887" s="108"/>
      <c r="AV887" s="108"/>
      <c r="AW887" s="108"/>
      <c r="AX887" s="108"/>
      <c r="AY887" s="108"/>
      <c r="AZ887" s="108"/>
      <c r="BA887" s="108"/>
      <c r="BB887" s="108"/>
      <c r="BC887" s="108"/>
      <c r="BD887" s="108"/>
      <c r="BE887" s="108"/>
      <c r="BF887" s="108"/>
      <c r="BG887" s="108"/>
      <c r="BH887" s="108"/>
      <c r="BI887" s="108"/>
      <c r="BJ887" s="108"/>
      <c r="BK887" s="108"/>
      <c r="BL887" s="108"/>
      <c r="BM887" s="109"/>
      <c r="BN887" s="108"/>
      <c r="BO887" s="108"/>
      <c r="BP887" s="108"/>
    </row>
    <row r="888" spans="1:68" ht="12" customHeight="1" x14ac:dyDescent="0.2">
      <c r="A888" s="179"/>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c r="AA888" s="108"/>
      <c r="AB888" s="108"/>
      <c r="AC888" s="108"/>
      <c r="AD888" s="108"/>
      <c r="AE888" s="108"/>
      <c r="AF888" s="108"/>
      <c r="AG888" s="108"/>
      <c r="AH888" s="108"/>
      <c r="AI888" s="108"/>
      <c r="AJ888" s="108"/>
      <c r="AK888" s="108"/>
      <c r="AL888" s="108"/>
      <c r="AM888" s="108"/>
      <c r="AN888" s="108"/>
      <c r="AO888" s="108"/>
      <c r="AP888" s="108"/>
      <c r="AQ888" s="108"/>
      <c r="AR888" s="108"/>
      <c r="AS888" s="108"/>
      <c r="AT888" s="108"/>
      <c r="AU888" s="108"/>
      <c r="AV888" s="108"/>
      <c r="AW888" s="108"/>
      <c r="AX888" s="108"/>
      <c r="AY888" s="108"/>
      <c r="AZ888" s="108"/>
      <c r="BA888" s="108"/>
      <c r="BB888" s="108"/>
      <c r="BC888" s="108"/>
      <c r="BD888" s="108"/>
      <c r="BE888" s="108"/>
      <c r="BF888" s="108"/>
      <c r="BG888" s="108"/>
      <c r="BH888" s="108"/>
      <c r="BI888" s="108"/>
      <c r="BJ888" s="108"/>
      <c r="BK888" s="108"/>
      <c r="BL888" s="108"/>
      <c r="BM888" s="109"/>
      <c r="BN888" s="108"/>
      <c r="BO888" s="108"/>
      <c r="BP888" s="108"/>
    </row>
    <row r="889" spans="1:68" ht="12" customHeight="1" x14ac:dyDescent="0.2">
      <c r="A889" s="179"/>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c r="AA889" s="108"/>
      <c r="AB889" s="108"/>
      <c r="AC889" s="108"/>
      <c r="AD889" s="108"/>
      <c r="AE889" s="108"/>
      <c r="AF889" s="108"/>
      <c r="AG889" s="108"/>
      <c r="AH889" s="108"/>
      <c r="AI889" s="108"/>
      <c r="AJ889" s="108"/>
      <c r="AK889" s="108"/>
      <c r="AL889" s="108"/>
      <c r="AM889" s="108"/>
      <c r="AN889" s="108"/>
      <c r="AO889" s="108"/>
      <c r="AP889" s="108"/>
      <c r="AQ889" s="108"/>
      <c r="AR889" s="108"/>
      <c r="AS889" s="108"/>
      <c r="AT889" s="108"/>
      <c r="AU889" s="108"/>
      <c r="AV889" s="108"/>
      <c r="AW889" s="108"/>
      <c r="AX889" s="108"/>
      <c r="AY889" s="108"/>
      <c r="AZ889" s="108"/>
      <c r="BA889" s="108"/>
      <c r="BB889" s="108"/>
      <c r="BC889" s="108"/>
      <c r="BD889" s="108"/>
      <c r="BE889" s="108"/>
      <c r="BF889" s="108"/>
      <c r="BG889" s="108"/>
      <c r="BH889" s="108"/>
      <c r="BI889" s="108"/>
      <c r="BJ889" s="108"/>
      <c r="BK889" s="108"/>
      <c r="BL889" s="108"/>
      <c r="BM889" s="109"/>
      <c r="BN889" s="108"/>
      <c r="BO889" s="108"/>
      <c r="BP889" s="108"/>
    </row>
    <row r="890" spans="1:68" ht="12" customHeight="1" x14ac:dyDescent="0.2">
      <c r="A890" s="179"/>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c r="AA890" s="108"/>
      <c r="AB890" s="108"/>
      <c r="AC890" s="108"/>
      <c r="AD890" s="108"/>
      <c r="AE890" s="108"/>
      <c r="AF890" s="108"/>
      <c r="AG890" s="108"/>
      <c r="AH890" s="108"/>
      <c r="AI890" s="108"/>
      <c r="AJ890" s="108"/>
      <c r="AK890" s="108"/>
      <c r="AL890" s="108"/>
      <c r="AM890" s="108"/>
      <c r="AN890" s="108"/>
      <c r="AO890" s="108"/>
      <c r="AP890" s="108"/>
      <c r="AQ890" s="108"/>
      <c r="AR890" s="108"/>
      <c r="AS890" s="108"/>
      <c r="AT890" s="108"/>
      <c r="AU890" s="108"/>
      <c r="AV890" s="108"/>
      <c r="AW890" s="108"/>
      <c r="AX890" s="108"/>
      <c r="AY890" s="108"/>
      <c r="AZ890" s="108"/>
      <c r="BA890" s="108"/>
      <c r="BB890" s="108"/>
      <c r="BC890" s="108"/>
      <c r="BD890" s="108"/>
      <c r="BE890" s="108"/>
      <c r="BF890" s="108"/>
      <c r="BG890" s="108"/>
      <c r="BH890" s="108"/>
      <c r="BI890" s="108"/>
      <c r="BJ890" s="108"/>
      <c r="BK890" s="108"/>
      <c r="BL890" s="108"/>
      <c r="BM890" s="109"/>
      <c r="BN890" s="108"/>
      <c r="BO890" s="108"/>
      <c r="BP890" s="108"/>
    </row>
    <row r="891" spans="1:68" ht="12" customHeight="1" x14ac:dyDescent="0.2">
      <c r="A891" s="179"/>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c r="AA891" s="108"/>
      <c r="AB891" s="108"/>
      <c r="AC891" s="108"/>
      <c r="AD891" s="108"/>
      <c r="AE891" s="108"/>
      <c r="AF891" s="108"/>
      <c r="AG891" s="108"/>
      <c r="AH891" s="108"/>
      <c r="AI891" s="108"/>
      <c r="AJ891" s="108"/>
      <c r="AK891" s="108"/>
      <c r="AL891" s="108"/>
      <c r="AM891" s="108"/>
      <c r="AN891" s="108"/>
      <c r="AO891" s="108"/>
      <c r="AP891" s="108"/>
      <c r="AQ891" s="108"/>
      <c r="AR891" s="108"/>
      <c r="AS891" s="108"/>
      <c r="AT891" s="108"/>
      <c r="AU891" s="108"/>
      <c r="AV891" s="108"/>
      <c r="AW891" s="108"/>
      <c r="AX891" s="108"/>
      <c r="AY891" s="108"/>
      <c r="AZ891" s="108"/>
      <c r="BA891" s="108"/>
      <c r="BB891" s="108"/>
      <c r="BC891" s="108"/>
      <c r="BD891" s="108"/>
      <c r="BE891" s="108"/>
      <c r="BF891" s="108"/>
      <c r="BG891" s="108"/>
      <c r="BH891" s="108"/>
      <c r="BI891" s="108"/>
      <c r="BJ891" s="108"/>
      <c r="BK891" s="108"/>
      <c r="BL891" s="108"/>
      <c r="BM891" s="109"/>
      <c r="BN891" s="108"/>
      <c r="BO891" s="108"/>
      <c r="BP891" s="108"/>
    </row>
    <row r="892" spans="1:68" ht="12" customHeight="1" x14ac:dyDescent="0.2">
      <c r="A892" s="179"/>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c r="AA892" s="108"/>
      <c r="AB892" s="108"/>
      <c r="AC892" s="108"/>
      <c r="AD892" s="108"/>
      <c r="AE892" s="108"/>
      <c r="AF892" s="108"/>
      <c r="AG892" s="108"/>
      <c r="AH892" s="108"/>
      <c r="AI892" s="108"/>
      <c r="AJ892" s="108"/>
      <c r="AK892" s="108"/>
      <c r="AL892" s="108"/>
      <c r="AM892" s="108"/>
      <c r="AN892" s="108"/>
      <c r="AO892" s="108"/>
      <c r="AP892" s="108"/>
      <c r="AQ892" s="108"/>
      <c r="AR892" s="108"/>
      <c r="AS892" s="108"/>
      <c r="AT892" s="108"/>
      <c r="AU892" s="108"/>
      <c r="AV892" s="108"/>
      <c r="AW892" s="108"/>
      <c r="AX892" s="108"/>
      <c r="AY892" s="108"/>
      <c r="AZ892" s="108"/>
      <c r="BA892" s="108"/>
      <c r="BB892" s="108"/>
      <c r="BC892" s="108"/>
      <c r="BD892" s="108"/>
      <c r="BE892" s="108"/>
      <c r="BF892" s="108"/>
      <c r="BG892" s="108"/>
      <c r="BH892" s="108"/>
      <c r="BI892" s="108"/>
      <c r="BJ892" s="108"/>
      <c r="BK892" s="108"/>
      <c r="BL892" s="108"/>
      <c r="BM892" s="109"/>
      <c r="BN892" s="108"/>
      <c r="BO892" s="108"/>
      <c r="BP892" s="108"/>
    </row>
    <row r="893" spans="1:68" ht="12" customHeight="1" x14ac:dyDescent="0.2">
      <c r="A893" s="179"/>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c r="AA893" s="108"/>
      <c r="AB893" s="108"/>
      <c r="AC893" s="108"/>
      <c r="AD893" s="108"/>
      <c r="AE893" s="108"/>
      <c r="AF893" s="108"/>
      <c r="AG893" s="108"/>
      <c r="AH893" s="108"/>
      <c r="AI893" s="108"/>
      <c r="AJ893" s="108"/>
      <c r="AK893" s="108"/>
      <c r="AL893" s="108"/>
      <c r="AM893" s="108"/>
      <c r="AN893" s="108"/>
      <c r="AO893" s="108"/>
      <c r="AP893" s="108"/>
      <c r="AQ893" s="108"/>
      <c r="AR893" s="108"/>
      <c r="AS893" s="108"/>
      <c r="AT893" s="108"/>
      <c r="AU893" s="108"/>
      <c r="AV893" s="108"/>
      <c r="AW893" s="108"/>
      <c r="AX893" s="108"/>
      <c r="AY893" s="108"/>
      <c r="AZ893" s="108"/>
      <c r="BA893" s="108"/>
      <c r="BB893" s="108"/>
      <c r="BC893" s="108"/>
      <c r="BD893" s="108"/>
      <c r="BE893" s="108"/>
      <c r="BF893" s="108"/>
      <c r="BG893" s="108"/>
      <c r="BH893" s="108"/>
      <c r="BI893" s="108"/>
      <c r="BJ893" s="108"/>
      <c r="BK893" s="108"/>
      <c r="BL893" s="108"/>
      <c r="BM893" s="109"/>
      <c r="BN893" s="108"/>
      <c r="BO893" s="108"/>
      <c r="BP893" s="108"/>
    </row>
    <row r="894" spans="1:68" ht="12" customHeight="1" x14ac:dyDescent="0.2">
      <c r="A894" s="179"/>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c r="AA894" s="108"/>
      <c r="AB894" s="108"/>
      <c r="AC894" s="108"/>
      <c r="AD894" s="108"/>
      <c r="AE894" s="108"/>
      <c r="AF894" s="108"/>
      <c r="AG894" s="108"/>
      <c r="AH894" s="108"/>
      <c r="AI894" s="108"/>
      <c r="AJ894" s="108"/>
      <c r="AK894" s="108"/>
      <c r="AL894" s="108"/>
      <c r="AM894" s="108"/>
      <c r="AN894" s="108"/>
      <c r="AO894" s="108"/>
      <c r="AP894" s="108"/>
      <c r="AQ894" s="108"/>
      <c r="AR894" s="108"/>
      <c r="AS894" s="108"/>
      <c r="AT894" s="108"/>
      <c r="AU894" s="108"/>
      <c r="AV894" s="108"/>
      <c r="AW894" s="108"/>
      <c r="AX894" s="108"/>
      <c r="AY894" s="108"/>
      <c r="AZ894" s="108"/>
      <c r="BA894" s="108"/>
      <c r="BB894" s="108"/>
      <c r="BC894" s="108"/>
      <c r="BD894" s="108"/>
      <c r="BE894" s="108"/>
      <c r="BF894" s="108"/>
      <c r="BG894" s="108"/>
      <c r="BH894" s="108"/>
      <c r="BI894" s="108"/>
      <c r="BJ894" s="108"/>
      <c r="BK894" s="108"/>
      <c r="BL894" s="108"/>
      <c r="BM894" s="109"/>
      <c r="BN894" s="108"/>
      <c r="BO894" s="108"/>
      <c r="BP894" s="108"/>
    </row>
    <row r="895" spans="1:68" ht="12" customHeight="1" x14ac:dyDescent="0.2">
      <c r="A895" s="179"/>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c r="AA895" s="108"/>
      <c r="AB895" s="108"/>
      <c r="AC895" s="108"/>
      <c r="AD895" s="108"/>
      <c r="AE895" s="108"/>
      <c r="AF895" s="108"/>
      <c r="AG895" s="108"/>
      <c r="AH895" s="108"/>
      <c r="AI895" s="108"/>
      <c r="AJ895" s="108"/>
      <c r="AK895" s="108"/>
      <c r="AL895" s="108"/>
      <c r="AM895" s="108"/>
      <c r="AN895" s="108"/>
      <c r="AO895" s="108"/>
      <c r="AP895" s="108"/>
      <c r="AQ895" s="108"/>
      <c r="AR895" s="108"/>
      <c r="AS895" s="108"/>
      <c r="AT895" s="108"/>
      <c r="AU895" s="108"/>
      <c r="AV895" s="108"/>
      <c r="AW895" s="108"/>
      <c r="AX895" s="108"/>
      <c r="AY895" s="108"/>
      <c r="AZ895" s="108"/>
      <c r="BA895" s="108"/>
      <c r="BB895" s="108"/>
      <c r="BC895" s="108"/>
      <c r="BD895" s="108"/>
      <c r="BE895" s="108"/>
      <c r="BF895" s="108"/>
      <c r="BG895" s="108"/>
      <c r="BH895" s="108"/>
      <c r="BI895" s="108"/>
      <c r="BJ895" s="108"/>
      <c r="BK895" s="108"/>
      <c r="BL895" s="108"/>
      <c r="BM895" s="109"/>
      <c r="BN895" s="108"/>
      <c r="BO895" s="108"/>
      <c r="BP895" s="108"/>
    </row>
    <row r="896" spans="1:68" ht="12" customHeight="1" x14ac:dyDescent="0.2">
      <c r="A896" s="179"/>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c r="AA896" s="108"/>
      <c r="AB896" s="108"/>
      <c r="AC896" s="108"/>
      <c r="AD896" s="108"/>
      <c r="AE896" s="108"/>
      <c r="AF896" s="108"/>
      <c r="AG896" s="108"/>
      <c r="AH896" s="108"/>
      <c r="AI896" s="108"/>
      <c r="AJ896" s="108"/>
      <c r="AK896" s="108"/>
      <c r="AL896" s="108"/>
      <c r="AM896" s="108"/>
      <c r="AN896" s="108"/>
      <c r="AO896" s="108"/>
      <c r="AP896" s="108"/>
      <c r="AQ896" s="108"/>
      <c r="AR896" s="108"/>
      <c r="AS896" s="108"/>
      <c r="AT896" s="108"/>
      <c r="AU896" s="108"/>
      <c r="AV896" s="108"/>
      <c r="AW896" s="108"/>
      <c r="AX896" s="108"/>
      <c r="AY896" s="108"/>
      <c r="AZ896" s="108"/>
      <c r="BA896" s="108"/>
      <c r="BB896" s="108"/>
      <c r="BC896" s="108"/>
      <c r="BD896" s="108"/>
      <c r="BE896" s="108"/>
      <c r="BF896" s="108"/>
      <c r="BG896" s="108"/>
      <c r="BH896" s="108"/>
      <c r="BI896" s="108"/>
      <c r="BJ896" s="108"/>
      <c r="BK896" s="108"/>
      <c r="BL896" s="108"/>
      <c r="BM896" s="109"/>
      <c r="BN896" s="108"/>
      <c r="BO896" s="108"/>
      <c r="BP896" s="108"/>
    </row>
    <row r="897" spans="1:68" ht="12" customHeight="1" x14ac:dyDescent="0.2">
      <c r="A897" s="179"/>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c r="AA897" s="108"/>
      <c r="AB897" s="108"/>
      <c r="AC897" s="108"/>
      <c r="AD897" s="108"/>
      <c r="AE897" s="108"/>
      <c r="AF897" s="108"/>
      <c r="AG897" s="108"/>
      <c r="AH897" s="108"/>
      <c r="AI897" s="108"/>
      <c r="AJ897" s="108"/>
      <c r="AK897" s="108"/>
      <c r="AL897" s="108"/>
      <c r="AM897" s="108"/>
      <c r="AN897" s="108"/>
      <c r="AO897" s="108"/>
      <c r="AP897" s="108"/>
      <c r="AQ897" s="108"/>
      <c r="AR897" s="108"/>
      <c r="AS897" s="108"/>
      <c r="AT897" s="108"/>
      <c r="AU897" s="108"/>
      <c r="AV897" s="108"/>
      <c r="AW897" s="108"/>
      <c r="AX897" s="108"/>
      <c r="AY897" s="108"/>
      <c r="AZ897" s="108"/>
      <c r="BA897" s="108"/>
      <c r="BB897" s="108"/>
      <c r="BC897" s="108"/>
      <c r="BD897" s="108"/>
      <c r="BE897" s="108"/>
      <c r="BF897" s="108"/>
      <c r="BG897" s="108"/>
      <c r="BH897" s="108"/>
      <c r="BI897" s="108"/>
      <c r="BJ897" s="108"/>
      <c r="BK897" s="108"/>
      <c r="BL897" s="108"/>
      <c r="BM897" s="109"/>
      <c r="BN897" s="108"/>
      <c r="BO897" s="108"/>
      <c r="BP897" s="108"/>
    </row>
    <row r="898" spans="1:68" ht="12" customHeight="1" x14ac:dyDescent="0.2">
      <c r="A898" s="179"/>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c r="AA898" s="108"/>
      <c r="AB898" s="108"/>
      <c r="AC898" s="108"/>
      <c r="AD898" s="108"/>
      <c r="AE898" s="108"/>
      <c r="AF898" s="108"/>
      <c r="AG898" s="108"/>
      <c r="AH898" s="108"/>
      <c r="AI898" s="108"/>
      <c r="AJ898" s="108"/>
      <c r="AK898" s="108"/>
      <c r="AL898" s="108"/>
      <c r="AM898" s="108"/>
      <c r="AN898" s="108"/>
      <c r="AO898" s="108"/>
      <c r="AP898" s="108"/>
      <c r="AQ898" s="108"/>
      <c r="AR898" s="108"/>
      <c r="AS898" s="108"/>
      <c r="AT898" s="108"/>
      <c r="AU898" s="108"/>
      <c r="AV898" s="108"/>
      <c r="AW898" s="108"/>
      <c r="AX898" s="108"/>
      <c r="AY898" s="108"/>
      <c r="AZ898" s="108"/>
      <c r="BA898" s="108"/>
      <c r="BB898" s="108"/>
      <c r="BC898" s="108"/>
      <c r="BD898" s="108"/>
      <c r="BE898" s="108"/>
      <c r="BF898" s="108"/>
      <c r="BG898" s="108"/>
      <c r="BH898" s="108"/>
      <c r="BI898" s="108"/>
      <c r="BJ898" s="108"/>
      <c r="BK898" s="108"/>
      <c r="BL898" s="108"/>
      <c r="BM898" s="109"/>
      <c r="BN898" s="108"/>
      <c r="BO898" s="108"/>
      <c r="BP898" s="108"/>
    </row>
    <row r="899" spans="1:68" ht="12" customHeight="1" x14ac:dyDescent="0.2">
      <c r="A899" s="179"/>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c r="AA899" s="108"/>
      <c r="AB899" s="108"/>
      <c r="AC899" s="108"/>
      <c r="AD899" s="108"/>
      <c r="AE899" s="108"/>
      <c r="AF899" s="108"/>
      <c r="AG899" s="108"/>
      <c r="AH899" s="108"/>
      <c r="AI899" s="108"/>
      <c r="AJ899" s="108"/>
      <c r="AK899" s="108"/>
      <c r="AL899" s="108"/>
      <c r="AM899" s="108"/>
      <c r="AN899" s="108"/>
      <c r="AO899" s="108"/>
      <c r="AP899" s="108"/>
      <c r="AQ899" s="108"/>
      <c r="AR899" s="108"/>
      <c r="AS899" s="108"/>
      <c r="AT899" s="108"/>
      <c r="AU899" s="108"/>
      <c r="AV899" s="108"/>
      <c r="AW899" s="108"/>
      <c r="AX899" s="108"/>
      <c r="AY899" s="108"/>
      <c r="AZ899" s="108"/>
      <c r="BA899" s="108"/>
      <c r="BB899" s="108"/>
      <c r="BC899" s="108"/>
      <c r="BD899" s="108"/>
      <c r="BE899" s="108"/>
      <c r="BF899" s="108"/>
      <c r="BG899" s="108"/>
      <c r="BH899" s="108"/>
      <c r="BI899" s="108"/>
      <c r="BJ899" s="108"/>
      <c r="BK899" s="108"/>
      <c r="BL899" s="108"/>
      <c r="BM899" s="109"/>
      <c r="BN899" s="108"/>
      <c r="BO899" s="108"/>
      <c r="BP899" s="108"/>
    </row>
    <row r="900" spans="1:68" ht="12" customHeight="1" x14ac:dyDescent="0.2">
      <c r="A900" s="179"/>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c r="AA900" s="108"/>
      <c r="AB900" s="108"/>
      <c r="AC900" s="108"/>
      <c r="AD900" s="108"/>
      <c r="AE900" s="108"/>
      <c r="AF900" s="108"/>
      <c r="AG900" s="108"/>
      <c r="AH900" s="108"/>
      <c r="AI900" s="108"/>
      <c r="AJ900" s="108"/>
      <c r="AK900" s="108"/>
      <c r="AL900" s="108"/>
      <c r="AM900" s="108"/>
      <c r="AN900" s="108"/>
      <c r="AO900" s="108"/>
      <c r="AP900" s="108"/>
      <c r="AQ900" s="108"/>
      <c r="AR900" s="108"/>
      <c r="AS900" s="108"/>
      <c r="AT900" s="108"/>
      <c r="AU900" s="108"/>
      <c r="AV900" s="108"/>
      <c r="AW900" s="108"/>
      <c r="AX900" s="108"/>
      <c r="AY900" s="108"/>
      <c r="AZ900" s="108"/>
      <c r="BA900" s="108"/>
      <c r="BB900" s="108"/>
      <c r="BC900" s="108"/>
      <c r="BD900" s="108"/>
      <c r="BE900" s="108"/>
      <c r="BF900" s="108"/>
      <c r="BG900" s="108"/>
      <c r="BH900" s="108"/>
      <c r="BI900" s="108"/>
      <c r="BJ900" s="108"/>
      <c r="BK900" s="108"/>
      <c r="BL900" s="108"/>
      <c r="BM900" s="109"/>
      <c r="BN900" s="108"/>
      <c r="BO900" s="108"/>
      <c r="BP900" s="108"/>
    </row>
    <row r="901" spans="1:68" ht="12" customHeight="1" x14ac:dyDescent="0.2">
      <c r="A901" s="179"/>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c r="AA901" s="108"/>
      <c r="AB901" s="108"/>
      <c r="AC901" s="108"/>
      <c r="AD901" s="108"/>
      <c r="AE901" s="108"/>
      <c r="AF901" s="108"/>
      <c r="AG901" s="108"/>
      <c r="AH901" s="108"/>
      <c r="AI901" s="108"/>
      <c r="AJ901" s="108"/>
      <c r="AK901" s="108"/>
      <c r="AL901" s="108"/>
      <c r="AM901" s="108"/>
      <c r="AN901" s="108"/>
      <c r="AO901" s="108"/>
      <c r="AP901" s="108"/>
      <c r="AQ901" s="108"/>
      <c r="AR901" s="108"/>
      <c r="AS901" s="108"/>
      <c r="AT901" s="108"/>
      <c r="AU901" s="108"/>
      <c r="AV901" s="108"/>
      <c r="AW901" s="108"/>
      <c r="AX901" s="108"/>
      <c r="AY901" s="108"/>
      <c r="AZ901" s="108"/>
      <c r="BA901" s="108"/>
      <c r="BB901" s="108"/>
      <c r="BC901" s="108"/>
      <c r="BD901" s="108"/>
      <c r="BE901" s="108"/>
      <c r="BF901" s="108"/>
      <c r="BG901" s="108"/>
      <c r="BH901" s="108"/>
      <c r="BI901" s="108"/>
      <c r="BJ901" s="108"/>
      <c r="BK901" s="108"/>
      <c r="BL901" s="108"/>
      <c r="BM901" s="109"/>
      <c r="BN901" s="108"/>
      <c r="BO901" s="108"/>
      <c r="BP901" s="108"/>
    </row>
    <row r="902" spans="1:68" ht="12" customHeight="1" x14ac:dyDescent="0.2">
      <c r="A902" s="179"/>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c r="AA902" s="108"/>
      <c r="AB902" s="108"/>
      <c r="AC902" s="108"/>
      <c r="AD902" s="108"/>
      <c r="AE902" s="108"/>
      <c r="AF902" s="108"/>
      <c r="AG902" s="108"/>
      <c r="AH902" s="108"/>
      <c r="AI902" s="108"/>
      <c r="AJ902" s="108"/>
      <c r="AK902" s="108"/>
      <c r="AL902" s="108"/>
      <c r="AM902" s="108"/>
      <c r="AN902" s="108"/>
      <c r="AO902" s="108"/>
      <c r="AP902" s="108"/>
      <c r="AQ902" s="108"/>
      <c r="AR902" s="108"/>
      <c r="AS902" s="108"/>
      <c r="AT902" s="108"/>
      <c r="AU902" s="108"/>
      <c r="AV902" s="108"/>
      <c r="AW902" s="108"/>
      <c r="AX902" s="108"/>
      <c r="AY902" s="108"/>
      <c r="AZ902" s="108"/>
      <c r="BA902" s="108"/>
      <c r="BB902" s="108"/>
      <c r="BC902" s="108"/>
      <c r="BD902" s="108"/>
      <c r="BE902" s="108"/>
      <c r="BF902" s="108"/>
      <c r="BG902" s="108"/>
      <c r="BH902" s="108"/>
      <c r="BI902" s="108"/>
      <c r="BJ902" s="108"/>
      <c r="BK902" s="108"/>
      <c r="BL902" s="108"/>
      <c r="BM902" s="109"/>
      <c r="BN902" s="108"/>
      <c r="BO902" s="108"/>
      <c r="BP902" s="108"/>
    </row>
    <row r="903" spans="1:68" ht="12" customHeight="1" x14ac:dyDescent="0.2">
      <c r="A903" s="179"/>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c r="AA903" s="108"/>
      <c r="AB903" s="108"/>
      <c r="AC903" s="108"/>
      <c r="AD903" s="108"/>
      <c r="AE903" s="108"/>
      <c r="AF903" s="108"/>
      <c r="AG903" s="108"/>
      <c r="AH903" s="108"/>
      <c r="AI903" s="108"/>
      <c r="AJ903" s="108"/>
      <c r="AK903" s="108"/>
      <c r="AL903" s="108"/>
      <c r="AM903" s="108"/>
      <c r="AN903" s="108"/>
      <c r="AO903" s="108"/>
      <c r="AP903" s="108"/>
      <c r="AQ903" s="108"/>
      <c r="AR903" s="108"/>
      <c r="AS903" s="108"/>
      <c r="AT903" s="108"/>
      <c r="AU903" s="108"/>
      <c r="AV903" s="108"/>
      <c r="AW903" s="108"/>
      <c r="AX903" s="108"/>
      <c r="AY903" s="108"/>
      <c r="AZ903" s="108"/>
      <c r="BA903" s="108"/>
      <c r="BB903" s="108"/>
      <c r="BC903" s="108"/>
      <c r="BD903" s="108"/>
      <c r="BE903" s="108"/>
      <c r="BF903" s="108"/>
      <c r="BG903" s="108"/>
      <c r="BH903" s="108"/>
      <c r="BI903" s="108"/>
      <c r="BJ903" s="108"/>
      <c r="BK903" s="108"/>
      <c r="BL903" s="108"/>
      <c r="BM903" s="109"/>
      <c r="BN903" s="108"/>
      <c r="BO903" s="108"/>
      <c r="BP903" s="108"/>
    </row>
    <row r="904" spans="1:68" ht="12" customHeight="1" x14ac:dyDescent="0.2">
      <c r="A904" s="179"/>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c r="AA904" s="108"/>
      <c r="AB904" s="108"/>
      <c r="AC904" s="108"/>
      <c r="AD904" s="108"/>
      <c r="AE904" s="108"/>
      <c r="AF904" s="108"/>
      <c r="AG904" s="108"/>
      <c r="AH904" s="108"/>
      <c r="AI904" s="108"/>
      <c r="AJ904" s="108"/>
      <c r="AK904" s="108"/>
      <c r="AL904" s="108"/>
      <c r="AM904" s="108"/>
      <c r="AN904" s="108"/>
      <c r="AO904" s="108"/>
      <c r="AP904" s="108"/>
      <c r="AQ904" s="108"/>
      <c r="AR904" s="108"/>
      <c r="AS904" s="108"/>
      <c r="AT904" s="108"/>
      <c r="AU904" s="108"/>
      <c r="AV904" s="108"/>
      <c r="AW904" s="108"/>
      <c r="AX904" s="108"/>
      <c r="AY904" s="108"/>
      <c r="AZ904" s="108"/>
      <c r="BA904" s="108"/>
      <c r="BB904" s="108"/>
      <c r="BC904" s="108"/>
      <c r="BD904" s="108"/>
      <c r="BE904" s="108"/>
      <c r="BF904" s="108"/>
      <c r="BG904" s="108"/>
      <c r="BH904" s="108"/>
      <c r="BI904" s="108"/>
      <c r="BJ904" s="108"/>
      <c r="BK904" s="108"/>
      <c r="BL904" s="108"/>
      <c r="BM904" s="109"/>
      <c r="BN904" s="108"/>
      <c r="BO904" s="108"/>
      <c r="BP904" s="108"/>
    </row>
    <row r="905" spans="1:68" ht="12" customHeight="1" x14ac:dyDescent="0.2">
      <c r="A905" s="179"/>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c r="AA905" s="108"/>
      <c r="AB905" s="108"/>
      <c r="AC905" s="108"/>
      <c r="AD905" s="108"/>
      <c r="AE905" s="108"/>
      <c r="AF905" s="108"/>
      <c r="AG905" s="108"/>
      <c r="AH905" s="108"/>
      <c r="AI905" s="108"/>
      <c r="AJ905" s="108"/>
      <c r="AK905" s="108"/>
      <c r="AL905" s="108"/>
      <c r="AM905" s="108"/>
      <c r="AN905" s="108"/>
      <c r="AO905" s="108"/>
      <c r="AP905" s="108"/>
      <c r="AQ905" s="108"/>
      <c r="AR905" s="108"/>
      <c r="AS905" s="108"/>
      <c r="AT905" s="108"/>
      <c r="AU905" s="108"/>
      <c r="AV905" s="108"/>
      <c r="AW905" s="108"/>
      <c r="AX905" s="108"/>
      <c r="AY905" s="108"/>
      <c r="AZ905" s="108"/>
      <c r="BA905" s="108"/>
      <c r="BB905" s="108"/>
      <c r="BC905" s="108"/>
      <c r="BD905" s="108"/>
      <c r="BE905" s="108"/>
      <c r="BF905" s="108"/>
      <c r="BG905" s="108"/>
      <c r="BH905" s="108"/>
      <c r="BI905" s="108"/>
      <c r="BJ905" s="108"/>
      <c r="BK905" s="108"/>
      <c r="BL905" s="108"/>
      <c r="BM905" s="109"/>
      <c r="BN905" s="108"/>
      <c r="BO905" s="108"/>
      <c r="BP905" s="108"/>
    </row>
    <row r="906" spans="1:68" ht="12" customHeight="1" x14ac:dyDescent="0.2">
      <c r="A906" s="179"/>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c r="AA906" s="108"/>
      <c r="AB906" s="108"/>
      <c r="AC906" s="108"/>
      <c r="AD906" s="108"/>
      <c r="AE906" s="108"/>
      <c r="AF906" s="108"/>
      <c r="AG906" s="108"/>
      <c r="AH906" s="108"/>
      <c r="AI906" s="108"/>
      <c r="AJ906" s="108"/>
      <c r="AK906" s="108"/>
      <c r="AL906" s="108"/>
      <c r="AM906" s="108"/>
      <c r="AN906" s="108"/>
      <c r="AO906" s="108"/>
      <c r="AP906" s="108"/>
      <c r="AQ906" s="108"/>
      <c r="AR906" s="108"/>
      <c r="AS906" s="108"/>
      <c r="AT906" s="108"/>
      <c r="AU906" s="108"/>
      <c r="AV906" s="108"/>
      <c r="AW906" s="108"/>
      <c r="AX906" s="108"/>
      <c r="AY906" s="108"/>
      <c r="AZ906" s="108"/>
      <c r="BA906" s="108"/>
      <c r="BB906" s="108"/>
      <c r="BC906" s="108"/>
      <c r="BD906" s="108"/>
      <c r="BE906" s="108"/>
      <c r="BF906" s="108"/>
      <c r="BG906" s="108"/>
      <c r="BH906" s="108"/>
      <c r="BI906" s="108"/>
      <c r="BJ906" s="108"/>
      <c r="BK906" s="108"/>
      <c r="BL906" s="108"/>
      <c r="BM906" s="109"/>
      <c r="BN906" s="108"/>
      <c r="BO906" s="108"/>
      <c r="BP906" s="108"/>
    </row>
    <row r="907" spans="1:68" ht="12" customHeight="1" x14ac:dyDescent="0.2">
      <c r="A907" s="179"/>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c r="AA907" s="108"/>
      <c r="AB907" s="108"/>
      <c r="AC907" s="108"/>
      <c r="AD907" s="108"/>
      <c r="AE907" s="108"/>
      <c r="AF907" s="108"/>
      <c r="AG907" s="108"/>
      <c r="AH907" s="108"/>
      <c r="AI907" s="108"/>
      <c r="AJ907" s="108"/>
      <c r="AK907" s="108"/>
      <c r="AL907" s="108"/>
      <c r="AM907" s="108"/>
      <c r="AN907" s="108"/>
      <c r="AO907" s="108"/>
      <c r="AP907" s="108"/>
      <c r="AQ907" s="108"/>
      <c r="AR907" s="108"/>
      <c r="AS907" s="108"/>
      <c r="AT907" s="108"/>
      <c r="AU907" s="108"/>
      <c r="AV907" s="108"/>
      <c r="AW907" s="108"/>
      <c r="AX907" s="108"/>
      <c r="AY907" s="108"/>
      <c r="AZ907" s="108"/>
      <c r="BA907" s="108"/>
      <c r="BB907" s="108"/>
      <c r="BC907" s="108"/>
      <c r="BD907" s="108"/>
      <c r="BE907" s="108"/>
      <c r="BF907" s="108"/>
      <c r="BG907" s="108"/>
      <c r="BH907" s="108"/>
      <c r="BI907" s="108"/>
      <c r="BJ907" s="108"/>
      <c r="BK907" s="108"/>
      <c r="BL907" s="108"/>
      <c r="BM907" s="109"/>
      <c r="BN907" s="108"/>
      <c r="BO907" s="108"/>
      <c r="BP907" s="108"/>
    </row>
    <row r="908" spans="1:68" ht="12" customHeight="1" x14ac:dyDescent="0.2">
      <c r="A908" s="179"/>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c r="AA908" s="108"/>
      <c r="AB908" s="108"/>
      <c r="AC908" s="108"/>
      <c r="AD908" s="108"/>
      <c r="AE908" s="108"/>
      <c r="AF908" s="108"/>
      <c r="AG908" s="108"/>
      <c r="AH908" s="108"/>
      <c r="AI908" s="108"/>
      <c r="AJ908" s="108"/>
      <c r="AK908" s="108"/>
      <c r="AL908" s="108"/>
      <c r="AM908" s="108"/>
      <c r="AN908" s="108"/>
      <c r="AO908" s="108"/>
      <c r="AP908" s="108"/>
      <c r="AQ908" s="108"/>
      <c r="AR908" s="108"/>
      <c r="AS908" s="108"/>
      <c r="AT908" s="108"/>
      <c r="AU908" s="108"/>
      <c r="AV908" s="108"/>
      <c r="AW908" s="108"/>
      <c r="AX908" s="108"/>
      <c r="AY908" s="108"/>
      <c r="AZ908" s="108"/>
      <c r="BA908" s="108"/>
      <c r="BB908" s="108"/>
      <c r="BC908" s="108"/>
      <c r="BD908" s="108"/>
      <c r="BE908" s="108"/>
      <c r="BF908" s="108"/>
      <c r="BG908" s="108"/>
      <c r="BH908" s="108"/>
      <c r="BI908" s="108"/>
      <c r="BJ908" s="108"/>
      <c r="BK908" s="108"/>
      <c r="BL908" s="108"/>
      <c r="BM908" s="109"/>
      <c r="BN908" s="108"/>
      <c r="BO908" s="108"/>
      <c r="BP908" s="108"/>
    </row>
    <row r="909" spans="1:68" ht="12" customHeight="1" x14ac:dyDescent="0.2">
      <c r="A909" s="179"/>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c r="AA909" s="108"/>
      <c r="AB909" s="108"/>
      <c r="AC909" s="108"/>
      <c r="AD909" s="108"/>
      <c r="AE909" s="108"/>
      <c r="AF909" s="108"/>
      <c r="AG909" s="108"/>
      <c r="AH909" s="108"/>
      <c r="AI909" s="108"/>
      <c r="AJ909" s="108"/>
      <c r="AK909" s="108"/>
      <c r="AL909" s="108"/>
      <c r="AM909" s="108"/>
      <c r="AN909" s="108"/>
      <c r="AO909" s="108"/>
      <c r="AP909" s="108"/>
      <c r="AQ909" s="108"/>
      <c r="AR909" s="108"/>
      <c r="AS909" s="108"/>
      <c r="AT909" s="108"/>
      <c r="AU909" s="108"/>
      <c r="AV909" s="108"/>
      <c r="AW909" s="108"/>
      <c r="AX909" s="108"/>
      <c r="AY909" s="108"/>
      <c r="AZ909" s="108"/>
      <c r="BA909" s="108"/>
      <c r="BB909" s="108"/>
      <c r="BC909" s="108"/>
      <c r="BD909" s="108"/>
      <c r="BE909" s="108"/>
      <c r="BF909" s="108"/>
      <c r="BG909" s="108"/>
      <c r="BH909" s="108"/>
      <c r="BI909" s="108"/>
      <c r="BJ909" s="108"/>
      <c r="BK909" s="108"/>
      <c r="BL909" s="108"/>
      <c r="BM909" s="109"/>
      <c r="BN909" s="108"/>
      <c r="BO909" s="108"/>
      <c r="BP909" s="108"/>
    </row>
    <row r="910" spans="1:68" ht="12" customHeight="1" x14ac:dyDescent="0.2">
      <c r="A910" s="179"/>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c r="AA910" s="108"/>
      <c r="AB910" s="108"/>
      <c r="AC910" s="108"/>
      <c r="AD910" s="108"/>
      <c r="AE910" s="108"/>
      <c r="AF910" s="108"/>
      <c r="AG910" s="108"/>
      <c r="AH910" s="108"/>
      <c r="AI910" s="108"/>
      <c r="AJ910" s="108"/>
      <c r="AK910" s="108"/>
      <c r="AL910" s="108"/>
      <c r="AM910" s="108"/>
      <c r="AN910" s="108"/>
      <c r="AO910" s="108"/>
      <c r="AP910" s="108"/>
      <c r="AQ910" s="108"/>
      <c r="AR910" s="108"/>
      <c r="AS910" s="108"/>
      <c r="AT910" s="108"/>
      <c r="AU910" s="108"/>
      <c r="AV910" s="108"/>
      <c r="AW910" s="108"/>
      <c r="AX910" s="108"/>
      <c r="AY910" s="108"/>
      <c r="AZ910" s="108"/>
      <c r="BA910" s="108"/>
      <c r="BB910" s="108"/>
      <c r="BC910" s="108"/>
      <c r="BD910" s="108"/>
      <c r="BE910" s="108"/>
      <c r="BF910" s="108"/>
      <c r="BG910" s="108"/>
      <c r="BH910" s="108"/>
      <c r="BI910" s="108"/>
      <c r="BJ910" s="108"/>
      <c r="BK910" s="108"/>
      <c r="BL910" s="108"/>
      <c r="BM910" s="109"/>
      <c r="BN910" s="108"/>
      <c r="BO910" s="108"/>
      <c r="BP910" s="108"/>
    </row>
    <row r="911" spans="1:68" ht="12" customHeight="1" x14ac:dyDescent="0.2">
      <c r="A911" s="179"/>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c r="AA911" s="108"/>
      <c r="AB911" s="108"/>
      <c r="AC911" s="108"/>
      <c r="AD911" s="108"/>
      <c r="AE911" s="108"/>
      <c r="AF911" s="108"/>
      <c r="AG911" s="108"/>
      <c r="AH911" s="108"/>
      <c r="AI911" s="108"/>
      <c r="AJ911" s="108"/>
      <c r="AK911" s="108"/>
      <c r="AL911" s="108"/>
      <c r="AM911" s="108"/>
      <c r="AN911" s="108"/>
      <c r="AO911" s="108"/>
      <c r="AP911" s="108"/>
      <c r="AQ911" s="108"/>
      <c r="AR911" s="108"/>
      <c r="AS911" s="108"/>
      <c r="AT911" s="108"/>
      <c r="AU911" s="108"/>
      <c r="AV911" s="108"/>
      <c r="AW911" s="108"/>
      <c r="AX911" s="108"/>
      <c r="AY911" s="108"/>
      <c r="AZ911" s="108"/>
      <c r="BA911" s="108"/>
      <c r="BB911" s="108"/>
      <c r="BC911" s="108"/>
      <c r="BD911" s="108"/>
      <c r="BE911" s="108"/>
      <c r="BF911" s="108"/>
      <c r="BG911" s="108"/>
      <c r="BH911" s="108"/>
      <c r="BI911" s="108"/>
      <c r="BJ911" s="108"/>
      <c r="BK911" s="108"/>
      <c r="BL911" s="108"/>
      <c r="BM911" s="109"/>
      <c r="BN911" s="108"/>
      <c r="BO911" s="108"/>
      <c r="BP911" s="108"/>
    </row>
    <row r="912" spans="1:68" ht="12" customHeight="1" x14ac:dyDescent="0.2">
      <c r="A912" s="179"/>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c r="AA912" s="108"/>
      <c r="AB912" s="108"/>
      <c r="AC912" s="108"/>
      <c r="AD912" s="108"/>
      <c r="AE912" s="108"/>
      <c r="AF912" s="108"/>
      <c r="AG912" s="108"/>
      <c r="AH912" s="108"/>
      <c r="AI912" s="108"/>
      <c r="AJ912" s="108"/>
      <c r="AK912" s="108"/>
      <c r="AL912" s="108"/>
      <c r="AM912" s="108"/>
      <c r="AN912" s="108"/>
      <c r="AO912" s="108"/>
      <c r="AP912" s="108"/>
      <c r="AQ912" s="108"/>
      <c r="AR912" s="108"/>
      <c r="AS912" s="108"/>
      <c r="AT912" s="108"/>
      <c r="AU912" s="108"/>
      <c r="AV912" s="108"/>
      <c r="AW912" s="108"/>
      <c r="AX912" s="108"/>
      <c r="AY912" s="108"/>
      <c r="AZ912" s="108"/>
      <c r="BA912" s="108"/>
      <c r="BB912" s="108"/>
      <c r="BC912" s="108"/>
      <c r="BD912" s="108"/>
      <c r="BE912" s="108"/>
      <c r="BF912" s="108"/>
      <c r="BG912" s="108"/>
      <c r="BH912" s="108"/>
      <c r="BI912" s="108"/>
      <c r="BJ912" s="108"/>
      <c r="BK912" s="108"/>
      <c r="BL912" s="108"/>
      <c r="BM912" s="109"/>
      <c r="BN912" s="108"/>
      <c r="BO912" s="108"/>
      <c r="BP912" s="108"/>
    </row>
    <row r="913" spans="1:68" ht="12" customHeight="1" x14ac:dyDescent="0.2">
      <c r="A913" s="179"/>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c r="AA913" s="108"/>
      <c r="AB913" s="108"/>
      <c r="AC913" s="108"/>
      <c r="AD913" s="108"/>
      <c r="AE913" s="108"/>
      <c r="AF913" s="108"/>
      <c r="AG913" s="108"/>
      <c r="AH913" s="108"/>
      <c r="AI913" s="108"/>
      <c r="AJ913" s="108"/>
      <c r="AK913" s="108"/>
      <c r="AL913" s="108"/>
      <c r="AM913" s="108"/>
      <c r="AN913" s="108"/>
      <c r="AO913" s="108"/>
      <c r="AP913" s="108"/>
      <c r="AQ913" s="108"/>
      <c r="AR913" s="108"/>
      <c r="AS913" s="108"/>
      <c r="AT913" s="108"/>
      <c r="AU913" s="108"/>
      <c r="AV913" s="108"/>
      <c r="AW913" s="108"/>
      <c r="AX913" s="108"/>
      <c r="AY913" s="108"/>
      <c r="AZ913" s="108"/>
      <c r="BA913" s="108"/>
      <c r="BB913" s="108"/>
      <c r="BC913" s="108"/>
      <c r="BD913" s="108"/>
      <c r="BE913" s="108"/>
      <c r="BF913" s="108"/>
      <c r="BG913" s="108"/>
      <c r="BH913" s="108"/>
      <c r="BI913" s="108"/>
      <c r="BJ913" s="108"/>
      <c r="BK913" s="108"/>
      <c r="BL913" s="108"/>
      <c r="BM913" s="109"/>
      <c r="BN913" s="108"/>
      <c r="BO913" s="108"/>
      <c r="BP913" s="108"/>
    </row>
    <row r="914" spans="1:68" ht="12" customHeight="1" x14ac:dyDescent="0.2">
      <c r="A914" s="179"/>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c r="AA914" s="108"/>
      <c r="AB914" s="108"/>
      <c r="AC914" s="108"/>
      <c r="AD914" s="108"/>
      <c r="AE914" s="108"/>
      <c r="AF914" s="108"/>
      <c r="AG914" s="108"/>
      <c r="AH914" s="108"/>
      <c r="AI914" s="108"/>
      <c r="AJ914" s="108"/>
      <c r="AK914" s="108"/>
      <c r="AL914" s="108"/>
      <c r="AM914" s="108"/>
      <c r="AN914" s="108"/>
      <c r="AO914" s="108"/>
      <c r="AP914" s="108"/>
      <c r="AQ914" s="108"/>
      <c r="AR914" s="108"/>
      <c r="AS914" s="108"/>
      <c r="AT914" s="108"/>
      <c r="AU914" s="108"/>
      <c r="AV914" s="108"/>
      <c r="AW914" s="108"/>
      <c r="AX914" s="108"/>
      <c r="AY914" s="108"/>
      <c r="AZ914" s="108"/>
      <c r="BA914" s="108"/>
      <c r="BB914" s="108"/>
      <c r="BC914" s="108"/>
      <c r="BD914" s="108"/>
      <c r="BE914" s="108"/>
      <c r="BF914" s="108"/>
      <c r="BG914" s="108"/>
      <c r="BH914" s="108"/>
      <c r="BI914" s="108"/>
      <c r="BJ914" s="108"/>
      <c r="BK914" s="108"/>
      <c r="BL914" s="108"/>
      <c r="BM914" s="109"/>
      <c r="BN914" s="108"/>
      <c r="BO914" s="108"/>
      <c r="BP914" s="108"/>
    </row>
    <row r="915" spans="1:68" ht="12" customHeight="1" x14ac:dyDescent="0.2">
      <c r="A915" s="179"/>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c r="AA915" s="108"/>
      <c r="AB915" s="108"/>
      <c r="AC915" s="108"/>
      <c r="AD915" s="108"/>
      <c r="AE915" s="108"/>
      <c r="AF915" s="108"/>
      <c r="AG915" s="108"/>
      <c r="AH915" s="108"/>
      <c r="AI915" s="108"/>
      <c r="AJ915" s="108"/>
      <c r="AK915" s="108"/>
      <c r="AL915" s="108"/>
      <c r="AM915" s="108"/>
      <c r="AN915" s="108"/>
      <c r="AO915" s="108"/>
      <c r="AP915" s="108"/>
      <c r="AQ915" s="108"/>
      <c r="AR915" s="108"/>
      <c r="AS915" s="108"/>
      <c r="AT915" s="108"/>
      <c r="AU915" s="108"/>
      <c r="AV915" s="108"/>
      <c r="AW915" s="108"/>
      <c r="AX915" s="108"/>
      <c r="AY915" s="108"/>
      <c r="AZ915" s="108"/>
      <c r="BA915" s="108"/>
      <c r="BB915" s="108"/>
      <c r="BC915" s="108"/>
      <c r="BD915" s="108"/>
      <c r="BE915" s="108"/>
      <c r="BF915" s="108"/>
      <c r="BG915" s="108"/>
      <c r="BH915" s="108"/>
      <c r="BI915" s="108"/>
      <c r="BJ915" s="108"/>
      <c r="BK915" s="108"/>
      <c r="BL915" s="108"/>
      <c r="BM915" s="109"/>
      <c r="BN915" s="108"/>
      <c r="BO915" s="108"/>
      <c r="BP915" s="108"/>
    </row>
    <row r="916" spans="1:68" ht="12" customHeight="1" x14ac:dyDescent="0.2">
      <c r="A916" s="179"/>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c r="AA916" s="108"/>
      <c r="AB916" s="108"/>
      <c r="AC916" s="108"/>
      <c r="AD916" s="108"/>
      <c r="AE916" s="108"/>
      <c r="AF916" s="108"/>
      <c r="AG916" s="108"/>
      <c r="AH916" s="108"/>
      <c r="AI916" s="108"/>
      <c r="AJ916" s="108"/>
      <c r="AK916" s="108"/>
      <c r="AL916" s="108"/>
      <c r="AM916" s="108"/>
      <c r="AN916" s="108"/>
      <c r="AO916" s="108"/>
      <c r="AP916" s="108"/>
      <c r="AQ916" s="108"/>
      <c r="AR916" s="108"/>
      <c r="AS916" s="108"/>
      <c r="AT916" s="108"/>
      <c r="AU916" s="108"/>
      <c r="AV916" s="108"/>
      <c r="AW916" s="108"/>
      <c r="AX916" s="108"/>
      <c r="AY916" s="108"/>
      <c r="AZ916" s="108"/>
      <c r="BA916" s="108"/>
      <c r="BB916" s="108"/>
      <c r="BC916" s="108"/>
      <c r="BD916" s="108"/>
      <c r="BE916" s="108"/>
      <c r="BF916" s="108"/>
      <c r="BG916" s="108"/>
      <c r="BH916" s="108"/>
      <c r="BI916" s="108"/>
      <c r="BJ916" s="108"/>
      <c r="BK916" s="108"/>
      <c r="BL916" s="108"/>
      <c r="BM916" s="109"/>
      <c r="BN916" s="108"/>
      <c r="BO916" s="108"/>
      <c r="BP916" s="108"/>
    </row>
    <row r="917" spans="1:68" ht="12" customHeight="1" x14ac:dyDescent="0.2">
      <c r="A917" s="179"/>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c r="AA917" s="108"/>
      <c r="AB917" s="108"/>
      <c r="AC917" s="108"/>
      <c r="AD917" s="108"/>
      <c r="AE917" s="108"/>
      <c r="AF917" s="108"/>
      <c r="AG917" s="108"/>
      <c r="AH917" s="108"/>
      <c r="AI917" s="108"/>
      <c r="AJ917" s="108"/>
      <c r="AK917" s="108"/>
      <c r="AL917" s="108"/>
      <c r="AM917" s="108"/>
      <c r="AN917" s="108"/>
      <c r="AO917" s="108"/>
      <c r="AP917" s="108"/>
      <c r="AQ917" s="108"/>
      <c r="AR917" s="108"/>
      <c r="AS917" s="108"/>
      <c r="AT917" s="108"/>
      <c r="AU917" s="108"/>
      <c r="AV917" s="108"/>
      <c r="AW917" s="108"/>
      <c r="AX917" s="108"/>
      <c r="AY917" s="108"/>
      <c r="AZ917" s="108"/>
      <c r="BA917" s="108"/>
      <c r="BB917" s="108"/>
      <c r="BC917" s="108"/>
      <c r="BD917" s="108"/>
      <c r="BE917" s="108"/>
      <c r="BF917" s="108"/>
      <c r="BG917" s="108"/>
      <c r="BH917" s="108"/>
      <c r="BI917" s="108"/>
      <c r="BJ917" s="108"/>
      <c r="BK917" s="108"/>
      <c r="BL917" s="108"/>
      <c r="BM917" s="109"/>
      <c r="BN917" s="108"/>
      <c r="BO917" s="108"/>
      <c r="BP917" s="108"/>
    </row>
    <row r="918" spans="1:68" ht="12" customHeight="1" x14ac:dyDescent="0.2">
      <c r="A918" s="179"/>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c r="AA918" s="108"/>
      <c r="AB918" s="108"/>
      <c r="AC918" s="108"/>
      <c r="AD918" s="108"/>
      <c r="AE918" s="108"/>
      <c r="AF918" s="108"/>
      <c r="AG918" s="108"/>
      <c r="AH918" s="108"/>
      <c r="AI918" s="108"/>
      <c r="AJ918" s="108"/>
      <c r="AK918" s="108"/>
      <c r="AL918" s="108"/>
      <c r="AM918" s="108"/>
      <c r="AN918" s="108"/>
      <c r="AO918" s="108"/>
      <c r="AP918" s="108"/>
      <c r="AQ918" s="108"/>
      <c r="AR918" s="108"/>
      <c r="AS918" s="108"/>
      <c r="AT918" s="108"/>
      <c r="AU918" s="108"/>
      <c r="AV918" s="108"/>
      <c r="AW918" s="108"/>
      <c r="AX918" s="108"/>
      <c r="AY918" s="108"/>
      <c r="AZ918" s="108"/>
      <c r="BA918" s="108"/>
      <c r="BB918" s="108"/>
      <c r="BC918" s="108"/>
      <c r="BD918" s="108"/>
      <c r="BE918" s="108"/>
      <c r="BF918" s="108"/>
      <c r="BG918" s="108"/>
      <c r="BH918" s="108"/>
      <c r="BI918" s="108"/>
      <c r="BJ918" s="108"/>
      <c r="BK918" s="108"/>
      <c r="BL918" s="108"/>
      <c r="BM918" s="109"/>
      <c r="BN918" s="108"/>
      <c r="BO918" s="108"/>
      <c r="BP918" s="108"/>
    </row>
    <row r="919" spans="1:68" ht="12" customHeight="1" x14ac:dyDescent="0.2">
      <c r="A919" s="179"/>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c r="AA919" s="108"/>
      <c r="AB919" s="108"/>
      <c r="AC919" s="108"/>
      <c r="AD919" s="108"/>
      <c r="AE919" s="108"/>
      <c r="AF919" s="108"/>
      <c r="AG919" s="108"/>
      <c r="AH919" s="108"/>
      <c r="AI919" s="108"/>
      <c r="AJ919" s="108"/>
      <c r="AK919" s="108"/>
      <c r="AL919" s="108"/>
      <c r="AM919" s="108"/>
      <c r="AN919" s="108"/>
      <c r="AO919" s="108"/>
      <c r="AP919" s="108"/>
      <c r="AQ919" s="108"/>
      <c r="AR919" s="108"/>
      <c r="AS919" s="108"/>
      <c r="AT919" s="108"/>
      <c r="AU919" s="108"/>
      <c r="AV919" s="108"/>
      <c r="AW919" s="108"/>
      <c r="AX919" s="108"/>
      <c r="AY919" s="108"/>
      <c r="AZ919" s="108"/>
      <c r="BA919" s="108"/>
      <c r="BB919" s="108"/>
      <c r="BC919" s="108"/>
      <c r="BD919" s="108"/>
      <c r="BE919" s="108"/>
      <c r="BF919" s="108"/>
      <c r="BG919" s="108"/>
      <c r="BH919" s="108"/>
      <c r="BI919" s="108"/>
      <c r="BJ919" s="108"/>
      <c r="BK919" s="108"/>
      <c r="BL919" s="108"/>
      <c r="BM919" s="109"/>
      <c r="BN919" s="108"/>
      <c r="BO919" s="108"/>
      <c r="BP919" s="108"/>
    </row>
    <row r="920" spans="1:68" ht="12" customHeight="1" x14ac:dyDescent="0.2">
      <c r="A920" s="179"/>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c r="AA920" s="108"/>
      <c r="AB920" s="108"/>
      <c r="AC920" s="108"/>
      <c r="AD920" s="108"/>
      <c r="AE920" s="108"/>
      <c r="AF920" s="108"/>
      <c r="AG920" s="108"/>
      <c r="AH920" s="108"/>
      <c r="AI920" s="108"/>
      <c r="AJ920" s="108"/>
      <c r="AK920" s="108"/>
      <c r="AL920" s="108"/>
      <c r="AM920" s="108"/>
      <c r="AN920" s="108"/>
      <c r="AO920" s="108"/>
      <c r="AP920" s="108"/>
      <c r="AQ920" s="108"/>
      <c r="AR920" s="108"/>
      <c r="AS920" s="108"/>
      <c r="AT920" s="108"/>
      <c r="AU920" s="108"/>
      <c r="AV920" s="108"/>
      <c r="AW920" s="108"/>
      <c r="AX920" s="108"/>
      <c r="AY920" s="108"/>
      <c r="AZ920" s="108"/>
      <c r="BA920" s="108"/>
      <c r="BB920" s="108"/>
      <c r="BC920" s="108"/>
      <c r="BD920" s="108"/>
      <c r="BE920" s="108"/>
      <c r="BF920" s="108"/>
      <c r="BG920" s="108"/>
      <c r="BH920" s="108"/>
      <c r="BI920" s="108"/>
      <c r="BJ920" s="108"/>
      <c r="BK920" s="108"/>
      <c r="BL920" s="108"/>
      <c r="BM920" s="109"/>
      <c r="BN920" s="108"/>
      <c r="BO920" s="108"/>
      <c r="BP920" s="108"/>
    </row>
    <row r="921" spans="1:68" ht="12" customHeight="1" x14ac:dyDescent="0.2">
      <c r="A921" s="179"/>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c r="AA921" s="108"/>
      <c r="AB921" s="108"/>
      <c r="AC921" s="108"/>
      <c r="AD921" s="108"/>
      <c r="AE921" s="108"/>
      <c r="AF921" s="108"/>
      <c r="AG921" s="108"/>
      <c r="AH921" s="108"/>
      <c r="AI921" s="108"/>
      <c r="AJ921" s="108"/>
      <c r="AK921" s="108"/>
      <c r="AL921" s="108"/>
      <c r="AM921" s="108"/>
      <c r="AN921" s="108"/>
      <c r="AO921" s="108"/>
      <c r="AP921" s="108"/>
      <c r="AQ921" s="108"/>
      <c r="AR921" s="108"/>
      <c r="AS921" s="108"/>
      <c r="AT921" s="108"/>
      <c r="AU921" s="108"/>
      <c r="AV921" s="108"/>
      <c r="AW921" s="108"/>
      <c r="AX921" s="108"/>
      <c r="AY921" s="108"/>
      <c r="AZ921" s="108"/>
      <c r="BA921" s="108"/>
      <c r="BB921" s="108"/>
      <c r="BC921" s="108"/>
      <c r="BD921" s="108"/>
      <c r="BE921" s="108"/>
      <c r="BF921" s="108"/>
      <c r="BG921" s="108"/>
      <c r="BH921" s="108"/>
      <c r="BI921" s="108"/>
      <c r="BJ921" s="108"/>
      <c r="BK921" s="108"/>
      <c r="BL921" s="108"/>
      <c r="BM921" s="109"/>
      <c r="BN921" s="108"/>
      <c r="BO921" s="108"/>
      <c r="BP921" s="108"/>
    </row>
    <row r="922" spans="1:68" ht="12" customHeight="1" x14ac:dyDescent="0.2">
      <c r="A922" s="179"/>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c r="AA922" s="108"/>
      <c r="AB922" s="108"/>
      <c r="AC922" s="108"/>
      <c r="AD922" s="108"/>
      <c r="AE922" s="108"/>
      <c r="AF922" s="108"/>
      <c r="AG922" s="108"/>
      <c r="AH922" s="108"/>
      <c r="AI922" s="108"/>
      <c r="AJ922" s="108"/>
      <c r="AK922" s="108"/>
      <c r="AL922" s="108"/>
      <c r="AM922" s="108"/>
      <c r="AN922" s="108"/>
      <c r="AO922" s="108"/>
      <c r="AP922" s="108"/>
      <c r="AQ922" s="108"/>
      <c r="AR922" s="108"/>
      <c r="AS922" s="108"/>
      <c r="AT922" s="108"/>
      <c r="AU922" s="108"/>
      <c r="AV922" s="108"/>
      <c r="AW922" s="108"/>
      <c r="AX922" s="108"/>
      <c r="AY922" s="108"/>
      <c r="AZ922" s="108"/>
      <c r="BA922" s="108"/>
      <c r="BB922" s="108"/>
      <c r="BC922" s="108"/>
      <c r="BD922" s="108"/>
      <c r="BE922" s="108"/>
      <c r="BF922" s="108"/>
      <c r="BG922" s="108"/>
      <c r="BH922" s="108"/>
      <c r="BI922" s="108"/>
      <c r="BJ922" s="108"/>
      <c r="BK922" s="108"/>
      <c r="BL922" s="108"/>
      <c r="BM922" s="109"/>
      <c r="BN922" s="108"/>
      <c r="BO922" s="108"/>
      <c r="BP922" s="108"/>
    </row>
    <row r="923" spans="1:68" ht="12" customHeight="1" x14ac:dyDescent="0.2">
      <c r="A923" s="179"/>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c r="AA923" s="108"/>
      <c r="AB923" s="108"/>
      <c r="AC923" s="108"/>
      <c r="AD923" s="108"/>
      <c r="AE923" s="108"/>
      <c r="AF923" s="108"/>
      <c r="AG923" s="108"/>
      <c r="AH923" s="108"/>
      <c r="AI923" s="108"/>
      <c r="AJ923" s="108"/>
      <c r="AK923" s="108"/>
      <c r="AL923" s="108"/>
      <c r="AM923" s="108"/>
      <c r="AN923" s="108"/>
      <c r="AO923" s="108"/>
      <c r="AP923" s="108"/>
      <c r="AQ923" s="108"/>
      <c r="AR923" s="108"/>
      <c r="AS923" s="108"/>
      <c r="AT923" s="108"/>
      <c r="AU923" s="108"/>
      <c r="AV923" s="108"/>
      <c r="AW923" s="108"/>
      <c r="AX923" s="108"/>
      <c r="AY923" s="108"/>
      <c r="AZ923" s="108"/>
      <c r="BA923" s="108"/>
      <c r="BB923" s="108"/>
      <c r="BC923" s="108"/>
      <c r="BD923" s="108"/>
      <c r="BE923" s="108"/>
      <c r="BF923" s="108"/>
      <c r="BG923" s="108"/>
      <c r="BH923" s="108"/>
      <c r="BI923" s="108"/>
      <c r="BJ923" s="108"/>
      <c r="BK923" s="108"/>
      <c r="BL923" s="108"/>
      <c r="BM923" s="109"/>
      <c r="BN923" s="108"/>
      <c r="BO923" s="108"/>
      <c r="BP923" s="108"/>
    </row>
    <row r="924" spans="1:68" ht="12" customHeight="1" x14ac:dyDescent="0.2">
      <c r="A924" s="179"/>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c r="AA924" s="108"/>
      <c r="AB924" s="108"/>
      <c r="AC924" s="108"/>
      <c r="AD924" s="108"/>
      <c r="AE924" s="108"/>
      <c r="AF924" s="108"/>
      <c r="AG924" s="108"/>
      <c r="AH924" s="108"/>
      <c r="AI924" s="108"/>
      <c r="AJ924" s="108"/>
      <c r="AK924" s="108"/>
      <c r="AL924" s="108"/>
      <c r="AM924" s="108"/>
      <c r="AN924" s="108"/>
      <c r="AO924" s="108"/>
      <c r="AP924" s="108"/>
      <c r="AQ924" s="108"/>
      <c r="AR924" s="108"/>
      <c r="AS924" s="108"/>
      <c r="AT924" s="108"/>
      <c r="AU924" s="108"/>
      <c r="AV924" s="108"/>
      <c r="AW924" s="108"/>
      <c r="AX924" s="108"/>
      <c r="AY924" s="108"/>
      <c r="AZ924" s="108"/>
      <c r="BA924" s="108"/>
      <c r="BB924" s="108"/>
      <c r="BC924" s="108"/>
      <c r="BD924" s="108"/>
      <c r="BE924" s="108"/>
      <c r="BF924" s="108"/>
      <c r="BG924" s="108"/>
      <c r="BH924" s="108"/>
      <c r="BI924" s="108"/>
      <c r="BJ924" s="108"/>
      <c r="BK924" s="108"/>
      <c r="BL924" s="108"/>
      <c r="BM924" s="109"/>
      <c r="BN924" s="108"/>
      <c r="BO924" s="108"/>
      <c r="BP924" s="108"/>
    </row>
    <row r="925" spans="1:68" ht="12" customHeight="1" x14ac:dyDescent="0.2">
      <c r="A925" s="179"/>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c r="AA925" s="108"/>
      <c r="AB925" s="108"/>
      <c r="AC925" s="108"/>
      <c r="AD925" s="108"/>
      <c r="AE925" s="108"/>
      <c r="AF925" s="108"/>
      <c r="AG925" s="108"/>
      <c r="AH925" s="108"/>
      <c r="AI925" s="108"/>
      <c r="AJ925" s="108"/>
      <c r="AK925" s="108"/>
      <c r="AL925" s="108"/>
      <c r="AM925" s="108"/>
      <c r="AN925" s="108"/>
      <c r="AO925" s="108"/>
      <c r="AP925" s="108"/>
      <c r="AQ925" s="108"/>
      <c r="AR925" s="108"/>
      <c r="AS925" s="108"/>
      <c r="AT925" s="108"/>
      <c r="AU925" s="108"/>
      <c r="AV925" s="108"/>
      <c r="AW925" s="108"/>
      <c r="AX925" s="108"/>
      <c r="AY925" s="108"/>
      <c r="AZ925" s="108"/>
      <c r="BA925" s="108"/>
      <c r="BB925" s="108"/>
      <c r="BC925" s="108"/>
      <c r="BD925" s="108"/>
      <c r="BE925" s="108"/>
      <c r="BF925" s="108"/>
      <c r="BG925" s="108"/>
      <c r="BH925" s="108"/>
      <c r="BI925" s="108"/>
      <c r="BJ925" s="108"/>
      <c r="BK925" s="108"/>
      <c r="BL925" s="108"/>
      <c r="BM925" s="109"/>
      <c r="BN925" s="108"/>
      <c r="BO925" s="108"/>
      <c r="BP925" s="108"/>
    </row>
    <row r="926" spans="1:68" ht="12" customHeight="1" x14ac:dyDescent="0.2">
      <c r="A926" s="179"/>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c r="AA926" s="108"/>
      <c r="AB926" s="108"/>
      <c r="AC926" s="108"/>
      <c r="AD926" s="108"/>
      <c r="AE926" s="108"/>
      <c r="AF926" s="108"/>
      <c r="AG926" s="108"/>
      <c r="AH926" s="108"/>
      <c r="AI926" s="108"/>
      <c r="AJ926" s="108"/>
      <c r="AK926" s="108"/>
      <c r="AL926" s="108"/>
      <c r="AM926" s="108"/>
      <c r="AN926" s="108"/>
      <c r="AO926" s="108"/>
      <c r="AP926" s="108"/>
      <c r="AQ926" s="108"/>
      <c r="AR926" s="108"/>
      <c r="AS926" s="108"/>
      <c r="AT926" s="108"/>
      <c r="AU926" s="108"/>
      <c r="AV926" s="108"/>
      <c r="AW926" s="108"/>
      <c r="AX926" s="108"/>
      <c r="AY926" s="108"/>
      <c r="AZ926" s="108"/>
      <c r="BA926" s="108"/>
      <c r="BB926" s="108"/>
      <c r="BC926" s="108"/>
      <c r="BD926" s="108"/>
      <c r="BE926" s="108"/>
      <c r="BF926" s="108"/>
      <c r="BG926" s="108"/>
      <c r="BH926" s="108"/>
      <c r="BI926" s="108"/>
      <c r="BJ926" s="108"/>
      <c r="BK926" s="108"/>
      <c r="BL926" s="108"/>
      <c r="BM926" s="109"/>
      <c r="BN926" s="108"/>
      <c r="BO926" s="108"/>
      <c r="BP926" s="108"/>
    </row>
    <row r="927" spans="1:68" ht="12" customHeight="1" x14ac:dyDescent="0.2">
      <c r="A927" s="179"/>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c r="AA927" s="108"/>
      <c r="AB927" s="108"/>
      <c r="AC927" s="108"/>
      <c r="AD927" s="108"/>
      <c r="AE927" s="108"/>
      <c r="AF927" s="108"/>
      <c r="AG927" s="108"/>
      <c r="AH927" s="108"/>
      <c r="AI927" s="108"/>
      <c r="AJ927" s="108"/>
      <c r="AK927" s="108"/>
      <c r="AL927" s="108"/>
      <c r="AM927" s="108"/>
      <c r="AN927" s="108"/>
      <c r="AO927" s="108"/>
      <c r="AP927" s="108"/>
      <c r="AQ927" s="108"/>
      <c r="AR927" s="108"/>
      <c r="AS927" s="108"/>
      <c r="AT927" s="108"/>
      <c r="AU927" s="108"/>
      <c r="AV927" s="108"/>
      <c r="AW927" s="108"/>
      <c r="AX927" s="108"/>
      <c r="AY927" s="108"/>
      <c r="AZ927" s="108"/>
      <c r="BA927" s="108"/>
      <c r="BB927" s="108"/>
      <c r="BC927" s="108"/>
      <c r="BD927" s="108"/>
      <c r="BE927" s="108"/>
      <c r="BF927" s="108"/>
      <c r="BG927" s="108"/>
      <c r="BH927" s="108"/>
      <c r="BI927" s="108"/>
      <c r="BJ927" s="108"/>
      <c r="BK927" s="108"/>
      <c r="BL927" s="108"/>
      <c r="BM927" s="109"/>
      <c r="BN927" s="108"/>
      <c r="BO927" s="108"/>
      <c r="BP927" s="108"/>
    </row>
    <row r="928" spans="1:68" ht="12" customHeight="1" x14ac:dyDescent="0.2">
      <c r="A928" s="179"/>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c r="AA928" s="108"/>
      <c r="AB928" s="108"/>
      <c r="AC928" s="108"/>
      <c r="AD928" s="108"/>
      <c r="AE928" s="108"/>
      <c r="AF928" s="108"/>
      <c r="AG928" s="108"/>
      <c r="AH928" s="108"/>
      <c r="AI928" s="108"/>
      <c r="AJ928" s="108"/>
      <c r="AK928" s="108"/>
      <c r="AL928" s="108"/>
      <c r="AM928" s="108"/>
      <c r="AN928" s="108"/>
      <c r="AO928" s="108"/>
      <c r="AP928" s="108"/>
      <c r="AQ928" s="108"/>
      <c r="AR928" s="108"/>
      <c r="AS928" s="108"/>
      <c r="AT928" s="108"/>
      <c r="AU928" s="108"/>
      <c r="AV928" s="108"/>
      <c r="AW928" s="108"/>
      <c r="AX928" s="108"/>
      <c r="AY928" s="108"/>
      <c r="AZ928" s="108"/>
      <c r="BA928" s="108"/>
      <c r="BB928" s="108"/>
      <c r="BC928" s="108"/>
      <c r="BD928" s="108"/>
      <c r="BE928" s="108"/>
      <c r="BF928" s="108"/>
      <c r="BG928" s="108"/>
      <c r="BH928" s="108"/>
      <c r="BI928" s="108"/>
      <c r="BJ928" s="108"/>
      <c r="BK928" s="108"/>
      <c r="BL928" s="108"/>
      <c r="BM928" s="109"/>
      <c r="BN928" s="108"/>
      <c r="BO928" s="108"/>
      <c r="BP928" s="108"/>
    </row>
    <row r="929" spans="1:68" ht="12" customHeight="1" x14ac:dyDescent="0.2">
      <c r="A929" s="179"/>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c r="AA929" s="108"/>
      <c r="AB929" s="108"/>
      <c r="AC929" s="108"/>
      <c r="AD929" s="108"/>
      <c r="AE929" s="108"/>
      <c r="AF929" s="108"/>
      <c r="AG929" s="108"/>
      <c r="AH929" s="108"/>
      <c r="AI929" s="108"/>
      <c r="AJ929" s="108"/>
      <c r="AK929" s="108"/>
      <c r="AL929" s="108"/>
      <c r="AM929" s="108"/>
      <c r="AN929" s="108"/>
      <c r="AO929" s="108"/>
      <c r="AP929" s="108"/>
      <c r="AQ929" s="108"/>
      <c r="AR929" s="108"/>
      <c r="AS929" s="108"/>
      <c r="AT929" s="108"/>
      <c r="AU929" s="108"/>
      <c r="AV929" s="108"/>
      <c r="AW929" s="108"/>
      <c r="AX929" s="108"/>
      <c r="AY929" s="108"/>
      <c r="AZ929" s="108"/>
      <c r="BA929" s="108"/>
      <c r="BB929" s="108"/>
      <c r="BC929" s="108"/>
      <c r="BD929" s="108"/>
      <c r="BE929" s="108"/>
      <c r="BF929" s="108"/>
      <c r="BG929" s="108"/>
      <c r="BH929" s="108"/>
      <c r="BI929" s="108"/>
      <c r="BJ929" s="108"/>
      <c r="BK929" s="108"/>
      <c r="BL929" s="108"/>
      <c r="BM929" s="109"/>
      <c r="BN929" s="108"/>
      <c r="BO929" s="108"/>
      <c r="BP929" s="108"/>
    </row>
    <row r="930" spans="1:68" ht="12" customHeight="1" x14ac:dyDescent="0.2">
      <c r="A930" s="179"/>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c r="AA930" s="108"/>
      <c r="AB930" s="108"/>
      <c r="AC930" s="108"/>
      <c r="AD930" s="108"/>
      <c r="AE930" s="108"/>
      <c r="AF930" s="108"/>
      <c r="AG930" s="108"/>
      <c r="AH930" s="108"/>
      <c r="AI930" s="108"/>
      <c r="AJ930" s="108"/>
      <c r="AK930" s="108"/>
      <c r="AL930" s="108"/>
      <c r="AM930" s="108"/>
      <c r="AN930" s="108"/>
      <c r="AO930" s="108"/>
      <c r="AP930" s="108"/>
      <c r="AQ930" s="108"/>
      <c r="AR930" s="108"/>
      <c r="AS930" s="108"/>
      <c r="AT930" s="108"/>
      <c r="AU930" s="108"/>
      <c r="AV930" s="108"/>
      <c r="AW930" s="108"/>
      <c r="AX930" s="108"/>
      <c r="AY930" s="108"/>
      <c r="AZ930" s="108"/>
      <c r="BA930" s="108"/>
      <c r="BB930" s="108"/>
      <c r="BC930" s="108"/>
      <c r="BD930" s="108"/>
      <c r="BE930" s="108"/>
      <c r="BF930" s="108"/>
      <c r="BG930" s="108"/>
      <c r="BH930" s="108"/>
      <c r="BI930" s="108"/>
      <c r="BJ930" s="108"/>
      <c r="BK930" s="108"/>
      <c r="BL930" s="108"/>
      <c r="BM930" s="109"/>
      <c r="BN930" s="108"/>
      <c r="BO930" s="108"/>
      <c r="BP930" s="108"/>
    </row>
    <row r="931" spans="1:68" ht="12" customHeight="1" x14ac:dyDescent="0.2">
      <c r="A931" s="179"/>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c r="AA931" s="108"/>
      <c r="AB931" s="108"/>
      <c r="AC931" s="108"/>
      <c r="AD931" s="108"/>
      <c r="AE931" s="108"/>
      <c r="AF931" s="108"/>
      <c r="AG931" s="108"/>
      <c r="AH931" s="108"/>
      <c r="AI931" s="108"/>
      <c r="AJ931" s="108"/>
      <c r="AK931" s="108"/>
      <c r="AL931" s="108"/>
      <c r="AM931" s="108"/>
      <c r="AN931" s="108"/>
      <c r="AO931" s="108"/>
      <c r="AP931" s="108"/>
      <c r="AQ931" s="108"/>
      <c r="AR931" s="108"/>
      <c r="AS931" s="108"/>
      <c r="AT931" s="108"/>
      <c r="AU931" s="108"/>
      <c r="AV931" s="108"/>
      <c r="AW931" s="108"/>
      <c r="AX931" s="108"/>
      <c r="AY931" s="108"/>
      <c r="AZ931" s="108"/>
      <c r="BA931" s="108"/>
      <c r="BB931" s="108"/>
      <c r="BC931" s="108"/>
      <c r="BD931" s="108"/>
      <c r="BE931" s="108"/>
      <c r="BF931" s="108"/>
      <c r="BG931" s="108"/>
      <c r="BH931" s="108"/>
      <c r="BI931" s="108"/>
      <c r="BJ931" s="108"/>
      <c r="BK931" s="108"/>
      <c r="BL931" s="108"/>
      <c r="BM931" s="109"/>
      <c r="BN931" s="108"/>
      <c r="BO931" s="108"/>
      <c r="BP931" s="108"/>
    </row>
    <row r="932" spans="1:68" ht="12" customHeight="1" x14ac:dyDescent="0.2">
      <c r="A932" s="179"/>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c r="AA932" s="108"/>
      <c r="AB932" s="108"/>
      <c r="AC932" s="108"/>
      <c r="AD932" s="108"/>
      <c r="AE932" s="108"/>
      <c r="AF932" s="108"/>
      <c r="AG932" s="108"/>
      <c r="AH932" s="108"/>
      <c r="AI932" s="108"/>
      <c r="AJ932" s="108"/>
      <c r="AK932" s="108"/>
      <c r="AL932" s="108"/>
      <c r="AM932" s="108"/>
      <c r="AN932" s="108"/>
      <c r="AO932" s="108"/>
      <c r="AP932" s="108"/>
      <c r="AQ932" s="108"/>
      <c r="AR932" s="108"/>
      <c r="AS932" s="108"/>
      <c r="AT932" s="108"/>
      <c r="AU932" s="108"/>
      <c r="AV932" s="108"/>
      <c r="AW932" s="108"/>
      <c r="AX932" s="108"/>
      <c r="AY932" s="108"/>
      <c r="AZ932" s="108"/>
      <c r="BA932" s="108"/>
      <c r="BB932" s="108"/>
      <c r="BC932" s="108"/>
      <c r="BD932" s="108"/>
      <c r="BE932" s="108"/>
      <c r="BF932" s="108"/>
      <c r="BG932" s="108"/>
      <c r="BH932" s="108"/>
      <c r="BI932" s="108"/>
      <c r="BJ932" s="108"/>
      <c r="BK932" s="108"/>
      <c r="BL932" s="108"/>
      <c r="BM932" s="109"/>
      <c r="BN932" s="108"/>
      <c r="BO932" s="108"/>
      <c r="BP932" s="108"/>
    </row>
    <row r="933" spans="1:68" ht="12" customHeight="1" x14ac:dyDescent="0.2">
      <c r="A933" s="179"/>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c r="AA933" s="108"/>
      <c r="AB933" s="108"/>
      <c r="AC933" s="108"/>
      <c r="AD933" s="108"/>
      <c r="AE933" s="108"/>
      <c r="AF933" s="108"/>
      <c r="AG933" s="108"/>
      <c r="AH933" s="108"/>
      <c r="AI933" s="108"/>
      <c r="AJ933" s="108"/>
      <c r="AK933" s="108"/>
      <c r="AL933" s="108"/>
      <c r="AM933" s="108"/>
      <c r="AN933" s="108"/>
      <c r="AO933" s="108"/>
      <c r="AP933" s="108"/>
      <c r="AQ933" s="108"/>
      <c r="AR933" s="108"/>
      <c r="AS933" s="108"/>
      <c r="AT933" s="108"/>
      <c r="AU933" s="108"/>
      <c r="AV933" s="108"/>
      <c r="AW933" s="108"/>
      <c r="AX933" s="108"/>
      <c r="AY933" s="108"/>
      <c r="AZ933" s="108"/>
      <c r="BA933" s="108"/>
      <c r="BB933" s="108"/>
      <c r="BC933" s="108"/>
      <c r="BD933" s="108"/>
      <c r="BE933" s="108"/>
      <c r="BF933" s="108"/>
      <c r="BG933" s="108"/>
      <c r="BH933" s="108"/>
      <c r="BI933" s="108"/>
      <c r="BJ933" s="108"/>
      <c r="BK933" s="108"/>
      <c r="BL933" s="108"/>
      <c r="BM933" s="109"/>
      <c r="BN933" s="108"/>
      <c r="BO933" s="108"/>
      <c r="BP933" s="108"/>
    </row>
    <row r="934" spans="1:68" ht="12" customHeight="1" x14ac:dyDescent="0.2">
      <c r="A934" s="179"/>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c r="AA934" s="108"/>
      <c r="AB934" s="108"/>
      <c r="AC934" s="108"/>
      <c r="AD934" s="108"/>
      <c r="AE934" s="108"/>
      <c r="AF934" s="108"/>
      <c r="AG934" s="108"/>
      <c r="AH934" s="108"/>
      <c r="AI934" s="108"/>
      <c r="AJ934" s="108"/>
      <c r="AK934" s="108"/>
      <c r="AL934" s="108"/>
      <c r="AM934" s="108"/>
      <c r="AN934" s="108"/>
      <c r="AO934" s="108"/>
      <c r="AP934" s="108"/>
      <c r="AQ934" s="108"/>
      <c r="AR934" s="108"/>
      <c r="AS934" s="108"/>
      <c r="AT934" s="108"/>
      <c r="AU934" s="108"/>
      <c r="AV934" s="108"/>
      <c r="AW934" s="108"/>
      <c r="AX934" s="108"/>
      <c r="AY934" s="108"/>
      <c r="AZ934" s="108"/>
      <c r="BA934" s="108"/>
      <c r="BB934" s="108"/>
      <c r="BC934" s="108"/>
      <c r="BD934" s="108"/>
      <c r="BE934" s="108"/>
      <c r="BF934" s="108"/>
      <c r="BG934" s="108"/>
      <c r="BH934" s="108"/>
      <c r="BI934" s="108"/>
      <c r="BJ934" s="108"/>
      <c r="BK934" s="108"/>
      <c r="BL934" s="108"/>
      <c r="BM934" s="109"/>
      <c r="BN934" s="108"/>
      <c r="BO934" s="108"/>
      <c r="BP934" s="108"/>
    </row>
    <row r="935" spans="1:68" ht="12" customHeight="1" x14ac:dyDescent="0.2">
      <c r="A935" s="179"/>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c r="AA935" s="108"/>
      <c r="AB935" s="108"/>
      <c r="AC935" s="108"/>
      <c r="AD935" s="108"/>
      <c r="AE935" s="108"/>
      <c r="AF935" s="108"/>
      <c r="AG935" s="108"/>
      <c r="AH935" s="108"/>
      <c r="AI935" s="108"/>
      <c r="AJ935" s="108"/>
      <c r="AK935" s="108"/>
      <c r="AL935" s="108"/>
      <c r="AM935" s="108"/>
      <c r="AN935" s="108"/>
      <c r="AO935" s="108"/>
      <c r="AP935" s="108"/>
      <c r="AQ935" s="108"/>
      <c r="AR935" s="108"/>
      <c r="AS935" s="108"/>
      <c r="AT935" s="108"/>
      <c r="AU935" s="108"/>
      <c r="AV935" s="108"/>
      <c r="AW935" s="108"/>
      <c r="AX935" s="108"/>
      <c r="AY935" s="108"/>
      <c r="AZ935" s="108"/>
      <c r="BA935" s="108"/>
      <c r="BB935" s="108"/>
      <c r="BC935" s="108"/>
      <c r="BD935" s="108"/>
      <c r="BE935" s="108"/>
      <c r="BF935" s="108"/>
      <c r="BG935" s="108"/>
      <c r="BH935" s="108"/>
      <c r="BI935" s="108"/>
      <c r="BJ935" s="108"/>
      <c r="BK935" s="108"/>
      <c r="BL935" s="108"/>
      <c r="BM935" s="109"/>
      <c r="BN935" s="108"/>
      <c r="BO935" s="108"/>
      <c r="BP935" s="108"/>
    </row>
    <row r="936" spans="1:68" ht="12" customHeight="1" x14ac:dyDescent="0.2">
      <c r="A936" s="179"/>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c r="AA936" s="108"/>
      <c r="AB936" s="108"/>
      <c r="AC936" s="108"/>
      <c r="AD936" s="108"/>
      <c r="AE936" s="108"/>
      <c r="AF936" s="108"/>
      <c r="AG936" s="108"/>
      <c r="AH936" s="108"/>
      <c r="AI936" s="108"/>
      <c r="AJ936" s="108"/>
      <c r="AK936" s="108"/>
      <c r="AL936" s="108"/>
      <c r="AM936" s="108"/>
      <c r="AN936" s="108"/>
      <c r="AO936" s="108"/>
      <c r="AP936" s="108"/>
      <c r="AQ936" s="108"/>
      <c r="AR936" s="108"/>
      <c r="AS936" s="108"/>
      <c r="AT936" s="108"/>
      <c r="AU936" s="108"/>
      <c r="AV936" s="108"/>
      <c r="AW936" s="108"/>
      <c r="AX936" s="108"/>
      <c r="AY936" s="108"/>
      <c r="AZ936" s="108"/>
      <c r="BA936" s="108"/>
      <c r="BB936" s="108"/>
      <c r="BC936" s="108"/>
      <c r="BD936" s="108"/>
      <c r="BE936" s="108"/>
      <c r="BF936" s="108"/>
      <c r="BG936" s="108"/>
      <c r="BH936" s="108"/>
      <c r="BI936" s="108"/>
      <c r="BJ936" s="108"/>
      <c r="BK936" s="108"/>
      <c r="BL936" s="108"/>
      <c r="BM936" s="109"/>
      <c r="BN936" s="108"/>
      <c r="BO936" s="108"/>
      <c r="BP936" s="108"/>
    </row>
    <row r="937" spans="1:68" ht="12" customHeight="1" x14ac:dyDescent="0.2">
      <c r="A937" s="179"/>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c r="AA937" s="108"/>
      <c r="AB937" s="108"/>
      <c r="AC937" s="108"/>
      <c r="AD937" s="108"/>
      <c r="AE937" s="108"/>
      <c r="AF937" s="108"/>
      <c r="AG937" s="108"/>
      <c r="AH937" s="108"/>
      <c r="AI937" s="108"/>
      <c r="AJ937" s="108"/>
      <c r="AK937" s="108"/>
      <c r="AL937" s="108"/>
      <c r="AM937" s="108"/>
      <c r="AN937" s="108"/>
      <c r="AO937" s="108"/>
      <c r="AP937" s="108"/>
      <c r="AQ937" s="108"/>
      <c r="AR937" s="108"/>
      <c r="AS937" s="108"/>
      <c r="AT937" s="108"/>
      <c r="AU937" s="108"/>
      <c r="AV937" s="108"/>
      <c r="AW937" s="108"/>
      <c r="AX937" s="108"/>
      <c r="AY937" s="108"/>
      <c r="AZ937" s="108"/>
      <c r="BA937" s="108"/>
      <c r="BB937" s="108"/>
      <c r="BC937" s="108"/>
      <c r="BD937" s="108"/>
      <c r="BE937" s="108"/>
      <c r="BF937" s="108"/>
      <c r="BG937" s="108"/>
      <c r="BH937" s="108"/>
      <c r="BI937" s="108"/>
      <c r="BJ937" s="108"/>
      <c r="BK937" s="108"/>
      <c r="BL937" s="108"/>
      <c r="BM937" s="109"/>
      <c r="BN937" s="108"/>
      <c r="BO937" s="108"/>
      <c r="BP937" s="108"/>
    </row>
    <row r="938" spans="1:68" ht="12" customHeight="1" x14ac:dyDescent="0.2">
      <c r="A938" s="179"/>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c r="AA938" s="108"/>
      <c r="AB938" s="108"/>
      <c r="AC938" s="108"/>
      <c r="AD938" s="108"/>
      <c r="AE938" s="108"/>
      <c r="AF938" s="108"/>
      <c r="AG938" s="108"/>
      <c r="AH938" s="108"/>
      <c r="AI938" s="108"/>
      <c r="AJ938" s="108"/>
      <c r="AK938" s="108"/>
      <c r="AL938" s="108"/>
      <c r="AM938" s="108"/>
      <c r="AN938" s="108"/>
      <c r="AO938" s="108"/>
      <c r="AP938" s="108"/>
      <c r="AQ938" s="108"/>
      <c r="AR938" s="108"/>
      <c r="AS938" s="108"/>
      <c r="AT938" s="108"/>
      <c r="AU938" s="108"/>
      <c r="AV938" s="108"/>
      <c r="AW938" s="108"/>
      <c r="AX938" s="108"/>
      <c r="AY938" s="108"/>
      <c r="AZ938" s="108"/>
      <c r="BA938" s="108"/>
      <c r="BB938" s="108"/>
      <c r="BC938" s="108"/>
      <c r="BD938" s="108"/>
      <c r="BE938" s="108"/>
      <c r="BF938" s="108"/>
      <c r="BG938" s="108"/>
      <c r="BH938" s="108"/>
      <c r="BI938" s="108"/>
      <c r="BJ938" s="108"/>
      <c r="BK938" s="108"/>
      <c r="BL938" s="108"/>
      <c r="BM938" s="109"/>
      <c r="BN938" s="108"/>
      <c r="BO938" s="108"/>
      <c r="BP938" s="108"/>
    </row>
    <row r="939" spans="1:68" ht="12" customHeight="1" x14ac:dyDescent="0.2">
      <c r="A939" s="179"/>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c r="AA939" s="108"/>
      <c r="AB939" s="108"/>
      <c r="AC939" s="108"/>
      <c r="AD939" s="108"/>
      <c r="AE939" s="108"/>
      <c r="AF939" s="108"/>
      <c r="AG939" s="108"/>
      <c r="AH939" s="108"/>
      <c r="AI939" s="108"/>
      <c r="AJ939" s="108"/>
      <c r="AK939" s="108"/>
      <c r="AL939" s="108"/>
      <c r="AM939" s="108"/>
      <c r="AN939" s="108"/>
      <c r="AO939" s="108"/>
      <c r="AP939" s="108"/>
      <c r="AQ939" s="108"/>
      <c r="AR939" s="108"/>
      <c r="AS939" s="108"/>
      <c r="AT939" s="108"/>
      <c r="AU939" s="108"/>
      <c r="AV939" s="108"/>
      <c r="AW939" s="108"/>
      <c r="AX939" s="108"/>
      <c r="AY939" s="108"/>
      <c r="AZ939" s="108"/>
      <c r="BA939" s="108"/>
      <c r="BB939" s="108"/>
      <c r="BC939" s="108"/>
      <c r="BD939" s="108"/>
      <c r="BE939" s="108"/>
      <c r="BF939" s="108"/>
      <c r="BG939" s="108"/>
      <c r="BH939" s="108"/>
      <c r="BI939" s="108"/>
      <c r="BJ939" s="108"/>
      <c r="BK939" s="108"/>
      <c r="BL939" s="108"/>
      <c r="BM939" s="109"/>
      <c r="BN939" s="108"/>
      <c r="BO939" s="108"/>
      <c r="BP939" s="108"/>
    </row>
    <row r="940" spans="1:68" ht="12" customHeight="1" x14ac:dyDescent="0.2">
      <c r="A940" s="179"/>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c r="AA940" s="108"/>
      <c r="AB940" s="108"/>
      <c r="AC940" s="108"/>
      <c r="AD940" s="108"/>
      <c r="AE940" s="108"/>
      <c r="AF940" s="108"/>
      <c r="AG940" s="108"/>
      <c r="AH940" s="108"/>
      <c r="AI940" s="108"/>
      <c r="AJ940" s="108"/>
      <c r="AK940" s="108"/>
      <c r="AL940" s="108"/>
      <c r="AM940" s="108"/>
      <c r="AN940" s="108"/>
      <c r="AO940" s="108"/>
      <c r="AP940" s="108"/>
      <c r="AQ940" s="108"/>
      <c r="AR940" s="108"/>
      <c r="AS940" s="108"/>
      <c r="AT940" s="108"/>
      <c r="AU940" s="108"/>
      <c r="AV940" s="108"/>
      <c r="AW940" s="108"/>
      <c r="AX940" s="108"/>
      <c r="AY940" s="108"/>
      <c r="AZ940" s="108"/>
      <c r="BA940" s="108"/>
      <c r="BB940" s="108"/>
      <c r="BC940" s="108"/>
      <c r="BD940" s="108"/>
      <c r="BE940" s="108"/>
      <c r="BF940" s="108"/>
      <c r="BG940" s="108"/>
      <c r="BH940" s="108"/>
      <c r="BI940" s="108"/>
      <c r="BJ940" s="108"/>
      <c r="BK940" s="108"/>
      <c r="BL940" s="108"/>
      <c r="BM940" s="109"/>
      <c r="BN940" s="108"/>
      <c r="BO940" s="108"/>
      <c r="BP940" s="108"/>
    </row>
    <row r="941" spans="1:68" ht="12" customHeight="1" x14ac:dyDescent="0.2">
      <c r="A941" s="179"/>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c r="AA941" s="108"/>
      <c r="AB941" s="108"/>
      <c r="AC941" s="108"/>
      <c r="AD941" s="108"/>
      <c r="AE941" s="108"/>
      <c r="AF941" s="108"/>
      <c r="AG941" s="108"/>
      <c r="AH941" s="108"/>
      <c r="AI941" s="108"/>
      <c r="AJ941" s="108"/>
      <c r="AK941" s="108"/>
      <c r="AL941" s="108"/>
      <c r="AM941" s="108"/>
      <c r="AN941" s="108"/>
      <c r="AO941" s="108"/>
      <c r="AP941" s="108"/>
      <c r="AQ941" s="108"/>
      <c r="AR941" s="108"/>
      <c r="AS941" s="108"/>
      <c r="AT941" s="108"/>
      <c r="AU941" s="108"/>
      <c r="AV941" s="108"/>
      <c r="AW941" s="108"/>
      <c r="AX941" s="108"/>
      <c r="AY941" s="108"/>
      <c r="AZ941" s="108"/>
      <c r="BA941" s="108"/>
      <c r="BB941" s="108"/>
      <c r="BC941" s="108"/>
      <c r="BD941" s="108"/>
      <c r="BE941" s="108"/>
      <c r="BF941" s="108"/>
      <c r="BG941" s="108"/>
      <c r="BH941" s="108"/>
      <c r="BI941" s="108"/>
      <c r="BJ941" s="108"/>
      <c r="BK941" s="108"/>
      <c r="BL941" s="108"/>
      <c r="BM941" s="109"/>
      <c r="BN941" s="108"/>
      <c r="BO941" s="108"/>
      <c r="BP941" s="108"/>
    </row>
    <row r="942" spans="1:68" ht="12" customHeight="1" x14ac:dyDescent="0.2">
      <c r="A942" s="179"/>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c r="AA942" s="108"/>
      <c r="AB942" s="108"/>
      <c r="AC942" s="108"/>
      <c r="AD942" s="108"/>
      <c r="AE942" s="108"/>
      <c r="AF942" s="108"/>
      <c r="AG942" s="108"/>
      <c r="AH942" s="108"/>
      <c r="AI942" s="108"/>
      <c r="AJ942" s="108"/>
      <c r="AK942" s="108"/>
      <c r="AL942" s="108"/>
      <c r="AM942" s="108"/>
      <c r="AN942" s="108"/>
      <c r="AO942" s="108"/>
      <c r="AP942" s="108"/>
      <c r="AQ942" s="108"/>
      <c r="AR942" s="108"/>
      <c r="AS942" s="108"/>
      <c r="AT942" s="108"/>
      <c r="AU942" s="108"/>
      <c r="AV942" s="108"/>
      <c r="AW942" s="108"/>
      <c r="AX942" s="108"/>
      <c r="AY942" s="108"/>
      <c r="AZ942" s="108"/>
      <c r="BA942" s="108"/>
      <c r="BB942" s="108"/>
      <c r="BC942" s="108"/>
      <c r="BD942" s="108"/>
      <c r="BE942" s="108"/>
      <c r="BF942" s="108"/>
      <c r="BG942" s="108"/>
      <c r="BH942" s="108"/>
      <c r="BI942" s="108"/>
      <c r="BJ942" s="108"/>
      <c r="BK942" s="108"/>
      <c r="BL942" s="108"/>
      <c r="BM942" s="109"/>
      <c r="BN942" s="108"/>
      <c r="BO942" s="108"/>
      <c r="BP942" s="108"/>
    </row>
    <row r="943" spans="1:68" ht="12" customHeight="1" x14ac:dyDescent="0.2">
      <c r="A943" s="179"/>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c r="AA943" s="108"/>
      <c r="AB943" s="108"/>
      <c r="AC943" s="108"/>
      <c r="AD943" s="108"/>
      <c r="AE943" s="108"/>
      <c r="AF943" s="108"/>
      <c r="AG943" s="108"/>
      <c r="AH943" s="108"/>
      <c r="AI943" s="108"/>
      <c r="AJ943" s="108"/>
      <c r="AK943" s="108"/>
      <c r="AL943" s="108"/>
      <c r="AM943" s="108"/>
      <c r="AN943" s="108"/>
      <c r="AO943" s="108"/>
      <c r="AP943" s="108"/>
      <c r="AQ943" s="108"/>
      <c r="AR943" s="108"/>
      <c r="AS943" s="108"/>
      <c r="AT943" s="108"/>
      <c r="AU943" s="108"/>
      <c r="AV943" s="108"/>
      <c r="AW943" s="108"/>
      <c r="AX943" s="108"/>
      <c r="AY943" s="108"/>
      <c r="AZ943" s="108"/>
      <c r="BA943" s="108"/>
      <c r="BB943" s="108"/>
      <c r="BC943" s="108"/>
      <c r="BD943" s="108"/>
      <c r="BE943" s="108"/>
      <c r="BF943" s="108"/>
      <c r="BG943" s="108"/>
      <c r="BH943" s="108"/>
      <c r="BI943" s="108"/>
      <c r="BJ943" s="108"/>
      <c r="BK943" s="108"/>
      <c r="BL943" s="108"/>
      <c r="BM943" s="109"/>
      <c r="BN943" s="108"/>
      <c r="BO943" s="108"/>
      <c r="BP943" s="108"/>
    </row>
    <row r="944" spans="1:68" ht="12" customHeight="1" x14ac:dyDescent="0.2">
      <c r="A944" s="179"/>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c r="AA944" s="108"/>
      <c r="AB944" s="108"/>
      <c r="AC944" s="108"/>
      <c r="AD944" s="108"/>
      <c r="AE944" s="108"/>
      <c r="AF944" s="108"/>
      <c r="AG944" s="108"/>
      <c r="AH944" s="108"/>
      <c r="AI944" s="108"/>
      <c r="AJ944" s="108"/>
      <c r="AK944" s="108"/>
      <c r="AL944" s="108"/>
      <c r="AM944" s="108"/>
      <c r="AN944" s="108"/>
      <c r="AO944" s="108"/>
      <c r="AP944" s="108"/>
      <c r="AQ944" s="108"/>
      <c r="AR944" s="108"/>
      <c r="AS944" s="108"/>
      <c r="AT944" s="108"/>
      <c r="AU944" s="108"/>
      <c r="AV944" s="108"/>
      <c r="AW944" s="108"/>
      <c r="AX944" s="108"/>
      <c r="AY944" s="108"/>
      <c r="AZ944" s="108"/>
      <c r="BA944" s="108"/>
      <c r="BB944" s="108"/>
      <c r="BC944" s="108"/>
      <c r="BD944" s="108"/>
      <c r="BE944" s="108"/>
      <c r="BF944" s="108"/>
      <c r="BG944" s="108"/>
      <c r="BH944" s="108"/>
      <c r="BI944" s="108"/>
      <c r="BJ944" s="108"/>
      <c r="BK944" s="108"/>
      <c r="BL944" s="108"/>
      <c r="BM944" s="109"/>
      <c r="BN944" s="108"/>
      <c r="BO944" s="108"/>
      <c r="BP944" s="108"/>
    </row>
    <row r="945" spans="1:68" ht="12" customHeight="1" x14ac:dyDescent="0.2">
      <c r="A945" s="179"/>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c r="AA945" s="108"/>
      <c r="AB945" s="108"/>
      <c r="AC945" s="108"/>
      <c r="AD945" s="108"/>
      <c r="AE945" s="108"/>
      <c r="AF945" s="108"/>
      <c r="AG945" s="108"/>
      <c r="AH945" s="108"/>
      <c r="AI945" s="108"/>
      <c r="AJ945" s="108"/>
      <c r="AK945" s="108"/>
      <c r="AL945" s="108"/>
      <c r="AM945" s="108"/>
      <c r="AN945" s="108"/>
      <c r="AO945" s="108"/>
      <c r="AP945" s="108"/>
      <c r="AQ945" s="108"/>
      <c r="AR945" s="108"/>
      <c r="AS945" s="108"/>
      <c r="AT945" s="108"/>
      <c r="AU945" s="108"/>
      <c r="AV945" s="108"/>
      <c r="AW945" s="108"/>
      <c r="AX945" s="108"/>
      <c r="AY945" s="108"/>
      <c r="AZ945" s="108"/>
      <c r="BA945" s="108"/>
      <c r="BB945" s="108"/>
      <c r="BC945" s="108"/>
      <c r="BD945" s="108"/>
      <c r="BE945" s="108"/>
      <c r="BF945" s="108"/>
      <c r="BG945" s="108"/>
      <c r="BH945" s="108"/>
      <c r="BI945" s="108"/>
      <c r="BJ945" s="108"/>
      <c r="BK945" s="108"/>
      <c r="BL945" s="108"/>
      <c r="BM945" s="109"/>
      <c r="BN945" s="108"/>
      <c r="BO945" s="108"/>
      <c r="BP945" s="108"/>
    </row>
    <row r="946" spans="1:68" ht="12" customHeight="1" x14ac:dyDescent="0.2">
      <c r="A946" s="179"/>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c r="AA946" s="108"/>
      <c r="AB946" s="108"/>
      <c r="AC946" s="108"/>
      <c r="AD946" s="108"/>
      <c r="AE946" s="108"/>
      <c r="AF946" s="108"/>
      <c r="AG946" s="108"/>
      <c r="AH946" s="108"/>
      <c r="AI946" s="108"/>
      <c r="AJ946" s="108"/>
      <c r="AK946" s="108"/>
      <c r="AL946" s="108"/>
      <c r="AM946" s="108"/>
      <c r="AN946" s="108"/>
      <c r="AO946" s="108"/>
      <c r="AP946" s="108"/>
      <c r="AQ946" s="108"/>
      <c r="AR946" s="108"/>
      <c r="AS946" s="108"/>
      <c r="AT946" s="108"/>
      <c r="AU946" s="108"/>
      <c r="AV946" s="108"/>
      <c r="AW946" s="108"/>
      <c r="AX946" s="108"/>
      <c r="AY946" s="108"/>
      <c r="AZ946" s="108"/>
      <c r="BA946" s="108"/>
      <c r="BB946" s="108"/>
      <c r="BC946" s="108"/>
      <c r="BD946" s="108"/>
      <c r="BE946" s="108"/>
      <c r="BF946" s="108"/>
      <c r="BG946" s="108"/>
      <c r="BH946" s="108"/>
      <c r="BI946" s="108"/>
      <c r="BJ946" s="108"/>
      <c r="BK946" s="108"/>
      <c r="BL946" s="108"/>
      <c r="BM946" s="109"/>
      <c r="BN946" s="108"/>
      <c r="BO946" s="108"/>
      <c r="BP946" s="108"/>
    </row>
    <row r="947" spans="1:68" ht="12" customHeight="1" x14ac:dyDescent="0.2">
      <c r="A947" s="179"/>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c r="AA947" s="108"/>
      <c r="AB947" s="108"/>
      <c r="AC947" s="108"/>
      <c r="AD947" s="108"/>
      <c r="AE947" s="108"/>
      <c r="AF947" s="108"/>
      <c r="AG947" s="108"/>
      <c r="AH947" s="108"/>
      <c r="AI947" s="108"/>
      <c r="AJ947" s="108"/>
      <c r="AK947" s="108"/>
      <c r="AL947" s="108"/>
      <c r="AM947" s="108"/>
      <c r="AN947" s="108"/>
      <c r="AO947" s="108"/>
      <c r="AP947" s="108"/>
      <c r="AQ947" s="108"/>
      <c r="AR947" s="108"/>
      <c r="AS947" s="108"/>
      <c r="AT947" s="108"/>
      <c r="AU947" s="108"/>
      <c r="AV947" s="108"/>
      <c r="AW947" s="108"/>
      <c r="AX947" s="108"/>
      <c r="AY947" s="108"/>
      <c r="AZ947" s="108"/>
      <c r="BA947" s="108"/>
      <c r="BB947" s="108"/>
      <c r="BC947" s="108"/>
      <c r="BD947" s="108"/>
      <c r="BE947" s="108"/>
      <c r="BF947" s="108"/>
      <c r="BG947" s="108"/>
      <c r="BH947" s="108"/>
      <c r="BI947" s="108"/>
      <c r="BJ947" s="108"/>
      <c r="BK947" s="108"/>
      <c r="BL947" s="108"/>
      <c r="BM947" s="109"/>
      <c r="BN947" s="108"/>
      <c r="BO947" s="108"/>
      <c r="BP947" s="108"/>
    </row>
    <row r="948" spans="1:68" ht="12" customHeight="1" x14ac:dyDescent="0.2">
      <c r="A948" s="179"/>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c r="AA948" s="108"/>
      <c r="AB948" s="108"/>
      <c r="AC948" s="108"/>
      <c r="AD948" s="108"/>
      <c r="AE948" s="108"/>
      <c r="AF948" s="108"/>
      <c r="AG948" s="108"/>
      <c r="AH948" s="108"/>
      <c r="AI948" s="108"/>
      <c r="AJ948" s="108"/>
      <c r="AK948" s="108"/>
      <c r="AL948" s="108"/>
      <c r="AM948" s="108"/>
      <c r="AN948" s="108"/>
      <c r="AO948" s="108"/>
      <c r="AP948" s="108"/>
      <c r="AQ948" s="108"/>
      <c r="AR948" s="108"/>
      <c r="AS948" s="108"/>
      <c r="AT948" s="108"/>
      <c r="AU948" s="108"/>
      <c r="AV948" s="108"/>
      <c r="AW948" s="108"/>
      <c r="AX948" s="108"/>
      <c r="AY948" s="108"/>
      <c r="AZ948" s="108"/>
      <c r="BA948" s="108"/>
      <c r="BB948" s="108"/>
      <c r="BC948" s="108"/>
      <c r="BD948" s="108"/>
      <c r="BE948" s="108"/>
      <c r="BF948" s="108"/>
      <c r="BG948" s="108"/>
      <c r="BH948" s="108"/>
      <c r="BI948" s="108"/>
      <c r="BJ948" s="108"/>
      <c r="BK948" s="108"/>
      <c r="BL948" s="108"/>
      <c r="BM948" s="109"/>
      <c r="BN948" s="108"/>
      <c r="BO948" s="108"/>
      <c r="BP948" s="108"/>
    </row>
    <row r="949" spans="1:68" ht="12" customHeight="1" x14ac:dyDescent="0.2">
      <c r="A949" s="179"/>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c r="AA949" s="108"/>
      <c r="AB949" s="108"/>
      <c r="AC949" s="108"/>
      <c r="AD949" s="108"/>
      <c r="AE949" s="108"/>
      <c r="AF949" s="108"/>
      <c r="AG949" s="108"/>
      <c r="AH949" s="108"/>
      <c r="AI949" s="108"/>
      <c r="AJ949" s="108"/>
      <c r="AK949" s="108"/>
      <c r="AL949" s="108"/>
      <c r="AM949" s="108"/>
      <c r="AN949" s="108"/>
      <c r="AO949" s="108"/>
      <c r="AP949" s="108"/>
      <c r="AQ949" s="108"/>
      <c r="AR949" s="108"/>
      <c r="AS949" s="108"/>
      <c r="AT949" s="108"/>
      <c r="AU949" s="108"/>
      <c r="AV949" s="108"/>
      <c r="AW949" s="108"/>
      <c r="AX949" s="108"/>
      <c r="AY949" s="108"/>
      <c r="AZ949" s="108"/>
      <c r="BA949" s="108"/>
      <c r="BB949" s="108"/>
      <c r="BC949" s="108"/>
      <c r="BD949" s="108"/>
      <c r="BE949" s="108"/>
      <c r="BF949" s="108"/>
      <c r="BG949" s="108"/>
      <c r="BH949" s="108"/>
      <c r="BI949" s="108"/>
      <c r="BJ949" s="108"/>
      <c r="BK949" s="108"/>
      <c r="BL949" s="108"/>
      <c r="BM949" s="109"/>
      <c r="BN949" s="108"/>
      <c r="BO949" s="108"/>
      <c r="BP949" s="108"/>
    </row>
    <row r="950" spans="1:68" ht="12" customHeight="1" x14ac:dyDescent="0.2">
      <c r="A950" s="179"/>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c r="AA950" s="108"/>
      <c r="AB950" s="108"/>
      <c r="AC950" s="108"/>
      <c r="AD950" s="108"/>
      <c r="AE950" s="108"/>
      <c r="AF950" s="108"/>
      <c r="AG950" s="108"/>
      <c r="AH950" s="108"/>
      <c r="AI950" s="108"/>
      <c r="AJ950" s="108"/>
      <c r="AK950" s="108"/>
      <c r="AL950" s="108"/>
      <c r="AM950" s="108"/>
      <c r="AN950" s="108"/>
      <c r="AO950" s="108"/>
      <c r="AP950" s="108"/>
      <c r="AQ950" s="108"/>
      <c r="AR950" s="108"/>
      <c r="AS950" s="108"/>
      <c r="AT950" s="108"/>
      <c r="AU950" s="108"/>
      <c r="AV950" s="108"/>
      <c r="AW950" s="108"/>
      <c r="AX950" s="108"/>
      <c r="AY950" s="108"/>
      <c r="AZ950" s="108"/>
      <c r="BA950" s="108"/>
      <c r="BB950" s="108"/>
      <c r="BC950" s="108"/>
      <c r="BD950" s="108"/>
      <c r="BE950" s="108"/>
      <c r="BF950" s="108"/>
      <c r="BG950" s="108"/>
      <c r="BH950" s="108"/>
      <c r="BI950" s="108"/>
      <c r="BJ950" s="108"/>
      <c r="BK950" s="108"/>
      <c r="BL950" s="108"/>
      <c r="BM950" s="109"/>
      <c r="BN950" s="108"/>
      <c r="BO950" s="108"/>
      <c r="BP950" s="108"/>
    </row>
    <row r="951" spans="1:68" ht="12" customHeight="1" x14ac:dyDescent="0.2">
      <c r="A951" s="179"/>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c r="AA951" s="108"/>
      <c r="AB951" s="108"/>
      <c r="AC951" s="108"/>
      <c r="AD951" s="108"/>
      <c r="AE951" s="108"/>
      <c r="AF951" s="108"/>
      <c r="AG951" s="108"/>
      <c r="AH951" s="108"/>
      <c r="AI951" s="108"/>
      <c r="AJ951" s="108"/>
      <c r="AK951" s="108"/>
      <c r="AL951" s="108"/>
      <c r="AM951" s="108"/>
      <c r="AN951" s="108"/>
      <c r="AO951" s="108"/>
      <c r="AP951" s="108"/>
      <c r="AQ951" s="108"/>
      <c r="AR951" s="108"/>
      <c r="AS951" s="108"/>
      <c r="AT951" s="108"/>
      <c r="AU951" s="108"/>
      <c r="AV951" s="108"/>
      <c r="AW951" s="108"/>
      <c r="AX951" s="108"/>
      <c r="AY951" s="108"/>
      <c r="AZ951" s="108"/>
      <c r="BA951" s="108"/>
      <c r="BB951" s="108"/>
      <c r="BC951" s="108"/>
      <c r="BD951" s="108"/>
      <c r="BE951" s="108"/>
      <c r="BF951" s="108"/>
      <c r="BG951" s="108"/>
      <c r="BH951" s="108"/>
      <c r="BI951" s="108"/>
      <c r="BJ951" s="108"/>
      <c r="BK951" s="108"/>
      <c r="BL951" s="108"/>
      <c r="BM951" s="109"/>
      <c r="BN951" s="108"/>
      <c r="BO951" s="108"/>
      <c r="BP951" s="108"/>
    </row>
    <row r="952" spans="1:68" ht="12" customHeight="1" x14ac:dyDescent="0.2">
      <c r="A952" s="179"/>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c r="AA952" s="108"/>
      <c r="AB952" s="108"/>
      <c r="AC952" s="108"/>
      <c r="AD952" s="108"/>
      <c r="AE952" s="108"/>
      <c r="AF952" s="108"/>
      <c r="AG952" s="108"/>
      <c r="AH952" s="108"/>
      <c r="AI952" s="108"/>
      <c r="AJ952" s="108"/>
      <c r="AK952" s="108"/>
      <c r="AL952" s="108"/>
      <c r="AM952" s="108"/>
      <c r="AN952" s="108"/>
      <c r="AO952" s="108"/>
      <c r="AP952" s="108"/>
      <c r="AQ952" s="108"/>
      <c r="AR952" s="108"/>
      <c r="AS952" s="108"/>
      <c r="AT952" s="108"/>
      <c r="AU952" s="108"/>
      <c r="AV952" s="108"/>
      <c r="AW952" s="108"/>
      <c r="AX952" s="108"/>
      <c r="AY952" s="108"/>
      <c r="AZ952" s="108"/>
      <c r="BA952" s="108"/>
      <c r="BB952" s="108"/>
      <c r="BC952" s="108"/>
      <c r="BD952" s="108"/>
      <c r="BE952" s="108"/>
      <c r="BF952" s="108"/>
      <c r="BG952" s="108"/>
      <c r="BH952" s="108"/>
      <c r="BI952" s="108"/>
      <c r="BJ952" s="108"/>
      <c r="BK952" s="108"/>
      <c r="BL952" s="108"/>
      <c r="BM952" s="109"/>
      <c r="BN952" s="108"/>
      <c r="BO952" s="108"/>
      <c r="BP952" s="108"/>
    </row>
    <row r="953" spans="1:68" ht="12" customHeight="1" x14ac:dyDescent="0.2">
      <c r="A953" s="179"/>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c r="AA953" s="108"/>
      <c r="AB953" s="108"/>
      <c r="AC953" s="108"/>
      <c r="AD953" s="108"/>
      <c r="AE953" s="108"/>
      <c r="AF953" s="108"/>
      <c r="AG953" s="108"/>
      <c r="AH953" s="108"/>
      <c r="AI953" s="108"/>
      <c r="AJ953" s="108"/>
      <c r="AK953" s="108"/>
      <c r="AL953" s="108"/>
      <c r="AM953" s="108"/>
      <c r="AN953" s="108"/>
      <c r="AO953" s="108"/>
      <c r="AP953" s="108"/>
      <c r="AQ953" s="108"/>
      <c r="AR953" s="108"/>
      <c r="AS953" s="108"/>
      <c r="AT953" s="108"/>
      <c r="AU953" s="108"/>
      <c r="AV953" s="108"/>
      <c r="AW953" s="108"/>
      <c r="AX953" s="108"/>
      <c r="AY953" s="108"/>
      <c r="AZ953" s="108"/>
      <c r="BA953" s="108"/>
      <c r="BB953" s="108"/>
      <c r="BC953" s="108"/>
      <c r="BD953" s="108"/>
      <c r="BE953" s="108"/>
      <c r="BF953" s="108"/>
      <c r="BG953" s="108"/>
      <c r="BH953" s="108"/>
      <c r="BI953" s="108"/>
      <c r="BJ953" s="108"/>
      <c r="BK953" s="108"/>
      <c r="BL953" s="108"/>
      <c r="BM953" s="109"/>
      <c r="BN953" s="108"/>
      <c r="BO953" s="108"/>
      <c r="BP953" s="108"/>
    </row>
    <row r="954" spans="1:68" ht="12" customHeight="1" x14ac:dyDescent="0.2">
      <c r="A954" s="179"/>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c r="AA954" s="108"/>
      <c r="AB954" s="108"/>
      <c r="AC954" s="108"/>
      <c r="AD954" s="108"/>
      <c r="AE954" s="108"/>
      <c r="AF954" s="108"/>
      <c r="AG954" s="108"/>
      <c r="AH954" s="108"/>
      <c r="AI954" s="108"/>
      <c r="AJ954" s="108"/>
      <c r="AK954" s="108"/>
      <c r="AL954" s="108"/>
      <c r="AM954" s="108"/>
      <c r="AN954" s="108"/>
      <c r="AO954" s="108"/>
      <c r="AP954" s="108"/>
      <c r="AQ954" s="108"/>
      <c r="AR954" s="108"/>
      <c r="AS954" s="108"/>
      <c r="AT954" s="108"/>
      <c r="AU954" s="108"/>
      <c r="AV954" s="108"/>
      <c r="AW954" s="108"/>
      <c r="AX954" s="108"/>
      <c r="AY954" s="108"/>
      <c r="AZ954" s="108"/>
      <c r="BA954" s="108"/>
      <c r="BB954" s="108"/>
      <c r="BC954" s="108"/>
      <c r="BD954" s="108"/>
      <c r="BE954" s="108"/>
      <c r="BF954" s="108"/>
      <c r="BG954" s="108"/>
      <c r="BH954" s="108"/>
      <c r="BI954" s="108"/>
      <c r="BJ954" s="108"/>
      <c r="BK954" s="108"/>
      <c r="BL954" s="108"/>
      <c r="BM954" s="109"/>
      <c r="BN954" s="108"/>
      <c r="BO954" s="108"/>
      <c r="BP954" s="108"/>
    </row>
    <row r="955" spans="1:68" ht="12" customHeight="1" x14ac:dyDescent="0.2">
      <c r="A955" s="179"/>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c r="AA955" s="108"/>
      <c r="AB955" s="108"/>
      <c r="AC955" s="108"/>
      <c r="AD955" s="108"/>
      <c r="AE955" s="108"/>
      <c r="AF955" s="108"/>
      <c r="AG955" s="108"/>
      <c r="AH955" s="108"/>
      <c r="AI955" s="108"/>
      <c r="AJ955" s="108"/>
      <c r="AK955" s="108"/>
      <c r="AL955" s="108"/>
      <c r="AM955" s="108"/>
      <c r="AN955" s="108"/>
      <c r="AO955" s="108"/>
      <c r="AP955" s="108"/>
      <c r="AQ955" s="108"/>
      <c r="AR955" s="108"/>
      <c r="AS955" s="108"/>
      <c r="AT955" s="108"/>
      <c r="AU955" s="108"/>
      <c r="AV955" s="108"/>
      <c r="AW955" s="108"/>
      <c r="AX955" s="108"/>
      <c r="AY955" s="108"/>
      <c r="AZ955" s="108"/>
      <c r="BA955" s="108"/>
      <c r="BB955" s="108"/>
      <c r="BC955" s="108"/>
      <c r="BD955" s="108"/>
      <c r="BE955" s="108"/>
      <c r="BF955" s="108"/>
      <c r="BG955" s="108"/>
      <c r="BH955" s="108"/>
      <c r="BI955" s="108"/>
      <c r="BJ955" s="108"/>
      <c r="BK955" s="108"/>
      <c r="BL955" s="108"/>
      <c r="BM955" s="109"/>
      <c r="BN955" s="108"/>
      <c r="BO955" s="108"/>
      <c r="BP955" s="108"/>
    </row>
    <row r="956" spans="1:68" ht="12" customHeight="1" x14ac:dyDescent="0.2">
      <c r="A956" s="179"/>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c r="AA956" s="108"/>
      <c r="AB956" s="108"/>
      <c r="AC956" s="108"/>
      <c r="AD956" s="108"/>
      <c r="AE956" s="108"/>
      <c r="AF956" s="108"/>
      <c r="AG956" s="108"/>
      <c r="AH956" s="108"/>
      <c r="AI956" s="108"/>
      <c r="AJ956" s="108"/>
      <c r="AK956" s="108"/>
      <c r="AL956" s="108"/>
      <c r="AM956" s="108"/>
      <c r="AN956" s="108"/>
      <c r="AO956" s="108"/>
      <c r="AP956" s="108"/>
      <c r="AQ956" s="108"/>
      <c r="AR956" s="108"/>
      <c r="AS956" s="108"/>
      <c r="AT956" s="108"/>
      <c r="AU956" s="108"/>
      <c r="AV956" s="108"/>
      <c r="AW956" s="108"/>
      <c r="AX956" s="108"/>
      <c r="AY956" s="108"/>
      <c r="AZ956" s="108"/>
      <c r="BA956" s="108"/>
      <c r="BB956" s="108"/>
      <c r="BC956" s="108"/>
      <c r="BD956" s="108"/>
      <c r="BE956" s="108"/>
      <c r="BF956" s="108"/>
      <c r="BG956" s="108"/>
      <c r="BH956" s="108"/>
      <c r="BI956" s="108"/>
      <c r="BJ956" s="108"/>
      <c r="BK956" s="108"/>
      <c r="BL956" s="108"/>
      <c r="BM956" s="109"/>
      <c r="BN956" s="108"/>
      <c r="BO956" s="108"/>
      <c r="BP956" s="108"/>
    </row>
    <row r="957" spans="1:68" ht="12" customHeight="1" x14ac:dyDescent="0.2">
      <c r="A957" s="179"/>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c r="AA957" s="108"/>
      <c r="AB957" s="108"/>
      <c r="AC957" s="108"/>
      <c r="AD957" s="108"/>
      <c r="AE957" s="108"/>
      <c r="AF957" s="108"/>
      <c r="AG957" s="108"/>
      <c r="AH957" s="108"/>
      <c r="AI957" s="108"/>
      <c r="AJ957" s="108"/>
      <c r="AK957" s="108"/>
      <c r="AL957" s="108"/>
      <c r="AM957" s="108"/>
      <c r="AN957" s="108"/>
      <c r="AO957" s="108"/>
      <c r="AP957" s="108"/>
      <c r="AQ957" s="108"/>
      <c r="AR957" s="108"/>
      <c r="AS957" s="108"/>
      <c r="AT957" s="108"/>
      <c r="AU957" s="108"/>
      <c r="AV957" s="108"/>
      <c r="AW957" s="108"/>
      <c r="AX957" s="108"/>
      <c r="AY957" s="108"/>
      <c r="AZ957" s="108"/>
      <c r="BA957" s="108"/>
      <c r="BB957" s="108"/>
      <c r="BC957" s="108"/>
      <c r="BD957" s="108"/>
      <c r="BE957" s="108"/>
      <c r="BF957" s="108"/>
      <c r="BG957" s="108"/>
      <c r="BH957" s="108"/>
      <c r="BI957" s="108"/>
      <c r="BJ957" s="108"/>
      <c r="BK957" s="108"/>
      <c r="BL957" s="108"/>
      <c r="BM957" s="109"/>
      <c r="BN957" s="108"/>
      <c r="BO957" s="108"/>
      <c r="BP957" s="108"/>
    </row>
    <row r="958" spans="1:68" ht="12" customHeight="1" x14ac:dyDescent="0.2">
      <c r="A958" s="179"/>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c r="AA958" s="108"/>
      <c r="AB958" s="108"/>
      <c r="AC958" s="108"/>
      <c r="AD958" s="108"/>
      <c r="AE958" s="108"/>
      <c r="AF958" s="108"/>
      <c r="AG958" s="108"/>
      <c r="AH958" s="108"/>
      <c r="AI958" s="108"/>
      <c r="AJ958" s="108"/>
      <c r="AK958" s="108"/>
      <c r="AL958" s="108"/>
      <c r="AM958" s="108"/>
      <c r="AN958" s="108"/>
      <c r="AO958" s="108"/>
      <c r="AP958" s="108"/>
      <c r="AQ958" s="108"/>
      <c r="AR958" s="108"/>
      <c r="AS958" s="108"/>
      <c r="AT958" s="108"/>
      <c r="AU958" s="108"/>
      <c r="AV958" s="108"/>
      <c r="AW958" s="108"/>
      <c r="AX958" s="108"/>
      <c r="AY958" s="108"/>
      <c r="AZ958" s="108"/>
      <c r="BA958" s="108"/>
      <c r="BB958" s="108"/>
      <c r="BC958" s="108"/>
      <c r="BD958" s="108"/>
      <c r="BE958" s="108"/>
      <c r="BF958" s="108"/>
      <c r="BG958" s="108"/>
      <c r="BH958" s="108"/>
      <c r="BI958" s="108"/>
      <c r="BJ958" s="108"/>
      <c r="BK958" s="108"/>
      <c r="BL958" s="108"/>
      <c r="BM958" s="109"/>
      <c r="BN958" s="108"/>
      <c r="BO958" s="108"/>
      <c r="BP958" s="108"/>
    </row>
    <row r="959" spans="1:68" ht="12" customHeight="1" x14ac:dyDescent="0.2">
      <c r="A959" s="179"/>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c r="AA959" s="108"/>
      <c r="AB959" s="108"/>
      <c r="AC959" s="108"/>
      <c r="AD959" s="108"/>
      <c r="AE959" s="108"/>
      <c r="AF959" s="108"/>
      <c r="AG959" s="108"/>
      <c r="AH959" s="108"/>
      <c r="AI959" s="108"/>
      <c r="AJ959" s="108"/>
      <c r="AK959" s="108"/>
      <c r="AL959" s="108"/>
      <c r="AM959" s="108"/>
      <c r="AN959" s="108"/>
      <c r="AO959" s="108"/>
      <c r="AP959" s="108"/>
      <c r="AQ959" s="108"/>
      <c r="AR959" s="108"/>
      <c r="AS959" s="108"/>
      <c r="AT959" s="108"/>
      <c r="AU959" s="108"/>
      <c r="AV959" s="108"/>
      <c r="AW959" s="108"/>
      <c r="AX959" s="108"/>
      <c r="AY959" s="108"/>
      <c r="AZ959" s="108"/>
      <c r="BA959" s="108"/>
      <c r="BB959" s="108"/>
      <c r="BC959" s="108"/>
      <c r="BD959" s="108"/>
      <c r="BE959" s="108"/>
      <c r="BF959" s="108"/>
      <c r="BG959" s="108"/>
      <c r="BH959" s="108"/>
      <c r="BI959" s="108"/>
      <c r="BJ959" s="108"/>
      <c r="BK959" s="108"/>
      <c r="BL959" s="108"/>
      <c r="BM959" s="109"/>
      <c r="BN959" s="108"/>
      <c r="BO959" s="108"/>
      <c r="BP959" s="108"/>
    </row>
    <row r="960" spans="1:68" ht="12" customHeight="1" x14ac:dyDescent="0.2">
      <c r="A960" s="179"/>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c r="AA960" s="108"/>
      <c r="AB960" s="108"/>
      <c r="AC960" s="108"/>
      <c r="AD960" s="108"/>
      <c r="AE960" s="108"/>
      <c r="AF960" s="108"/>
      <c r="AG960" s="108"/>
      <c r="AH960" s="108"/>
      <c r="AI960" s="108"/>
      <c r="AJ960" s="108"/>
      <c r="AK960" s="108"/>
      <c r="AL960" s="108"/>
      <c r="AM960" s="108"/>
      <c r="AN960" s="108"/>
      <c r="AO960" s="108"/>
      <c r="AP960" s="108"/>
      <c r="AQ960" s="108"/>
      <c r="AR960" s="108"/>
      <c r="AS960" s="108"/>
      <c r="AT960" s="108"/>
      <c r="AU960" s="108"/>
      <c r="AV960" s="108"/>
      <c r="AW960" s="108"/>
      <c r="AX960" s="108"/>
      <c r="AY960" s="108"/>
      <c r="AZ960" s="108"/>
      <c r="BA960" s="108"/>
      <c r="BB960" s="108"/>
      <c r="BC960" s="108"/>
      <c r="BD960" s="108"/>
      <c r="BE960" s="108"/>
      <c r="BF960" s="108"/>
      <c r="BG960" s="108"/>
      <c r="BH960" s="108"/>
      <c r="BI960" s="108"/>
      <c r="BJ960" s="108"/>
      <c r="BK960" s="108"/>
      <c r="BL960" s="108"/>
      <c r="BM960" s="109"/>
      <c r="BN960" s="108"/>
      <c r="BO960" s="108"/>
      <c r="BP960" s="108"/>
    </row>
    <row r="961" spans="1:68" ht="12" customHeight="1" x14ac:dyDescent="0.2">
      <c r="A961" s="179"/>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c r="AA961" s="108"/>
      <c r="AB961" s="108"/>
      <c r="AC961" s="108"/>
      <c r="AD961" s="108"/>
      <c r="AE961" s="108"/>
      <c r="AF961" s="108"/>
      <c r="AG961" s="108"/>
      <c r="AH961" s="108"/>
      <c r="AI961" s="108"/>
      <c r="AJ961" s="108"/>
      <c r="AK961" s="108"/>
      <c r="AL961" s="108"/>
      <c r="AM961" s="108"/>
      <c r="AN961" s="108"/>
      <c r="AO961" s="108"/>
      <c r="AP961" s="108"/>
      <c r="AQ961" s="108"/>
      <c r="AR961" s="108"/>
      <c r="AS961" s="108"/>
      <c r="AT961" s="108"/>
      <c r="AU961" s="108"/>
      <c r="AV961" s="108"/>
      <c r="AW961" s="108"/>
      <c r="AX961" s="108"/>
      <c r="AY961" s="108"/>
      <c r="AZ961" s="108"/>
      <c r="BA961" s="108"/>
      <c r="BB961" s="108"/>
      <c r="BC961" s="108"/>
      <c r="BD961" s="108"/>
      <c r="BE961" s="108"/>
      <c r="BF961" s="108"/>
      <c r="BG961" s="108"/>
      <c r="BH961" s="108"/>
      <c r="BI961" s="108"/>
      <c r="BJ961" s="108"/>
      <c r="BK961" s="108"/>
      <c r="BL961" s="108"/>
      <c r="BM961" s="109"/>
      <c r="BN961" s="108"/>
      <c r="BO961" s="108"/>
      <c r="BP961" s="108"/>
    </row>
    <row r="962" spans="1:68" ht="12" customHeight="1" x14ac:dyDescent="0.2">
      <c r="A962" s="179"/>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c r="AA962" s="108"/>
      <c r="AB962" s="108"/>
      <c r="AC962" s="108"/>
      <c r="AD962" s="108"/>
      <c r="AE962" s="108"/>
      <c r="AF962" s="108"/>
      <c r="AG962" s="108"/>
      <c r="AH962" s="108"/>
      <c r="AI962" s="108"/>
      <c r="AJ962" s="108"/>
      <c r="AK962" s="108"/>
      <c r="AL962" s="108"/>
      <c r="AM962" s="108"/>
      <c r="AN962" s="108"/>
      <c r="AO962" s="108"/>
      <c r="AP962" s="108"/>
      <c r="AQ962" s="108"/>
      <c r="AR962" s="108"/>
      <c r="AS962" s="108"/>
      <c r="AT962" s="108"/>
      <c r="AU962" s="108"/>
      <c r="AV962" s="108"/>
      <c r="AW962" s="108"/>
      <c r="AX962" s="108"/>
      <c r="AY962" s="108"/>
      <c r="AZ962" s="108"/>
      <c r="BA962" s="108"/>
      <c r="BB962" s="108"/>
      <c r="BC962" s="108"/>
      <c r="BD962" s="108"/>
      <c r="BE962" s="108"/>
      <c r="BF962" s="108"/>
      <c r="BG962" s="108"/>
      <c r="BH962" s="108"/>
      <c r="BI962" s="108"/>
      <c r="BJ962" s="108"/>
      <c r="BK962" s="108"/>
      <c r="BL962" s="108"/>
      <c r="BM962" s="109"/>
      <c r="BN962" s="108"/>
      <c r="BO962" s="108"/>
      <c r="BP962" s="108"/>
    </row>
    <row r="963" spans="1:68" ht="12" customHeight="1" x14ac:dyDescent="0.2">
      <c r="A963" s="179"/>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c r="AA963" s="108"/>
      <c r="AB963" s="108"/>
      <c r="AC963" s="108"/>
      <c r="AD963" s="108"/>
      <c r="AE963" s="108"/>
      <c r="AF963" s="108"/>
      <c r="AG963" s="108"/>
      <c r="AH963" s="108"/>
      <c r="AI963" s="108"/>
      <c r="AJ963" s="108"/>
      <c r="AK963" s="108"/>
      <c r="AL963" s="108"/>
      <c r="AM963" s="108"/>
      <c r="AN963" s="108"/>
      <c r="AO963" s="108"/>
      <c r="AP963" s="108"/>
      <c r="AQ963" s="108"/>
      <c r="AR963" s="108"/>
      <c r="AS963" s="108"/>
      <c r="AT963" s="108"/>
      <c r="AU963" s="108"/>
      <c r="AV963" s="108"/>
      <c r="AW963" s="108"/>
      <c r="AX963" s="108"/>
      <c r="AY963" s="108"/>
      <c r="AZ963" s="108"/>
      <c r="BA963" s="108"/>
      <c r="BB963" s="108"/>
      <c r="BC963" s="108"/>
      <c r="BD963" s="108"/>
      <c r="BE963" s="108"/>
      <c r="BF963" s="108"/>
      <c r="BG963" s="108"/>
      <c r="BH963" s="108"/>
      <c r="BI963" s="108"/>
      <c r="BJ963" s="108"/>
      <c r="BK963" s="108"/>
      <c r="BL963" s="108"/>
      <c r="BM963" s="109"/>
      <c r="BN963" s="108"/>
      <c r="BO963" s="108"/>
      <c r="BP963" s="108"/>
    </row>
    <row r="964" spans="1:68" ht="12" customHeight="1" x14ac:dyDescent="0.2">
      <c r="A964" s="179"/>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c r="AA964" s="108"/>
      <c r="AB964" s="108"/>
      <c r="AC964" s="108"/>
      <c r="AD964" s="108"/>
      <c r="AE964" s="108"/>
      <c r="AF964" s="108"/>
      <c r="AG964" s="108"/>
      <c r="AH964" s="108"/>
      <c r="AI964" s="108"/>
      <c r="AJ964" s="108"/>
      <c r="AK964" s="108"/>
      <c r="AL964" s="108"/>
      <c r="AM964" s="108"/>
      <c r="AN964" s="108"/>
      <c r="AO964" s="108"/>
      <c r="AP964" s="108"/>
      <c r="AQ964" s="108"/>
      <c r="AR964" s="108"/>
      <c r="AS964" s="108"/>
      <c r="AT964" s="108"/>
      <c r="AU964" s="108"/>
      <c r="AV964" s="108"/>
      <c r="AW964" s="108"/>
      <c r="AX964" s="108"/>
      <c r="AY964" s="108"/>
      <c r="AZ964" s="108"/>
      <c r="BA964" s="108"/>
      <c r="BB964" s="108"/>
      <c r="BC964" s="108"/>
      <c r="BD964" s="108"/>
      <c r="BE964" s="108"/>
      <c r="BF964" s="108"/>
      <c r="BG964" s="108"/>
      <c r="BH964" s="108"/>
      <c r="BI964" s="108"/>
      <c r="BJ964" s="108"/>
      <c r="BK964" s="108"/>
      <c r="BL964" s="108"/>
      <c r="BM964" s="109"/>
      <c r="BN964" s="108"/>
      <c r="BO964" s="108"/>
      <c r="BP964" s="108"/>
    </row>
    <row r="965" spans="1:68" ht="12" customHeight="1" x14ac:dyDescent="0.2">
      <c r="A965" s="179"/>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c r="AA965" s="108"/>
      <c r="AB965" s="108"/>
      <c r="AC965" s="108"/>
      <c r="AD965" s="108"/>
      <c r="AE965" s="108"/>
      <c r="AF965" s="108"/>
      <c r="AG965" s="108"/>
      <c r="AH965" s="108"/>
      <c r="AI965" s="108"/>
      <c r="AJ965" s="108"/>
      <c r="AK965" s="108"/>
      <c r="AL965" s="108"/>
      <c r="AM965" s="108"/>
      <c r="AN965" s="108"/>
      <c r="AO965" s="108"/>
      <c r="AP965" s="108"/>
      <c r="AQ965" s="108"/>
      <c r="AR965" s="108"/>
      <c r="AS965" s="108"/>
      <c r="AT965" s="108"/>
      <c r="AU965" s="108"/>
      <c r="AV965" s="108"/>
      <c r="AW965" s="108"/>
      <c r="AX965" s="108"/>
      <c r="AY965" s="108"/>
      <c r="AZ965" s="108"/>
      <c r="BA965" s="108"/>
      <c r="BB965" s="108"/>
      <c r="BC965" s="108"/>
      <c r="BD965" s="108"/>
      <c r="BE965" s="108"/>
      <c r="BF965" s="108"/>
      <c r="BG965" s="108"/>
      <c r="BH965" s="108"/>
      <c r="BI965" s="108"/>
      <c r="BJ965" s="108"/>
      <c r="BK965" s="108"/>
      <c r="BL965" s="108"/>
      <c r="BM965" s="109"/>
      <c r="BN965" s="108"/>
      <c r="BO965" s="108"/>
      <c r="BP965" s="108"/>
    </row>
    <row r="966" spans="1:68" ht="12" customHeight="1" x14ac:dyDescent="0.2">
      <c r="A966" s="179"/>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c r="AA966" s="108"/>
      <c r="AB966" s="108"/>
      <c r="AC966" s="108"/>
      <c r="AD966" s="108"/>
      <c r="AE966" s="108"/>
      <c r="AF966" s="108"/>
      <c r="AG966" s="108"/>
      <c r="AH966" s="108"/>
      <c r="AI966" s="108"/>
      <c r="AJ966" s="108"/>
      <c r="AK966" s="108"/>
      <c r="AL966" s="108"/>
      <c r="AM966" s="108"/>
      <c r="AN966" s="108"/>
      <c r="AO966" s="108"/>
      <c r="AP966" s="108"/>
      <c r="AQ966" s="108"/>
      <c r="AR966" s="108"/>
      <c r="AS966" s="108"/>
      <c r="AT966" s="108"/>
      <c r="AU966" s="108"/>
      <c r="AV966" s="108"/>
      <c r="AW966" s="108"/>
      <c r="AX966" s="108"/>
      <c r="AY966" s="108"/>
      <c r="AZ966" s="108"/>
      <c r="BA966" s="108"/>
      <c r="BB966" s="108"/>
      <c r="BC966" s="108"/>
      <c r="BD966" s="108"/>
      <c r="BE966" s="108"/>
      <c r="BF966" s="108"/>
      <c r="BG966" s="108"/>
      <c r="BH966" s="108"/>
      <c r="BI966" s="108"/>
      <c r="BJ966" s="108"/>
      <c r="BK966" s="108"/>
      <c r="BL966" s="108"/>
      <c r="BM966" s="109"/>
      <c r="BN966" s="108"/>
      <c r="BO966" s="108"/>
      <c r="BP966" s="108"/>
    </row>
    <row r="967" spans="1:68" ht="12" customHeight="1" x14ac:dyDescent="0.2">
      <c r="A967" s="179"/>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c r="AA967" s="108"/>
      <c r="AB967" s="108"/>
      <c r="AC967" s="108"/>
      <c r="AD967" s="108"/>
      <c r="AE967" s="108"/>
      <c r="AF967" s="108"/>
      <c r="AG967" s="108"/>
      <c r="AH967" s="108"/>
      <c r="AI967" s="108"/>
      <c r="AJ967" s="108"/>
      <c r="AK967" s="108"/>
      <c r="AL967" s="108"/>
      <c r="AM967" s="108"/>
      <c r="AN967" s="108"/>
      <c r="AO967" s="108"/>
      <c r="AP967" s="108"/>
      <c r="AQ967" s="108"/>
      <c r="AR967" s="108"/>
      <c r="AS967" s="108"/>
      <c r="AT967" s="108"/>
      <c r="AU967" s="108"/>
      <c r="AV967" s="108"/>
      <c r="AW967" s="108"/>
      <c r="AX967" s="108"/>
      <c r="AY967" s="108"/>
      <c r="AZ967" s="108"/>
      <c r="BA967" s="108"/>
      <c r="BB967" s="108"/>
      <c r="BC967" s="108"/>
      <c r="BD967" s="108"/>
      <c r="BE967" s="108"/>
      <c r="BF967" s="108"/>
      <c r="BG967" s="108"/>
      <c r="BH967" s="108"/>
      <c r="BI967" s="108"/>
      <c r="BJ967" s="108"/>
      <c r="BK967" s="108"/>
      <c r="BL967" s="108"/>
      <c r="BM967" s="109"/>
      <c r="BN967" s="108"/>
      <c r="BO967" s="108"/>
      <c r="BP967" s="108"/>
    </row>
    <row r="968" spans="1:68" ht="12" customHeight="1" x14ac:dyDescent="0.2">
      <c r="A968" s="179"/>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c r="AA968" s="108"/>
      <c r="AB968" s="108"/>
      <c r="AC968" s="108"/>
      <c r="AD968" s="108"/>
      <c r="AE968" s="108"/>
      <c r="AF968" s="108"/>
      <c r="AG968" s="108"/>
      <c r="AH968" s="108"/>
      <c r="AI968" s="108"/>
      <c r="AJ968" s="108"/>
      <c r="AK968" s="108"/>
      <c r="AL968" s="108"/>
      <c r="AM968" s="108"/>
      <c r="AN968" s="108"/>
      <c r="AO968" s="108"/>
      <c r="AP968" s="108"/>
      <c r="AQ968" s="108"/>
      <c r="AR968" s="108"/>
      <c r="AS968" s="108"/>
      <c r="AT968" s="108"/>
      <c r="AU968" s="108"/>
      <c r="AV968" s="108"/>
      <c r="AW968" s="108"/>
      <c r="AX968" s="108"/>
      <c r="AY968" s="108"/>
      <c r="AZ968" s="108"/>
      <c r="BA968" s="108"/>
      <c r="BB968" s="108"/>
      <c r="BC968" s="108"/>
      <c r="BD968" s="108"/>
      <c r="BE968" s="108"/>
      <c r="BF968" s="108"/>
      <c r="BG968" s="108"/>
      <c r="BH968" s="108"/>
      <c r="BI968" s="108"/>
      <c r="BJ968" s="108"/>
      <c r="BK968" s="108"/>
      <c r="BL968" s="108"/>
      <c r="BM968" s="109"/>
      <c r="BN968" s="108"/>
      <c r="BO968" s="108"/>
      <c r="BP968" s="108"/>
    </row>
    <row r="969" spans="1:68" ht="12" customHeight="1" x14ac:dyDescent="0.2">
      <c r="A969" s="179"/>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c r="AA969" s="108"/>
      <c r="AB969" s="108"/>
      <c r="AC969" s="108"/>
      <c r="AD969" s="108"/>
      <c r="AE969" s="108"/>
      <c r="AF969" s="108"/>
      <c r="AG969" s="108"/>
      <c r="AH969" s="108"/>
      <c r="AI969" s="108"/>
      <c r="AJ969" s="108"/>
      <c r="AK969" s="108"/>
      <c r="AL969" s="108"/>
      <c r="AM969" s="108"/>
      <c r="AN969" s="108"/>
      <c r="AO969" s="108"/>
      <c r="AP969" s="108"/>
      <c r="AQ969" s="108"/>
      <c r="AR969" s="108"/>
      <c r="AS969" s="108"/>
      <c r="AT969" s="108"/>
      <c r="AU969" s="108"/>
      <c r="AV969" s="108"/>
      <c r="AW969" s="108"/>
      <c r="AX969" s="108"/>
      <c r="AY969" s="108"/>
      <c r="AZ969" s="108"/>
      <c r="BA969" s="108"/>
      <c r="BB969" s="108"/>
      <c r="BC969" s="108"/>
      <c r="BD969" s="108"/>
      <c r="BE969" s="108"/>
      <c r="BF969" s="108"/>
      <c r="BG969" s="108"/>
      <c r="BH969" s="108"/>
      <c r="BI969" s="108"/>
      <c r="BJ969" s="108"/>
      <c r="BK969" s="108"/>
      <c r="BL969" s="108"/>
      <c r="BM969" s="109"/>
      <c r="BN969" s="108"/>
      <c r="BO969" s="108"/>
      <c r="BP969" s="108"/>
    </row>
    <row r="970" spans="1:68" ht="12" customHeight="1" x14ac:dyDescent="0.2">
      <c r="A970" s="179"/>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c r="AA970" s="108"/>
      <c r="AB970" s="108"/>
      <c r="AC970" s="108"/>
      <c r="AD970" s="108"/>
      <c r="AE970" s="108"/>
      <c r="AF970" s="108"/>
      <c r="AG970" s="108"/>
      <c r="AH970" s="108"/>
      <c r="AI970" s="108"/>
      <c r="AJ970" s="108"/>
      <c r="AK970" s="108"/>
      <c r="AL970" s="108"/>
      <c r="AM970" s="108"/>
      <c r="AN970" s="108"/>
      <c r="AO970" s="108"/>
      <c r="AP970" s="108"/>
      <c r="AQ970" s="108"/>
      <c r="AR970" s="108"/>
      <c r="AS970" s="108"/>
      <c r="AT970" s="108"/>
      <c r="AU970" s="108"/>
      <c r="AV970" s="108"/>
      <c r="AW970" s="108"/>
      <c r="AX970" s="108"/>
      <c r="AY970" s="108"/>
      <c r="AZ970" s="108"/>
      <c r="BA970" s="108"/>
      <c r="BB970" s="108"/>
      <c r="BC970" s="108"/>
      <c r="BD970" s="108"/>
      <c r="BE970" s="108"/>
      <c r="BF970" s="108"/>
      <c r="BG970" s="108"/>
      <c r="BH970" s="108"/>
      <c r="BI970" s="108"/>
      <c r="BJ970" s="108"/>
      <c r="BK970" s="108"/>
      <c r="BL970" s="108"/>
      <c r="BM970" s="109"/>
      <c r="BN970" s="108"/>
      <c r="BO970" s="108"/>
      <c r="BP970" s="108"/>
    </row>
    <row r="971" spans="1:68" ht="12" customHeight="1" x14ac:dyDescent="0.2">
      <c r="A971" s="179"/>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c r="AA971" s="108"/>
      <c r="AB971" s="108"/>
      <c r="AC971" s="108"/>
      <c r="AD971" s="108"/>
      <c r="AE971" s="108"/>
      <c r="AF971" s="108"/>
      <c r="AG971" s="108"/>
      <c r="AH971" s="108"/>
      <c r="AI971" s="108"/>
      <c r="AJ971" s="108"/>
      <c r="AK971" s="108"/>
      <c r="AL971" s="108"/>
      <c r="AM971" s="108"/>
      <c r="AN971" s="108"/>
      <c r="AO971" s="108"/>
      <c r="AP971" s="108"/>
      <c r="AQ971" s="108"/>
      <c r="AR971" s="108"/>
      <c r="AS971" s="108"/>
      <c r="AT971" s="108"/>
      <c r="AU971" s="108"/>
      <c r="AV971" s="108"/>
      <c r="AW971" s="108"/>
      <c r="AX971" s="108"/>
      <c r="AY971" s="108"/>
      <c r="AZ971" s="108"/>
      <c r="BA971" s="108"/>
      <c r="BB971" s="108"/>
      <c r="BC971" s="108"/>
      <c r="BD971" s="108"/>
      <c r="BE971" s="108"/>
      <c r="BF971" s="108"/>
      <c r="BG971" s="108"/>
      <c r="BH971" s="108"/>
      <c r="BI971" s="108"/>
      <c r="BJ971" s="108"/>
      <c r="BK971" s="108"/>
      <c r="BL971" s="108"/>
      <c r="BM971" s="109"/>
      <c r="BN971" s="108"/>
      <c r="BO971" s="108"/>
      <c r="BP971" s="108"/>
    </row>
    <row r="972" spans="1:68" ht="12" customHeight="1" x14ac:dyDescent="0.2">
      <c r="A972" s="179"/>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c r="AA972" s="108"/>
      <c r="AB972" s="108"/>
      <c r="AC972" s="108"/>
      <c r="AD972" s="108"/>
      <c r="AE972" s="108"/>
      <c r="AF972" s="108"/>
      <c r="AG972" s="108"/>
      <c r="AH972" s="108"/>
      <c r="AI972" s="108"/>
      <c r="AJ972" s="108"/>
      <c r="AK972" s="108"/>
      <c r="AL972" s="108"/>
      <c r="AM972" s="108"/>
      <c r="AN972" s="108"/>
      <c r="AO972" s="108"/>
      <c r="AP972" s="108"/>
      <c r="AQ972" s="108"/>
      <c r="AR972" s="108"/>
      <c r="AS972" s="108"/>
      <c r="AT972" s="108"/>
      <c r="AU972" s="108"/>
      <c r="AV972" s="108"/>
      <c r="AW972" s="108"/>
      <c r="AX972" s="108"/>
      <c r="AY972" s="108"/>
      <c r="AZ972" s="108"/>
      <c r="BA972" s="108"/>
      <c r="BB972" s="108"/>
      <c r="BC972" s="108"/>
      <c r="BD972" s="108"/>
      <c r="BE972" s="108"/>
      <c r="BF972" s="108"/>
      <c r="BG972" s="108"/>
      <c r="BH972" s="108"/>
      <c r="BI972" s="108"/>
      <c r="BJ972" s="108"/>
      <c r="BK972" s="108"/>
      <c r="BL972" s="108"/>
      <c r="BM972" s="109"/>
      <c r="BN972" s="108"/>
      <c r="BO972" s="108"/>
      <c r="BP972" s="108"/>
    </row>
    <row r="973" spans="1:68" ht="12" customHeight="1" x14ac:dyDescent="0.2">
      <c r="A973" s="179"/>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c r="AA973" s="108"/>
      <c r="AB973" s="108"/>
      <c r="AC973" s="108"/>
      <c r="AD973" s="108"/>
      <c r="AE973" s="108"/>
      <c r="AF973" s="108"/>
      <c r="AG973" s="108"/>
      <c r="AH973" s="108"/>
      <c r="AI973" s="108"/>
      <c r="AJ973" s="108"/>
      <c r="AK973" s="108"/>
      <c r="AL973" s="108"/>
      <c r="AM973" s="108"/>
      <c r="AN973" s="108"/>
      <c r="AO973" s="108"/>
      <c r="AP973" s="108"/>
      <c r="AQ973" s="108"/>
      <c r="AR973" s="108"/>
      <c r="AS973" s="108"/>
      <c r="AT973" s="108"/>
      <c r="AU973" s="108"/>
      <c r="AV973" s="108"/>
      <c r="AW973" s="108"/>
      <c r="AX973" s="108"/>
      <c r="AY973" s="108"/>
      <c r="AZ973" s="108"/>
      <c r="BA973" s="108"/>
      <c r="BB973" s="108"/>
      <c r="BC973" s="108"/>
      <c r="BD973" s="108"/>
      <c r="BE973" s="108"/>
      <c r="BF973" s="108"/>
      <c r="BG973" s="108"/>
      <c r="BH973" s="108"/>
      <c r="BI973" s="108"/>
      <c r="BJ973" s="108"/>
      <c r="BK973" s="108"/>
      <c r="BL973" s="108"/>
      <c r="BM973" s="109"/>
      <c r="BN973" s="108"/>
      <c r="BO973" s="108"/>
      <c r="BP973" s="108"/>
    </row>
    <row r="974" spans="1:68" ht="12" customHeight="1" x14ac:dyDescent="0.2">
      <c r="A974" s="179"/>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c r="AA974" s="108"/>
      <c r="AB974" s="108"/>
      <c r="AC974" s="108"/>
      <c r="AD974" s="108"/>
      <c r="AE974" s="108"/>
      <c r="AF974" s="108"/>
      <c r="AG974" s="108"/>
      <c r="AH974" s="108"/>
      <c r="AI974" s="108"/>
      <c r="AJ974" s="108"/>
      <c r="AK974" s="108"/>
      <c r="AL974" s="108"/>
      <c r="AM974" s="108"/>
      <c r="AN974" s="108"/>
      <c r="AO974" s="108"/>
      <c r="AP974" s="108"/>
      <c r="AQ974" s="108"/>
      <c r="AR974" s="108"/>
      <c r="AS974" s="108"/>
      <c r="AT974" s="108"/>
      <c r="AU974" s="108"/>
      <c r="AV974" s="108"/>
      <c r="AW974" s="108"/>
      <c r="AX974" s="108"/>
      <c r="AY974" s="108"/>
      <c r="AZ974" s="108"/>
      <c r="BA974" s="108"/>
      <c r="BB974" s="108"/>
      <c r="BC974" s="108"/>
      <c r="BD974" s="108"/>
      <c r="BE974" s="108"/>
      <c r="BF974" s="108"/>
      <c r="BG974" s="108"/>
      <c r="BH974" s="108"/>
      <c r="BI974" s="108"/>
      <c r="BJ974" s="108"/>
      <c r="BK974" s="108"/>
      <c r="BL974" s="108"/>
      <c r="BM974" s="109"/>
      <c r="BN974" s="108"/>
      <c r="BO974" s="108"/>
      <c r="BP974" s="108"/>
    </row>
    <row r="975" spans="1:68" ht="12" customHeight="1" x14ac:dyDescent="0.2">
      <c r="A975" s="179"/>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c r="AA975" s="108"/>
      <c r="AB975" s="108"/>
      <c r="AC975" s="108"/>
      <c r="AD975" s="108"/>
      <c r="AE975" s="108"/>
      <c r="AF975" s="108"/>
      <c r="AG975" s="108"/>
      <c r="AH975" s="108"/>
      <c r="AI975" s="108"/>
      <c r="AJ975" s="108"/>
      <c r="AK975" s="108"/>
      <c r="AL975" s="108"/>
      <c r="AM975" s="108"/>
      <c r="AN975" s="108"/>
      <c r="AO975" s="108"/>
      <c r="AP975" s="108"/>
      <c r="AQ975" s="108"/>
      <c r="AR975" s="108"/>
      <c r="AS975" s="108"/>
      <c r="AT975" s="108"/>
      <c r="AU975" s="108"/>
      <c r="AV975" s="108"/>
      <c r="AW975" s="108"/>
      <c r="AX975" s="108"/>
      <c r="AY975" s="108"/>
      <c r="AZ975" s="108"/>
      <c r="BA975" s="108"/>
      <c r="BB975" s="108"/>
      <c r="BC975" s="108"/>
      <c r="BD975" s="108"/>
      <c r="BE975" s="108"/>
      <c r="BF975" s="108"/>
      <c r="BG975" s="108"/>
      <c r="BH975" s="108"/>
      <c r="BI975" s="108"/>
      <c r="BJ975" s="108"/>
      <c r="BK975" s="108"/>
      <c r="BL975" s="108"/>
      <c r="BM975" s="109"/>
      <c r="BN975" s="108"/>
      <c r="BO975" s="108"/>
      <c r="BP975" s="108"/>
    </row>
    <row r="976" spans="1:68" ht="12" customHeight="1" x14ac:dyDescent="0.2">
      <c r="A976" s="179"/>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c r="AA976" s="108"/>
      <c r="AB976" s="108"/>
      <c r="AC976" s="108"/>
      <c r="AD976" s="108"/>
      <c r="AE976" s="108"/>
      <c r="AF976" s="108"/>
      <c r="AG976" s="108"/>
      <c r="AH976" s="108"/>
      <c r="AI976" s="108"/>
      <c r="AJ976" s="108"/>
      <c r="AK976" s="108"/>
      <c r="AL976" s="108"/>
      <c r="AM976" s="108"/>
      <c r="AN976" s="108"/>
      <c r="AO976" s="108"/>
      <c r="AP976" s="108"/>
      <c r="AQ976" s="108"/>
      <c r="AR976" s="108"/>
      <c r="AS976" s="108"/>
      <c r="AT976" s="108"/>
      <c r="AU976" s="108"/>
      <c r="AV976" s="108"/>
      <c r="AW976" s="108"/>
      <c r="AX976" s="108"/>
      <c r="AY976" s="108"/>
      <c r="AZ976" s="108"/>
      <c r="BA976" s="108"/>
      <c r="BB976" s="108"/>
      <c r="BC976" s="108"/>
      <c r="BD976" s="108"/>
      <c r="BE976" s="108"/>
      <c r="BF976" s="108"/>
      <c r="BG976" s="108"/>
      <c r="BH976" s="108"/>
      <c r="BI976" s="108"/>
      <c r="BJ976" s="108"/>
      <c r="BK976" s="108"/>
      <c r="BL976" s="108"/>
      <c r="BM976" s="109"/>
      <c r="BN976" s="108"/>
      <c r="BO976" s="108"/>
      <c r="BP976" s="108"/>
    </row>
    <row r="977" spans="1:68" ht="12" customHeight="1" x14ac:dyDescent="0.2">
      <c r="A977" s="179"/>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c r="AA977" s="108"/>
      <c r="AB977" s="108"/>
      <c r="AC977" s="108"/>
      <c r="AD977" s="108"/>
      <c r="AE977" s="108"/>
      <c r="AF977" s="108"/>
      <c r="AG977" s="108"/>
      <c r="AH977" s="108"/>
      <c r="AI977" s="108"/>
      <c r="AJ977" s="108"/>
      <c r="AK977" s="108"/>
      <c r="AL977" s="108"/>
      <c r="AM977" s="108"/>
      <c r="AN977" s="108"/>
      <c r="AO977" s="108"/>
      <c r="AP977" s="108"/>
      <c r="AQ977" s="108"/>
      <c r="AR977" s="108"/>
      <c r="AS977" s="108"/>
      <c r="AT977" s="108"/>
      <c r="AU977" s="108"/>
      <c r="AV977" s="108"/>
      <c r="AW977" s="108"/>
      <c r="AX977" s="108"/>
      <c r="AY977" s="108"/>
      <c r="AZ977" s="108"/>
      <c r="BA977" s="108"/>
      <c r="BB977" s="108"/>
      <c r="BC977" s="108"/>
      <c r="BD977" s="108"/>
      <c r="BE977" s="108"/>
      <c r="BF977" s="108"/>
      <c r="BG977" s="108"/>
      <c r="BH977" s="108"/>
      <c r="BI977" s="108"/>
      <c r="BJ977" s="108"/>
      <c r="BK977" s="108"/>
      <c r="BL977" s="108"/>
      <c r="BM977" s="109"/>
      <c r="BN977" s="108"/>
      <c r="BO977" s="108"/>
      <c r="BP977" s="108"/>
    </row>
    <row r="978" spans="1:68" ht="12" customHeight="1" x14ac:dyDescent="0.2">
      <c r="A978" s="179"/>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c r="AA978" s="108"/>
      <c r="AB978" s="108"/>
      <c r="AC978" s="108"/>
      <c r="AD978" s="108"/>
      <c r="AE978" s="108"/>
      <c r="AF978" s="108"/>
      <c r="AG978" s="108"/>
      <c r="AH978" s="108"/>
      <c r="AI978" s="108"/>
      <c r="AJ978" s="108"/>
      <c r="AK978" s="108"/>
      <c r="AL978" s="108"/>
      <c r="AM978" s="108"/>
      <c r="AN978" s="108"/>
      <c r="AO978" s="108"/>
      <c r="AP978" s="108"/>
      <c r="AQ978" s="108"/>
      <c r="AR978" s="108"/>
      <c r="AS978" s="108"/>
      <c r="AT978" s="108"/>
      <c r="AU978" s="108"/>
      <c r="AV978" s="108"/>
      <c r="AW978" s="108"/>
      <c r="AX978" s="108"/>
      <c r="AY978" s="108"/>
      <c r="AZ978" s="108"/>
      <c r="BA978" s="108"/>
      <c r="BB978" s="108"/>
      <c r="BC978" s="108"/>
      <c r="BD978" s="108"/>
      <c r="BE978" s="108"/>
      <c r="BF978" s="108"/>
      <c r="BG978" s="108"/>
      <c r="BH978" s="108"/>
      <c r="BI978" s="108"/>
      <c r="BJ978" s="108"/>
      <c r="BK978" s="108"/>
      <c r="BL978" s="108"/>
      <c r="BM978" s="109"/>
      <c r="BN978" s="108"/>
      <c r="BO978" s="108"/>
      <c r="BP978" s="108"/>
    </row>
    <row r="979" spans="1:68" ht="12" customHeight="1" x14ac:dyDescent="0.2">
      <c r="A979" s="179"/>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c r="AA979" s="108"/>
      <c r="AB979" s="108"/>
      <c r="AC979" s="108"/>
      <c r="AD979" s="108"/>
      <c r="AE979" s="108"/>
      <c r="AF979" s="108"/>
      <c r="AG979" s="108"/>
      <c r="AH979" s="108"/>
      <c r="AI979" s="108"/>
      <c r="AJ979" s="108"/>
      <c r="AK979" s="108"/>
      <c r="AL979" s="108"/>
      <c r="AM979" s="108"/>
      <c r="AN979" s="108"/>
      <c r="AO979" s="108"/>
      <c r="AP979" s="108"/>
      <c r="AQ979" s="108"/>
      <c r="AR979" s="108"/>
      <c r="AS979" s="108"/>
      <c r="AT979" s="108"/>
      <c r="AU979" s="108"/>
      <c r="AV979" s="108"/>
      <c r="AW979" s="108"/>
      <c r="AX979" s="108"/>
      <c r="AY979" s="108"/>
      <c r="AZ979" s="108"/>
      <c r="BA979" s="108"/>
      <c r="BB979" s="108"/>
      <c r="BC979" s="108"/>
      <c r="BD979" s="108"/>
      <c r="BE979" s="108"/>
      <c r="BF979" s="108"/>
      <c r="BG979" s="108"/>
      <c r="BH979" s="108"/>
      <c r="BI979" s="108"/>
      <c r="BJ979" s="108"/>
      <c r="BK979" s="108"/>
      <c r="BL979" s="108"/>
      <c r="BM979" s="109"/>
      <c r="BN979" s="108"/>
      <c r="BO979" s="108"/>
      <c r="BP979" s="108"/>
    </row>
    <row r="980" spans="1:68" ht="12" customHeight="1" x14ac:dyDescent="0.2">
      <c r="A980" s="179"/>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c r="AA980" s="108"/>
      <c r="AB980" s="108"/>
      <c r="AC980" s="108"/>
      <c r="AD980" s="108"/>
      <c r="AE980" s="108"/>
      <c r="AF980" s="108"/>
      <c r="AG980" s="108"/>
      <c r="AH980" s="108"/>
      <c r="AI980" s="108"/>
      <c r="AJ980" s="108"/>
      <c r="AK980" s="108"/>
      <c r="AL980" s="108"/>
      <c r="AM980" s="108"/>
      <c r="AN980" s="108"/>
      <c r="AO980" s="108"/>
      <c r="AP980" s="108"/>
      <c r="AQ980" s="108"/>
      <c r="AR980" s="108"/>
      <c r="AS980" s="108"/>
      <c r="AT980" s="108"/>
      <c r="AU980" s="108"/>
      <c r="AV980" s="108"/>
      <c r="AW980" s="108"/>
      <c r="AX980" s="108"/>
      <c r="AY980" s="108"/>
      <c r="AZ980" s="108"/>
      <c r="BA980" s="108"/>
      <c r="BB980" s="108"/>
      <c r="BC980" s="108"/>
      <c r="BD980" s="108"/>
      <c r="BE980" s="108"/>
      <c r="BF980" s="108"/>
      <c r="BG980" s="108"/>
      <c r="BH980" s="108"/>
      <c r="BI980" s="108"/>
      <c r="BJ980" s="108"/>
      <c r="BK980" s="108"/>
      <c r="BL980" s="108"/>
      <c r="BM980" s="109"/>
      <c r="BN980" s="108"/>
      <c r="BO980" s="108"/>
      <c r="BP980" s="108"/>
    </row>
    <row r="981" spans="1:68" ht="12" customHeight="1" x14ac:dyDescent="0.2">
      <c r="A981" s="179"/>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c r="AA981" s="108"/>
      <c r="AB981" s="108"/>
      <c r="AC981" s="108"/>
      <c r="AD981" s="108"/>
      <c r="AE981" s="108"/>
      <c r="AF981" s="108"/>
      <c r="AG981" s="108"/>
      <c r="AH981" s="108"/>
      <c r="AI981" s="108"/>
      <c r="AJ981" s="108"/>
      <c r="AK981" s="108"/>
      <c r="AL981" s="108"/>
      <c r="AM981" s="108"/>
      <c r="AN981" s="108"/>
      <c r="AO981" s="108"/>
      <c r="AP981" s="108"/>
      <c r="AQ981" s="108"/>
      <c r="AR981" s="108"/>
      <c r="AS981" s="108"/>
      <c r="AT981" s="108"/>
      <c r="AU981" s="108"/>
      <c r="AV981" s="108"/>
      <c r="AW981" s="108"/>
      <c r="AX981" s="108"/>
      <c r="AY981" s="108"/>
      <c r="AZ981" s="108"/>
      <c r="BA981" s="108"/>
      <c r="BB981" s="108"/>
      <c r="BC981" s="108"/>
      <c r="BD981" s="108"/>
      <c r="BE981" s="108"/>
      <c r="BF981" s="108"/>
      <c r="BG981" s="108"/>
      <c r="BH981" s="108"/>
      <c r="BI981" s="108"/>
      <c r="BJ981" s="108"/>
      <c r="BK981" s="108"/>
      <c r="BL981" s="108"/>
      <c r="BM981" s="109"/>
      <c r="BN981" s="108"/>
      <c r="BO981" s="108"/>
      <c r="BP981" s="108"/>
    </row>
    <row r="982" spans="1:68" ht="12" customHeight="1" x14ac:dyDescent="0.2">
      <c r="A982" s="179"/>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c r="AA982" s="108"/>
      <c r="AB982" s="108"/>
      <c r="AC982" s="108"/>
      <c r="AD982" s="108"/>
      <c r="AE982" s="108"/>
      <c r="AF982" s="108"/>
      <c r="AG982" s="108"/>
      <c r="AH982" s="108"/>
      <c r="AI982" s="108"/>
      <c r="AJ982" s="108"/>
      <c r="AK982" s="108"/>
      <c r="AL982" s="108"/>
      <c r="AM982" s="108"/>
      <c r="AN982" s="108"/>
      <c r="AO982" s="108"/>
      <c r="AP982" s="108"/>
      <c r="AQ982" s="108"/>
      <c r="AR982" s="108"/>
      <c r="AS982" s="108"/>
      <c r="AT982" s="108"/>
      <c r="AU982" s="108"/>
      <c r="AV982" s="108"/>
      <c r="AW982" s="108"/>
      <c r="AX982" s="108"/>
      <c r="AY982" s="108"/>
      <c r="AZ982" s="108"/>
      <c r="BA982" s="108"/>
      <c r="BB982" s="108"/>
      <c r="BC982" s="108"/>
      <c r="BD982" s="108"/>
      <c r="BE982" s="108"/>
      <c r="BF982" s="108"/>
      <c r="BG982" s="108"/>
      <c r="BH982" s="108"/>
      <c r="BI982" s="108"/>
      <c r="BJ982" s="108"/>
      <c r="BK982" s="108"/>
      <c r="BL982" s="108"/>
      <c r="BM982" s="109"/>
      <c r="BN982" s="108"/>
      <c r="BO982" s="108"/>
      <c r="BP982" s="108"/>
    </row>
    <row r="983" spans="1:68" ht="12" customHeight="1" x14ac:dyDescent="0.2">
      <c r="A983" s="179"/>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c r="AA983" s="108"/>
      <c r="AB983" s="108"/>
      <c r="AC983" s="108"/>
      <c r="AD983" s="108"/>
      <c r="AE983" s="108"/>
      <c r="AF983" s="108"/>
      <c r="AG983" s="108"/>
      <c r="AH983" s="108"/>
      <c r="AI983" s="108"/>
      <c r="AJ983" s="108"/>
      <c r="AK983" s="108"/>
      <c r="AL983" s="108"/>
      <c r="AM983" s="108"/>
      <c r="AN983" s="108"/>
      <c r="AO983" s="108"/>
      <c r="AP983" s="108"/>
      <c r="AQ983" s="108"/>
      <c r="AR983" s="108"/>
      <c r="AS983" s="108"/>
      <c r="AT983" s="108"/>
      <c r="AU983" s="108"/>
      <c r="AV983" s="108"/>
      <c r="AW983" s="108"/>
      <c r="AX983" s="108"/>
      <c r="AY983" s="108"/>
      <c r="AZ983" s="108"/>
      <c r="BA983" s="108"/>
      <c r="BB983" s="108"/>
      <c r="BC983" s="108"/>
      <c r="BD983" s="108"/>
      <c r="BE983" s="108"/>
      <c r="BF983" s="108"/>
      <c r="BG983" s="108"/>
      <c r="BH983" s="108"/>
      <c r="BI983" s="108"/>
      <c r="BJ983" s="108"/>
      <c r="BK983" s="108"/>
      <c r="BL983" s="108"/>
      <c r="BM983" s="109"/>
      <c r="BN983" s="108"/>
      <c r="BO983" s="108"/>
      <c r="BP983" s="108"/>
    </row>
    <row r="984" spans="1:68" ht="12" customHeight="1" x14ac:dyDescent="0.2">
      <c r="A984" s="179"/>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c r="AA984" s="108"/>
      <c r="AB984" s="108"/>
      <c r="AC984" s="108"/>
      <c r="AD984" s="108"/>
      <c r="AE984" s="108"/>
      <c r="AF984" s="108"/>
      <c r="AG984" s="108"/>
      <c r="AH984" s="108"/>
      <c r="AI984" s="108"/>
      <c r="AJ984" s="108"/>
      <c r="AK984" s="108"/>
      <c r="AL984" s="108"/>
      <c r="AM984" s="108"/>
      <c r="AN984" s="108"/>
      <c r="AO984" s="108"/>
      <c r="AP984" s="108"/>
      <c r="AQ984" s="108"/>
      <c r="AR984" s="108"/>
      <c r="AS984" s="108"/>
      <c r="AT984" s="108"/>
      <c r="AU984" s="108"/>
      <c r="AV984" s="108"/>
      <c r="AW984" s="108"/>
      <c r="AX984" s="108"/>
      <c r="AY984" s="108"/>
      <c r="AZ984" s="108"/>
      <c r="BA984" s="108"/>
      <c r="BB984" s="108"/>
      <c r="BC984" s="108"/>
      <c r="BD984" s="108"/>
      <c r="BE984" s="108"/>
      <c r="BF984" s="108"/>
      <c r="BG984" s="108"/>
      <c r="BH984" s="108"/>
      <c r="BI984" s="108"/>
      <c r="BJ984" s="108"/>
      <c r="BK984" s="108"/>
      <c r="BL984" s="108"/>
      <c r="BM984" s="109"/>
      <c r="BN984" s="108"/>
      <c r="BO984" s="108"/>
      <c r="BP984" s="108"/>
    </row>
    <row r="985" spans="1:68" ht="12" customHeight="1" x14ac:dyDescent="0.2">
      <c r="A985" s="179"/>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c r="AA985" s="108"/>
      <c r="AB985" s="108"/>
      <c r="AC985" s="108"/>
      <c r="AD985" s="108"/>
      <c r="AE985" s="108"/>
      <c r="AF985" s="108"/>
      <c r="AG985" s="108"/>
      <c r="AH985" s="108"/>
      <c r="AI985" s="108"/>
      <c r="AJ985" s="108"/>
      <c r="AK985" s="108"/>
      <c r="AL985" s="108"/>
      <c r="AM985" s="108"/>
      <c r="AN985" s="108"/>
      <c r="AO985" s="108"/>
      <c r="AP985" s="108"/>
      <c r="AQ985" s="108"/>
      <c r="AR985" s="108"/>
      <c r="AS985" s="108"/>
      <c r="AT985" s="108"/>
      <c r="AU985" s="108"/>
      <c r="AV985" s="108"/>
      <c r="AW985" s="108"/>
      <c r="AX985" s="108"/>
      <c r="AY985" s="108"/>
      <c r="AZ985" s="108"/>
      <c r="BA985" s="108"/>
      <c r="BB985" s="108"/>
      <c r="BC985" s="108"/>
      <c r="BD985" s="108"/>
      <c r="BE985" s="108"/>
      <c r="BF985" s="108"/>
      <c r="BG985" s="108"/>
      <c r="BH985" s="108"/>
      <c r="BI985" s="108"/>
      <c r="BJ985" s="108"/>
      <c r="BK985" s="108"/>
      <c r="BL985" s="108"/>
      <c r="BM985" s="109"/>
      <c r="BN985" s="108"/>
      <c r="BO985" s="108"/>
      <c r="BP985" s="108"/>
    </row>
    <row r="986" spans="1:68" ht="12" customHeight="1" x14ac:dyDescent="0.2">
      <c r="A986" s="179"/>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c r="AA986" s="108"/>
      <c r="AB986" s="108"/>
      <c r="AC986" s="108"/>
      <c r="AD986" s="108"/>
      <c r="AE986" s="108"/>
      <c r="AF986" s="108"/>
      <c r="AG986" s="108"/>
      <c r="AH986" s="108"/>
      <c r="AI986" s="108"/>
      <c r="AJ986" s="108"/>
      <c r="AK986" s="108"/>
      <c r="AL986" s="108"/>
      <c r="AM986" s="108"/>
      <c r="AN986" s="108"/>
      <c r="AO986" s="108"/>
      <c r="AP986" s="108"/>
      <c r="AQ986" s="108"/>
      <c r="AR986" s="108"/>
      <c r="AS986" s="108"/>
      <c r="AT986" s="108"/>
      <c r="AU986" s="108"/>
      <c r="AV986" s="108"/>
      <c r="AW986" s="108"/>
      <c r="AX986" s="108"/>
      <c r="AY986" s="108"/>
      <c r="AZ986" s="108"/>
      <c r="BA986" s="108"/>
      <c r="BB986" s="108"/>
      <c r="BC986" s="108"/>
      <c r="BD986" s="108"/>
      <c r="BE986" s="108"/>
      <c r="BF986" s="108"/>
      <c r="BG986" s="108"/>
      <c r="BH986" s="108"/>
      <c r="BI986" s="108"/>
      <c r="BJ986" s="108"/>
      <c r="BK986" s="108"/>
      <c r="BL986" s="108"/>
      <c r="BM986" s="109"/>
      <c r="BN986" s="108"/>
      <c r="BO986" s="108"/>
      <c r="BP986" s="108"/>
    </row>
    <row r="987" spans="1:68" ht="12" customHeight="1" x14ac:dyDescent="0.2">
      <c r="A987" s="179"/>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c r="AA987" s="108"/>
      <c r="AB987" s="108"/>
      <c r="AC987" s="108"/>
      <c r="AD987" s="108"/>
      <c r="AE987" s="108"/>
      <c r="AF987" s="108"/>
      <c r="AG987" s="108"/>
      <c r="AH987" s="108"/>
      <c r="AI987" s="108"/>
      <c r="AJ987" s="108"/>
      <c r="AK987" s="108"/>
      <c r="AL987" s="108"/>
      <c r="AM987" s="108"/>
      <c r="AN987" s="108"/>
      <c r="AO987" s="108"/>
      <c r="AP987" s="108"/>
      <c r="AQ987" s="108"/>
      <c r="AR987" s="108"/>
      <c r="AS987" s="108"/>
      <c r="AT987" s="108"/>
      <c r="AU987" s="108"/>
      <c r="AV987" s="108"/>
      <c r="AW987" s="108"/>
      <c r="AX987" s="108"/>
      <c r="AY987" s="108"/>
      <c r="AZ987" s="108"/>
      <c r="BA987" s="108"/>
      <c r="BB987" s="108"/>
      <c r="BC987" s="108"/>
      <c r="BD987" s="108"/>
      <c r="BE987" s="108"/>
      <c r="BF987" s="108"/>
      <c r="BG987" s="108"/>
      <c r="BH987" s="108"/>
      <c r="BI987" s="108"/>
      <c r="BJ987" s="108"/>
      <c r="BK987" s="108"/>
      <c r="BL987" s="108"/>
      <c r="BM987" s="109"/>
      <c r="BN987" s="108"/>
      <c r="BO987" s="108"/>
      <c r="BP987" s="108"/>
    </row>
    <row r="988" spans="1:68" ht="12" customHeight="1" x14ac:dyDescent="0.2">
      <c r="A988" s="179"/>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c r="AA988" s="108"/>
      <c r="AB988" s="108"/>
      <c r="AC988" s="108"/>
      <c r="AD988" s="108"/>
      <c r="AE988" s="108"/>
      <c r="AF988" s="108"/>
      <c r="AG988" s="108"/>
      <c r="AH988" s="108"/>
      <c r="AI988" s="108"/>
      <c r="AJ988" s="108"/>
      <c r="AK988" s="108"/>
      <c r="AL988" s="108"/>
      <c r="AM988" s="108"/>
      <c r="AN988" s="108"/>
      <c r="AO988" s="108"/>
      <c r="AP988" s="108"/>
      <c r="AQ988" s="108"/>
      <c r="AR988" s="108"/>
      <c r="AS988" s="108"/>
      <c r="AT988" s="108"/>
      <c r="AU988" s="108"/>
      <c r="AV988" s="108"/>
      <c r="AW988" s="108"/>
      <c r="AX988" s="108"/>
      <c r="AY988" s="108"/>
      <c r="AZ988" s="108"/>
      <c r="BA988" s="108"/>
      <c r="BB988" s="108"/>
      <c r="BC988" s="108"/>
      <c r="BD988" s="108"/>
      <c r="BE988" s="108"/>
      <c r="BF988" s="108"/>
      <c r="BG988" s="108"/>
      <c r="BH988" s="108"/>
      <c r="BI988" s="108"/>
      <c r="BJ988" s="108"/>
      <c r="BK988" s="108"/>
      <c r="BL988" s="108"/>
      <c r="BM988" s="109"/>
      <c r="BN988" s="108"/>
      <c r="BO988" s="108"/>
      <c r="BP988" s="108"/>
    </row>
    <row r="989" spans="1:68" ht="12" customHeight="1" x14ac:dyDescent="0.2">
      <c r="A989" s="179"/>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c r="AA989" s="108"/>
      <c r="AB989" s="108"/>
      <c r="AC989" s="108"/>
      <c r="AD989" s="108"/>
      <c r="AE989" s="108"/>
      <c r="AF989" s="108"/>
      <c r="AG989" s="108"/>
      <c r="AH989" s="108"/>
      <c r="AI989" s="108"/>
      <c r="AJ989" s="108"/>
      <c r="AK989" s="108"/>
      <c r="AL989" s="108"/>
      <c r="AM989" s="108"/>
      <c r="AN989" s="108"/>
      <c r="AO989" s="108"/>
      <c r="AP989" s="108"/>
      <c r="AQ989" s="108"/>
      <c r="AR989" s="108"/>
      <c r="AS989" s="108"/>
      <c r="AT989" s="108"/>
      <c r="AU989" s="108"/>
      <c r="AV989" s="108"/>
      <c r="AW989" s="108"/>
      <c r="AX989" s="108"/>
      <c r="AY989" s="108"/>
      <c r="AZ989" s="108"/>
      <c r="BA989" s="108"/>
      <c r="BB989" s="108"/>
      <c r="BC989" s="108"/>
      <c r="BD989" s="108"/>
      <c r="BE989" s="108"/>
      <c r="BF989" s="108"/>
      <c r="BG989" s="108"/>
      <c r="BH989" s="108"/>
      <c r="BI989" s="108"/>
      <c r="BJ989" s="108"/>
      <c r="BK989" s="108"/>
      <c r="BL989" s="108"/>
      <c r="BM989" s="109"/>
      <c r="BN989" s="108"/>
      <c r="BO989" s="108"/>
      <c r="BP989" s="108"/>
    </row>
    <row r="990" spans="1:68" ht="12" customHeight="1" x14ac:dyDescent="0.2">
      <c r="A990" s="179"/>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c r="AA990" s="108"/>
      <c r="AB990" s="108"/>
      <c r="AC990" s="108"/>
      <c r="AD990" s="108"/>
      <c r="AE990" s="108"/>
      <c r="AF990" s="108"/>
      <c r="AG990" s="108"/>
      <c r="AH990" s="108"/>
      <c r="AI990" s="108"/>
      <c r="AJ990" s="108"/>
      <c r="AK990" s="108"/>
      <c r="AL990" s="108"/>
      <c r="AM990" s="108"/>
      <c r="AN990" s="108"/>
      <c r="AO990" s="108"/>
      <c r="AP990" s="108"/>
      <c r="AQ990" s="108"/>
      <c r="AR990" s="108"/>
      <c r="AS990" s="108"/>
      <c r="AT990" s="108"/>
      <c r="AU990" s="108"/>
      <c r="AV990" s="108"/>
      <c r="AW990" s="108"/>
      <c r="AX990" s="108"/>
      <c r="AY990" s="108"/>
      <c r="AZ990" s="108"/>
      <c r="BA990" s="108"/>
      <c r="BB990" s="108"/>
      <c r="BC990" s="108"/>
      <c r="BD990" s="108"/>
      <c r="BE990" s="108"/>
      <c r="BF990" s="108"/>
      <c r="BG990" s="108"/>
      <c r="BH990" s="108"/>
      <c r="BI990" s="108"/>
      <c r="BJ990" s="108"/>
      <c r="BK990" s="108"/>
      <c r="BL990" s="108"/>
      <c r="BM990" s="109"/>
      <c r="BN990" s="108"/>
      <c r="BO990" s="108"/>
      <c r="BP990" s="108"/>
    </row>
    <row r="991" spans="1:68" ht="12" customHeight="1" x14ac:dyDescent="0.2">
      <c r="A991" s="179"/>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c r="AA991" s="108"/>
      <c r="AB991" s="108"/>
      <c r="AC991" s="108"/>
      <c r="AD991" s="108"/>
      <c r="AE991" s="108"/>
      <c r="AF991" s="108"/>
      <c r="AG991" s="108"/>
      <c r="AH991" s="108"/>
      <c r="AI991" s="108"/>
      <c r="AJ991" s="108"/>
      <c r="AK991" s="108"/>
      <c r="AL991" s="108"/>
      <c r="AM991" s="108"/>
      <c r="AN991" s="108"/>
      <c r="AO991" s="108"/>
      <c r="AP991" s="108"/>
      <c r="AQ991" s="108"/>
      <c r="AR991" s="108"/>
      <c r="AS991" s="108"/>
      <c r="AT991" s="108"/>
      <c r="AU991" s="108"/>
      <c r="AV991" s="108"/>
      <c r="AW991" s="108"/>
      <c r="AX991" s="108"/>
      <c r="AY991" s="108"/>
      <c r="AZ991" s="108"/>
      <c r="BA991" s="108"/>
      <c r="BB991" s="108"/>
      <c r="BC991" s="108"/>
      <c r="BD991" s="108"/>
      <c r="BE991" s="108"/>
      <c r="BF991" s="108"/>
      <c r="BG991" s="108"/>
      <c r="BH991" s="108"/>
      <c r="BI991" s="108"/>
      <c r="BJ991" s="108"/>
      <c r="BK991" s="108"/>
      <c r="BL991" s="108"/>
      <c r="BM991" s="109"/>
      <c r="BN991" s="108"/>
      <c r="BO991" s="108"/>
      <c r="BP991" s="108"/>
    </row>
    <row r="992" spans="1:68" ht="12" customHeight="1" x14ac:dyDescent="0.2">
      <c r="A992" s="179"/>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c r="AA992" s="108"/>
      <c r="AB992" s="108"/>
      <c r="AC992" s="108"/>
      <c r="AD992" s="108"/>
      <c r="AE992" s="108"/>
      <c r="AF992" s="108"/>
      <c r="AG992" s="108"/>
      <c r="AH992" s="108"/>
      <c r="AI992" s="108"/>
      <c r="AJ992" s="108"/>
      <c r="AK992" s="108"/>
      <c r="AL992" s="108"/>
      <c r="AM992" s="108"/>
      <c r="AN992" s="108"/>
      <c r="AO992" s="108"/>
      <c r="AP992" s="108"/>
      <c r="AQ992" s="108"/>
      <c r="AR992" s="108"/>
      <c r="AS992" s="108"/>
      <c r="AT992" s="108"/>
      <c r="AU992" s="108"/>
      <c r="AV992" s="108"/>
      <c r="AW992" s="108"/>
      <c r="AX992" s="108"/>
      <c r="AY992" s="108"/>
      <c r="AZ992" s="108"/>
      <c r="BA992" s="108"/>
      <c r="BB992" s="108"/>
      <c r="BC992" s="108"/>
      <c r="BD992" s="108"/>
      <c r="BE992" s="108"/>
      <c r="BF992" s="108"/>
      <c r="BG992" s="108"/>
      <c r="BH992" s="108"/>
      <c r="BI992" s="108"/>
      <c r="BJ992" s="108"/>
      <c r="BK992" s="108"/>
      <c r="BL992" s="108"/>
      <c r="BM992" s="109"/>
      <c r="BN992" s="108"/>
      <c r="BO992" s="108"/>
      <c r="BP992" s="108"/>
    </row>
    <row r="993" spans="1:68" ht="12" customHeight="1" x14ac:dyDescent="0.2">
      <c r="A993" s="179"/>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c r="AA993" s="108"/>
      <c r="AB993" s="108"/>
      <c r="AC993" s="108"/>
      <c r="AD993" s="108"/>
      <c r="AE993" s="108"/>
      <c r="AF993" s="108"/>
      <c r="AG993" s="108"/>
      <c r="AH993" s="108"/>
      <c r="AI993" s="108"/>
      <c r="AJ993" s="108"/>
      <c r="AK993" s="108"/>
      <c r="AL993" s="108"/>
      <c r="AM993" s="108"/>
      <c r="AN993" s="108"/>
      <c r="AO993" s="108"/>
      <c r="AP993" s="108"/>
      <c r="AQ993" s="108"/>
      <c r="AR993" s="108"/>
      <c r="AS993" s="108"/>
      <c r="AT993" s="108"/>
      <c r="AU993" s="108"/>
      <c r="AV993" s="108"/>
      <c r="AW993" s="108"/>
      <c r="AX993" s="108"/>
      <c r="AY993" s="108"/>
      <c r="AZ993" s="108"/>
      <c r="BA993" s="108"/>
      <c r="BB993" s="108"/>
      <c r="BC993" s="108"/>
      <c r="BD993" s="108"/>
      <c r="BE993" s="108"/>
      <c r="BF993" s="108"/>
      <c r="BG993" s="108"/>
      <c r="BH993" s="108"/>
      <c r="BI993" s="108"/>
      <c r="BJ993" s="108"/>
      <c r="BK993" s="108"/>
      <c r="BL993" s="108"/>
      <c r="BM993" s="109"/>
      <c r="BN993" s="108"/>
      <c r="BO993" s="108"/>
      <c r="BP993" s="108"/>
    </row>
    <row r="994" spans="1:68" ht="12" customHeight="1" x14ac:dyDescent="0.2">
      <c r="A994" s="179"/>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c r="AA994" s="108"/>
      <c r="AB994" s="108"/>
      <c r="AC994" s="108"/>
      <c r="AD994" s="108"/>
      <c r="AE994" s="108"/>
      <c r="AF994" s="108"/>
      <c r="AG994" s="108"/>
      <c r="AH994" s="108"/>
      <c r="AI994" s="108"/>
      <c r="AJ994" s="108"/>
      <c r="AK994" s="108"/>
      <c r="AL994" s="108"/>
      <c r="AM994" s="108"/>
      <c r="AN994" s="108"/>
      <c r="AO994" s="108"/>
      <c r="AP994" s="108"/>
      <c r="AQ994" s="108"/>
      <c r="AR994" s="108"/>
      <c r="AS994" s="108"/>
      <c r="AT994" s="108"/>
      <c r="AU994" s="108"/>
      <c r="AV994" s="108"/>
      <c r="AW994" s="108"/>
      <c r="AX994" s="108"/>
      <c r="AY994" s="108"/>
      <c r="AZ994" s="108"/>
      <c r="BA994" s="108"/>
      <c r="BB994" s="108"/>
      <c r="BC994" s="108"/>
      <c r="BD994" s="108"/>
      <c r="BE994" s="108"/>
      <c r="BF994" s="108"/>
      <c r="BG994" s="108"/>
      <c r="BH994" s="108"/>
      <c r="BI994" s="108"/>
      <c r="BJ994" s="108"/>
      <c r="BK994" s="108"/>
      <c r="BL994" s="108"/>
      <c r="BM994" s="109"/>
      <c r="BN994" s="108"/>
      <c r="BO994" s="108"/>
      <c r="BP994" s="108"/>
    </row>
    <row r="995" spans="1:68" ht="12" customHeight="1" x14ac:dyDescent="0.2">
      <c r="A995" s="179"/>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c r="AA995" s="108"/>
      <c r="AB995" s="108"/>
      <c r="AC995" s="108"/>
      <c r="AD995" s="108"/>
      <c r="AE995" s="108"/>
      <c r="AF995" s="108"/>
      <c r="AG995" s="108"/>
      <c r="AH995" s="108"/>
      <c r="AI995" s="108"/>
      <c r="AJ995" s="108"/>
      <c r="AK995" s="108"/>
      <c r="AL995" s="108"/>
      <c r="AM995" s="108"/>
      <c r="AN995" s="108"/>
      <c r="AO995" s="108"/>
      <c r="AP995" s="108"/>
      <c r="AQ995" s="108"/>
      <c r="AR995" s="108"/>
      <c r="AS995" s="108"/>
      <c r="AT995" s="108"/>
      <c r="AU995" s="108"/>
      <c r="AV995" s="108"/>
      <c r="AW995" s="108"/>
      <c r="AX995" s="108"/>
      <c r="AY995" s="108"/>
      <c r="AZ995" s="108"/>
      <c r="BA995" s="108"/>
      <c r="BB995" s="108"/>
      <c r="BC995" s="108"/>
      <c r="BD995" s="108"/>
      <c r="BE995" s="108"/>
      <c r="BF995" s="108"/>
      <c r="BG995" s="108"/>
      <c r="BH995" s="108"/>
      <c r="BI995" s="108"/>
      <c r="BJ995" s="108"/>
      <c r="BK995" s="108"/>
      <c r="BL995" s="108"/>
      <c r="BM995" s="109"/>
      <c r="BN995" s="108"/>
      <c r="BO995" s="108"/>
      <c r="BP995" s="108"/>
    </row>
    <row r="996" spans="1:68" ht="12" customHeight="1" x14ac:dyDescent="0.2">
      <c r="A996" s="179"/>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c r="AA996" s="108"/>
      <c r="AB996" s="108"/>
      <c r="AC996" s="108"/>
      <c r="AD996" s="108"/>
      <c r="AE996" s="108"/>
      <c r="AF996" s="108"/>
      <c r="AG996" s="108"/>
      <c r="AH996" s="108"/>
      <c r="AI996" s="108"/>
      <c r="AJ996" s="108"/>
      <c r="AK996" s="108"/>
      <c r="AL996" s="108"/>
      <c r="AM996" s="108"/>
      <c r="AN996" s="108"/>
      <c r="AO996" s="108"/>
      <c r="AP996" s="108"/>
      <c r="AQ996" s="108"/>
      <c r="AR996" s="108"/>
      <c r="AS996" s="108"/>
      <c r="AT996" s="108"/>
      <c r="AU996" s="108"/>
      <c r="AV996" s="108"/>
      <c r="AW996" s="108"/>
      <c r="AX996" s="108"/>
      <c r="AY996" s="108"/>
      <c r="AZ996" s="108"/>
      <c r="BA996" s="108"/>
      <c r="BB996" s="108"/>
      <c r="BC996" s="108"/>
      <c r="BD996" s="108"/>
      <c r="BE996" s="108"/>
      <c r="BF996" s="108"/>
      <c r="BG996" s="108"/>
      <c r="BH996" s="108"/>
      <c r="BI996" s="108"/>
      <c r="BJ996" s="108"/>
      <c r="BK996" s="108"/>
      <c r="BL996" s="108"/>
      <c r="BM996" s="109"/>
      <c r="BN996" s="108"/>
      <c r="BO996" s="108"/>
      <c r="BP996" s="108"/>
    </row>
    <row r="997" spans="1:68" ht="12" customHeight="1" x14ac:dyDescent="0.2">
      <c r="A997" s="179"/>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c r="AA997" s="108"/>
      <c r="AB997" s="108"/>
      <c r="AC997" s="108"/>
      <c r="AD997" s="108"/>
      <c r="AE997" s="108"/>
      <c r="AF997" s="108"/>
      <c r="AG997" s="108"/>
      <c r="AH997" s="108"/>
      <c r="AI997" s="108"/>
      <c r="AJ997" s="108"/>
      <c r="AK997" s="108"/>
      <c r="AL997" s="108"/>
      <c r="AM997" s="108"/>
      <c r="AN997" s="108"/>
      <c r="AO997" s="108"/>
      <c r="AP997" s="108"/>
      <c r="AQ997" s="108"/>
      <c r="AR997" s="108"/>
      <c r="AS997" s="108"/>
      <c r="AT997" s="108"/>
      <c r="AU997" s="108"/>
      <c r="AV997" s="108"/>
      <c r="AW997" s="108"/>
      <c r="AX997" s="108"/>
      <c r="AY997" s="108"/>
      <c r="AZ997" s="108"/>
      <c r="BA997" s="108"/>
      <c r="BB997" s="108"/>
      <c r="BC997" s="108"/>
      <c r="BD997" s="108"/>
      <c r="BE997" s="108"/>
      <c r="BF997" s="108"/>
      <c r="BG997" s="108"/>
      <c r="BH997" s="108"/>
      <c r="BI997" s="108"/>
      <c r="BJ997" s="108"/>
      <c r="BK997" s="108"/>
      <c r="BL997" s="108"/>
      <c r="BM997" s="109"/>
      <c r="BN997" s="108"/>
      <c r="BO997" s="108"/>
      <c r="BP997" s="108"/>
    </row>
    <row r="998" spans="1:68" ht="12" customHeight="1" x14ac:dyDescent="0.2">
      <c r="A998" s="179"/>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c r="AA998" s="108"/>
      <c r="AB998" s="108"/>
      <c r="AC998" s="108"/>
      <c r="AD998" s="108"/>
      <c r="AE998" s="108"/>
      <c r="AF998" s="108"/>
      <c r="AG998" s="108"/>
      <c r="AH998" s="108"/>
      <c r="AI998" s="108"/>
      <c r="AJ998" s="108"/>
      <c r="AK998" s="108"/>
      <c r="AL998" s="108"/>
      <c r="AM998" s="108"/>
      <c r="AN998" s="108"/>
      <c r="AO998" s="108"/>
      <c r="AP998" s="108"/>
      <c r="AQ998" s="108"/>
      <c r="AR998" s="108"/>
      <c r="AS998" s="108"/>
      <c r="AT998" s="108"/>
      <c r="AU998" s="108"/>
      <c r="AV998" s="108"/>
      <c r="AW998" s="108"/>
      <c r="AX998" s="108"/>
      <c r="AY998" s="108"/>
      <c r="AZ998" s="108"/>
      <c r="BA998" s="108"/>
      <c r="BB998" s="108"/>
      <c r="BC998" s="108"/>
      <c r="BD998" s="108"/>
      <c r="BE998" s="108"/>
      <c r="BF998" s="108"/>
      <c r="BG998" s="108"/>
      <c r="BH998" s="108"/>
      <c r="BI998" s="108"/>
      <c r="BJ998" s="108"/>
      <c r="BK998" s="108"/>
      <c r="BL998" s="108"/>
      <c r="BM998" s="109"/>
      <c r="BN998" s="108"/>
      <c r="BO998" s="108"/>
      <c r="BP998" s="108"/>
    </row>
    <row r="999" spans="1:68" ht="12" customHeight="1" x14ac:dyDescent="0.2">
      <c r="A999" s="179"/>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c r="AA999" s="108"/>
      <c r="AB999" s="108"/>
      <c r="AC999" s="108"/>
      <c r="AD999" s="108"/>
      <c r="AE999" s="108"/>
      <c r="AF999" s="108"/>
      <c r="AG999" s="108"/>
      <c r="AH999" s="108"/>
      <c r="AI999" s="108"/>
      <c r="AJ999" s="108"/>
      <c r="AK999" s="108"/>
      <c r="AL999" s="108"/>
      <c r="AM999" s="108"/>
      <c r="AN999" s="108"/>
      <c r="AO999" s="108"/>
      <c r="AP999" s="108"/>
      <c r="AQ999" s="108"/>
      <c r="AR999" s="108"/>
      <c r="AS999" s="108"/>
      <c r="AT999" s="108"/>
      <c r="AU999" s="108"/>
      <c r="AV999" s="108"/>
      <c r="AW999" s="108"/>
      <c r="AX999" s="108"/>
      <c r="AY999" s="108"/>
      <c r="AZ999" s="108"/>
      <c r="BA999" s="108"/>
      <c r="BB999" s="108"/>
      <c r="BC999" s="108"/>
      <c r="BD999" s="108"/>
      <c r="BE999" s="108"/>
      <c r="BF999" s="108"/>
      <c r="BG999" s="108"/>
      <c r="BH999" s="108"/>
      <c r="BI999" s="108"/>
      <c r="BJ999" s="108"/>
      <c r="BK999" s="108"/>
      <c r="BL999" s="108"/>
      <c r="BM999" s="109"/>
      <c r="BN999" s="108"/>
      <c r="BO999" s="108"/>
      <c r="BP999" s="108"/>
    </row>
    <row r="1000" spans="1:68" ht="12" customHeight="1" x14ac:dyDescent="0.2">
      <c r="A1000" s="179"/>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c r="AA1000" s="108"/>
      <c r="AB1000" s="108"/>
      <c r="AC1000" s="108"/>
      <c r="AD1000" s="108"/>
      <c r="AE1000" s="108"/>
      <c r="AF1000" s="108"/>
      <c r="AG1000" s="108"/>
      <c r="AH1000" s="108"/>
      <c r="AI1000" s="108"/>
      <c r="AJ1000" s="108"/>
      <c r="AK1000" s="108"/>
      <c r="AL1000" s="108"/>
      <c r="AM1000" s="108"/>
      <c r="AN1000" s="108"/>
      <c r="AO1000" s="108"/>
      <c r="AP1000" s="108"/>
      <c r="AQ1000" s="108"/>
      <c r="AR1000" s="108"/>
      <c r="AS1000" s="108"/>
      <c r="AT1000" s="108"/>
      <c r="AU1000" s="108"/>
      <c r="AV1000" s="108"/>
      <c r="AW1000" s="108"/>
      <c r="AX1000" s="108"/>
      <c r="AY1000" s="108"/>
      <c r="AZ1000" s="108"/>
      <c r="BA1000" s="108"/>
      <c r="BB1000" s="108"/>
      <c r="BC1000" s="108"/>
      <c r="BD1000" s="108"/>
      <c r="BE1000" s="108"/>
      <c r="BF1000" s="108"/>
      <c r="BG1000" s="108"/>
      <c r="BH1000" s="108"/>
      <c r="BI1000" s="108"/>
      <c r="BJ1000" s="108"/>
      <c r="BK1000" s="108"/>
      <c r="BL1000" s="108"/>
      <c r="BM1000" s="109"/>
      <c r="BN1000" s="108"/>
      <c r="BO1000" s="108"/>
      <c r="BP1000" s="108"/>
    </row>
  </sheetData>
  <pageMargins left="0.7" right="0.7" top="0.75" bottom="0.75" header="0" footer="0"/>
  <pageSetup paperSize="9" orientation="portrait"/>
  <ignoredErrors>
    <ignoredError sqref="D2:D30"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91184-F1C4-CC45-AAC3-9AF627022F76}">
  <sheetPr>
    <tabColor rgb="FF92D050"/>
  </sheetPr>
  <dimension ref="B3:N21"/>
  <sheetViews>
    <sheetView showGridLines="0" zoomScale="200" zoomScaleNormal="200" workbookViewId="0">
      <selection activeCell="M12" sqref="M12"/>
    </sheetView>
  </sheetViews>
  <sheetFormatPr baseColWidth="10" defaultRowHeight="15" x14ac:dyDescent="0.2"/>
  <cols>
    <col min="1" max="1" width="3.5" customWidth="1"/>
    <col min="2" max="2" width="27.6640625" bestFit="1" customWidth="1"/>
    <col min="3" max="3" width="9.83203125" bestFit="1" customWidth="1"/>
    <col min="4" max="4" width="9.6640625" hidden="1" customWidth="1"/>
    <col min="5" max="5" width="9.83203125" bestFit="1" customWidth="1"/>
    <col min="6" max="6" width="10.83203125" bestFit="1" customWidth="1"/>
    <col min="7" max="7" width="12.1640625" hidden="1" customWidth="1"/>
    <col min="8" max="8" width="9.83203125" hidden="1" customWidth="1"/>
    <col min="9" max="9" width="10.6640625" hidden="1" customWidth="1"/>
    <col min="10" max="10" width="15.1640625" customWidth="1"/>
    <col min="11" max="11" width="8.1640625" hidden="1" customWidth="1"/>
    <col min="12" max="12" width="3" customWidth="1"/>
    <col min="13" max="13" width="19" customWidth="1"/>
    <col min="14" max="14" width="15.1640625" bestFit="1" customWidth="1"/>
    <col min="15" max="15" width="12" bestFit="1" customWidth="1"/>
  </cols>
  <sheetData>
    <row r="3" spans="2:14" ht="31" x14ac:dyDescent="0.35">
      <c r="B3" s="82" t="s">
        <v>103</v>
      </c>
      <c r="D3" s="75"/>
      <c r="E3" s="495" t="s">
        <v>99</v>
      </c>
      <c r="F3" s="495"/>
      <c r="G3" s="495"/>
      <c r="H3" s="495"/>
      <c r="I3" s="495"/>
      <c r="J3" s="495"/>
    </row>
    <row r="5" spans="2:14" s="77" customFormat="1" ht="27" thickBot="1" x14ac:dyDescent="0.35">
      <c r="B5" s="76" t="s">
        <v>28</v>
      </c>
      <c r="C5" s="76" t="s">
        <v>120</v>
      </c>
      <c r="D5" s="76" t="s">
        <v>121</v>
      </c>
      <c r="E5" s="76" t="s">
        <v>91</v>
      </c>
      <c r="F5" s="201" t="s">
        <v>124</v>
      </c>
      <c r="G5" s="201" t="s">
        <v>130</v>
      </c>
      <c r="H5" s="201" t="s">
        <v>131</v>
      </c>
      <c r="I5" s="201" t="s">
        <v>123</v>
      </c>
      <c r="J5" s="201" t="s">
        <v>92</v>
      </c>
      <c r="K5" s="201" t="s">
        <v>92</v>
      </c>
      <c r="L5"/>
      <c r="M5" s="500" t="s">
        <v>116</v>
      </c>
      <c r="N5" s="500"/>
    </row>
    <row r="6" spans="2:14" s="77" customFormat="1" ht="25" x14ac:dyDescent="0.3">
      <c r="B6" s="90" t="s">
        <v>79</v>
      </c>
      <c r="C6" s="80">
        <f>+HLOOKUP($E3,DOWNSTREAM!$A$1:$AO$46,35,0)</f>
        <v>2765</v>
      </c>
      <c r="D6" s="80">
        <f>+HLOOKUP($E3,'DOWNSTREAM mod'!$A$1:$AJ$44,33,0)</f>
        <v>693.51618181818185</v>
      </c>
      <c r="E6" s="80">
        <f>+HLOOKUP($E$3,DOWNSTREAM!$A$1:$AO$46,36,0)</f>
        <v>2713.2500000000005</v>
      </c>
      <c r="F6" s="207">
        <f>+E6-C6</f>
        <v>-51.749999999999545</v>
      </c>
      <c r="G6" s="282">
        <v>949.11</v>
      </c>
      <c r="H6" s="207">
        <f>+G6+E6</f>
        <v>3662.3600000000006</v>
      </c>
      <c r="I6" s="207">
        <f>+H6-D6</f>
        <v>2968.8438181818187</v>
      </c>
      <c r="J6" s="208">
        <f>+E6/C6</f>
        <v>0.98128390596745041</v>
      </c>
      <c r="K6" s="208">
        <f>+H6/D6</f>
        <v>5.2808573123678837</v>
      </c>
      <c r="L6"/>
      <c r="M6" s="496">
        <f>+[9]Inf_Diario_RBD!$D$12/1000</f>
        <v>345.82930405999997</v>
      </c>
      <c r="N6" s="498" t="s">
        <v>163</v>
      </c>
    </row>
    <row r="7" spans="2:14" s="77" customFormat="1" ht="25" x14ac:dyDescent="0.3">
      <c r="B7" s="91" t="s">
        <v>80</v>
      </c>
      <c r="C7" s="79">
        <f>+HLOOKUP($E$3,DOWNSTREAM!$A$1:$AO$46,38,0)</f>
        <v>205</v>
      </c>
      <c r="D7" s="79">
        <f>+HLOOKUP($E$3,'DOWNSTREAM mod'!$A$1:$AJ$44,36,0)</f>
        <v>44.64</v>
      </c>
      <c r="E7" s="79">
        <f>+HLOOKUP($E$3,DOWNSTREAM!$A$1:$AO$46,39,0)</f>
        <v>235.87300000000002</v>
      </c>
      <c r="F7" s="209">
        <f>+E7-C7</f>
        <v>30.873000000000019</v>
      </c>
      <c r="G7" s="209"/>
      <c r="H7" s="209">
        <f>+G7+E7</f>
        <v>235.87300000000002</v>
      </c>
      <c r="I7" s="209">
        <f>+H7-D7</f>
        <v>191.233</v>
      </c>
      <c r="J7" s="215">
        <f>+E7/C7</f>
        <v>1.1506000000000001</v>
      </c>
      <c r="K7" s="215">
        <f>+H7/D7</f>
        <v>5.2838933691756278</v>
      </c>
      <c r="L7"/>
      <c r="M7" s="497"/>
      <c r="N7" s="499"/>
    </row>
    <row r="8" spans="2:14" s="77" customFormat="1" ht="25" x14ac:dyDescent="0.3">
      <c r="B8" s="91" t="s">
        <v>81</v>
      </c>
      <c r="C8" s="79">
        <f>+HLOOKUP($E$3,DOWNSTREAM!$A$1:$AO$46,41,0)</f>
        <v>1672</v>
      </c>
      <c r="D8" s="79">
        <f>+HLOOKUP($E$3,'DOWNSTREAM mod'!$A$1:$AJ$44,39,0)</f>
        <v>376.78381818181816</v>
      </c>
      <c r="E8" s="79">
        <f>+HLOOKUP($E$3,DOWNSTREAM!$A$1:$AO$46,42,0)</f>
        <v>1606.615</v>
      </c>
      <c r="F8" s="209">
        <f>+E8-C8</f>
        <v>-65.384999999999991</v>
      </c>
      <c r="G8" s="209"/>
      <c r="H8" s="209">
        <f>+G8+E8</f>
        <v>1606.615</v>
      </c>
      <c r="I8" s="209">
        <f>+H8-D8</f>
        <v>1229.8311818181819</v>
      </c>
      <c r="J8" s="215">
        <f>+E8/C8</f>
        <v>0.96089413875598084</v>
      </c>
      <c r="K8" s="215">
        <f>+H8/D8</f>
        <v>4.2640233536375574</v>
      </c>
      <c r="L8"/>
      <c r="M8" s="422">
        <f>+[9]Inf_Diario_Oleina!$D$12/1000</f>
        <v>159.44696177714286</v>
      </c>
      <c r="N8" s="423" t="s">
        <v>118</v>
      </c>
    </row>
    <row r="9" spans="2:14" s="77" customFormat="1" ht="26" thickBot="1" x14ac:dyDescent="0.35">
      <c r="B9" s="92" t="s">
        <v>82</v>
      </c>
      <c r="C9" s="81">
        <f>+HLOOKUP($E$3,DOWNSTREAM!$A$1:$AO$46,44,0)</f>
        <v>500.85</v>
      </c>
      <c r="D9" s="81" t="e">
        <f>+HLOOKUP($E$3,'DOWNSTREAM mod'!$A$1:$AJ$44,42,0)</f>
        <v>#N/A</v>
      </c>
      <c r="E9" s="81">
        <f>+HLOOKUP($E$3,DOWNSTREAM!$A$1:$AO$46,45,0)</f>
        <v>409.49999999999994</v>
      </c>
      <c r="F9" s="223">
        <f>+E9-C9</f>
        <v>-91.35000000000008</v>
      </c>
      <c r="G9" s="223"/>
      <c r="H9" s="223">
        <f>+G9+E9</f>
        <v>409.49999999999994</v>
      </c>
      <c r="I9" s="223" t="e">
        <f>+H9-D9</f>
        <v>#N/A</v>
      </c>
      <c r="J9" s="224">
        <f>+E9/C9</f>
        <v>0.81761006289308158</v>
      </c>
      <c r="K9" s="224" t="e">
        <f>+H9/D9</f>
        <v>#N/A</v>
      </c>
      <c r="L9"/>
      <c r="M9" s="428">
        <v>528.202</v>
      </c>
      <c r="N9" s="424" t="s">
        <v>205</v>
      </c>
    </row>
    <row r="10" spans="2:14" s="77" customFormat="1" ht="10" customHeight="1" x14ac:dyDescent="0.3">
      <c r="B10" s="86"/>
      <c r="C10" s="79"/>
      <c r="D10" s="79"/>
      <c r="E10" s="79"/>
      <c r="F10" s="78"/>
      <c r="G10" s="78"/>
      <c r="H10" s="78"/>
      <c r="I10" s="78"/>
      <c r="J10" s="79"/>
      <c r="K10" s="79"/>
      <c r="L10"/>
    </row>
    <row r="11" spans="2:14" s="77" customFormat="1" ht="24" x14ac:dyDescent="0.3">
      <c r="B11" s="88" t="s">
        <v>38</v>
      </c>
      <c r="C11" s="89">
        <f t="shared" ref="C11:H11" si="0">+SUM(C6:C9)</f>
        <v>5142.8500000000004</v>
      </c>
      <c r="D11" s="89" t="e">
        <f t="shared" si="0"/>
        <v>#N/A</v>
      </c>
      <c r="E11" s="89">
        <f t="shared" si="0"/>
        <v>4965.2380000000003</v>
      </c>
      <c r="F11" s="89">
        <f t="shared" si="0"/>
        <v>-177.6119999999996</v>
      </c>
      <c r="G11" s="89">
        <f t="shared" si="0"/>
        <v>949.11</v>
      </c>
      <c r="H11" s="89">
        <f t="shared" si="0"/>
        <v>5914.3480000000009</v>
      </c>
      <c r="I11" s="89" t="e">
        <f>+H11-D11</f>
        <v>#N/A</v>
      </c>
      <c r="J11" s="274">
        <f>+E11/C11</f>
        <v>0.96546428536706297</v>
      </c>
      <c r="K11" s="274" t="e">
        <f>+H11/D11</f>
        <v>#N/A</v>
      </c>
      <c r="L11"/>
    </row>
    <row r="12" spans="2:14" s="77" customFormat="1" ht="24" x14ac:dyDescent="0.3">
      <c r="L12"/>
    </row>
    <row r="17" spans="2:14" ht="27" x14ac:dyDescent="0.3">
      <c r="B17" s="273" t="s">
        <v>162</v>
      </c>
      <c r="K17" s="181"/>
      <c r="L17" s="181"/>
    </row>
    <row r="19" spans="2:14" x14ac:dyDescent="0.2">
      <c r="B19" s="321" t="s">
        <v>163</v>
      </c>
      <c r="C19" s="366">
        <v>0.94840000000000002</v>
      </c>
    </row>
    <row r="20" spans="2:14" x14ac:dyDescent="0.2">
      <c r="B20" s="321" t="s">
        <v>118</v>
      </c>
      <c r="C20" s="367">
        <v>0.74399999999999999</v>
      </c>
      <c r="E20" s="321" t="s">
        <v>174</v>
      </c>
    </row>
    <row r="21" spans="2:14" x14ac:dyDescent="0.2">
      <c r="N21" s="328"/>
    </row>
  </sheetData>
  <mergeCells count="4">
    <mergeCell ref="E3:J3"/>
    <mergeCell ref="M6:M7"/>
    <mergeCell ref="N6:N7"/>
    <mergeCell ref="M5:N5"/>
  </mergeCells>
  <conditionalFormatting sqref="J6:J9">
    <cfRule type="iconSet" priority="4">
      <iconSet>
        <cfvo type="percent" val="0"/>
        <cfvo type="num" val="0.95" gte="0"/>
        <cfvo type="num" val="0.98"/>
      </iconSet>
    </cfRule>
  </conditionalFormatting>
  <conditionalFormatting sqref="J10:K10">
    <cfRule type="iconSet" priority="19">
      <iconSet>
        <cfvo type="percent" val="0"/>
        <cfvo type="num" val="-200"/>
        <cfvo type="num" val="-150" gte="0"/>
      </iconSet>
    </cfRule>
  </conditionalFormatting>
  <conditionalFormatting sqref="J11:K11">
    <cfRule type="iconSet" priority="2">
      <iconSet>
        <cfvo type="percent" val="0"/>
        <cfvo type="num" val="0.95" gte="0"/>
        <cfvo type="num" val="0.98"/>
      </iconSet>
    </cfRule>
  </conditionalFormatting>
  <conditionalFormatting sqref="K6:K9">
    <cfRule type="iconSet" priority="1">
      <iconSet>
        <cfvo type="percent" val="0"/>
        <cfvo type="num" val="0.95" gte="0"/>
        <cfvo type="num" val="0.98"/>
      </iconSet>
    </cfRule>
  </conditionalFormatting>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C898A226-983E-344B-A88D-EB3A8376C6F8}">
          <x14:formula1>
            <xm:f>Lista!$C$5:$C$9</xm:f>
          </x14:formula1>
          <xm:sqref>E3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611FB-0188-1E43-B657-4700AC165B77}">
  <dimension ref="C4:C17"/>
  <sheetViews>
    <sheetView workbookViewId="0">
      <selection activeCell="C18" sqref="C18"/>
    </sheetView>
  </sheetViews>
  <sheetFormatPr baseColWidth="10" defaultRowHeight="15" x14ac:dyDescent="0.2"/>
  <cols>
    <col min="3" max="3" width="14.1640625" bestFit="1" customWidth="1"/>
  </cols>
  <sheetData>
    <row r="4" spans="3:3" ht="16" thickBot="1" x14ac:dyDescent="0.25"/>
    <row r="5" spans="3:3" ht="16" thickBot="1" x14ac:dyDescent="0.25">
      <c r="C5" s="2" t="s">
        <v>99</v>
      </c>
    </row>
    <row r="6" spans="3:3" ht="16" thickBot="1" x14ac:dyDescent="0.25">
      <c r="C6" s="2" t="s">
        <v>100</v>
      </c>
    </row>
    <row r="7" spans="3:3" ht="16" thickBot="1" x14ac:dyDescent="0.25">
      <c r="C7" s="2" t="s">
        <v>101</v>
      </c>
    </row>
    <row r="8" spans="3:3" ht="16" thickBot="1" x14ac:dyDescent="0.25">
      <c r="C8" s="2" t="s">
        <v>102</v>
      </c>
    </row>
    <row r="9" spans="3:3" ht="16" thickBot="1" x14ac:dyDescent="0.25">
      <c r="C9" s="3" t="s">
        <v>220</v>
      </c>
    </row>
    <row r="13" spans="3:3" x14ac:dyDescent="0.2">
      <c r="C13" s="271" t="s">
        <v>99</v>
      </c>
    </row>
    <row r="14" spans="3:3" x14ac:dyDescent="0.2">
      <c r="C14" s="271" t="s">
        <v>100</v>
      </c>
    </row>
    <row r="15" spans="3:3" x14ac:dyDescent="0.2">
      <c r="C15" s="271" t="s">
        <v>101</v>
      </c>
    </row>
    <row r="16" spans="3:3" x14ac:dyDescent="0.2">
      <c r="C16" s="271" t="s">
        <v>102</v>
      </c>
    </row>
    <row r="17" spans="3:3" x14ac:dyDescent="0.2">
      <c r="C17" s="271" t="s">
        <v>220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L115"/>
  <sheetViews>
    <sheetView showGridLines="0" tabSelected="1" topLeftCell="A78" zoomScale="280" zoomScaleNormal="280" workbookViewId="0">
      <selection activeCell="D84" sqref="D84"/>
    </sheetView>
  </sheetViews>
  <sheetFormatPr baseColWidth="10" defaultColWidth="14.5" defaultRowHeight="15" x14ac:dyDescent="0.2"/>
  <cols>
    <col min="1" max="1" width="3.83203125" customWidth="1"/>
    <col min="2" max="2" width="15.5" customWidth="1"/>
    <col min="3" max="4" width="10.6640625" customWidth="1"/>
    <col min="5" max="5" width="6.6640625" bestFit="1" customWidth="1"/>
    <col min="6" max="6" width="8.5" customWidth="1"/>
    <col min="7" max="7" width="7.6640625" bestFit="1" customWidth="1"/>
    <col min="8" max="8" width="16.5" customWidth="1"/>
    <col min="9" max="9" width="7" customWidth="1"/>
    <col min="10" max="10" width="7" bestFit="1" customWidth="1"/>
    <col min="11" max="11" width="9.83203125" customWidth="1"/>
    <col min="12" max="12" width="9.5" customWidth="1"/>
    <col min="13" max="13" width="12.1640625" customWidth="1"/>
    <col min="14" max="14" width="14.1640625" customWidth="1"/>
    <col min="15" max="15" width="16.33203125" customWidth="1"/>
    <col min="16" max="26" width="10.6640625" customWidth="1"/>
  </cols>
  <sheetData>
    <row r="1" spans="2:9" ht="16" hidden="1" x14ac:dyDescent="0.2">
      <c r="B1" s="68" t="s">
        <v>132</v>
      </c>
      <c r="C1" s="69"/>
      <c r="D1" s="69"/>
      <c r="E1" s="69"/>
      <c r="F1" s="69"/>
      <c r="G1" s="69"/>
      <c r="H1" s="70" t="s">
        <v>142</v>
      </c>
      <c r="I1" s="70" t="s">
        <v>92</v>
      </c>
    </row>
    <row r="2" spans="2:9" ht="24" hidden="1" x14ac:dyDescent="0.3">
      <c r="C2" s="70" t="s">
        <v>83</v>
      </c>
      <c r="D2" s="70" t="s">
        <v>84</v>
      </c>
      <c r="E2" s="70" t="s">
        <v>6</v>
      </c>
      <c r="F2" s="70" t="s">
        <v>85</v>
      </c>
      <c r="G2" s="70" t="s">
        <v>44</v>
      </c>
      <c r="H2" s="202"/>
    </row>
    <row r="3" spans="2:9" hidden="1" x14ac:dyDescent="0.2">
      <c r="B3" s="67" t="s">
        <v>87</v>
      </c>
      <c r="C3" s="71">
        <v>23000</v>
      </c>
      <c r="D3" s="72">
        <v>0.20399999999999999</v>
      </c>
      <c r="E3" s="71">
        <f>+D3*C3</f>
        <v>4692</v>
      </c>
      <c r="F3" s="71">
        <f>+C3*0.055</f>
        <v>1265</v>
      </c>
      <c r="H3" s="287">
        <v>923</v>
      </c>
      <c r="I3" s="288" t="s">
        <v>140</v>
      </c>
    </row>
    <row r="4" spans="2:9" hidden="1" x14ac:dyDescent="0.2">
      <c r="B4" s="67" t="s">
        <v>88</v>
      </c>
      <c r="C4" s="71">
        <v>9000</v>
      </c>
      <c r="D4" s="72">
        <v>0.18</v>
      </c>
      <c r="E4" s="71">
        <f>+D4*C4</f>
        <v>1620</v>
      </c>
      <c r="F4" s="71">
        <f>+C4*0.05</f>
        <v>450</v>
      </c>
      <c r="H4" s="287" t="s">
        <v>138</v>
      </c>
      <c r="I4" s="288" t="s">
        <v>139</v>
      </c>
    </row>
    <row r="5" spans="2:9" hidden="1" x14ac:dyDescent="0.2">
      <c r="B5" s="67" t="s">
        <v>89</v>
      </c>
      <c r="C5" s="71">
        <v>20000</v>
      </c>
      <c r="D5" s="72">
        <v>0.22700000000000001</v>
      </c>
      <c r="E5" s="71">
        <f>+D5*C5</f>
        <v>4540</v>
      </c>
      <c r="F5" s="71">
        <f>+C5*0.05</f>
        <v>1000</v>
      </c>
      <c r="H5" s="287" t="s">
        <v>136</v>
      </c>
      <c r="I5" s="288" t="s">
        <v>137</v>
      </c>
    </row>
    <row r="6" spans="2:9" hidden="1" x14ac:dyDescent="0.2">
      <c r="B6" s="67" t="s">
        <v>90</v>
      </c>
      <c r="C6" s="71">
        <v>8000</v>
      </c>
      <c r="D6" s="72">
        <v>0.20499999999999999</v>
      </c>
      <c r="E6" s="71">
        <f>+D6*C6</f>
        <v>1640</v>
      </c>
      <c r="F6" s="71">
        <f>+C6*0.045</f>
        <v>360</v>
      </c>
      <c r="H6" s="287" t="s">
        <v>134</v>
      </c>
      <c r="I6" s="288" t="s">
        <v>135</v>
      </c>
    </row>
    <row r="7" spans="2:9" hidden="1" x14ac:dyDescent="0.2">
      <c r="B7" s="67" t="s">
        <v>38</v>
      </c>
      <c r="C7" s="73">
        <f>+SUM(C3:C6)</f>
        <v>60000</v>
      </c>
      <c r="D7" s="74">
        <f>+E7/C7</f>
        <v>0.2082</v>
      </c>
      <c r="E7" s="73">
        <f>+SUM(E3:E6)</f>
        <v>12492</v>
      </c>
      <c r="F7" s="73">
        <f>+SUM(F3:F6)-1-400</f>
        <v>2674</v>
      </c>
      <c r="G7" s="73">
        <f>+F7*0.405-1</f>
        <v>1081.97</v>
      </c>
    </row>
    <row r="8" spans="2:9" hidden="1" x14ac:dyDescent="0.2"/>
    <row r="9" spans="2:9" hidden="1" x14ac:dyDescent="0.2"/>
    <row r="10" spans="2:9" hidden="1" x14ac:dyDescent="0.2"/>
    <row r="11" spans="2:9" hidden="1" x14ac:dyDescent="0.2"/>
    <row r="12" spans="2:9" hidden="1" x14ac:dyDescent="0.2"/>
    <row r="13" spans="2:9" ht="16" hidden="1" x14ac:dyDescent="0.2">
      <c r="B13" s="68" t="s">
        <v>164</v>
      </c>
      <c r="C13" s="69"/>
      <c r="D13" s="69"/>
      <c r="E13" s="69"/>
      <c r="F13" s="69"/>
      <c r="G13" s="69"/>
    </row>
    <row r="14" spans="2:9" hidden="1" x14ac:dyDescent="0.2">
      <c r="C14" s="70" t="s">
        <v>83</v>
      </c>
      <c r="D14" s="70" t="s">
        <v>84</v>
      </c>
      <c r="E14" s="70" t="s">
        <v>6</v>
      </c>
      <c r="F14" s="70" t="s">
        <v>85</v>
      </c>
      <c r="G14" s="70" t="s">
        <v>44</v>
      </c>
    </row>
    <row r="15" spans="2:9" hidden="1" x14ac:dyDescent="0.2">
      <c r="B15" s="67" t="s">
        <v>87</v>
      </c>
      <c r="C15" s="329">
        <v>19900</v>
      </c>
      <c r="D15" s="330">
        <v>0.214</v>
      </c>
      <c r="E15" s="319">
        <f>+D15*C15</f>
        <v>4258.6000000000004</v>
      </c>
      <c r="F15" s="319">
        <f>+C15*0.055</f>
        <v>1094.5</v>
      </c>
      <c r="G15" s="331"/>
    </row>
    <row r="16" spans="2:9" hidden="1" x14ac:dyDescent="0.2">
      <c r="B16" s="67" t="s">
        <v>88</v>
      </c>
      <c r="C16" s="329">
        <v>8800</v>
      </c>
      <c r="D16" s="330">
        <v>0.19500000000000001</v>
      </c>
      <c r="E16" s="319">
        <f>+D16*C16</f>
        <v>1716</v>
      </c>
      <c r="F16" s="319">
        <f>+C16*0.05</f>
        <v>440</v>
      </c>
      <c r="G16" s="331"/>
    </row>
    <row r="17" spans="2:9" hidden="1" x14ac:dyDescent="0.2">
      <c r="B17" s="67" t="s">
        <v>89</v>
      </c>
      <c r="C17" s="329">
        <v>18300</v>
      </c>
      <c r="D17" s="330">
        <v>0.23400000000000001</v>
      </c>
      <c r="E17" s="319">
        <f>+D17*C17</f>
        <v>4282.2</v>
      </c>
      <c r="F17" s="319">
        <f>+C17*0.05</f>
        <v>915</v>
      </c>
      <c r="G17" s="331"/>
    </row>
    <row r="18" spans="2:9" hidden="1" x14ac:dyDescent="0.2">
      <c r="B18" s="67" t="s">
        <v>90</v>
      </c>
      <c r="C18" s="329">
        <v>6250</v>
      </c>
      <c r="D18" s="317">
        <v>0.23</v>
      </c>
      <c r="E18" s="319">
        <f>+D18*C18</f>
        <v>1437.5</v>
      </c>
      <c r="F18" s="319">
        <f>+C18*0.045</f>
        <v>281.25</v>
      </c>
      <c r="G18" s="331"/>
    </row>
    <row r="19" spans="2:9" hidden="1" x14ac:dyDescent="0.2">
      <c r="B19" s="67" t="s">
        <v>38</v>
      </c>
      <c r="C19" s="332">
        <f>+SUM(C15:C18)</f>
        <v>53250</v>
      </c>
      <c r="D19" s="318">
        <f>+E19/C19</f>
        <v>0.21961126760563379</v>
      </c>
      <c r="E19" s="320">
        <f>+SUM(E15:E18)</f>
        <v>11694.3</v>
      </c>
      <c r="F19" s="320">
        <f>+SUM(F15:F18)-1</f>
        <v>2729.75</v>
      </c>
      <c r="G19" s="320">
        <f>+F19*0.41-1</f>
        <v>1118.1975</v>
      </c>
    </row>
    <row r="20" spans="2:9" hidden="1" x14ac:dyDescent="0.2"/>
    <row r="21" spans="2:9" hidden="1" x14ac:dyDescent="0.2"/>
    <row r="22" spans="2:9" ht="16" hidden="1" x14ac:dyDescent="0.2">
      <c r="B22" s="369" t="s">
        <v>171</v>
      </c>
      <c r="C22" s="369"/>
      <c r="D22" s="370"/>
      <c r="E22" s="370"/>
      <c r="F22" s="370"/>
      <c r="G22" s="370"/>
      <c r="H22" s="365" t="s">
        <v>172</v>
      </c>
      <c r="I22" s="407" t="s">
        <v>197</v>
      </c>
    </row>
    <row r="23" spans="2:9" hidden="1" x14ac:dyDescent="0.2">
      <c r="B23" s="371"/>
      <c r="C23" s="372" t="s">
        <v>83</v>
      </c>
      <c r="D23" s="372" t="s">
        <v>84</v>
      </c>
      <c r="E23" s="372" t="s">
        <v>6</v>
      </c>
      <c r="F23" s="372" t="s">
        <v>85</v>
      </c>
      <c r="G23" s="372" t="s">
        <v>44</v>
      </c>
      <c r="H23" s="363"/>
    </row>
    <row r="24" spans="2:9" hidden="1" x14ac:dyDescent="0.2">
      <c r="B24" s="373" t="s">
        <v>87</v>
      </c>
      <c r="C24" s="374">
        <v>17500</v>
      </c>
      <c r="D24" s="375">
        <v>0.22700000000000001</v>
      </c>
      <c r="E24" s="374">
        <f>+D24*C24</f>
        <v>3972.5</v>
      </c>
      <c r="F24" s="319">
        <f>+C24*0.055</f>
        <v>962.5</v>
      </c>
      <c r="G24" s="331"/>
      <c r="H24" s="304">
        <f>17700+1450</f>
        <v>19150</v>
      </c>
      <c r="I24" s="408">
        <v>0.192</v>
      </c>
    </row>
    <row r="25" spans="2:9" hidden="1" x14ac:dyDescent="0.2">
      <c r="B25" s="373" t="s">
        <v>88</v>
      </c>
      <c r="C25" s="374">
        <v>6300</v>
      </c>
      <c r="D25" s="375">
        <v>0.2</v>
      </c>
      <c r="E25" s="374">
        <f>+D25*C25</f>
        <v>1260</v>
      </c>
      <c r="F25" s="319">
        <f>+C25*0.05</f>
        <v>315</v>
      </c>
      <c r="G25" s="331"/>
      <c r="H25" s="304">
        <v>8900</v>
      </c>
      <c r="I25" s="408">
        <v>0.17499999999999999</v>
      </c>
    </row>
    <row r="26" spans="2:9" hidden="1" x14ac:dyDescent="0.2">
      <c r="B26" s="373" t="s">
        <v>89</v>
      </c>
      <c r="C26" s="374">
        <v>16100</v>
      </c>
      <c r="D26" s="375">
        <v>0.23499999999999999</v>
      </c>
      <c r="E26" s="374">
        <f>+D26*C26</f>
        <v>3783.5</v>
      </c>
      <c r="F26" s="319">
        <f>+C26*0.05</f>
        <v>805</v>
      </c>
      <c r="G26" s="331"/>
      <c r="H26" s="304">
        <v>17581</v>
      </c>
      <c r="I26" s="408">
        <v>0.19600000000000001</v>
      </c>
    </row>
    <row r="27" spans="2:9" hidden="1" x14ac:dyDescent="0.2">
      <c r="B27" s="373" t="s">
        <v>90</v>
      </c>
      <c r="C27" s="374">
        <v>6200</v>
      </c>
      <c r="D27" s="376">
        <v>0.23499999999999999</v>
      </c>
      <c r="E27" s="374">
        <f>+D27*C27</f>
        <v>1457</v>
      </c>
      <c r="F27" s="319">
        <f>+C27*0.045</f>
        <v>279</v>
      </c>
      <c r="G27" s="331"/>
      <c r="H27" s="304">
        <v>7700</v>
      </c>
      <c r="I27" s="408">
        <v>0.182</v>
      </c>
    </row>
    <row r="28" spans="2:9" hidden="1" x14ac:dyDescent="0.2">
      <c r="B28" s="373" t="s">
        <v>38</v>
      </c>
      <c r="C28" s="377">
        <f>+SUM(C24:C27)</f>
        <v>46100</v>
      </c>
      <c r="D28" s="378">
        <f>+E28/C28</f>
        <v>0.22718004338394793</v>
      </c>
      <c r="E28" s="377">
        <f>+SUM(E24:E27)</f>
        <v>10473</v>
      </c>
      <c r="F28" s="320">
        <f>+SUM(F24:F27)+200</f>
        <v>2561.5</v>
      </c>
      <c r="G28" s="320">
        <f>+F28*0.41-1</f>
        <v>1049.2149999999999</v>
      </c>
      <c r="H28" s="364">
        <f>+SUM(H24:H27)</f>
        <v>53331</v>
      </c>
      <c r="I28" s="409">
        <f>+(D24*I24+D25*I25+D26*I26+D27*I27)/SUM(D24:D27)</f>
        <v>0.18663768115942028</v>
      </c>
    </row>
    <row r="29" spans="2:9" hidden="1" x14ac:dyDescent="0.2"/>
    <row r="30" spans="2:9" hidden="1" x14ac:dyDescent="0.2"/>
    <row r="31" spans="2:9" hidden="1" x14ac:dyDescent="0.2"/>
    <row r="32" spans="2:9" hidden="1" x14ac:dyDescent="0.2"/>
    <row r="33" spans="2:10" ht="16" hidden="1" x14ac:dyDescent="0.2">
      <c r="B33" s="68" t="s">
        <v>200</v>
      </c>
      <c r="C33" s="69"/>
      <c r="D33" s="69"/>
      <c r="E33" s="69"/>
      <c r="F33" s="69"/>
      <c r="G33" s="69"/>
      <c r="H33" s="407" t="s">
        <v>198</v>
      </c>
      <c r="I33" s="501" t="s">
        <v>197</v>
      </c>
      <c r="J33" s="501"/>
    </row>
    <row r="34" spans="2:10" hidden="1" x14ac:dyDescent="0.2">
      <c r="C34" s="70" t="s">
        <v>83</v>
      </c>
      <c r="D34" s="70" t="s">
        <v>84</v>
      </c>
      <c r="E34" s="70" t="s">
        <v>6</v>
      </c>
      <c r="F34" s="70" t="s">
        <v>85</v>
      </c>
      <c r="G34" s="70" t="s">
        <v>44</v>
      </c>
    </row>
    <row r="35" spans="2:10" hidden="1" x14ac:dyDescent="0.2">
      <c r="B35" s="67" t="s">
        <v>87</v>
      </c>
      <c r="C35" s="319">
        <v>20500</v>
      </c>
      <c r="D35" s="330">
        <v>0.22</v>
      </c>
      <c r="E35" s="319">
        <f>+C35*D35</f>
        <v>4510</v>
      </c>
      <c r="F35" s="319">
        <f>+C35*0.055</f>
        <v>1127.5</v>
      </c>
      <c r="G35" s="331"/>
      <c r="H35" s="319">
        <f>19370</f>
        <v>19370</v>
      </c>
      <c r="I35" s="410">
        <v>809.84</v>
      </c>
      <c r="J35" s="411">
        <v>0.19500000000000001</v>
      </c>
    </row>
    <row r="36" spans="2:10" hidden="1" x14ac:dyDescent="0.2">
      <c r="B36" s="67" t="s">
        <v>88</v>
      </c>
      <c r="C36" s="319">
        <v>6700</v>
      </c>
      <c r="D36" s="330">
        <v>0.19800000000000001</v>
      </c>
      <c r="E36" s="319">
        <f>+C36*D36</f>
        <v>1326.6000000000001</v>
      </c>
      <c r="F36" s="319">
        <f>+C36*0.05</f>
        <v>335</v>
      </c>
      <c r="G36" s="331"/>
      <c r="H36" s="319">
        <f>6517.72</f>
        <v>6517.72</v>
      </c>
      <c r="I36" s="410">
        <v>712</v>
      </c>
      <c r="J36" s="411">
        <v>0.17299999999999999</v>
      </c>
    </row>
    <row r="37" spans="2:10" hidden="1" x14ac:dyDescent="0.2">
      <c r="B37" s="67" t="s">
        <v>89</v>
      </c>
      <c r="C37" s="319">
        <v>22500</v>
      </c>
      <c r="D37" s="330">
        <v>0.23499999999999999</v>
      </c>
      <c r="E37" s="319">
        <f>+C37*D37</f>
        <v>5287.5</v>
      </c>
      <c r="F37" s="319">
        <f>+C37*0.05</f>
        <v>1125</v>
      </c>
      <c r="G37" s="331"/>
      <c r="H37" s="319">
        <v>22296</v>
      </c>
      <c r="I37" s="410">
        <v>816.53700000000003</v>
      </c>
      <c r="J37" s="411">
        <v>0.19600000000000001</v>
      </c>
    </row>
    <row r="38" spans="2:10" hidden="1" x14ac:dyDescent="0.2">
      <c r="B38" s="67" t="s">
        <v>90</v>
      </c>
      <c r="C38" s="319">
        <v>5950</v>
      </c>
      <c r="D38" s="317">
        <v>0.22</v>
      </c>
      <c r="E38" s="319">
        <f>+C38*D38</f>
        <v>1309</v>
      </c>
      <c r="F38" s="319">
        <f>+C38*0.045</f>
        <v>267.75</v>
      </c>
      <c r="G38" s="331"/>
      <c r="H38" s="319">
        <v>7317</v>
      </c>
      <c r="I38" s="410">
        <v>777.1</v>
      </c>
      <c r="J38" s="411">
        <v>0.187</v>
      </c>
    </row>
    <row r="39" spans="2:10" hidden="1" x14ac:dyDescent="0.2">
      <c r="B39" s="67" t="s">
        <v>38</v>
      </c>
      <c r="C39" s="320">
        <f>+SUM(C35:C38)</f>
        <v>55650</v>
      </c>
      <c r="D39" s="318">
        <f>+E39/C39</f>
        <v>0.22341599281221924</v>
      </c>
      <c r="E39" s="320">
        <f>+SUM(E35:E38)</f>
        <v>12433.1</v>
      </c>
      <c r="F39" s="320">
        <f>+SUM(F35:F38)</f>
        <v>2855.25</v>
      </c>
      <c r="G39" s="320">
        <f>+F39*41%</f>
        <v>1170.6524999999999</v>
      </c>
      <c r="H39" s="320">
        <f>+SUM(H35:H38)</f>
        <v>55500.72</v>
      </c>
      <c r="I39" s="409"/>
    </row>
    <row r="40" spans="2:10" hidden="1" x14ac:dyDescent="0.2"/>
    <row r="41" spans="2:10" hidden="1" x14ac:dyDescent="0.2"/>
    <row r="42" spans="2:10" hidden="1" x14ac:dyDescent="0.2"/>
    <row r="43" spans="2:10" ht="16" hidden="1" x14ac:dyDescent="0.2">
      <c r="B43" s="68" t="s">
        <v>202</v>
      </c>
      <c r="C43" s="69"/>
      <c r="D43" s="69"/>
      <c r="E43" s="69"/>
      <c r="F43" s="69"/>
      <c r="G43" s="69"/>
      <c r="H43" s="407" t="s">
        <v>198</v>
      </c>
      <c r="I43" s="501" t="s">
        <v>197</v>
      </c>
      <c r="J43" s="501"/>
    </row>
    <row r="44" spans="2:10" hidden="1" x14ac:dyDescent="0.2">
      <c r="C44" s="70" t="s">
        <v>83</v>
      </c>
      <c r="D44" s="70" t="s">
        <v>84</v>
      </c>
      <c r="E44" s="70" t="s">
        <v>6</v>
      </c>
      <c r="F44" s="70" t="s">
        <v>85</v>
      </c>
      <c r="G44" s="70" t="s">
        <v>44</v>
      </c>
    </row>
    <row r="45" spans="2:10" hidden="1" x14ac:dyDescent="0.2">
      <c r="B45" s="67" t="s">
        <v>87</v>
      </c>
      <c r="C45" s="319">
        <v>21000</v>
      </c>
      <c r="D45" s="330">
        <v>0.22</v>
      </c>
      <c r="E45" s="319">
        <f>+C45*D45</f>
        <v>4620</v>
      </c>
      <c r="F45" s="319">
        <f>+C45*0.055</f>
        <v>1155</v>
      </c>
      <c r="G45" s="331"/>
      <c r="H45" s="319">
        <f>19370</f>
        <v>19370</v>
      </c>
      <c r="I45" s="410">
        <v>809.84</v>
      </c>
      <c r="J45" s="411">
        <v>0.19500000000000001</v>
      </c>
    </row>
    <row r="46" spans="2:10" hidden="1" x14ac:dyDescent="0.2">
      <c r="B46" s="67" t="s">
        <v>88</v>
      </c>
      <c r="C46" s="319">
        <v>7000</v>
      </c>
      <c r="D46" s="330">
        <v>0.19800000000000001</v>
      </c>
      <c r="E46" s="319">
        <f>+C46*D46</f>
        <v>1386</v>
      </c>
      <c r="F46" s="319">
        <f>+C46*0.05</f>
        <v>350</v>
      </c>
      <c r="G46" s="331"/>
      <c r="H46" s="319">
        <f>6517.72</f>
        <v>6517.72</v>
      </c>
      <c r="I46" s="410">
        <v>712</v>
      </c>
      <c r="J46" s="411">
        <v>0.17299999999999999</v>
      </c>
    </row>
    <row r="47" spans="2:10" hidden="1" x14ac:dyDescent="0.2">
      <c r="B47" s="67" t="s">
        <v>89</v>
      </c>
      <c r="C47" s="319">
        <v>23400</v>
      </c>
      <c r="D47" s="330">
        <v>0.23499999999999999</v>
      </c>
      <c r="E47" s="319">
        <f>+C47*D47</f>
        <v>5499</v>
      </c>
      <c r="F47" s="319">
        <f>+C47*0.05</f>
        <v>1170</v>
      </c>
      <c r="G47" s="331"/>
      <c r="H47" s="319">
        <v>22296</v>
      </c>
      <c r="I47" s="410">
        <v>816.53700000000003</v>
      </c>
      <c r="J47" s="411">
        <v>0.19600000000000001</v>
      </c>
    </row>
    <row r="48" spans="2:10" hidden="1" x14ac:dyDescent="0.2">
      <c r="B48" s="67" t="s">
        <v>90</v>
      </c>
      <c r="C48" s="319">
        <v>6200</v>
      </c>
      <c r="D48" s="317">
        <v>0.22</v>
      </c>
      <c r="E48" s="319">
        <f>+C48*D48</f>
        <v>1364</v>
      </c>
      <c r="F48" s="319">
        <f>+C48*0.045</f>
        <v>279</v>
      </c>
      <c r="G48" s="331"/>
      <c r="H48" s="319">
        <v>7317</v>
      </c>
      <c r="I48" s="410">
        <v>777.1</v>
      </c>
      <c r="J48" s="411">
        <v>0.187</v>
      </c>
    </row>
    <row r="49" spans="2:10" hidden="1" x14ac:dyDescent="0.2">
      <c r="B49" s="67" t="s">
        <v>38</v>
      </c>
      <c r="C49" s="320">
        <f>+SUM(C45:C48)</f>
        <v>57600</v>
      </c>
      <c r="D49" s="318">
        <f>+E49/C49</f>
        <v>0.2234201388888889</v>
      </c>
      <c r="E49" s="320">
        <f>+SUM(E45:E48)</f>
        <v>12869</v>
      </c>
      <c r="F49" s="320">
        <f>+SUM(F45:F48)</f>
        <v>2954</v>
      </c>
      <c r="G49" s="320">
        <f>+F49*41%</f>
        <v>1211.1399999999999</v>
      </c>
      <c r="H49" s="320">
        <f>+SUM(H45:H48)</f>
        <v>55500.72</v>
      </c>
      <c r="I49" s="409"/>
    </row>
    <row r="50" spans="2:10" hidden="1" x14ac:dyDescent="0.2"/>
    <row r="51" spans="2:10" hidden="1" x14ac:dyDescent="0.2"/>
    <row r="52" spans="2:10" ht="16" hidden="1" x14ac:dyDescent="0.2">
      <c r="B52" s="68" t="s">
        <v>204</v>
      </c>
      <c r="C52" s="69"/>
      <c r="D52" s="69"/>
      <c r="E52" s="69"/>
      <c r="F52" s="69"/>
      <c r="G52" s="69"/>
      <c r="H52" s="407" t="s">
        <v>198</v>
      </c>
      <c r="I52" s="501" t="s">
        <v>197</v>
      </c>
      <c r="J52" s="501"/>
    </row>
    <row r="53" spans="2:10" hidden="1" x14ac:dyDescent="0.2">
      <c r="C53" s="70" t="s">
        <v>83</v>
      </c>
      <c r="D53" s="70" t="s">
        <v>84</v>
      </c>
      <c r="E53" s="70" t="s">
        <v>6</v>
      </c>
      <c r="F53" s="70" t="s">
        <v>85</v>
      </c>
      <c r="G53" s="70" t="s">
        <v>44</v>
      </c>
    </row>
    <row r="54" spans="2:10" hidden="1" x14ac:dyDescent="0.2">
      <c r="B54" s="67" t="s">
        <v>87</v>
      </c>
      <c r="C54" s="421">
        <v>20500</v>
      </c>
      <c r="D54" s="330">
        <v>0.22</v>
      </c>
      <c r="E54" s="319">
        <f>+C54*D54</f>
        <v>4510</v>
      </c>
      <c r="F54" s="319">
        <f>+C54*0.055</f>
        <v>1127.5</v>
      </c>
      <c r="G54" s="331"/>
      <c r="H54" s="421">
        <v>19640</v>
      </c>
      <c r="I54" s="410">
        <v>809.84</v>
      </c>
      <c r="J54" s="411">
        <v>0.19500000000000001</v>
      </c>
    </row>
    <row r="55" spans="2:10" hidden="1" x14ac:dyDescent="0.2">
      <c r="B55" s="67" t="s">
        <v>88</v>
      </c>
      <c r="C55" s="421">
        <v>6732.22</v>
      </c>
      <c r="D55" s="330">
        <v>0.19800000000000001</v>
      </c>
      <c r="E55" s="319">
        <f>+C55*D55</f>
        <v>1332.9795600000002</v>
      </c>
      <c r="F55" s="319">
        <f>+C55*0.05</f>
        <v>336.61100000000005</v>
      </c>
      <c r="G55" s="331"/>
      <c r="H55" s="421">
        <v>2050000</v>
      </c>
      <c r="I55" s="410">
        <v>712</v>
      </c>
      <c r="J55" s="411">
        <v>0.17299999999999999</v>
      </c>
    </row>
    <row r="56" spans="2:10" hidden="1" x14ac:dyDescent="0.2">
      <c r="B56" s="67" t="s">
        <v>89</v>
      </c>
      <c r="C56" s="421">
        <v>21000</v>
      </c>
      <c r="D56" s="330">
        <v>0.23499999999999999</v>
      </c>
      <c r="E56" s="319">
        <f>+C56*D56</f>
        <v>4935</v>
      </c>
      <c r="F56" s="319">
        <f>+C56*0.05</f>
        <v>1050</v>
      </c>
      <c r="G56" s="331"/>
      <c r="H56" s="421">
        <v>20491</v>
      </c>
      <c r="I56" s="410">
        <v>816.53700000000003</v>
      </c>
      <c r="J56" s="411">
        <v>0.19600000000000001</v>
      </c>
    </row>
    <row r="57" spans="2:10" hidden="1" x14ac:dyDescent="0.2">
      <c r="B57" s="67" t="s">
        <v>90</v>
      </c>
      <c r="C57" s="421">
        <v>6000</v>
      </c>
      <c r="D57" s="317">
        <v>0.22</v>
      </c>
      <c r="E57" s="319">
        <f>+C57*D57</f>
        <v>1320</v>
      </c>
      <c r="F57" s="319">
        <f>+C57*0.045</f>
        <v>270</v>
      </c>
      <c r="G57" s="331"/>
      <c r="H57" s="421">
        <v>5500</v>
      </c>
      <c r="I57" s="410">
        <v>777.1</v>
      </c>
      <c r="J57" s="411">
        <v>0.187</v>
      </c>
    </row>
    <row r="58" spans="2:10" hidden="1" x14ac:dyDescent="0.2">
      <c r="B58" s="67" t="s">
        <v>38</v>
      </c>
      <c r="C58" s="320">
        <f>+SUM(C54:C57)</f>
        <v>54232.22</v>
      </c>
      <c r="D58" s="318">
        <f>+E58/C58</f>
        <v>0.22307734332099993</v>
      </c>
      <c r="E58" s="320">
        <f>+SUM(E54:E57)</f>
        <v>12097.97956</v>
      </c>
      <c r="F58" s="320">
        <f>+SUM(F54:F57)</f>
        <v>2784.1109999999999</v>
      </c>
      <c r="G58" s="320">
        <f>+F58*41%</f>
        <v>1141.48551</v>
      </c>
      <c r="H58" s="320">
        <f>+SUM(H54:H57)</f>
        <v>2095631</v>
      </c>
      <c r="I58" s="409"/>
    </row>
    <row r="59" spans="2:10" hidden="1" x14ac:dyDescent="0.2"/>
    <row r="60" spans="2:10" hidden="1" x14ac:dyDescent="0.2"/>
    <row r="61" spans="2:10" hidden="1" x14ac:dyDescent="0.2">
      <c r="D61" s="425"/>
    </row>
    <row r="62" spans="2:10" ht="16" hidden="1" x14ac:dyDescent="0.2">
      <c r="B62" s="68" t="s">
        <v>207</v>
      </c>
      <c r="C62" s="69"/>
      <c r="D62" s="69"/>
      <c r="E62" s="69"/>
      <c r="F62" s="69"/>
      <c r="G62" s="69"/>
    </row>
    <row r="63" spans="2:10" hidden="1" x14ac:dyDescent="0.2">
      <c r="C63" s="70" t="s">
        <v>83</v>
      </c>
      <c r="D63" s="70" t="s">
        <v>84</v>
      </c>
      <c r="E63" s="70" t="s">
        <v>6</v>
      </c>
      <c r="F63" s="70" t="s">
        <v>85</v>
      </c>
      <c r="G63" s="70" t="s">
        <v>44</v>
      </c>
    </row>
    <row r="64" spans="2:10" hidden="1" x14ac:dyDescent="0.2">
      <c r="B64" s="67" t="s">
        <v>87</v>
      </c>
      <c r="C64" s="421">
        <v>17000</v>
      </c>
      <c r="D64" s="330">
        <v>0.216</v>
      </c>
      <c r="E64" s="329">
        <f>+D64*C64</f>
        <v>3672</v>
      </c>
      <c r="F64" s="319">
        <v>935</v>
      </c>
      <c r="G64" s="331"/>
    </row>
    <row r="65" spans="2:12" hidden="1" x14ac:dyDescent="0.2">
      <c r="B65" s="67" t="s">
        <v>88</v>
      </c>
      <c r="C65" s="421">
        <v>8300</v>
      </c>
      <c r="D65" s="330">
        <v>0.19800000000000001</v>
      </c>
      <c r="E65" s="329">
        <f>+D65*C65</f>
        <v>1643.4</v>
      </c>
      <c r="F65" s="319">
        <v>415</v>
      </c>
      <c r="G65" s="331"/>
    </row>
    <row r="66" spans="2:12" hidden="1" x14ac:dyDescent="0.2">
      <c r="B66" s="67" t="s">
        <v>89</v>
      </c>
      <c r="C66" s="421">
        <v>23150</v>
      </c>
      <c r="D66" s="330">
        <v>0.23499999999999999</v>
      </c>
      <c r="E66" s="329">
        <f>+D66*C66</f>
        <v>5440.25</v>
      </c>
      <c r="F66" s="319">
        <v>1157.5</v>
      </c>
      <c r="G66" s="331"/>
    </row>
    <row r="67" spans="2:12" hidden="1" x14ac:dyDescent="0.2">
      <c r="B67" s="67" t="s">
        <v>90</v>
      </c>
      <c r="C67" s="421">
        <v>6630</v>
      </c>
      <c r="D67" s="317">
        <v>0.22</v>
      </c>
      <c r="E67" s="329">
        <f>+D67*C67</f>
        <v>1458.6</v>
      </c>
      <c r="F67" s="319">
        <v>298.34999999999997</v>
      </c>
      <c r="G67" s="331"/>
    </row>
    <row r="68" spans="2:12" hidden="1" x14ac:dyDescent="0.2">
      <c r="B68" s="67" t="s">
        <v>38</v>
      </c>
      <c r="C68" s="320">
        <f>+SUM(C64:C67)</f>
        <v>55080</v>
      </c>
      <c r="D68" s="318">
        <f>+E68/C68</f>
        <v>0.22175472040668118</v>
      </c>
      <c r="E68" s="320">
        <v>12214.25</v>
      </c>
      <c r="F68" s="320">
        <v>2905.85</v>
      </c>
      <c r="G68" s="320">
        <f>+F68*41%</f>
        <v>1191.3984999999998</v>
      </c>
    </row>
    <row r="69" spans="2:12" hidden="1" x14ac:dyDescent="0.2"/>
    <row r="70" spans="2:12" hidden="1" x14ac:dyDescent="0.2"/>
    <row r="71" spans="2:12" ht="16" hidden="1" x14ac:dyDescent="0.2">
      <c r="B71" s="68" t="s">
        <v>204</v>
      </c>
      <c r="C71" s="69"/>
      <c r="D71" s="69"/>
      <c r="E71" s="69"/>
      <c r="F71" s="69"/>
      <c r="G71" s="69"/>
    </row>
    <row r="72" spans="2:12" hidden="1" x14ac:dyDescent="0.2">
      <c r="C72" s="70" t="s">
        <v>83</v>
      </c>
      <c r="D72" s="70" t="s">
        <v>84</v>
      </c>
      <c r="E72" s="70" t="s">
        <v>6</v>
      </c>
      <c r="F72" s="70" t="s">
        <v>85</v>
      </c>
      <c r="G72" s="70" t="s">
        <v>44</v>
      </c>
    </row>
    <row r="73" spans="2:12" hidden="1" x14ac:dyDescent="0.2">
      <c r="B73" s="67" t="s">
        <v>87</v>
      </c>
      <c r="C73" s="421">
        <f>+C64*H73</f>
        <v>17617.283950617286</v>
      </c>
      <c r="D73" s="330">
        <v>0.216</v>
      </c>
      <c r="E73" s="329">
        <f>+D73*C73</f>
        <v>3805.3333333333335</v>
      </c>
      <c r="F73" s="319">
        <v>935</v>
      </c>
      <c r="G73" s="331"/>
      <c r="H73" s="431">
        <v>1.0363108206245462</v>
      </c>
      <c r="J73" s="430"/>
      <c r="L73" s="430"/>
    </row>
    <row r="74" spans="2:12" hidden="1" x14ac:dyDescent="0.2">
      <c r="B74" s="67" t="s">
        <v>88</v>
      </c>
      <c r="C74" s="421">
        <f>+C65*H74</f>
        <v>8601.3798111837332</v>
      </c>
      <c r="D74" s="330">
        <v>0.19800000000000001</v>
      </c>
      <c r="E74" s="329">
        <f>+D74*C74</f>
        <v>1703.0732026143792</v>
      </c>
      <c r="F74" s="319">
        <v>415</v>
      </c>
      <c r="G74" s="331"/>
      <c r="H74" s="431">
        <v>1.0363108206245462</v>
      </c>
      <c r="J74" s="430"/>
      <c r="L74" s="430"/>
    </row>
    <row r="75" spans="2:12" hidden="1" x14ac:dyDescent="0.2">
      <c r="B75" s="67" t="s">
        <v>89</v>
      </c>
      <c r="C75" s="421">
        <f>+C66*H75</f>
        <v>23990.595497458242</v>
      </c>
      <c r="D75" s="330">
        <v>0.23499999999999999</v>
      </c>
      <c r="E75" s="329">
        <f>+D75*C75</f>
        <v>5637.7899419026862</v>
      </c>
      <c r="F75" s="319">
        <v>1157.5</v>
      </c>
      <c r="G75" s="331"/>
      <c r="H75" s="431">
        <v>1.0363108206245462</v>
      </c>
      <c r="J75" s="430"/>
      <c r="L75" s="430"/>
    </row>
    <row r="76" spans="2:12" hidden="1" x14ac:dyDescent="0.2">
      <c r="B76" s="67" t="s">
        <v>90</v>
      </c>
      <c r="C76" s="421">
        <f>+C67*H76</f>
        <v>6870.7407407407409</v>
      </c>
      <c r="D76" s="317">
        <v>0.22</v>
      </c>
      <c r="E76" s="329">
        <f>+D76*C76</f>
        <v>1511.562962962963</v>
      </c>
      <c r="F76" s="319">
        <v>298.34999999999997</v>
      </c>
      <c r="G76" s="331"/>
      <c r="H76" s="431">
        <v>1.0363108206245462</v>
      </c>
      <c r="J76" s="430"/>
      <c r="L76" s="430"/>
    </row>
    <row r="77" spans="2:12" hidden="1" x14ac:dyDescent="0.2">
      <c r="B77" s="67" t="s">
        <v>38</v>
      </c>
      <c r="C77" s="320">
        <f>+SUM(C73:C76)</f>
        <v>57080</v>
      </c>
      <c r="D77" s="318">
        <f>+E77/C77</f>
        <v>0.2217547204066812</v>
      </c>
      <c r="E77" s="320">
        <f>+SUM(E73:E76)</f>
        <v>12657.759440813363</v>
      </c>
      <c r="F77" s="320">
        <v>2905.85</v>
      </c>
      <c r="G77" s="320">
        <f>+F77*41%</f>
        <v>1191.3984999999998</v>
      </c>
    </row>
    <row r="81" spans="2:7" ht="16" x14ac:dyDescent="0.2">
      <c r="B81" s="68" t="s">
        <v>210</v>
      </c>
      <c r="C81" s="69"/>
      <c r="D81" s="69"/>
      <c r="E81" s="69"/>
      <c r="F81" s="69"/>
      <c r="G81" s="69"/>
    </row>
    <row r="82" spans="2:7" x14ac:dyDescent="0.2">
      <c r="C82" s="70" t="s">
        <v>83</v>
      </c>
      <c r="D82" s="70" t="s">
        <v>84</v>
      </c>
      <c r="E82" s="70" t="s">
        <v>6</v>
      </c>
      <c r="F82" s="70" t="s">
        <v>85</v>
      </c>
      <c r="G82" s="70" t="s">
        <v>44</v>
      </c>
    </row>
    <row r="83" spans="2:7" x14ac:dyDescent="0.2">
      <c r="B83" s="67" t="s">
        <v>87</v>
      </c>
      <c r="C83" s="421">
        <f>19770+500</f>
        <v>20270</v>
      </c>
      <c r="D83" s="330">
        <v>0.216</v>
      </c>
      <c r="E83" s="329">
        <f>+D83*C83</f>
        <v>4378.32</v>
      </c>
      <c r="F83" s="319">
        <v>935</v>
      </c>
      <c r="G83" s="331"/>
    </row>
    <row r="84" spans="2:7" x14ac:dyDescent="0.2">
      <c r="B84" s="67" t="s">
        <v>88</v>
      </c>
      <c r="C84" s="421">
        <v>5500</v>
      </c>
      <c r="D84" s="330">
        <v>0.186</v>
      </c>
      <c r="E84" s="329">
        <f>+D84*C84</f>
        <v>1023</v>
      </c>
      <c r="F84" s="319">
        <v>415</v>
      </c>
      <c r="G84" s="331"/>
    </row>
    <row r="85" spans="2:7" x14ac:dyDescent="0.2">
      <c r="B85" s="67" t="s">
        <v>89</v>
      </c>
      <c r="C85" s="421">
        <v>18500</v>
      </c>
      <c r="D85" s="330">
        <v>0.23499999999999999</v>
      </c>
      <c r="E85" s="329">
        <f>+D85*C85</f>
        <v>4347.5</v>
      </c>
      <c r="F85" s="319">
        <v>1157.5</v>
      </c>
      <c r="G85" s="331"/>
    </row>
    <row r="86" spans="2:7" x14ac:dyDescent="0.2">
      <c r="B86" s="67" t="s">
        <v>90</v>
      </c>
      <c r="C86" s="421">
        <v>6800</v>
      </c>
      <c r="D86" s="317">
        <v>0.224</v>
      </c>
      <c r="E86" s="329">
        <f>+D86*C86</f>
        <v>1523.2</v>
      </c>
      <c r="F86" s="319">
        <v>298.34999999999997</v>
      </c>
      <c r="G86" s="331"/>
    </row>
    <row r="87" spans="2:7" x14ac:dyDescent="0.2">
      <c r="B87" s="67" t="s">
        <v>38</v>
      </c>
      <c r="C87" s="320">
        <f>+SUM(C83:C86)</f>
        <v>51070</v>
      </c>
      <c r="D87" s="318">
        <f>+E87/C87</f>
        <v>0.22071705502251812</v>
      </c>
      <c r="E87" s="320">
        <f>+SUM(E83:E86)</f>
        <v>11272.02</v>
      </c>
      <c r="F87" s="320">
        <f>+SUM(F83:F86)</f>
        <v>2805.85</v>
      </c>
      <c r="G87" s="320">
        <f>+F87*41%</f>
        <v>1150.3984999999998</v>
      </c>
    </row>
    <row r="90" spans="2:7" ht="16" x14ac:dyDescent="0.2">
      <c r="B90" s="68" t="s">
        <v>210</v>
      </c>
      <c r="C90" s="69"/>
      <c r="D90" s="69"/>
      <c r="E90" s="69"/>
      <c r="F90" s="69"/>
      <c r="G90" s="69"/>
    </row>
    <row r="91" spans="2:7" x14ac:dyDescent="0.2">
      <c r="C91" s="70" t="s">
        <v>83</v>
      </c>
      <c r="D91" s="70" t="s">
        <v>84</v>
      </c>
      <c r="E91" s="70" t="s">
        <v>6</v>
      </c>
      <c r="F91" s="70" t="s">
        <v>85</v>
      </c>
      <c r="G91" s="70" t="s">
        <v>44</v>
      </c>
    </row>
    <row r="92" spans="2:7" x14ac:dyDescent="0.2">
      <c r="B92" s="67" t="s">
        <v>87</v>
      </c>
      <c r="C92" s="421">
        <v>21000</v>
      </c>
      <c r="D92" s="330">
        <v>0.216</v>
      </c>
      <c r="E92" s="329">
        <f>+D92*C92</f>
        <v>4536</v>
      </c>
      <c r="F92" s="319">
        <v>1155</v>
      </c>
      <c r="G92" s="331"/>
    </row>
    <row r="93" spans="2:7" x14ac:dyDescent="0.2">
      <c r="B93" s="67" t="s">
        <v>88</v>
      </c>
      <c r="C93" s="421">
        <v>4900</v>
      </c>
      <c r="D93" s="330">
        <v>0.186</v>
      </c>
      <c r="E93" s="329">
        <f>+D93*C93</f>
        <v>911.4</v>
      </c>
      <c r="F93" s="319">
        <v>255</v>
      </c>
      <c r="G93" s="331"/>
    </row>
    <row r="94" spans="2:7" x14ac:dyDescent="0.2">
      <c r="B94" s="67" t="s">
        <v>89</v>
      </c>
      <c r="C94" s="421">
        <v>20700</v>
      </c>
      <c r="D94" s="330">
        <v>0.23499999999999999</v>
      </c>
      <c r="E94" s="329">
        <f>+D94*C94</f>
        <v>4864.5</v>
      </c>
      <c r="F94" s="319">
        <v>1025</v>
      </c>
      <c r="G94" s="331"/>
    </row>
    <row r="95" spans="2:7" x14ac:dyDescent="0.2">
      <c r="B95" s="67" t="s">
        <v>90</v>
      </c>
      <c r="C95" s="421">
        <v>6540</v>
      </c>
      <c r="D95" s="317">
        <v>0.224</v>
      </c>
      <c r="E95" s="329">
        <f>+D95*C95</f>
        <v>1464.96</v>
      </c>
      <c r="F95" s="319">
        <v>289.8</v>
      </c>
      <c r="G95" s="331"/>
    </row>
    <row r="96" spans="2:7" x14ac:dyDescent="0.2">
      <c r="B96" s="67" t="s">
        <v>38</v>
      </c>
      <c r="C96" s="320">
        <f>+SUM(C92:C95)</f>
        <v>53140</v>
      </c>
      <c r="D96" s="318">
        <f>+E96/C96</f>
        <v>0.22161949567181033</v>
      </c>
      <c r="E96" s="320">
        <f>+SUM(E92:E95)</f>
        <v>11776.86</v>
      </c>
      <c r="F96" s="320">
        <v>2850</v>
      </c>
      <c r="G96" s="320">
        <f>+F96*41%</f>
        <v>1168.5</v>
      </c>
    </row>
    <row r="100" spans="2:9" ht="16" x14ac:dyDescent="0.2">
      <c r="B100" s="68" t="s">
        <v>212</v>
      </c>
      <c r="C100" s="69"/>
      <c r="D100" s="69"/>
      <c r="E100" s="69"/>
      <c r="F100" s="69"/>
      <c r="G100" s="69"/>
    </row>
    <row r="101" spans="2:9" x14ac:dyDescent="0.2">
      <c r="C101" s="70" t="s">
        <v>83</v>
      </c>
      <c r="D101" s="70" t="s">
        <v>84</v>
      </c>
      <c r="E101" s="70" t="s">
        <v>6</v>
      </c>
      <c r="F101" s="70" t="s">
        <v>85</v>
      </c>
      <c r="G101" s="70" t="s">
        <v>44</v>
      </c>
      <c r="H101" s="70" t="s">
        <v>172</v>
      </c>
      <c r="I101" s="70" t="s">
        <v>213</v>
      </c>
    </row>
    <row r="102" spans="2:9" x14ac:dyDescent="0.2">
      <c r="B102" s="67" t="s">
        <v>87</v>
      </c>
      <c r="C102" s="421">
        <v>18300</v>
      </c>
      <c r="D102" s="330">
        <v>0.216</v>
      </c>
      <c r="E102" s="329">
        <f>+D102*C102</f>
        <v>3952.8</v>
      </c>
      <c r="F102" s="319">
        <v>1155</v>
      </c>
      <c r="G102" s="331"/>
      <c r="H102" s="421">
        <v>20610</v>
      </c>
      <c r="I102" s="448">
        <v>19036.5</v>
      </c>
    </row>
    <row r="103" spans="2:9" x14ac:dyDescent="0.2">
      <c r="B103" s="67" t="s">
        <v>88</v>
      </c>
      <c r="C103" s="421">
        <v>7000</v>
      </c>
      <c r="D103" s="330">
        <v>0.186</v>
      </c>
      <c r="E103" s="329">
        <f>+D103*C103</f>
        <v>1302</v>
      </c>
      <c r="F103" s="319">
        <v>255</v>
      </c>
      <c r="G103" s="331"/>
      <c r="H103" s="421">
        <v>8609.99</v>
      </c>
      <c r="I103" s="448">
        <v>4811.2</v>
      </c>
    </row>
    <row r="104" spans="2:9" x14ac:dyDescent="0.2">
      <c r="B104" s="67" t="s">
        <v>89</v>
      </c>
      <c r="C104" s="421">
        <v>22000</v>
      </c>
      <c r="D104" s="330">
        <v>0.23499999999999999</v>
      </c>
      <c r="E104" s="329">
        <f>+D104*C104</f>
        <v>5170</v>
      </c>
      <c r="F104" s="319">
        <v>1025</v>
      </c>
      <c r="G104" s="331"/>
      <c r="H104" s="421">
        <v>18121</v>
      </c>
      <c r="I104" s="448">
        <v>22123.421999999999</v>
      </c>
    </row>
    <row r="105" spans="2:9" x14ac:dyDescent="0.2">
      <c r="B105" s="67" t="s">
        <v>90</v>
      </c>
      <c r="C105" s="421">
        <v>5130</v>
      </c>
      <c r="D105" s="317">
        <v>0.22</v>
      </c>
      <c r="E105" s="329">
        <f>+D105*C105</f>
        <v>1128.5999999999999</v>
      </c>
      <c r="F105" s="319">
        <v>289.8</v>
      </c>
      <c r="G105" s="331"/>
      <c r="H105" s="421">
        <v>5300</v>
      </c>
      <c r="I105" s="448">
        <v>6542.5</v>
      </c>
    </row>
    <row r="106" spans="2:9" x14ac:dyDescent="0.2">
      <c r="B106" s="67" t="s">
        <v>38</v>
      </c>
      <c r="C106" s="320">
        <f>+SUM(C102:C105)</f>
        <v>52430</v>
      </c>
      <c r="D106" s="318">
        <f>+E106/C106</f>
        <v>0.22035857333587641</v>
      </c>
      <c r="E106" s="320">
        <f>+SUM(E102:E105)</f>
        <v>11553.4</v>
      </c>
      <c r="F106" s="320">
        <v>3000</v>
      </c>
      <c r="G106" s="320">
        <f>+F106*41%</f>
        <v>1230</v>
      </c>
      <c r="H106" s="449">
        <f>+SUM(H102:H105)</f>
        <v>52640.99</v>
      </c>
      <c r="I106" s="449">
        <f>+SUM(I102:I105)</f>
        <v>52513.622000000003</v>
      </c>
    </row>
    <row r="113" spans="3:5" x14ac:dyDescent="0.2">
      <c r="C113" s="368" t="s">
        <v>89</v>
      </c>
      <c r="D113" s="368" t="s">
        <v>87</v>
      </c>
      <c r="E113" s="368" t="s">
        <v>216</v>
      </c>
    </row>
    <row r="114" spans="3:5" x14ac:dyDescent="0.2">
      <c r="C114" s="368" t="s">
        <v>214</v>
      </c>
      <c r="D114" s="368" t="s">
        <v>214</v>
      </c>
    </row>
    <row r="115" spans="3:5" x14ac:dyDescent="0.2">
      <c r="C115" s="368" t="s">
        <v>215</v>
      </c>
      <c r="D115" s="368" t="s">
        <v>215</v>
      </c>
    </row>
  </sheetData>
  <mergeCells count="3">
    <mergeCell ref="I33:J33"/>
    <mergeCell ref="I43:J43"/>
    <mergeCell ref="I52:J52"/>
  </mergeCells>
  <pageMargins left="0.7" right="0.7" top="0.75" bottom="0.75" header="0" footer="0"/>
  <pageSetup orientation="portrait"/>
  <ignoredErrors>
    <ignoredError sqref="D7 D19 D28 D87 D96" formula="1"/>
  </ignoredErrors>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32C1C-CF9A-1940-8774-98A0F4243681}">
  <dimension ref="B2:CR11"/>
  <sheetViews>
    <sheetView showGridLines="0" topLeftCell="B2" zoomScale="240" zoomScaleNormal="240" workbookViewId="0">
      <selection activeCell="CF12" sqref="CF12"/>
    </sheetView>
  </sheetViews>
  <sheetFormatPr baseColWidth="10" defaultRowHeight="15" outlineLevelCol="1" x14ac:dyDescent="0.2"/>
  <cols>
    <col min="1" max="1" width="6.1640625" style="99" customWidth="1"/>
    <col min="2" max="2" width="11.1640625" style="99" customWidth="1"/>
    <col min="3" max="3" width="5.6640625" style="99" hidden="1" customWidth="1" outlineLevel="1"/>
    <col min="4" max="4" width="6" style="99" hidden="1" customWidth="1" outlineLevel="1"/>
    <col min="5" max="5" width="5.6640625" style="99" hidden="1" customWidth="1" outlineLevel="1"/>
    <col min="6" max="6" width="6" style="99" hidden="1" customWidth="1" outlineLevel="1"/>
    <col min="7" max="7" width="5.6640625" style="99" hidden="1" customWidth="1" outlineLevel="1"/>
    <col min="8" max="8" width="6" style="99" hidden="1" customWidth="1" outlineLevel="1"/>
    <col min="9" max="9" width="5.6640625" style="99" hidden="1" customWidth="1" collapsed="1"/>
    <col min="10" max="10" width="7" style="99" hidden="1" customWidth="1"/>
    <col min="11" max="11" width="5.1640625" style="99" hidden="1" customWidth="1"/>
    <col min="12" max="12" width="6.5" style="99" hidden="1" customWidth="1"/>
    <col min="13" max="13" width="7.1640625" style="99" hidden="1" customWidth="1"/>
    <col min="14" max="14" width="7" style="99" hidden="1" customWidth="1"/>
    <col min="15" max="15" width="5.1640625" style="99" hidden="1" customWidth="1"/>
    <col min="16" max="16" width="6" style="99" hidden="1" customWidth="1"/>
    <col min="17" max="17" width="6.1640625" style="99" hidden="1" customWidth="1"/>
    <col min="18" max="18" width="6.5" style="99" hidden="1" customWidth="1"/>
    <col min="19" max="19" width="4.1640625" style="99" hidden="1" customWidth="1"/>
    <col min="20" max="20" width="6" style="99" hidden="1" customWidth="1"/>
    <col min="21" max="21" width="5.6640625" style="99" hidden="1" customWidth="1"/>
    <col min="22" max="22" width="7" style="99" hidden="1" customWidth="1"/>
    <col min="23" max="23" width="4.1640625" style="99" hidden="1" customWidth="1"/>
    <col min="24" max="24" width="6" style="99" hidden="1" customWidth="1"/>
    <col min="25" max="25" width="3.6640625" style="99" hidden="1" customWidth="1"/>
    <col min="26" max="26" width="4.5" style="99" hidden="1" customWidth="1"/>
    <col min="27" max="27" width="4.1640625" style="99" hidden="1" customWidth="1"/>
    <col min="28" max="28" width="6" style="99" hidden="1" customWidth="1"/>
    <col min="29" max="29" width="3.6640625" style="99" hidden="1" customWidth="1"/>
    <col min="30" max="30" width="4.5" style="99" hidden="1" customWidth="1"/>
    <col min="31" max="31" width="4.1640625" style="99" hidden="1" customWidth="1"/>
    <col min="32" max="32" width="8.6640625" style="99" hidden="1" customWidth="1"/>
    <col min="33" max="33" width="3.6640625" style="99" hidden="1" customWidth="1"/>
    <col min="34" max="34" width="4.5" style="99" hidden="1" customWidth="1"/>
    <col min="35" max="35" width="2.1640625" style="99" hidden="1" customWidth="1"/>
    <col min="36" max="36" width="6" style="99" hidden="1" customWidth="1"/>
    <col min="37" max="37" width="4.6640625" style="99" hidden="1" customWidth="1"/>
    <col min="38" max="38" width="4.5" style="99" hidden="1" customWidth="1"/>
    <col min="39" max="39" width="5.1640625" style="99" hidden="1" customWidth="1"/>
    <col min="40" max="41" width="6.6640625" style="99" hidden="1" customWidth="1"/>
    <col min="42" max="78" width="8.5" style="99" hidden="1" customWidth="1"/>
    <col min="79" max="87" width="8.5" style="99" customWidth="1"/>
    <col min="88" max="89" width="6.6640625" style="99" customWidth="1"/>
    <col min="90" max="94" width="10.83203125" style="99"/>
    <col min="95" max="96" width="0" style="99" hidden="1" customWidth="1"/>
    <col min="97" max="16384" width="10.83203125" style="99"/>
  </cols>
  <sheetData>
    <row r="2" spans="2:96" ht="21" x14ac:dyDescent="0.25">
      <c r="B2" s="301" t="s">
        <v>156</v>
      </c>
      <c r="CL2" s="300" t="s">
        <v>155</v>
      </c>
    </row>
    <row r="3" spans="2:96" ht="16" thickBot="1" x14ac:dyDescent="0.25"/>
    <row r="4" spans="2:96" ht="16" thickBot="1" x14ac:dyDescent="0.25">
      <c r="C4" s="502" t="s">
        <v>143</v>
      </c>
      <c r="D4" s="502"/>
      <c r="E4" s="502" t="s">
        <v>144</v>
      </c>
      <c r="F4" s="502"/>
      <c r="G4" s="502" t="s">
        <v>144</v>
      </c>
      <c r="H4" s="502"/>
      <c r="I4" s="502" t="s">
        <v>158</v>
      </c>
      <c r="J4" s="502"/>
      <c r="K4" s="272" t="s">
        <v>98</v>
      </c>
      <c r="L4" s="272" t="s">
        <v>147</v>
      </c>
      <c r="M4" s="502" t="s">
        <v>159</v>
      </c>
      <c r="N4" s="502"/>
      <c r="O4" s="502" t="s">
        <v>161</v>
      </c>
      <c r="P4" s="502"/>
      <c r="Q4" s="272" t="s">
        <v>98</v>
      </c>
      <c r="R4" s="272" t="s">
        <v>147</v>
      </c>
      <c r="S4" s="503" t="s">
        <v>166</v>
      </c>
      <c r="T4" s="504"/>
      <c r="U4" s="333" t="s">
        <v>98</v>
      </c>
      <c r="V4" s="333" t="s">
        <v>147</v>
      </c>
      <c r="W4" s="503" t="s">
        <v>167</v>
      </c>
      <c r="X4" s="504"/>
      <c r="Y4" s="333" t="s">
        <v>98</v>
      </c>
      <c r="Z4" s="333" t="s">
        <v>147</v>
      </c>
      <c r="AA4" s="503" t="s">
        <v>168</v>
      </c>
      <c r="AB4" s="504"/>
      <c r="AC4" s="333" t="s">
        <v>98</v>
      </c>
      <c r="AD4" s="333" t="s">
        <v>147</v>
      </c>
      <c r="AE4" s="503" t="s">
        <v>169</v>
      </c>
      <c r="AF4" s="504"/>
      <c r="AG4" s="333" t="s">
        <v>98</v>
      </c>
      <c r="AH4" s="333" t="s">
        <v>147</v>
      </c>
      <c r="AI4" s="503" t="s">
        <v>170</v>
      </c>
      <c r="AJ4" s="504"/>
      <c r="AK4" s="333" t="s">
        <v>98</v>
      </c>
      <c r="AL4" s="333" t="s">
        <v>147</v>
      </c>
      <c r="AM4" s="502" t="s">
        <v>165</v>
      </c>
      <c r="AN4" s="502"/>
      <c r="AO4" s="272" t="s">
        <v>98</v>
      </c>
      <c r="AP4" s="272" t="s">
        <v>147</v>
      </c>
      <c r="AQ4" s="502" t="s">
        <v>165</v>
      </c>
      <c r="AR4" s="502"/>
      <c r="AS4" s="272" t="s">
        <v>98</v>
      </c>
      <c r="AT4" s="272" t="s">
        <v>147</v>
      </c>
      <c r="AU4" s="502" t="s">
        <v>173</v>
      </c>
      <c r="AV4" s="502"/>
      <c r="AW4" s="272" t="s">
        <v>98</v>
      </c>
      <c r="AX4" s="272" t="s">
        <v>147</v>
      </c>
      <c r="AY4" s="502" t="s">
        <v>175</v>
      </c>
      <c r="AZ4" s="502"/>
      <c r="BA4" s="272" t="s">
        <v>98</v>
      </c>
      <c r="BB4" s="272" t="s">
        <v>147</v>
      </c>
      <c r="BC4" s="502" t="s">
        <v>195</v>
      </c>
      <c r="BD4" s="502"/>
      <c r="BE4" s="272" t="s">
        <v>98</v>
      </c>
      <c r="BF4" s="272" t="s">
        <v>147</v>
      </c>
      <c r="BG4" s="502" t="s">
        <v>196</v>
      </c>
      <c r="BH4" s="502"/>
      <c r="BI4" s="272" t="s">
        <v>98</v>
      </c>
      <c r="BJ4" s="272" t="s">
        <v>147</v>
      </c>
      <c r="BK4" s="502" t="s">
        <v>199</v>
      </c>
      <c r="BL4" s="502"/>
      <c r="BM4" s="272" t="s">
        <v>98</v>
      </c>
      <c r="BN4" s="272" t="s">
        <v>147</v>
      </c>
      <c r="BO4" s="502" t="s">
        <v>201</v>
      </c>
      <c r="BP4" s="502"/>
      <c r="BQ4" s="272" t="s">
        <v>98</v>
      </c>
      <c r="BR4" s="272" t="s">
        <v>147</v>
      </c>
      <c r="BS4" s="502" t="s">
        <v>206</v>
      </c>
      <c r="BT4" s="502"/>
      <c r="BU4" s="272" t="s">
        <v>98</v>
      </c>
      <c r="BV4" s="272" t="s">
        <v>147</v>
      </c>
      <c r="BW4" s="502" t="s">
        <v>208</v>
      </c>
      <c r="BX4" s="502"/>
      <c r="BY4" s="272" t="s">
        <v>98</v>
      </c>
      <c r="BZ4" s="272" t="s">
        <v>147</v>
      </c>
      <c r="CA4" s="502" t="s">
        <v>211</v>
      </c>
      <c r="CB4" s="502"/>
      <c r="CC4" s="272" t="s">
        <v>98</v>
      </c>
      <c r="CD4" s="272" t="s">
        <v>147</v>
      </c>
      <c r="CE4" s="502" t="s">
        <v>211</v>
      </c>
      <c r="CF4" s="502"/>
      <c r="CG4" s="272" t="s">
        <v>98</v>
      </c>
      <c r="CH4" s="272" t="s">
        <v>147</v>
      </c>
      <c r="CI4" s="272"/>
      <c r="CL4" s="289" t="s">
        <v>145</v>
      </c>
      <c r="CM4" s="290" t="s">
        <v>148</v>
      </c>
      <c r="CN4" s="290" t="s">
        <v>149</v>
      </c>
      <c r="CO4" s="290" t="s">
        <v>150</v>
      </c>
      <c r="CP4" s="298" t="s">
        <v>151</v>
      </c>
      <c r="CQ4" s="290" t="s">
        <v>152</v>
      </c>
      <c r="CR4" s="298" t="s">
        <v>153</v>
      </c>
    </row>
    <row r="5" spans="2:96" x14ac:dyDescent="0.2">
      <c r="B5" s="289" t="s">
        <v>145</v>
      </c>
      <c r="C5" s="354" t="s">
        <v>146</v>
      </c>
      <c r="D5" s="290" t="s">
        <v>92</v>
      </c>
      <c r="E5" s="291" t="s">
        <v>146</v>
      </c>
      <c r="F5" s="291" t="s">
        <v>92</v>
      </c>
      <c r="G5" s="291" t="s">
        <v>146</v>
      </c>
      <c r="H5" s="291" t="s">
        <v>92</v>
      </c>
      <c r="I5" s="291" t="s">
        <v>146</v>
      </c>
      <c r="J5" s="291" t="s">
        <v>92</v>
      </c>
      <c r="K5" s="291" t="s">
        <v>146</v>
      </c>
      <c r="L5" s="291" t="s">
        <v>92</v>
      </c>
      <c r="M5" s="291" t="s">
        <v>146</v>
      </c>
      <c r="N5" s="291" t="s">
        <v>92</v>
      </c>
      <c r="O5" s="291" t="s">
        <v>146</v>
      </c>
      <c r="P5" s="291" t="s">
        <v>92</v>
      </c>
      <c r="Q5" s="291" t="s">
        <v>146</v>
      </c>
      <c r="R5" s="292" t="s">
        <v>92</v>
      </c>
      <c r="S5" s="334" t="s">
        <v>146</v>
      </c>
      <c r="T5" s="334" t="s">
        <v>92</v>
      </c>
      <c r="U5" s="334" t="s">
        <v>146</v>
      </c>
      <c r="V5" s="335" t="s">
        <v>92</v>
      </c>
      <c r="W5" s="334" t="s">
        <v>146</v>
      </c>
      <c r="X5" s="334" t="s">
        <v>92</v>
      </c>
      <c r="Y5" s="334" t="s">
        <v>146</v>
      </c>
      <c r="Z5" s="335" t="s">
        <v>92</v>
      </c>
      <c r="AA5" s="334" t="s">
        <v>146</v>
      </c>
      <c r="AB5" s="334" t="s">
        <v>92</v>
      </c>
      <c r="AC5" s="334" t="s">
        <v>146</v>
      </c>
      <c r="AD5" s="335" t="s">
        <v>92</v>
      </c>
      <c r="AE5" s="334" t="s">
        <v>146</v>
      </c>
      <c r="AF5" s="334" t="s">
        <v>92</v>
      </c>
      <c r="AG5" s="334" t="s">
        <v>146</v>
      </c>
      <c r="AH5" s="335" t="s">
        <v>92</v>
      </c>
      <c r="AI5" s="334" t="s">
        <v>146</v>
      </c>
      <c r="AJ5" s="336" t="s">
        <v>92</v>
      </c>
      <c r="AK5" s="334" t="s">
        <v>146</v>
      </c>
      <c r="AL5" s="337" t="s">
        <v>92</v>
      </c>
      <c r="AM5" s="291" t="s">
        <v>146</v>
      </c>
      <c r="AN5" s="291" t="s">
        <v>92</v>
      </c>
      <c r="AO5" s="291" t="s">
        <v>146</v>
      </c>
      <c r="AP5" s="292" t="s">
        <v>92</v>
      </c>
      <c r="AQ5" s="291" t="s">
        <v>146</v>
      </c>
      <c r="AR5" s="291" t="s">
        <v>92</v>
      </c>
      <c r="AS5" s="291" t="s">
        <v>146</v>
      </c>
      <c r="AT5" s="292" t="s">
        <v>92</v>
      </c>
      <c r="AU5" s="291" t="s">
        <v>146</v>
      </c>
      <c r="AV5" s="291" t="s">
        <v>92</v>
      </c>
      <c r="AW5" s="291" t="s">
        <v>146</v>
      </c>
      <c r="AX5" s="292" t="s">
        <v>92</v>
      </c>
      <c r="AY5" s="291" t="s">
        <v>146</v>
      </c>
      <c r="AZ5" s="291" t="s">
        <v>92</v>
      </c>
      <c r="BA5" s="291" t="s">
        <v>146</v>
      </c>
      <c r="BB5" s="292" t="s">
        <v>92</v>
      </c>
      <c r="BC5" s="291" t="s">
        <v>146</v>
      </c>
      <c r="BD5" s="291" t="s">
        <v>92</v>
      </c>
      <c r="BE5" s="291" t="s">
        <v>146</v>
      </c>
      <c r="BF5" s="292" t="s">
        <v>92</v>
      </c>
      <c r="BG5" s="291" t="s">
        <v>146</v>
      </c>
      <c r="BH5" s="291" t="s">
        <v>92</v>
      </c>
      <c r="BI5" s="291" t="s">
        <v>146</v>
      </c>
      <c r="BJ5" s="292" t="s">
        <v>92</v>
      </c>
      <c r="BK5" s="291" t="s">
        <v>146</v>
      </c>
      <c r="BL5" s="291" t="s">
        <v>92</v>
      </c>
      <c r="BM5" s="291" t="s">
        <v>146</v>
      </c>
      <c r="BN5" s="292" t="s">
        <v>92</v>
      </c>
      <c r="BO5" s="291" t="s">
        <v>146</v>
      </c>
      <c r="BP5" s="291" t="s">
        <v>92</v>
      </c>
      <c r="BQ5" s="291" t="s">
        <v>146</v>
      </c>
      <c r="BR5" s="292" t="s">
        <v>92</v>
      </c>
      <c r="BS5" s="291" t="s">
        <v>146</v>
      </c>
      <c r="BT5" s="291" t="s">
        <v>92</v>
      </c>
      <c r="BU5" s="291" t="s">
        <v>146</v>
      </c>
      <c r="BV5" s="292" t="s">
        <v>92</v>
      </c>
      <c r="BW5" s="291" t="s">
        <v>146</v>
      </c>
      <c r="BX5" s="291" t="s">
        <v>92</v>
      </c>
      <c r="BY5" s="291" t="s">
        <v>146</v>
      </c>
      <c r="BZ5" s="292" t="s">
        <v>92</v>
      </c>
      <c r="CA5" s="291" t="s">
        <v>146</v>
      </c>
      <c r="CB5" s="291" t="s">
        <v>92</v>
      </c>
      <c r="CC5" s="291" t="s">
        <v>146</v>
      </c>
      <c r="CD5" s="292" t="s">
        <v>92</v>
      </c>
      <c r="CE5" s="291" t="s">
        <v>146</v>
      </c>
      <c r="CF5" s="291" t="s">
        <v>92</v>
      </c>
      <c r="CG5" s="291" t="s">
        <v>146</v>
      </c>
      <c r="CH5" s="292" t="s">
        <v>92</v>
      </c>
      <c r="CI5" s="445"/>
      <c r="CL5" s="293" t="s">
        <v>87</v>
      </c>
      <c r="CM5" s="304">
        <f>21000+1300</f>
        <v>22300</v>
      </c>
      <c r="CN5" s="304">
        <f>18900+1300</f>
        <v>20200</v>
      </c>
      <c r="CO5" s="304">
        <f>17500+1280</f>
        <v>18780</v>
      </c>
      <c r="CP5" s="305">
        <f>17700+1450</f>
        <v>19150</v>
      </c>
      <c r="CQ5" s="304">
        <f>16500+1500</f>
        <v>18000</v>
      </c>
      <c r="CR5" s="305">
        <f>15500+1570</f>
        <v>17070</v>
      </c>
    </row>
    <row r="6" spans="2:96" x14ac:dyDescent="0.2">
      <c r="B6" s="293" t="s">
        <v>87</v>
      </c>
      <c r="C6" s="355">
        <v>918</v>
      </c>
      <c r="D6" s="356">
        <v>0.19700000000000001</v>
      </c>
      <c r="E6" s="357">
        <v>923</v>
      </c>
      <c r="F6" s="358">
        <v>0.1981</v>
      </c>
      <c r="G6" s="357">
        <v>923</v>
      </c>
      <c r="H6" s="358">
        <v>0.1981</v>
      </c>
      <c r="I6" s="359">
        <v>898</v>
      </c>
      <c r="J6" s="360">
        <v>0.19769999999999999</v>
      </c>
      <c r="K6" s="359">
        <f>+I6-E6</f>
        <v>-25</v>
      </c>
      <c r="L6" s="313">
        <f>(+I6/E6)-1</f>
        <v>-2.7085590465872111E-2</v>
      </c>
      <c r="M6" s="361">
        <v>901</v>
      </c>
      <c r="N6" s="266">
        <v>0.19839999999999999</v>
      </c>
      <c r="O6" s="322">
        <v>860.26</v>
      </c>
      <c r="P6" s="325">
        <v>0.19800000000000001</v>
      </c>
      <c r="Q6" s="359">
        <f>+O6-M6</f>
        <v>-40.740000000000009</v>
      </c>
      <c r="R6" s="309">
        <f>(+M6/I6)-1</f>
        <v>3.3407572383072903E-3</v>
      </c>
      <c r="S6" s="338">
        <v>850.75</v>
      </c>
      <c r="T6" s="339">
        <v>0.19400000000000001</v>
      </c>
      <c r="U6" s="340">
        <f>+S6-K15</f>
        <v>850.75</v>
      </c>
      <c r="V6" s="341" t="e">
        <f>(+S6/K15)-1</f>
        <v>#DIV/0!</v>
      </c>
      <c r="W6" s="338">
        <v>834</v>
      </c>
      <c r="X6" s="339">
        <v>0.1903</v>
      </c>
      <c r="Y6" s="342">
        <f>+W6-S6</f>
        <v>-16.75</v>
      </c>
      <c r="Z6" s="343">
        <f>(+W6/S6)-1</f>
        <v>-1.9688510138113458E-2</v>
      </c>
      <c r="AA6" s="338">
        <v>831.14</v>
      </c>
      <c r="AB6" s="339">
        <v>0.1895</v>
      </c>
      <c r="AC6" s="342">
        <f>+AA6-W6</f>
        <v>-2.8600000000000136</v>
      </c>
      <c r="AD6" s="343">
        <f>(+AA6/W6)-1</f>
        <v>-3.4292565947242615E-3</v>
      </c>
      <c r="AE6" s="338">
        <v>831.14</v>
      </c>
      <c r="AF6" s="339">
        <v>0.1895</v>
      </c>
      <c r="AG6" s="342">
        <f>+AE6-AA6</f>
        <v>0</v>
      </c>
      <c r="AH6" s="343">
        <f>(+AE6/AA6)-1</f>
        <v>0</v>
      </c>
      <c r="AI6" s="338"/>
      <c r="AJ6" s="344">
        <v>0.192</v>
      </c>
      <c r="AK6" s="342">
        <f>+AI6-AA6</f>
        <v>-831.14</v>
      </c>
      <c r="AL6" s="345">
        <f>(+AJ6/AB6)-1</f>
        <v>1.3192612137203241E-2</v>
      </c>
      <c r="AM6" s="322">
        <v>823.38</v>
      </c>
      <c r="AN6" s="325">
        <v>0.18840000000000001</v>
      </c>
      <c r="AO6" s="359">
        <f>+AM6-AE6</f>
        <v>-7.7599999999999909</v>
      </c>
      <c r="AP6" s="309">
        <f>(+AM6/AE6)-1</f>
        <v>-9.3365738624058281E-3</v>
      </c>
      <c r="AQ6" s="322">
        <v>788.78</v>
      </c>
      <c r="AR6" s="325">
        <v>0.18840000000000001</v>
      </c>
      <c r="AS6" s="359">
        <f>+AQ6-AI6</f>
        <v>788.78</v>
      </c>
      <c r="AT6" s="309">
        <f>(+AQ6/AM6)-1</f>
        <v>-4.2021909689329395E-2</v>
      </c>
      <c r="AU6" s="322">
        <v>802</v>
      </c>
      <c r="AV6" s="325">
        <v>0.19170000000000001</v>
      </c>
      <c r="AW6" s="359">
        <f>+AU6-AQ6</f>
        <v>13.220000000000027</v>
      </c>
      <c r="AX6" s="309">
        <f>(+AU6/AQ6)-1</f>
        <v>1.6760059839245445E-2</v>
      </c>
      <c r="AY6" s="322">
        <v>812.64</v>
      </c>
      <c r="AZ6" s="325">
        <v>0.19409999999999999</v>
      </c>
      <c r="BA6" s="359">
        <f>+AY6-AU6</f>
        <v>10.639999999999986</v>
      </c>
      <c r="BB6" s="309">
        <f>(+AY6/AU6)-1</f>
        <v>1.3266832917705695E-2</v>
      </c>
      <c r="BC6" s="322">
        <v>822.01</v>
      </c>
      <c r="BD6" s="325">
        <v>0.19639999999999999</v>
      </c>
      <c r="BE6" s="359">
        <f>+BC6-AY6</f>
        <v>9.3700000000000045</v>
      </c>
      <c r="BF6" s="309">
        <f>(+BC6/AY6)-1</f>
        <v>1.1530320929316717E-2</v>
      </c>
      <c r="BG6" s="322">
        <v>811.7</v>
      </c>
      <c r="BH6" s="325">
        <v>0.1953</v>
      </c>
      <c r="BI6" s="359">
        <f>+BG6-BC6</f>
        <v>-10.309999999999945</v>
      </c>
      <c r="BJ6" s="309">
        <f>(+BG6/BC6)-1</f>
        <v>-1.2542426491161884E-2</v>
      </c>
      <c r="BK6" s="322">
        <v>834.1</v>
      </c>
      <c r="BL6" s="325">
        <v>0.1948</v>
      </c>
      <c r="BM6" s="359">
        <f>+BK6-BG6</f>
        <v>22.399999999999977</v>
      </c>
      <c r="BN6" s="309">
        <f>(+BK6/BG6)-1</f>
        <v>2.7596402611802295E-2</v>
      </c>
      <c r="BO6" s="322">
        <v>847.79</v>
      </c>
      <c r="BP6" s="325">
        <v>0.19800000000000001</v>
      </c>
      <c r="BQ6" s="359">
        <f>+BO6-BK6</f>
        <v>13.689999999999941</v>
      </c>
      <c r="BR6" s="309">
        <f>(+BO6/BK6)-1</f>
        <v>1.6412900131878683E-2</v>
      </c>
      <c r="BS6" s="322">
        <v>858.21</v>
      </c>
      <c r="BT6" s="325">
        <v>0.19259999999999999</v>
      </c>
      <c r="BU6" s="359">
        <f>+BS6-BO6</f>
        <v>10.420000000000073</v>
      </c>
      <c r="BV6" s="309">
        <f>(+BS6/BO6)-1</f>
        <v>1.2290779556258125E-2</v>
      </c>
      <c r="BW6" s="322">
        <v>853.17</v>
      </c>
      <c r="BX6" s="325">
        <v>0.1915</v>
      </c>
      <c r="BY6" s="359">
        <f>+BW6-BS6</f>
        <v>-5.0400000000000773</v>
      </c>
      <c r="BZ6" s="309">
        <f>(+BW6/BS6)-1</f>
        <v>-5.8726885028140829E-3</v>
      </c>
      <c r="CA6" s="322">
        <v>847.47</v>
      </c>
      <c r="CB6" s="325">
        <v>0.19589999999999999</v>
      </c>
      <c r="CC6" s="359">
        <f>+CA6-BW6</f>
        <v>-5.6999999999999318</v>
      </c>
      <c r="CD6" s="309">
        <f>(+CA6/BW6)-1</f>
        <v>-6.6809662787017388E-3</v>
      </c>
      <c r="CE6" s="322">
        <v>883</v>
      </c>
      <c r="CF6" s="325" t="s">
        <v>219</v>
      </c>
      <c r="CG6" s="359">
        <f>+CE6-CA6</f>
        <v>35.529999999999973</v>
      </c>
      <c r="CH6" s="309">
        <f>(+CE6/CA6)-1</f>
        <v>4.1924787898096616E-2</v>
      </c>
      <c r="CI6" s="313"/>
      <c r="CL6" s="293" t="s">
        <v>88</v>
      </c>
      <c r="CM6" s="304">
        <v>9400</v>
      </c>
      <c r="CN6" s="304">
        <v>8300</v>
      </c>
      <c r="CO6" s="304">
        <v>8900</v>
      </c>
      <c r="CP6" s="305">
        <v>8700</v>
      </c>
      <c r="CQ6" s="304"/>
      <c r="CR6" s="305"/>
    </row>
    <row r="7" spans="2:96" x14ac:dyDescent="0.2">
      <c r="B7" s="293" t="s">
        <v>88</v>
      </c>
      <c r="C7" s="355">
        <v>828.67</v>
      </c>
      <c r="D7" s="356">
        <v>0.17780000000000001</v>
      </c>
      <c r="E7" s="357">
        <v>823.81</v>
      </c>
      <c r="F7" s="358">
        <v>0.1767</v>
      </c>
      <c r="G7" s="357">
        <v>823.81</v>
      </c>
      <c r="H7" s="358">
        <v>0.1767</v>
      </c>
      <c r="I7" s="359">
        <v>768.32</v>
      </c>
      <c r="J7" s="360">
        <v>0.16919999999999999</v>
      </c>
      <c r="K7" s="359">
        <f>+I7-E7</f>
        <v>-55.489999999999895</v>
      </c>
      <c r="L7" s="313">
        <f>(+I7/E7)-1</f>
        <v>-6.7357764533083953E-2</v>
      </c>
      <c r="M7" s="99">
        <v>777.21</v>
      </c>
      <c r="N7" s="266">
        <v>0.17119999999999999</v>
      </c>
      <c r="O7" s="323">
        <v>762.93</v>
      </c>
      <c r="P7" s="326">
        <v>0.17019999999999999</v>
      </c>
      <c r="Q7" s="359">
        <f>+O7-M7</f>
        <v>-14.280000000000086</v>
      </c>
      <c r="R7" s="309">
        <f>(+M7/I7)-1</f>
        <v>1.1570699708454812E-2</v>
      </c>
      <c r="S7" s="338">
        <v>719.27</v>
      </c>
      <c r="T7" s="339">
        <v>0.16400000000000001</v>
      </c>
      <c r="U7" s="340">
        <f>+S7-K16</f>
        <v>719.27</v>
      </c>
      <c r="V7" s="341" t="e">
        <f>(+S7/K16)-1</f>
        <v>#DIV/0!</v>
      </c>
      <c r="W7" s="338">
        <v>726.78</v>
      </c>
      <c r="X7" s="339">
        <v>0.16569999999999999</v>
      </c>
      <c r="Y7" s="342">
        <f>+W7-S7</f>
        <v>7.5099999999999909</v>
      </c>
      <c r="Z7" s="343">
        <f>(+W7/S7)-1</f>
        <v>1.0441141713125823E-2</v>
      </c>
      <c r="AA7" s="338">
        <v>747.23</v>
      </c>
      <c r="AB7" s="339">
        <v>0.1704</v>
      </c>
      <c r="AC7" s="342">
        <f>+AA7-W7</f>
        <v>20.450000000000045</v>
      </c>
      <c r="AD7" s="343">
        <f>(+AA7/W7)-1</f>
        <v>2.8137813368557252E-2</v>
      </c>
      <c r="AE7" s="338">
        <v>747.23</v>
      </c>
      <c r="AF7" s="339">
        <v>0.1704</v>
      </c>
      <c r="AG7" s="342">
        <f>+AE7-AA7</f>
        <v>0</v>
      </c>
      <c r="AH7" s="343">
        <f>(+AE7/AA7)-1</f>
        <v>0</v>
      </c>
      <c r="AI7" s="338"/>
      <c r="AJ7" s="344">
        <v>0.17</v>
      </c>
      <c r="AK7" s="342">
        <f>+AI7-AA7</f>
        <v>-747.23</v>
      </c>
      <c r="AL7" s="345">
        <f>(+AJ7/AB7)-1</f>
        <v>-2.3474178403755097E-3</v>
      </c>
      <c r="AM7" s="323">
        <v>715.42</v>
      </c>
      <c r="AN7" s="326">
        <v>0.16309999999999999</v>
      </c>
      <c r="AO7" s="359">
        <f>+AM7-AE7</f>
        <v>-31.810000000000059</v>
      </c>
      <c r="AP7" s="309">
        <f>(+AM7/AE7)-1</f>
        <v>-4.2570560603830243E-2</v>
      </c>
      <c r="AQ7" s="323">
        <v>693.2</v>
      </c>
      <c r="AR7" s="326">
        <v>0.1656</v>
      </c>
      <c r="AS7" s="359">
        <f>+AQ7-AI7</f>
        <v>693.2</v>
      </c>
      <c r="AT7" s="309">
        <f>(+AQ7/AM7)-1</f>
        <v>-3.1058678818036811E-2</v>
      </c>
      <c r="AU7" s="323">
        <v>699.3</v>
      </c>
      <c r="AV7" s="326">
        <v>0.16700000000000001</v>
      </c>
      <c r="AW7" s="359">
        <f>+AU7-AQ7</f>
        <v>6.0999999999999091</v>
      </c>
      <c r="AX7" s="309">
        <f>(+AU7/AQ7)-1</f>
        <v>8.7997691863819227E-3</v>
      </c>
      <c r="AY7" s="323">
        <v>700.4</v>
      </c>
      <c r="AZ7" s="326">
        <v>0.1673</v>
      </c>
      <c r="BA7" s="359">
        <f>+AY7-AU7</f>
        <v>1.1000000000000227</v>
      </c>
      <c r="BB7" s="309">
        <f>(+AY7/AU7)-1</f>
        <v>1.5730015730015534E-3</v>
      </c>
      <c r="BC7" s="323">
        <v>714.9</v>
      </c>
      <c r="BD7" s="326">
        <v>0.17080000000000001</v>
      </c>
      <c r="BE7" s="359">
        <f>+BC7-AY7</f>
        <v>14.5</v>
      </c>
      <c r="BF7" s="309">
        <f>(+BC7/AY7)-1</f>
        <v>2.0702455739577408E-2</v>
      </c>
      <c r="BG7" s="323">
        <v>712.6</v>
      </c>
      <c r="BH7" s="326">
        <v>0.1714</v>
      </c>
      <c r="BI7" s="359">
        <f>+BG7-BC7</f>
        <v>-2.2999999999999545</v>
      </c>
      <c r="BJ7" s="309">
        <f>(+BG7/BC7)-1</f>
        <v>-3.2172331794656506E-3</v>
      </c>
      <c r="BK7" s="323">
        <v>724.9</v>
      </c>
      <c r="BL7" s="326">
        <v>0.16930000000000001</v>
      </c>
      <c r="BM7" s="359">
        <f>+BK7-BG7</f>
        <v>12.299999999999955</v>
      </c>
      <c r="BN7" s="309">
        <f>(+BK7/BG7)-1</f>
        <v>1.7260735335391519E-2</v>
      </c>
      <c r="BO7" s="323">
        <v>743.2</v>
      </c>
      <c r="BP7" s="326">
        <v>0.1736</v>
      </c>
      <c r="BQ7" s="359">
        <f>+BO7-BK7</f>
        <v>18.300000000000068</v>
      </c>
      <c r="BR7" s="309">
        <f>(+BO7/BK7)-1</f>
        <v>2.5244861360187665E-2</v>
      </c>
      <c r="BS7" s="323">
        <v>756.8</v>
      </c>
      <c r="BT7" s="326">
        <v>0.1699</v>
      </c>
      <c r="BU7" s="359">
        <f>+BS7-BO7</f>
        <v>13.599999999999909</v>
      </c>
      <c r="BV7" s="309">
        <f>(+BS7/BO7)-1</f>
        <v>1.8299246501614519E-2</v>
      </c>
      <c r="BW7" s="426">
        <v>794.1</v>
      </c>
      <c r="BX7" s="326">
        <v>0.1782</v>
      </c>
      <c r="BY7" s="359">
        <f>+BW7-BS7</f>
        <v>37.300000000000068</v>
      </c>
      <c r="BZ7" s="309">
        <f>(+BW7/BS7)-1</f>
        <v>4.9286469344608896E-2</v>
      </c>
      <c r="CA7" s="426">
        <v>748.5</v>
      </c>
      <c r="CB7" s="326">
        <v>0.17299999999999999</v>
      </c>
      <c r="CC7" s="359">
        <f>+CA7-BW7</f>
        <v>-45.600000000000023</v>
      </c>
      <c r="CD7" s="309">
        <f>(+CA7/BW7)-1</f>
        <v>-5.7423498299962294E-2</v>
      </c>
      <c r="CE7" s="426">
        <v>740</v>
      </c>
      <c r="CF7" s="326" t="s">
        <v>217</v>
      </c>
      <c r="CG7" s="359">
        <f>+CE7-CA7</f>
        <v>-8.5</v>
      </c>
      <c r="CH7" s="309">
        <f>(+CE7/CA7)-1</f>
        <v>-1.1356045424181671E-2</v>
      </c>
      <c r="CI7" s="313"/>
      <c r="CL7" s="293" t="s">
        <v>89</v>
      </c>
      <c r="CM7" s="304">
        <v>21824</v>
      </c>
      <c r="CN7" s="304">
        <v>19372</v>
      </c>
      <c r="CO7" s="304">
        <v>18298</v>
      </c>
      <c r="CP7" s="305">
        <v>17581</v>
      </c>
      <c r="CQ7" s="304">
        <v>17872</v>
      </c>
      <c r="CR7" s="305">
        <v>20519</v>
      </c>
    </row>
    <row r="8" spans="2:96" x14ac:dyDescent="0.2">
      <c r="B8" s="293" t="s">
        <v>89</v>
      </c>
      <c r="C8" s="355">
        <v>913.31</v>
      </c>
      <c r="D8" s="356">
        <v>0.19589999999999999</v>
      </c>
      <c r="E8" s="357">
        <v>904.26</v>
      </c>
      <c r="F8" s="358">
        <v>0.19400000000000001</v>
      </c>
      <c r="G8" s="357">
        <v>904.26</v>
      </c>
      <c r="H8" s="358">
        <v>0.19400000000000001</v>
      </c>
      <c r="I8" s="359">
        <v>866.44</v>
      </c>
      <c r="J8" s="360">
        <v>0.1908</v>
      </c>
      <c r="K8" s="359">
        <f>+I8-E8</f>
        <v>-37.819999999999936</v>
      </c>
      <c r="L8" s="313">
        <f>(+I8/E8)-1</f>
        <v>-4.1824254086214041E-2</v>
      </c>
      <c r="M8" s="99">
        <v>864.31</v>
      </c>
      <c r="N8" s="266">
        <v>0.1903</v>
      </c>
      <c r="O8" s="323">
        <v>762.86</v>
      </c>
      <c r="P8" s="326">
        <v>0.1898</v>
      </c>
      <c r="Q8" s="359">
        <f>+O8-M8</f>
        <v>-101.44999999999993</v>
      </c>
      <c r="R8" s="309">
        <f>(+M8/I8)-1</f>
        <v>-2.4583352569135242E-3</v>
      </c>
      <c r="S8" s="338">
        <v>796.3</v>
      </c>
      <c r="T8" s="339">
        <v>0.18160000000000001</v>
      </c>
      <c r="U8" s="340">
        <f>+S8-K17</f>
        <v>796.3</v>
      </c>
      <c r="V8" s="341" t="e">
        <f>(+S8/K17)-1</f>
        <v>#DIV/0!</v>
      </c>
      <c r="W8" s="338">
        <v>817.68</v>
      </c>
      <c r="X8" s="339">
        <v>0.1865</v>
      </c>
      <c r="Y8" s="342">
        <f>+W8-S8</f>
        <v>21.379999999999995</v>
      </c>
      <c r="Z8" s="343">
        <f>(+W8/S8)-1</f>
        <v>2.6849177445686268E-2</v>
      </c>
      <c r="AA8" s="338">
        <v>828.76</v>
      </c>
      <c r="AB8" s="339">
        <v>0.189</v>
      </c>
      <c r="AC8" s="342">
        <f>+AA8-W8</f>
        <v>11.080000000000041</v>
      </c>
      <c r="AD8" s="343">
        <f>(+AA8/W8)-1</f>
        <v>1.3550533215928029E-2</v>
      </c>
      <c r="AE8" s="338">
        <v>828.76</v>
      </c>
      <c r="AF8" s="339">
        <v>0.189</v>
      </c>
      <c r="AG8" s="342">
        <f>+AE8-AA8</f>
        <v>0</v>
      </c>
      <c r="AH8" s="343">
        <f>(+AE8/AA8)-1</f>
        <v>0</v>
      </c>
      <c r="AI8" s="338"/>
      <c r="AJ8" s="344">
        <v>0.192</v>
      </c>
      <c r="AK8" s="342">
        <f>+AI8-AA8</f>
        <v>-828.76</v>
      </c>
      <c r="AL8" s="345">
        <f>(+AJ8/AB8)-1</f>
        <v>1.5873015873015817E-2</v>
      </c>
      <c r="AM8" s="323">
        <v>794.63</v>
      </c>
      <c r="AN8" s="326">
        <v>0.1812</v>
      </c>
      <c r="AO8" s="359">
        <f>+AM8-AE8</f>
        <v>-34.129999999999995</v>
      </c>
      <c r="AP8" s="309">
        <f>(+AM8/AE8)-1</f>
        <v>-4.1182006853612618E-2</v>
      </c>
      <c r="AQ8" s="323">
        <v>796.19</v>
      </c>
      <c r="AR8" s="326">
        <v>0.18160000000000001</v>
      </c>
      <c r="AS8" s="359">
        <f>+AQ8-AI8</f>
        <v>796.19</v>
      </c>
      <c r="AT8" s="309">
        <f>(+AQ8/AM8)-1</f>
        <v>1.9631778311919312E-3</v>
      </c>
      <c r="AU8" s="323">
        <v>809.798</v>
      </c>
      <c r="AV8" s="326">
        <v>0.19339999999999999</v>
      </c>
      <c r="AW8" s="359">
        <f>+AU8-AQ8</f>
        <v>13.607999999999947</v>
      </c>
      <c r="AX8" s="309">
        <f>(+AU8/AQ8)-1</f>
        <v>1.7091397781936468E-2</v>
      </c>
      <c r="AY8" s="323">
        <v>810.22199999999998</v>
      </c>
      <c r="AZ8" s="326">
        <v>0.19350000000000001</v>
      </c>
      <c r="BA8" s="359">
        <f>+AY8-AU8</f>
        <v>0.42399999999997817</v>
      </c>
      <c r="BB8" s="309">
        <f>(+AY8/AU8)-1</f>
        <v>5.235873637623456E-4</v>
      </c>
      <c r="BC8" s="323">
        <v>810.43899999999996</v>
      </c>
      <c r="BD8" s="326">
        <v>0.19359999999999999</v>
      </c>
      <c r="BE8" s="359">
        <f>+BC8-AY8</f>
        <v>0.21699999999998454</v>
      </c>
      <c r="BF8" s="309">
        <f>(+BC8/AY8)-1</f>
        <v>2.67827829903311E-4</v>
      </c>
      <c r="BG8" s="323">
        <v>817.45600000000002</v>
      </c>
      <c r="BH8" s="326">
        <v>0.19670000000000001</v>
      </c>
      <c r="BI8" s="359">
        <f>+BG8-BC8</f>
        <v>7.0170000000000528</v>
      </c>
      <c r="BJ8" s="309">
        <f>(+BG8/BC8)-1</f>
        <v>8.6582703941937567E-3</v>
      </c>
      <c r="BK8" s="323">
        <v>824.36699999999996</v>
      </c>
      <c r="BL8" s="326">
        <v>0.19259999999999999</v>
      </c>
      <c r="BM8" s="359">
        <f>+BK8-BG8</f>
        <v>6.9109999999999445</v>
      </c>
      <c r="BN8" s="309">
        <f>(+BK8/BG8)-1</f>
        <v>8.4542776614275894E-3</v>
      </c>
      <c r="BO8" s="323">
        <v>830.93100000000004</v>
      </c>
      <c r="BP8" s="326">
        <v>0.19409999999999999</v>
      </c>
      <c r="BQ8" s="359">
        <f>+BO8-BK8</f>
        <v>6.5640000000000782</v>
      </c>
      <c r="BR8" s="309">
        <f>(+BO8/BK8)-1</f>
        <v>7.9624730247571662E-3</v>
      </c>
      <c r="BS8" s="323">
        <v>861.851</v>
      </c>
      <c r="BT8" s="326">
        <v>0.19339999999999999</v>
      </c>
      <c r="BU8" s="359">
        <f>+BS8-BO8</f>
        <v>30.919999999999959</v>
      </c>
      <c r="BV8" s="309">
        <f>(+BS8/BO8)-1</f>
        <v>3.7211272656815009E-2</v>
      </c>
      <c r="BW8" s="426">
        <v>868.81799999999998</v>
      </c>
      <c r="BX8" s="326">
        <v>0.19500000000000001</v>
      </c>
      <c r="BY8" s="359">
        <f>+BW8-BS8</f>
        <v>6.9669999999999845</v>
      </c>
      <c r="BZ8" s="309">
        <f>(+BW8/BS8)-1</f>
        <v>8.0837638988642269E-3</v>
      </c>
      <c r="CA8" s="426">
        <v>847.96699999999998</v>
      </c>
      <c r="CB8" s="326">
        <v>0.19600000000000001</v>
      </c>
      <c r="CC8" s="359">
        <f>+CA8-BW8</f>
        <v>-20.850999999999999</v>
      </c>
      <c r="CD8" s="309">
        <f>(+CA8/BW8)-1</f>
        <v>-2.3999272574923625E-2</v>
      </c>
      <c r="CE8" s="426">
        <v>822</v>
      </c>
      <c r="CF8" s="326" t="s">
        <v>218</v>
      </c>
      <c r="CG8" s="359">
        <f>+CE8-CA8</f>
        <v>-25.966999999999985</v>
      </c>
      <c r="CH8" s="309">
        <f>(+CE8/CA8)-1</f>
        <v>-3.0622653947618206E-2</v>
      </c>
      <c r="CI8" s="313"/>
      <c r="CL8" s="293" t="s">
        <v>90</v>
      </c>
      <c r="CM8" s="304">
        <v>9500</v>
      </c>
      <c r="CN8" s="304">
        <v>7700</v>
      </c>
      <c r="CO8" s="304">
        <v>7500</v>
      </c>
      <c r="CP8" s="305">
        <v>7700</v>
      </c>
      <c r="CQ8" s="304"/>
      <c r="CR8" s="305"/>
    </row>
    <row r="9" spans="2:96" ht="16" thickBot="1" x14ac:dyDescent="0.25">
      <c r="B9" s="294" t="s">
        <v>90</v>
      </c>
      <c r="C9" s="362">
        <v>858.92</v>
      </c>
      <c r="D9" s="296">
        <v>0.1842</v>
      </c>
      <c r="E9" s="295">
        <v>859.88</v>
      </c>
      <c r="F9" s="302">
        <v>0.1845</v>
      </c>
      <c r="G9" s="295">
        <v>859.88</v>
      </c>
      <c r="H9" s="302">
        <v>0.1845</v>
      </c>
      <c r="I9" s="303">
        <v>825.77</v>
      </c>
      <c r="J9" s="308">
        <v>0.18179999999999999</v>
      </c>
      <c r="K9" s="303">
        <f>+I9-E9</f>
        <v>-34.110000000000014</v>
      </c>
      <c r="L9" s="314">
        <f>(+I9/E9)-1</f>
        <v>-3.9668325812904137E-2</v>
      </c>
      <c r="M9" s="311">
        <v>828.09</v>
      </c>
      <c r="N9" s="312">
        <v>0.18240000000000001</v>
      </c>
      <c r="O9" s="324">
        <v>836.83</v>
      </c>
      <c r="P9" s="327">
        <v>0.18429999999999999</v>
      </c>
      <c r="Q9" s="303">
        <f>+O9-M9</f>
        <v>8.7400000000000091</v>
      </c>
      <c r="R9" s="310">
        <f>(+M9/I9)-1</f>
        <v>2.8094990130425046E-3</v>
      </c>
      <c r="S9" s="346">
        <v>806.02</v>
      </c>
      <c r="T9" s="347">
        <v>0.18379999999999999</v>
      </c>
      <c r="U9" s="348">
        <f>+S9-K18</f>
        <v>806.02</v>
      </c>
      <c r="V9" s="349" t="e">
        <f>(+S9/K18)-1</f>
        <v>#DIV/0!</v>
      </c>
      <c r="W9" s="346">
        <v>803.71</v>
      </c>
      <c r="X9" s="347">
        <v>0.18329999999999999</v>
      </c>
      <c r="Y9" s="350">
        <f>+W9-S9</f>
        <v>-2.3099999999999454</v>
      </c>
      <c r="Z9" s="351">
        <f>(+W9/S9)-1</f>
        <v>-2.8659338477953211E-3</v>
      </c>
      <c r="AA9" s="346">
        <v>807</v>
      </c>
      <c r="AB9" s="347">
        <v>0.184</v>
      </c>
      <c r="AC9" s="350">
        <f>+AA9-W9</f>
        <v>3.2899999999999636</v>
      </c>
      <c r="AD9" s="351">
        <f>(+AA9/W9)-1</f>
        <v>4.0935163180748635E-3</v>
      </c>
      <c r="AE9" s="346">
        <v>807</v>
      </c>
      <c r="AF9" s="347">
        <v>0.184</v>
      </c>
      <c r="AG9" s="350">
        <f>+AE9-AA9</f>
        <v>0</v>
      </c>
      <c r="AH9" s="351">
        <f>(+AE9/AA9)-1</f>
        <v>0</v>
      </c>
      <c r="AI9" s="346"/>
      <c r="AJ9" s="352">
        <v>0.184</v>
      </c>
      <c r="AK9" s="350">
        <f>+AI9-AA9</f>
        <v>-807</v>
      </c>
      <c r="AL9" s="353">
        <f>(+AJ9/AB9)-1</f>
        <v>0</v>
      </c>
      <c r="AM9" s="324">
        <v>798.79</v>
      </c>
      <c r="AN9" s="327">
        <v>0.18210000000000001</v>
      </c>
      <c r="AO9" s="303">
        <f>+AM9-AE9</f>
        <v>-8.2100000000000364</v>
      </c>
      <c r="AP9" s="310">
        <f>(+AM9/AE9)-1</f>
        <v>-1.0173482032218129E-2</v>
      </c>
      <c r="AQ9" s="324">
        <v>774.6</v>
      </c>
      <c r="AR9" s="327">
        <v>0.185</v>
      </c>
      <c r="AS9" s="303">
        <f>+AQ9-AI9</f>
        <v>774.6</v>
      </c>
      <c r="AT9" s="310">
        <f>(+AQ9/AM9)-1</f>
        <v>-3.0283303496538405E-2</v>
      </c>
      <c r="AU9" s="324">
        <v>780.7</v>
      </c>
      <c r="AV9" s="327">
        <v>0.1865</v>
      </c>
      <c r="AW9" s="303">
        <f>+AU9-AQ9</f>
        <v>6.1000000000000227</v>
      </c>
      <c r="AX9" s="310">
        <f>(+AU9/AQ9)-1</f>
        <v>7.8750322747225265E-3</v>
      </c>
      <c r="AY9" s="324">
        <v>779.2</v>
      </c>
      <c r="AZ9" s="327">
        <v>0.18609999999999999</v>
      </c>
      <c r="BA9" s="303">
        <f>+AY9-AU9</f>
        <v>-1.5</v>
      </c>
      <c r="BB9" s="310">
        <f>(+AY9/AU9)-1</f>
        <v>-1.921352632253126E-3</v>
      </c>
      <c r="BC9" s="324">
        <v>781.7</v>
      </c>
      <c r="BD9" s="327">
        <v>0.1867</v>
      </c>
      <c r="BE9" s="303">
        <f>+BC9-AY9</f>
        <v>2.5</v>
      </c>
      <c r="BF9" s="310">
        <f>(+BC9/AY9)-1</f>
        <v>3.2084188911705169E-3</v>
      </c>
      <c r="BG9" s="324">
        <v>775.8</v>
      </c>
      <c r="BH9" s="327">
        <v>0.18659999999999999</v>
      </c>
      <c r="BI9" s="303">
        <f>+BG9-BC9</f>
        <v>-5.9000000000000909</v>
      </c>
      <c r="BJ9" s="310">
        <f>(+BG9/BC9)-1</f>
        <v>-7.5476525521300797E-3</v>
      </c>
      <c r="BK9" s="324">
        <v>800</v>
      </c>
      <c r="BL9" s="327">
        <v>0.18690000000000001</v>
      </c>
      <c r="BM9" s="303">
        <f>+BK9-BG9</f>
        <v>24.200000000000045</v>
      </c>
      <c r="BN9" s="310">
        <f>(+BK9/BG9)-1</f>
        <v>3.1193606599639212E-2</v>
      </c>
      <c r="BO9" s="324">
        <v>802</v>
      </c>
      <c r="BP9" s="327">
        <v>0.18729999999999999</v>
      </c>
      <c r="BQ9" s="303">
        <f>+BO9-BK9</f>
        <v>2</v>
      </c>
      <c r="BR9" s="310">
        <f>(+BO9/BK9)-1</f>
        <v>2.4999999999999467E-3</v>
      </c>
      <c r="BS9" s="324">
        <v>829.4</v>
      </c>
      <c r="BT9" s="327">
        <v>0.1862</v>
      </c>
      <c r="BU9" s="303">
        <f>+BS9-BO9</f>
        <v>27.399999999999977</v>
      </c>
      <c r="BV9" s="310">
        <f>(+BS9/BO9)-1</f>
        <v>3.4164588528678319E-2</v>
      </c>
      <c r="BW9" s="427">
        <v>841.7</v>
      </c>
      <c r="BX9" s="327">
        <v>0.18890000000000001</v>
      </c>
      <c r="BY9" s="303">
        <f>+BW9-BS9</f>
        <v>12.300000000000068</v>
      </c>
      <c r="BZ9" s="310">
        <f>(+BW9/BS9)-1</f>
        <v>1.482999758861836E-2</v>
      </c>
      <c r="CA9" s="427">
        <v>811</v>
      </c>
      <c r="CB9" s="327">
        <v>0.1875</v>
      </c>
      <c r="CC9" s="303">
        <f>+CA9-BW9</f>
        <v>-30.700000000000045</v>
      </c>
      <c r="CD9" s="310">
        <f>(+CA9/BW9)-1</f>
        <v>-3.6473803017702311E-2</v>
      </c>
      <c r="CE9" s="427">
        <v>811</v>
      </c>
      <c r="CF9" s="327">
        <v>0.1875</v>
      </c>
      <c r="CG9" s="303">
        <f>+CE9-CA9</f>
        <v>0</v>
      </c>
      <c r="CH9" s="310">
        <f>(+CE9/CA9)-1</f>
        <v>0</v>
      </c>
      <c r="CI9" s="313"/>
      <c r="CL9" s="294" t="s">
        <v>154</v>
      </c>
      <c r="CM9" s="306">
        <v>91.9</v>
      </c>
      <c r="CN9" s="306">
        <v>137.80000000000001</v>
      </c>
      <c r="CO9" s="306">
        <v>137.80000000000001</v>
      </c>
      <c r="CP9" s="307">
        <v>202.1</v>
      </c>
      <c r="CQ9" s="306">
        <v>220.4</v>
      </c>
      <c r="CR9" s="307">
        <v>119.4</v>
      </c>
    </row>
    <row r="11" spans="2:96" x14ac:dyDescent="0.2">
      <c r="CL11" s="297" t="s">
        <v>38</v>
      </c>
      <c r="CM11" s="299">
        <f t="shared" ref="CM11:CR11" si="0">+SUM(CM5:CM9)</f>
        <v>63115.9</v>
      </c>
      <c r="CN11" s="299">
        <f t="shared" si="0"/>
        <v>55709.8</v>
      </c>
      <c r="CO11" s="299">
        <f t="shared" si="0"/>
        <v>53615.8</v>
      </c>
      <c r="CP11" s="299">
        <f t="shared" si="0"/>
        <v>53333.1</v>
      </c>
      <c r="CQ11" s="299">
        <f t="shared" si="0"/>
        <v>36092.400000000001</v>
      </c>
      <c r="CR11" s="299">
        <f t="shared" si="0"/>
        <v>37708.400000000001</v>
      </c>
    </row>
  </sheetData>
  <mergeCells count="23">
    <mergeCell ref="O4:P4"/>
    <mergeCell ref="AU4:AV4"/>
    <mergeCell ref="AQ4:AR4"/>
    <mergeCell ref="AI4:AJ4"/>
    <mergeCell ref="AM4:AN4"/>
    <mergeCell ref="S4:T4"/>
    <mergeCell ref="W4:X4"/>
    <mergeCell ref="AA4:AB4"/>
    <mergeCell ref="C4:D4"/>
    <mergeCell ref="E4:F4"/>
    <mergeCell ref="G4:H4"/>
    <mergeCell ref="I4:J4"/>
    <mergeCell ref="M4:N4"/>
    <mergeCell ref="CE4:CF4"/>
    <mergeCell ref="CA4:CB4"/>
    <mergeCell ref="BK4:BL4"/>
    <mergeCell ref="AE4:AF4"/>
    <mergeCell ref="BG4:BH4"/>
    <mergeCell ref="BC4:BD4"/>
    <mergeCell ref="AY4:AZ4"/>
    <mergeCell ref="BW4:BX4"/>
    <mergeCell ref="BS4:BT4"/>
    <mergeCell ref="BO4:BP4"/>
  </mergeCells>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5C466-8FCE-8742-949B-3526DBCC6EF4}">
  <dimension ref="A2:O23"/>
  <sheetViews>
    <sheetView showGridLines="0" topLeftCell="A4" zoomScale="180" zoomScaleNormal="180" workbookViewId="0">
      <selection activeCell="R20" sqref="R20"/>
    </sheetView>
  </sheetViews>
  <sheetFormatPr baseColWidth="10" defaultRowHeight="15" x14ac:dyDescent="0.2"/>
  <cols>
    <col min="1" max="1" width="10.83203125" style="99"/>
    <col min="2" max="2" width="14.5" style="99" bestFit="1" customWidth="1"/>
    <col min="3" max="14" width="0" style="99" hidden="1" customWidth="1"/>
    <col min="15" max="16384" width="10.83203125" style="99"/>
  </cols>
  <sheetData>
    <row r="2" spans="1:15" ht="26" x14ac:dyDescent="0.3">
      <c r="B2" s="388" t="s">
        <v>194</v>
      </c>
    </row>
    <row r="4" spans="1:15" ht="16" thickBot="1" x14ac:dyDescent="0.25">
      <c r="C4" s="272" t="s">
        <v>182</v>
      </c>
      <c r="D4" s="272" t="s">
        <v>183</v>
      </c>
      <c r="E4" s="272" t="s">
        <v>184</v>
      </c>
      <c r="F4" s="272" t="s">
        <v>185</v>
      </c>
      <c r="G4" s="272" t="s">
        <v>186</v>
      </c>
      <c r="H4" s="272" t="s">
        <v>187</v>
      </c>
      <c r="I4" s="272" t="s">
        <v>188</v>
      </c>
      <c r="J4" s="272" t="s">
        <v>189</v>
      </c>
      <c r="K4" s="272" t="s">
        <v>190</v>
      </c>
      <c r="L4" s="272" t="s">
        <v>191</v>
      </c>
      <c r="M4" s="272" t="s">
        <v>192</v>
      </c>
      <c r="N4" s="272" t="s">
        <v>193</v>
      </c>
      <c r="O4" s="272" t="s">
        <v>38</v>
      </c>
    </row>
    <row r="5" spans="1:15" x14ac:dyDescent="0.2">
      <c r="A5" s="272" t="s">
        <v>180</v>
      </c>
      <c r="B5" s="389" t="s">
        <v>176</v>
      </c>
      <c r="C5" s="390">
        <v>23942</v>
      </c>
      <c r="D5" s="390">
        <v>20911</v>
      </c>
      <c r="E5" s="390">
        <v>23306</v>
      </c>
      <c r="F5" s="390">
        <v>22844</v>
      </c>
      <c r="G5" s="390">
        <v>19765</v>
      </c>
      <c r="H5" s="391">
        <v>16856.57</v>
      </c>
      <c r="I5" s="391">
        <v>20885.8</v>
      </c>
      <c r="J5" s="391">
        <v>22286</v>
      </c>
      <c r="K5" s="391">
        <v>21258.25</v>
      </c>
      <c r="L5" s="391">
        <v>17000</v>
      </c>
      <c r="M5" s="391">
        <v>18870.5</v>
      </c>
      <c r="N5" s="392"/>
      <c r="O5" s="393">
        <f>+SUM(C5:H5)</f>
        <v>127624.57</v>
      </c>
    </row>
    <row r="6" spans="1:15" x14ac:dyDescent="0.2">
      <c r="A6" s="272" t="s">
        <v>88</v>
      </c>
      <c r="B6" s="394" t="s">
        <v>176</v>
      </c>
      <c r="C6" s="395">
        <v>11997</v>
      </c>
      <c r="D6" s="395">
        <v>10793</v>
      </c>
      <c r="E6" s="395">
        <v>12894.880000000001</v>
      </c>
      <c r="F6" s="395">
        <v>10543</v>
      </c>
      <c r="G6" s="395">
        <v>9879</v>
      </c>
      <c r="H6" s="396">
        <v>6822.47</v>
      </c>
      <c r="I6" s="396">
        <v>7206.91</v>
      </c>
      <c r="J6" s="396">
        <v>7738.57</v>
      </c>
      <c r="K6" s="396">
        <v>7317.06</v>
      </c>
      <c r="L6" s="396">
        <v>8300</v>
      </c>
      <c r="M6" s="396">
        <v>4692</v>
      </c>
      <c r="N6" s="397"/>
      <c r="O6" s="398">
        <f>+SUM(C6:H6)</f>
        <v>62929.350000000006</v>
      </c>
    </row>
    <row r="7" spans="1:15" x14ac:dyDescent="0.2">
      <c r="A7" s="272" t="s">
        <v>179</v>
      </c>
      <c r="B7" s="394" t="s">
        <v>176</v>
      </c>
      <c r="C7" s="395">
        <v>16844.236999999997</v>
      </c>
      <c r="D7" s="395">
        <v>18554</v>
      </c>
      <c r="E7" s="395">
        <v>18827.580999999998</v>
      </c>
      <c r="F7" s="395">
        <v>17972</v>
      </c>
      <c r="G7" s="395">
        <v>18658.109</v>
      </c>
      <c r="H7" s="396">
        <v>16956.319</v>
      </c>
      <c r="I7" s="396">
        <v>21020.219000000001</v>
      </c>
      <c r="J7" s="396">
        <v>19236.605</v>
      </c>
      <c r="K7" s="396">
        <v>22461.803</v>
      </c>
      <c r="L7" s="396">
        <v>23150</v>
      </c>
      <c r="M7" s="396">
        <v>21618.532000000003</v>
      </c>
      <c r="N7" s="397"/>
      <c r="O7" s="398">
        <f>+SUM(C7:H7)</f>
        <v>107812.246</v>
      </c>
    </row>
    <row r="8" spans="1:15" ht="16" thickBot="1" x14ac:dyDescent="0.25">
      <c r="A8" s="272" t="s">
        <v>181</v>
      </c>
      <c r="B8" s="399" t="s">
        <v>176</v>
      </c>
      <c r="C8" s="400">
        <v>6035</v>
      </c>
      <c r="D8" s="400">
        <v>7270</v>
      </c>
      <c r="E8" s="400">
        <v>8455</v>
      </c>
      <c r="F8" s="400">
        <v>7257</v>
      </c>
      <c r="G8" s="400">
        <v>7471</v>
      </c>
      <c r="H8" s="401">
        <v>6237.4</v>
      </c>
      <c r="I8" s="401">
        <v>6035.2</v>
      </c>
      <c r="J8" s="401">
        <v>6085.7999999999993</v>
      </c>
      <c r="K8" s="401">
        <v>6505.8</v>
      </c>
      <c r="L8" s="401">
        <v>6630</v>
      </c>
      <c r="M8" s="401">
        <v>6520.5</v>
      </c>
      <c r="N8" s="402"/>
      <c r="O8" s="403">
        <f>+SUM(C8:H8)</f>
        <v>42725.4</v>
      </c>
    </row>
    <row r="9" spans="1:15" x14ac:dyDescent="0.2">
      <c r="A9" s="272" t="s">
        <v>38</v>
      </c>
      <c r="B9" s="404"/>
      <c r="C9" s="405">
        <f>+SUM(C5:C8)</f>
        <v>58818.236999999994</v>
      </c>
      <c r="D9" s="405">
        <f t="shared" ref="D9:O9" si="0">+SUM(D5:D8)</f>
        <v>57528</v>
      </c>
      <c r="E9" s="405">
        <f t="shared" si="0"/>
        <v>63483.461000000003</v>
      </c>
      <c r="F9" s="405">
        <f t="shared" si="0"/>
        <v>58616</v>
      </c>
      <c r="G9" s="405">
        <f t="shared" si="0"/>
        <v>55773.108999999997</v>
      </c>
      <c r="H9" s="405">
        <f t="shared" si="0"/>
        <v>46872.758999999998</v>
      </c>
      <c r="I9" s="405">
        <f t="shared" si="0"/>
        <v>55148.129000000001</v>
      </c>
      <c r="J9" s="405">
        <f t="shared" si="0"/>
        <v>55346.975000000006</v>
      </c>
      <c r="K9" s="405">
        <f t="shared" si="0"/>
        <v>57542.913</v>
      </c>
      <c r="L9" s="405">
        <f t="shared" si="0"/>
        <v>55080</v>
      </c>
      <c r="M9" s="405">
        <f t="shared" si="0"/>
        <v>51701.532000000007</v>
      </c>
      <c r="N9" s="405">
        <f t="shared" si="0"/>
        <v>0</v>
      </c>
      <c r="O9" s="405">
        <f t="shared" si="0"/>
        <v>341091.56600000005</v>
      </c>
    </row>
    <row r="10" spans="1:15" x14ac:dyDescent="0.2">
      <c r="O10" s="406"/>
    </row>
    <row r="11" spans="1:15" ht="16" thickBot="1" x14ac:dyDescent="0.25">
      <c r="C11" s="272" t="s">
        <v>182</v>
      </c>
      <c r="D11" s="272" t="s">
        <v>183</v>
      </c>
      <c r="E11" s="272" t="s">
        <v>184</v>
      </c>
      <c r="F11" s="272" t="s">
        <v>185</v>
      </c>
      <c r="G11" s="272" t="s">
        <v>186</v>
      </c>
      <c r="H11" s="272" t="s">
        <v>187</v>
      </c>
      <c r="I11" s="272" t="s">
        <v>188</v>
      </c>
      <c r="J11" s="272" t="s">
        <v>189</v>
      </c>
      <c r="K11" s="272" t="s">
        <v>190</v>
      </c>
      <c r="L11" s="272" t="s">
        <v>191</v>
      </c>
      <c r="M11" s="272" t="s">
        <v>192</v>
      </c>
      <c r="N11" s="272" t="s">
        <v>193</v>
      </c>
      <c r="O11" s="272" t="s">
        <v>38</v>
      </c>
    </row>
    <row r="12" spans="1:15" x14ac:dyDescent="0.2">
      <c r="A12" s="272" t="s">
        <v>180</v>
      </c>
      <c r="B12" s="389" t="s">
        <v>177</v>
      </c>
      <c r="C12" s="390">
        <v>4796</v>
      </c>
      <c r="D12" s="390">
        <v>4277.6970000000001</v>
      </c>
      <c r="E12" s="390">
        <v>4811.63</v>
      </c>
      <c r="F12" s="390">
        <v>4777</v>
      </c>
      <c r="G12" s="390">
        <v>4282</v>
      </c>
      <c r="H12" s="391">
        <v>3870.886</v>
      </c>
      <c r="I12" s="391">
        <v>4752.241</v>
      </c>
      <c r="J12" s="391">
        <v>4913.5239999999994</v>
      </c>
      <c r="K12" s="391">
        <v>4676.2759999999998</v>
      </c>
      <c r="L12" s="391">
        <v>3672</v>
      </c>
      <c r="M12" s="488">
        <v>4194.884</v>
      </c>
      <c r="N12" s="392"/>
      <c r="O12" s="393">
        <f>+SUM(C12:H12)</f>
        <v>26815.213</v>
      </c>
    </row>
    <row r="13" spans="1:15" x14ac:dyDescent="0.2">
      <c r="A13" s="272" t="s">
        <v>88</v>
      </c>
      <c r="B13" s="394" t="s">
        <v>177</v>
      </c>
      <c r="C13" s="395">
        <v>2121</v>
      </c>
      <c r="D13" s="395">
        <v>1908</v>
      </c>
      <c r="E13" s="395">
        <v>2394</v>
      </c>
      <c r="F13" s="395">
        <v>1993</v>
      </c>
      <c r="G13" s="395">
        <v>1960</v>
      </c>
      <c r="H13" s="396">
        <v>1385.587</v>
      </c>
      <c r="I13" s="396">
        <v>1471.1869999999999</v>
      </c>
      <c r="J13" s="396">
        <v>1548.5239999999999</v>
      </c>
      <c r="K13" s="396">
        <v>1445.8645887879936</v>
      </c>
      <c r="L13" s="396">
        <v>1643.4</v>
      </c>
      <c r="M13" s="489">
        <v>872.13099999999997</v>
      </c>
      <c r="N13" s="397"/>
      <c r="O13" s="398">
        <f>+SUM(C13:H13)</f>
        <v>11761.587</v>
      </c>
    </row>
    <row r="14" spans="1:15" x14ac:dyDescent="0.2">
      <c r="A14" s="272" t="s">
        <v>179</v>
      </c>
      <c r="B14" s="394" t="s">
        <v>177</v>
      </c>
      <c r="C14" s="395">
        <v>3878.7649999999999</v>
      </c>
      <c r="D14" s="395">
        <v>4216</v>
      </c>
      <c r="E14" s="395">
        <v>4283</v>
      </c>
      <c r="F14" s="395">
        <v>4119</v>
      </c>
      <c r="G14" s="395">
        <v>4405</v>
      </c>
      <c r="H14" s="396">
        <v>4021.3109999999997</v>
      </c>
      <c r="I14" s="396">
        <v>5086.5159999999996</v>
      </c>
      <c r="J14" s="396">
        <v>4552.9760000000006</v>
      </c>
      <c r="K14" s="396">
        <v>5339.656359469961</v>
      </c>
      <c r="L14" s="396">
        <v>5440.25</v>
      </c>
      <c r="M14" s="489">
        <v>5057.6150000000007</v>
      </c>
      <c r="N14" s="397"/>
      <c r="O14" s="398">
        <f>+SUM(C14:H14)</f>
        <v>24923.076000000001</v>
      </c>
    </row>
    <row r="15" spans="1:15" ht="16" thickBot="1" x14ac:dyDescent="0.25">
      <c r="A15" s="272" t="s">
        <v>181</v>
      </c>
      <c r="B15" s="399" t="s">
        <v>177</v>
      </c>
      <c r="C15" s="400">
        <v>1265</v>
      </c>
      <c r="D15" s="400">
        <v>1462</v>
      </c>
      <c r="E15" s="400">
        <v>1758</v>
      </c>
      <c r="F15" s="400">
        <v>1581</v>
      </c>
      <c r="G15" s="400">
        <v>1724</v>
      </c>
      <c r="H15" s="401">
        <v>1465.5309999999999</v>
      </c>
      <c r="I15" s="401">
        <v>1390.212</v>
      </c>
      <c r="J15" s="401">
        <v>1331.0450000000001</v>
      </c>
      <c r="K15" s="401">
        <v>1455.4228042895443</v>
      </c>
      <c r="L15" s="401">
        <v>1458.6</v>
      </c>
      <c r="M15" s="490">
        <v>1436.4949999999999</v>
      </c>
      <c r="N15" s="402"/>
      <c r="O15" s="403">
        <f>+SUM(C15:H15)</f>
        <v>9255.530999999999</v>
      </c>
    </row>
    <row r="16" spans="1:15" x14ac:dyDescent="0.2">
      <c r="A16" s="272" t="s">
        <v>38</v>
      </c>
      <c r="B16" s="404"/>
      <c r="C16" s="405">
        <f>+SUM(C12:C15)</f>
        <v>12060.764999999999</v>
      </c>
      <c r="D16" s="405">
        <f t="shared" ref="D16:O16" si="1">+SUM(D12:D15)</f>
        <v>11863.697</v>
      </c>
      <c r="E16" s="405">
        <f t="shared" si="1"/>
        <v>13246.630000000001</v>
      </c>
      <c r="F16" s="405">
        <f t="shared" si="1"/>
        <v>12470</v>
      </c>
      <c r="G16" s="405">
        <f t="shared" si="1"/>
        <v>12371</v>
      </c>
      <c r="H16" s="405">
        <f t="shared" si="1"/>
        <v>10743.314999999999</v>
      </c>
      <c r="I16" s="405">
        <f t="shared" si="1"/>
        <v>12700.155999999999</v>
      </c>
      <c r="J16" s="405">
        <f t="shared" si="1"/>
        <v>12346.069</v>
      </c>
      <c r="K16" s="405">
        <f t="shared" si="1"/>
        <v>12917.219752547499</v>
      </c>
      <c r="L16" s="405">
        <f t="shared" si="1"/>
        <v>12214.25</v>
      </c>
      <c r="M16" s="405">
        <f t="shared" si="1"/>
        <v>11561.125</v>
      </c>
      <c r="N16" s="405">
        <f t="shared" si="1"/>
        <v>0</v>
      </c>
      <c r="O16" s="405">
        <f t="shared" si="1"/>
        <v>72755.407000000007</v>
      </c>
    </row>
    <row r="18" spans="1:15" ht="16" thickBot="1" x14ac:dyDescent="0.25">
      <c r="C18" s="272" t="s">
        <v>182</v>
      </c>
      <c r="D18" s="272" t="s">
        <v>183</v>
      </c>
      <c r="E18" s="272" t="s">
        <v>184</v>
      </c>
      <c r="F18" s="272" t="s">
        <v>185</v>
      </c>
      <c r="G18" s="272" t="s">
        <v>186</v>
      </c>
      <c r="H18" s="272" t="s">
        <v>187</v>
      </c>
      <c r="I18" s="272" t="s">
        <v>188</v>
      </c>
      <c r="J18" s="272" t="s">
        <v>189</v>
      </c>
      <c r="K18" s="272" t="s">
        <v>190</v>
      </c>
      <c r="L18" s="272" t="s">
        <v>191</v>
      </c>
      <c r="M18" s="272" t="s">
        <v>192</v>
      </c>
      <c r="N18" s="272" t="s">
        <v>193</v>
      </c>
      <c r="O18" s="272" t="s">
        <v>38</v>
      </c>
    </row>
    <row r="19" spans="1:15" x14ac:dyDescent="0.2">
      <c r="A19" s="272" t="s">
        <v>180</v>
      </c>
      <c r="B19" s="389" t="s">
        <v>178</v>
      </c>
      <c r="C19" s="381">
        <f t="shared" ref="C19:I22" si="2">+C12/C5</f>
        <v>0.20031743379834599</v>
      </c>
      <c r="D19" s="381">
        <f t="shared" si="2"/>
        <v>0.20456683085457417</v>
      </c>
      <c r="E19" s="381">
        <f t="shared" si="2"/>
        <v>0.20645456105723847</v>
      </c>
      <c r="F19" s="381">
        <f t="shared" si="2"/>
        <v>0.20911399054456312</v>
      </c>
      <c r="G19" s="381">
        <f t="shared" si="2"/>
        <v>0.2166455856311662</v>
      </c>
      <c r="H19" s="381">
        <f t="shared" si="2"/>
        <v>0.22963663426189315</v>
      </c>
      <c r="I19" s="381">
        <f t="shared" si="2"/>
        <v>0.22753454500186732</v>
      </c>
      <c r="J19" s="381">
        <f t="shared" ref="J19:L22" si="3">+J12/J5</f>
        <v>0.22047581441263572</v>
      </c>
      <c r="K19" s="381">
        <f t="shared" si="3"/>
        <v>0.21997464513777004</v>
      </c>
      <c r="L19" s="381">
        <f t="shared" si="3"/>
        <v>0.216</v>
      </c>
      <c r="M19" s="381">
        <f>+M12/M5</f>
        <v>0.22229850825362338</v>
      </c>
      <c r="N19" s="392"/>
      <c r="O19" s="382">
        <f>+O12/O5</f>
        <v>0.21011011437687899</v>
      </c>
    </row>
    <row r="20" spans="1:15" x14ac:dyDescent="0.2">
      <c r="A20" s="272" t="s">
        <v>88</v>
      </c>
      <c r="B20" s="394" t="s">
        <v>178</v>
      </c>
      <c r="C20" s="380">
        <f t="shared" si="2"/>
        <v>0.1767941985496374</v>
      </c>
      <c r="D20" s="380">
        <f t="shared" si="2"/>
        <v>0.17678124710460483</v>
      </c>
      <c r="E20" s="380">
        <f t="shared" si="2"/>
        <v>0.18565508170684797</v>
      </c>
      <c r="F20" s="380">
        <f t="shared" si="2"/>
        <v>0.18903537892440481</v>
      </c>
      <c r="G20" s="380">
        <f t="shared" si="2"/>
        <v>0.19840064783885009</v>
      </c>
      <c r="H20" s="380">
        <f t="shared" si="2"/>
        <v>0.20309169552962489</v>
      </c>
      <c r="I20" s="380">
        <f t="shared" si="2"/>
        <v>0.20413561429239438</v>
      </c>
      <c r="J20" s="380">
        <f t="shared" si="3"/>
        <v>0.20010467050113909</v>
      </c>
      <c r="K20" s="380">
        <f t="shared" si="3"/>
        <v>0.19760184948435486</v>
      </c>
      <c r="L20" s="380">
        <f t="shared" si="3"/>
        <v>0.19800000000000001</v>
      </c>
      <c r="M20" s="380">
        <f>+M13/M6</f>
        <v>0.18587617220801364</v>
      </c>
      <c r="N20" s="397"/>
      <c r="O20" s="383">
        <f>+O13/O6</f>
        <v>0.18690145377315986</v>
      </c>
    </row>
    <row r="21" spans="1:15" x14ac:dyDescent="0.2">
      <c r="A21" s="272" t="s">
        <v>179</v>
      </c>
      <c r="B21" s="394" t="s">
        <v>178</v>
      </c>
      <c r="C21" s="380">
        <f t="shared" si="2"/>
        <v>0.23027252584964225</v>
      </c>
      <c r="D21" s="380">
        <f t="shared" si="2"/>
        <v>0.22722862994502532</v>
      </c>
      <c r="E21" s="380">
        <f t="shared" si="2"/>
        <v>0.22748541089797997</v>
      </c>
      <c r="F21" s="380">
        <f t="shared" si="2"/>
        <v>0.22918985087914534</v>
      </c>
      <c r="G21" s="380">
        <f t="shared" si="2"/>
        <v>0.23609037764759547</v>
      </c>
      <c r="H21" s="380">
        <f t="shared" si="2"/>
        <v>0.2371570740088105</v>
      </c>
      <c r="I21" s="380">
        <f t="shared" si="2"/>
        <v>0.24198206498229155</v>
      </c>
      <c r="J21" s="380">
        <f t="shared" si="3"/>
        <v>0.23668292819860889</v>
      </c>
      <c r="K21" s="380">
        <f t="shared" si="3"/>
        <v>0.23772162722066262</v>
      </c>
      <c r="L21" s="380">
        <f t="shared" si="3"/>
        <v>0.23499999999999999</v>
      </c>
      <c r="M21" s="380">
        <f>+M14/M7</f>
        <v>0.23394812376714572</v>
      </c>
      <c r="N21" s="397"/>
      <c r="O21" s="383">
        <f>+O14/O7</f>
        <v>0.2311711046257213</v>
      </c>
    </row>
    <row r="22" spans="1:15" ht="16" thickBot="1" x14ac:dyDescent="0.25">
      <c r="A22" s="272" t="s">
        <v>181</v>
      </c>
      <c r="B22" s="399" t="s">
        <v>178</v>
      </c>
      <c r="C22" s="379">
        <f t="shared" si="2"/>
        <v>0.20961060480530241</v>
      </c>
      <c r="D22" s="379">
        <f t="shared" si="2"/>
        <v>0.20110041265474554</v>
      </c>
      <c r="E22" s="379">
        <f t="shared" si="2"/>
        <v>0.20792430514488469</v>
      </c>
      <c r="F22" s="379">
        <f t="shared" si="2"/>
        <v>0.21785861926415875</v>
      </c>
      <c r="G22" s="379">
        <f t="shared" si="2"/>
        <v>0.23075893454691473</v>
      </c>
      <c r="H22" s="379">
        <f t="shared" si="2"/>
        <v>0.23495863661140862</v>
      </c>
      <c r="I22" s="379">
        <f t="shared" si="2"/>
        <v>0.23035060975609756</v>
      </c>
      <c r="J22" s="379">
        <f t="shared" si="3"/>
        <v>0.21871323408590493</v>
      </c>
      <c r="K22" s="379">
        <f t="shared" si="3"/>
        <v>0.22371158109526026</v>
      </c>
      <c r="L22" s="379">
        <f t="shared" si="3"/>
        <v>0.21999999999999997</v>
      </c>
      <c r="M22" s="379">
        <f>+M15/M8</f>
        <v>0.22030442450732304</v>
      </c>
      <c r="N22" s="402"/>
      <c r="O22" s="384">
        <f>+O15/O8</f>
        <v>0.21662830541083286</v>
      </c>
    </row>
    <row r="23" spans="1:15" x14ac:dyDescent="0.2">
      <c r="A23" s="272" t="s">
        <v>38</v>
      </c>
      <c r="C23" s="385">
        <f>IFERROR(+C16/C9,"")</f>
        <v>0.20505145368433944</v>
      </c>
      <c r="D23" s="385">
        <f t="shared" ref="D23:O23" si="4">IFERROR(+D16/D9,"")</f>
        <v>0.20622474273397304</v>
      </c>
      <c r="E23" s="385">
        <f t="shared" si="4"/>
        <v>0.20866269405192009</v>
      </c>
      <c r="F23" s="385">
        <f t="shared" si="4"/>
        <v>0.21274054865565717</v>
      </c>
      <c r="G23" s="385">
        <f t="shared" si="4"/>
        <v>0.22180940280736369</v>
      </c>
      <c r="H23" s="385">
        <f t="shared" si="4"/>
        <v>0.2292016776738062</v>
      </c>
      <c r="I23" s="385">
        <f t="shared" si="4"/>
        <v>0.23029169312344211</v>
      </c>
      <c r="J23" s="385">
        <f t="shared" si="4"/>
        <v>0.223066734902856</v>
      </c>
      <c r="K23" s="385">
        <f t="shared" si="4"/>
        <v>0.2244797678655493</v>
      </c>
      <c r="L23" s="385">
        <f t="shared" si="4"/>
        <v>0.22175472040668118</v>
      </c>
      <c r="M23" s="385">
        <f t="shared" si="4"/>
        <v>0.22361281286597076</v>
      </c>
      <c r="N23" s="385" t="str">
        <f t="shared" si="4"/>
        <v/>
      </c>
      <c r="O23" s="385">
        <f t="shared" si="4"/>
        <v>0.21330168861460502</v>
      </c>
    </row>
  </sheetData>
  <pageMargins left="0.7" right="0.7" top="0.75" bottom="0.75" header="0.3" footer="0.3"/>
  <pageSetup orientation="portrait" horizontalDpi="0" verticalDpi="0"/>
  <ignoredErrors>
    <ignoredError sqref="O5:O15" formulaRange="1"/>
  </ignoredErrors>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10</vt:i4>
      </vt:variant>
    </vt:vector>
  </HeadingPairs>
  <TitlesOfParts>
    <vt:vector size="10" baseType="lpstr">
      <vt:lpstr>UPSTREAM</vt:lpstr>
      <vt:lpstr>Resumen UPSTREAM</vt:lpstr>
      <vt:lpstr>DOWNSTREAM</vt:lpstr>
      <vt:lpstr>DOWNSTREAM (2)</vt:lpstr>
      <vt:lpstr>DOWNSTREAM mod</vt:lpstr>
      <vt:lpstr>Resumen DOWNSTREAM</vt:lpstr>
      <vt:lpstr>Lista</vt:lpstr>
      <vt:lpstr>PLANEACIÓN DICIEMBRE</vt:lpstr>
      <vt:lpstr>CENSO Y COSTOS</vt:lpstr>
      <vt:lpstr>ACUMULADO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Alfonso Parra</dc:creator>
  <cp:lastModifiedBy>Enrique Pabon</cp:lastModifiedBy>
  <dcterms:created xsi:type="dcterms:W3CDTF">2021-01-04T20:31:14Z</dcterms:created>
  <dcterms:modified xsi:type="dcterms:W3CDTF">2025-12-13T00:29:06Z</dcterms:modified>
</cp:coreProperties>
</file>