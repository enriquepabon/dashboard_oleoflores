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nriquepabon/My Drive (epabon@oleoflores.com)/Informes Comite/2025/11- Noviembre/Segumiento Semanal/"/>
    </mc:Choice>
  </mc:AlternateContent>
  <xr:revisionPtr revIDLastSave="0" documentId="13_ncr:1_{629612D9-5045-844D-B1B2-8C1D74CF2709}" xr6:coauthVersionLast="47" xr6:coauthVersionMax="47" xr10:uidLastSave="{00000000-0000-0000-0000-000000000000}"/>
  <bookViews>
    <workbookView xWindow="0" yWindow="0" windowWidth="28800" windowHeight="18000" activeTab="10" xr2:uid="{00000000-000D-0000-FFFF-FFFF00000000}"/>
  </bookViews>
  <sheets>
    <sheet name="UPSTREAM" sheetId="1" r:id="rId1"/>
    <sheet name="Resumen UPSTREAM" sheetId="8" r:id="rId2"/>
    <sheet name="DOWNSTREAM" sheetId="6" r:id="rId3"/>
    <sheet name="DOWNSTREAM (2)" sheetId="10" state="hidden" r:id="rId4"/>
    <sheet name="DOWNSTREAM mod" sheetId="11" state="hidden" r:id="rId5"/>
    <sheet name="Resumen DOWNSTREAM" sheetId="7" r:id="rId6"/>
    <sheet name="Lista" sheetId="9" state="hidden" r:id="rId7"/>
    <sheet name="PLANEACIÓN DICIEMBRE" sheetId="3" r:id="rId8"/>
    <sheet name="CENSO Y COSTOS" sheetId="13" r:id="rId9"/>
    <sheet name="ACUMULADO 2025" sheetId="15" r:id="rId10"/>
    <sheet name="Acumulado" sheetId="16" r:id="rId11"/>
  </sheets>
  <definedNames>
    <definedName name="_xlnm._FilterDatabase" localSheetId="5" hidden="1">'Resumen DOWNSTREAM'!$B$17:$B$17</definedName>
    <definedName name="_xlnm._FilterDatabase" localSheetId="1" hidden="1">'Resumen UPSTREAM'!$B$41:$B$41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6" l="1"/>
  <c r="C3" i="16"/>
  <c r="D3" i="16"/>
  <c r="E3" i="16"/>
  <c r="B4" i="16"/>
  <c r="C4" i="16"/>
  <c r="D4" i="16"/>
  <c r="E4" i="16"/>
  <c r="B5" i="16"/>
  <c r="C5" i="16"/>
  <c r="D5" i="16"/>
  <c r="E5" i="16"/>
  <c r="B6" i="16"/>
  <c r="C6" i="16"/>
  <c r="D6" i="16"/>
  <c r="E6" i="16"/>
  <c r="B7" i="16"/>
  <c r="C7" i="16"/>
  <c r="D7" i="16"/>
  <c r="E7" i="16"/>
  <c r="B8" i="16"/>
  <c r="C8" i="16"/>
  <c r="D8" i="16"/>
  <c r="E8" i="16"/>
  <c r="B9" i="16"/>
  <c r="C9" i="16"/>
  <c r="D9" i="16"/>
  <c r="E9" i="16"/>
  <c r="B10" i="16"/>
  <c r="C10" i="16"/>
  <c r="D10" i="16"/>
  <c r="E10" i="16"/>
  <c r="B11" i="16"/>
  <c r="C11" i="16"/>
  <c r="D11" i="16"/>
  <c r="E11" i="16"/>
  <c r="B12" i="16"/>
  <c r="C12" i="16"/>
  <c r="D12" i="16"/>
  <c r="E12" i="16"/>
  <c r="B13" i="16"/>
  <c r="C13" i="16"/>
  <c r="D13" i="16"/>
  <c r="E13" i="16"/>
  <c r="E2" i="16"/>
  <c r="D2" i="16"/>
  <c r="C2" i="16"/>
  <c r="B2" i="16"/>
  <c r="E1" i="16"/>
  <c r="D1" i="16"/>
  <c r="C1" i="16"/>
  <c r="B1" i="16"/>
  <c r="AG1" i="6" l="1"/>
  <c r="AH1" i="6" s="1"/>
  <c r="AG4" i="6"/>
  <c r="AG38" i="6"/>
  <c r="AG41" i="6"/>
  <c r="AI42" i="6"/>
  <c r="AG35" i="6"/>
  <c r="AG36" i="6"/>
  <c r="AH36" i="6"/>
  <c r="AI36" i="6"/>
  <c r="AG42" i="6"/>
  <c r="AG43" i="6" s="1"/>
  <c r="AH56" i="1"/>
  <c r="AG1" i="1"/>
  <c r="AH1" i="1"/>
  <c r="AI1" i="1"/>
  <c r="AG8" i="1"/>
  <c r="AH31" i="1"/>
  <c r="AI11" i="1"/>
  <c r="AG15" i="1"/>
  <c r="AI18" i="1"/>
  <c r="AH22" i="1"/>
  <c r="AG25" i="1"/>
  <c r="AH25" i="1"/>
  <c r="AH33" i="1"/>
  <c r="AI34" i="1"/>
  <c r="AG31" i="1"/>
  <c r="AH34" i="1"/>
  <c r="AG37" i="6" l="1"/>
  <c r="AH42" i="6"/>
  <c r="AG35" i="1"/>
  <c r="AH18" i="1"/>
  <c r="AG34" i="1"/>
  <c r="AG18" i="1"/>
  <c r="AG11" i="1"/>
  <c r="AG56" i="1"/>
  <c r="AI25" i="1"/>
  <c r="AH30" i="1"/>
  <c r="AI33" i="1"/>
  <c r="AG30" i="1"/>
  <c r="AG32" i="1" s="1"/>
  <c r="AH29" i="1"/>
  <c r="AI15" i="1"/>
  <c r="AI30" i="1"/>
  <c r="AI29" i="1"/>
  <c r="AG29" i="1"/>
  <c r="AI22" i="1"/>
  <c r="AH15" i="1"/>
  <c r="AI8" i="1"/>
  <c r="AG33" i="1"/>
  <c r="AH8" i="1"/>
  <c r="AH4" i="1"/>
  <c r="AI56" i="1"/>
  <c r="AG27" i="6"/>
  <c r="AH32" i="1"/>
  <c r="AG4" i="1"/>
  <c r="AH11" i="6"/>
  <c r="AI11" i="6"/>
  <c r="AH21" i="6"/>
  <c r="AG34" i="6"/>
  <c r="AG45" i="6"/>
  <c r="AI1" i="6"/>
  <c r="AH38" i="6"/>
  <c r="AH27" i="6"/>
  <c r="AG11" i="6"/>
  <c r="AG44" i="6"/>
  <c r="AG21" i="6"/>
  <c r="AI31" i="1"/>
  <c r="AI4" i="1"/>
  <c r="AI35" i="1"/>
  <c r="AI36" i="1" s="1"/>
  <c r="AH35" i="1"/>
  <c r="AH36" i="1" s="1"/>
  <c r="AG22" i="1"/>
  <c r="AH11" i="1"/>
  <c r="AG36" i="1" l="1"/>
  <c r="AI32" i="1"/>
  <c r="AH35" i="6"/>
  <c r="AH37" i="6" s="1"/>
  <c r="AH4" i="6"/>
  <c r="AH44" i="6"/>
  <c r="AI27" i="6"/>
  <c r="AI38" i="6"/>
  <c r="AH41" i="6"/>
  <c r="AH43" i="6" s="1"/>
  <c r="AG46" i="6"/>
  <c r="AI39" i="6"/>
  <c r="AG14" i="6"/>
  <c r="AG39" i="6"/>
  <c r="AG40" i="6" s="1"/>
  <c r="AH14" i="6"/>
  <c r="AH39" i="6"/>
  <c r="AH40" i="6" s="1"/>
  <c r="AI4" i="6" l="1"/>
  <c r="AI35" i="6"/>
  <c r="AI37" i="6" s="1"/>
  <c r="AI40" i="6"/>
  <c r="AI14" i="6"/>
  <c r="AH45" i="6"/>
  <c r="AH46" i="6" s="1"/>
  <c r="AH34" i="6"/>
  <c r="AI44" i="6"/>
  <c r="AI41" i="6"/>
  <c r="AI43" i="6" s="1"/>
  <c r="AI21" i="6"/>
  <c r="AI45" i="6" l="1"/>
  <c r="AI46" i="6" s="1"/>
  <c r="AI34" i="6"/>
  <c r="AF1" i="1" l="1"/>
  <c r="AF22" i="1"/>
  <c r="AF34" i="1" l="1"/>
  <c r="AF56" i="1"/>
  <c r="AF35" i="1"/>
  <c r="AF36" i="1" s="1"/>
  <c r="AF31" i="1"/>
  <c r="AF32" i="1" s="1"/>
  <c r="AF29" i="1"/>
  <c r="AF33" i="1"/>
  <c r="AF15" i="1"/>
  <c r="AF25" i="1"/>
  <c r="AF30" i="1"/>
  <c r="AF11" i="1"/>
  <c r="AF18" i="1"/>
  <c r="AF4" i="1"/>
  <c r="AF8" i="1"/>
  <c r="CH9" i="13" l="1"/>
  <c r="CG9" i="13"/>
  <c r="CH8" i="13"/>
  <c r="CG8" i="13"/>
  <c r="CH7" i="13"/>
  <c r="CG7" i="13"/>
  <c r="CH6" i="13"/>
  <c r="CG6" i="13"/>
  <c r="I106" i="3" l="1"/>
  <c r="H106" i="3"/>
  <c r="AL6" i="1"/>
  <c r="Y8" i="1"/>
  <c r="E102" i="3"/>
  <c r="C106" i="3"/>
  <c r="G106" i="3" l="1"/>
  <c r="E105" i="3"/>
  <c r="E104" i="3"/>
  <c r="E103" i="3"/>
  <c r="CC6" i="13"/>
  <c r="CD9" i="13"/>
  <c r="CC9" i="13"/>
  <c r="CD8" i="13"/>
  <c r="CC8" i="13"/>
  <c r="CD7" i="13"/>
  <c r="CC7" i="13"/>
  <c r="CD6" i="13"/>
  <c r="AB20" i="6"/>
  <c r="AB12" i="6"/>
  <c r="U33" i="6"/>
  <c r="U26" i="6"/>
  <c r="AB26" i="6" s="1"/>
  <c r="U20" i="6"/>
  <c r="U13" i="6"/>
  <c r="AB13" i="6" s="1"/>
  <c r="U12" i="6"/>
  <c r="U3" i="6"/>
  <c r="AB3" i="6" s="1"/>
  <c r="Q11" i="6"/>
  <c r="Q39" i="6" s="1"/>
  <c r="R11" i="6"/>
  <c r="S11" i="6"/>
  <c r="Q36" i="6"/>
  <c r="R36" i="6"/>
  <c r="S36" i="6"/>
  <c r="Q42" i="6"/>
  <c r="R42" i="6"/>
  <c r="S42" i="6"/>
  <c r="Q45" i="6"/>
  <c r="R45" i="6"/>
  <c r="S45" i="6"/>
  <c r="R1" i="1"/>
  <c r="S1" i="1" s="1"/>
  <c r="Q1" i="1"/>
  <c r="E106" i="3" l="1"/>
  <c r="D106" i="3" s="1"/>
  <c r="E3" i="1"/>
  <c r="L3" i="1" s="1"/>
  <c r="Q22" i="1"/>
  <c r="Q56" i="1"/>
  <c r="Q31" i="1"/>
  <c r="Q15" i="1"/>
  <c r="Q29" i="1"/>
  <c r="Q34" i="1"/>
  <c r="R39" i="6"/>
  <c r="S39" i="6"/>
  <c r="T1" i="1"/>
  <c r="S56" i="1"/>
  <c r="Q30" i="1"/>
  <c r="Q11" i="1"/>
  <c r="Q35" i="1"/>
  <c r="Q18" i="1"/>
  <c r="Q33" i="1"/>
  <c r="Q4" i="1"/>
  <c r="Q25" i="1"/>
  <c r="Q8" i="1"/>
  <c r="N32" i="6"/>
  <c r="M32" i="6"/>
  <c r="K32" i="6"/>
  <c r="J32" i="6"/>
  <c r="G32" i="6"/>
  <c r="H32" i="6"/>
  <c r="I32" i="6"/>
  <c r="F32" i="6"/>
  <c r="C32" i="6"/>
  <c r="D32" i="6"/>
  <c r="B32" i="6"/>
  <c r="Q32" i="1" l="1"/>
  <c r="R11" i="1"/>
  <c r="S25" i="1"/>
  <c r="Q36" i="1"/>
  <c r="S18" i="1"/>
  <c r="S11" i="1"/>
  <c r="S30" i="1"/>
  <c r="R25" i="1"/>
  <c r="S34" i="1"/>
  <c r="R30" i="1"/>
  <c r="R15" i="1"/>
  <c r="S22" i="1"/>
  <c r="S15" i="1"/>
  <c r="R8" i="1"/>
  <c r="R35" i="1"/>
  <c r="R22" i="1"/>
  <c r="R4" i="1"/>
  <c r="R31" i="1"/>
  <c r="R32" i="1" s="1"/>
  <c r="S33" i="1"/>
  <c r="R34" i="1"/>
  <c r="S29" i="1"/>
  <c r="R29" i="1"/>
  <c r="R56" i="1"/>
  <c r="R18" i="1"/>
  <c r="S4" i="1"/>
  <c r="S31" i="1"/>
  <c r="R33" i="1"/>
  <c r="S8" i="1"/>
  <c r="S35" i="1"/>
  <c r="T29" i="1" l="1"/>
  <c r="T11" i="1"/>
  <c r="S32" i="1"/>
  <c r="S36" i="1"/>
  <c r="T25" i="1"/>
  <c r="T22" i="1"/>
  <c r="T18" i="1"/>
  <c r="T56" i="1"/>
  <c r="T34" i="1"/>
  <c r="T30" i="1"/>
  <c r="R36" i="1"/>
  <c r="T31" i="1"/>
  <c r="T4" i="1"/>
  <c r="T33" i="1"/>
  <c r="T15" i="1"/>
  <c r="T8" i="1"/>
  <c r="T35" i="1"/>
  <c r="T36" i="1" l="1"/>
  <c r="T32" i="1"/>
  <c r="I11" i="6" l="1"/>
  <c r="I39" i="6" s="1"/>
  <c r="J11" i="6"/>
  <c r="K11" i="6"/>
  <c r="I36" i="6"/>
  <c r="J36" i="6"/>
  <c r="K36" i="6"/>
  <c r="I42" i="6"/>
  <c r="J42" i="6"/>
  <c r="K42" i="6"/>
  <c r="I45" i="6"/>
  <c r="J45" i="6"/>
  <c r="K45" i="6"/>
  <c r="J39" i="6" l="1"/>
  <c r="K39" i="6"/>
  <c r="I34" i="6" l="1"/>
  <c r="I44" i="6"/>
  <c r="I46" i="6" s="1"/>
  <c r="J34" i="6"/>
  <c r="J44" i="6"/>
  <c r="J46" i="6" s="1"/>
  <c r="K44" i="6" l="1"/>
  <c r="K46" i="6" s="1"/>
  <c r="K34" i="6"/>
  <c r="G96" i="3" l="1"/>
  <c r="D96" i="3"/>
  <c r="E96" i="3"/>
  <c r="E93" i="3"/>
  <c r="E94" i="3"/>
  <c r="E95" i="3"/>
  <c r="E92" i="3"/>
  <c r="C96" i="3"/>
  <c r="K20" i="8" l="1"/>
  <c r="E33" i="6"/>
  <c r="L33" i="6" s="1"/>
  <c r="E32" i="6"/>
  <c r="L32" i="6" s="1"/>
  <c r="E26" i="6"/>
  <c r="L26" i="6" s="1"/>
  <c r="AJ26" i="6" s="1"/>
  <c r="E20" i="6"/>
  <c r="L20" i="6" s="1"/>
  <c r="E13" i="6"/>
  <c r="L13" i="6" s="1"/>
  <c r="AJ13" i="6" s="1"/>
  <c r="E12" i="6"/>
  <c r="L12" i="6" s="1"/>
  <c r="AJ12" i="6" s="1"/>
  <c r="E3" i="6"/>
  <c r="L3" i="6" s="1"/>
  <c r="AJ3" i="6" s="1"/>
  <c r="AC5" i="8"/>
  <c r="AI37" i="1" l="1"/>
  <c r="AG37" i="1"/>
  <c r="AH37" i="1"/>
  <c r="AF37" i="1"/>
  <c r="R37" i="1"/>
  <c r="S37" i="1"/>
  <c r="T37" i="1"/>
  <c r="Q37" i="1"/>
  <c r="AD46" i="1"/>
  <c r="C83" i="3" l="1"/>
  <c r="L19" i="15" l="1"/>
  <c r="L20" i="15"/>
  <c r="L21" i="15"/>
  <c r="L22" i="15"/>
  <c r="F87" i="3"/>
  <c r="G87" i="3" s="1"/>
  <c r="E86" i="3"/>
  <c r="E87" i="3" s="1"/>
  <c r="E85" i="3"/>
  <c r="E84" i="3"/>
  <c r="E83" i="3"/>
  <c r="C87" i="3"/>
  <c r="T11" i="6"/>
  <c r="V11" i="6"/>
  <c r="V39" i="6" s="1"/>
  <c r="W11" i="6"/>
  <c r="W39" i="6" s="1"/>
  <c r="T36" i="6"/>
  <c r="V36" i="6"/>
  <c r="W36" i="6"/>
  <c r="T42" i="6"/>
  <c r="V42" i="6"/>
  <c r="W42" i="6"/>
  <c r="T45" i="6"/>
  <c r="V45" i="6"/>
  <c r="W45" i="6"/>
  <c r="T39" i="6" l="1"/>
  <c r="U11" i="6"/>
  <c r="D87" i="3"/>
  <c r="G77" i="3"/>
  <c r="BZ9" i="13"/>
  <c r="BY9" i="13"/>
  <c r="BZ8" i="13"/>
  <c r="BY8" i="13"/>
  <c r="BZ7" i="13"/>
  <c r="BY7" i="13"/>
  <c r="BZ6" i="13"/>
  <c r="BY6" i="13"/>
  <c r="J19" i="15" l="1"/>
  <c r="K19" i="15"/>
  <c r="J20" i="15"/>
  <c r="K20" i="15"/>
  <c r="J21" i="15"/>
  <c r="K21" i="15"/>
  <c r="J22" i="15"/>
  <c r="K22" i="15"/>
  <c r="G68" i="3" l="1"/>
  <c r="E65" i="3"/>
  <c r="E66" i="3"/>
  <c r="E67" i="3"/>
  <c r="E64" i="3"/>
  <c r="C68" i="3"/>
  <c r="D68" i="3" s="1"/>
  <c r="BV9" i="13" l="1"/>
  <c r="BU9" i="13"/>
  <c r="BV8" i="13"/>
  <c r="BU8" i="13"/>
  <c r="BV7" i="13"/>
  <c r="BU7" i="13"/>
  <c r="BV6" i="13"/>
  <c r="BU6" i="13"/>
  <c r="C58" i="3" l="1"/>
  <c r="F57" i="3"/>
  <c r="E57" i="3"/>
  <c r="F56" i="3"/>
  <c r="E56" i="3"/>
  <c r="F55" i="3"/>
  <c r="E55" i="3"/>
  <c r="H58" i="3"/>
  <c r="F54" i="3"/>
  <c r="E54" i="3"/>
  <c r="F58" i="3" l="1"/>
  <c r="G58" i="3" s="1"/>
  <c r="E58" i="3"/>
  <c r="D58" i="3" s="1"/>
  <c r="C49" i="3" l="1"/>
  <c r="F48" i="3"/>
  <c r="E48" i="3"/>
  <c r="F47" i="3"/>
  <c r="E47" i="3"/>
  <c r="H46" i="3"/>
  <c r="F46" i="3"/>
  <c r="E46" i="3"/>
  <c r="H45" i="3"/>
  <c r="F45" i="3"/>
  <c r="E45" i="3"/>
  <c r="H49" i="3" l="1"/>
  <c r="F49" i="3"/>
  <c r="G49" i="3" s="1"/>
  <c r="E49" i="3"/>
  <c r="D49" i="3" s="1"/>
  <c r="BR9" i="13" l="1"/>
  <c r="BQ9" i="13"/>
  <c r="BR8" i="13"/>
  <c r="BQ8" i="13"/>
  <c r="BR7" i="13"/>
  <c r="BQ7" i="13"/>
  <c r="BR6" i="13"/>
  <c r="BQ6" i="13"/>
  <c r="C39" i="3" l="1"/>
  <c r="F38" i="3"/>
  <c r="E38" i="3"/>
  <c r="F37" i="3"/>
  <c r="E37" i="3"/>
  <c r="H36" i="3"/>
  <c r="F36" i="3"/>
  <c r="E36" i="3"/>
  <c r="H35" i="3"/>
  <c r="H39" i="3" s="1"/>
  <c r="F35" i="3"/>
  <c r="E35" i="3"/>
  <c r="O36" i="6"/>
  <c r="P36" i="6"/>
  <c r="O42" i="6"/>
  <c r="P42" i="6"/>
  <c r="O45" i="6"/>
  <c r="P45" i="6"/>
  <c r="BN9" i="13"/>
  <c r="BM9" i="13"/>
  <c r="BN8" i="13"/>
  <c r="BM8" i="13"/>
  <c r="BN7" i="13"/>
  <c r="BM7" i="13"/>
  <c r="BN6" i="13"/>
  <c r="BM6" i="13"/>
  <c r="F39" i="3" l="1"/>
  <c r="G39" i="3" s="1"/>
  <c r="B47" i="1"/>
  <c r="B45" i="1"/>
  <c r="B44" i="1"/>
  <c r="E39" i="3"/>
  <c r="D39" i="3" s="1"/>
  <c r="B46" i="1"/>
  <c r="I28" i="3" l="1"/>
  <c r="H22" i="15" l="1"/>
  <c r="G22" i="15"/>
  <c r="F22" i="15"/>
  <c r="E22" i="15"/>
  <c r="D22" i="15"/>
  <c r="C22" i="15"/>
  <c r="H21" i="15"/>
  <c r="G21" i="15"/>
  <c r="F21" i="15"/>
  <c r="E21" i="15"/>
  <c r="D21" i="15"/>
  <c r="C21" i="15"/>
  <c r="H20" i="15"/>
  <c r="G20" i="15"/>
  <c r="F20" i="15"/>
  <c r="E20" i="15"/>
  <c r="D20" i="15"/>
  <c r="C20" i="15"/>
  <c r="H19" i="15"/>
  <c r="G19" i="15"/>
  <c r="F19" i="15"/>
  <c r="E19" i="15"/>
  <c r="D19" i="15"/>
  <c r="C19" i="15"/>
  <c r="O16" i="15"/>
  <c r="N16" i="15"/>
  <c r="N23" i="15" s="1"/>
  <c r="M16" i="15"/>
  <c r="M23" i="15" s="1"/>
  <c r="L16" i="15"/>
  <c r="K16" i="15"/>
  <c r="J16" i="15"/>
  <c r="H16" i="15"/>
  <c r="H23" i="15" s="1"/>
  <c r="G16" i="15"/>
  <c r="G23" i="15" s="1"/>
  <c r="F16" i="15"/>
  <c r="F23" i="15" s="1"/>
  <c r="E16" i="15"/>
  <c r="E23" i="15" s="1"/>
  <c r="D16" i="15"/>
  <c r="D23" i="15" s="1"/>
  <c r="C16" i="15"/>
  <c r="C23" i="15" s="1"/>
  <c r="O15" i="15"/>
  <c r="O22" i="15" s="1"/>
  <c r="O14" i="15"/>
  <c r="O21" i="15" s="1"/>
  <c r="O13" i="15"/>
  <c r="O20" i="15" s="1"/>
  <c r="O12" i="15"/>
  <c r="O19" i="15" s="1"/>
  <c r="N9" i="15"/>
  <c r="M9" i="15"/>
  <c r="L9" i="15"/>
  <c r="K9" i="15"/>
  <c r="J9" i="15"/>
  <c r="H9" i="15"/>
  <c r="G9" i="15"/>
  <c r="F9" i="15"/>
  <c r="E9" i="15"/>
  <c r="D9" i="15"/>
  <c r="C9" i="15"/>
  <c r="O8" i="15"/>
  <c r="O7" i="15"/>
  <c r="O6" i="15"/>
  <c r="O5" i="15"/>
  <c r="O9" i="15" s="1"/>
  <c r="BJ9" i="13"/>
  <c r="BI9" i="13"/>
  <c r="BJ8" i="13"/>
  <c r="BI8" i="13"/>
  <c r="BJ7" i="13"/>
  <c r="BI7" i="13"/>
  <c r="BJ6" i="13"/>
  <c r="BI6" i="13"/>
  <c r="L23" i="15" l="1"/>
  <c r="K23" i="15"/>
  <c r="J23" i="15"/>
  <c r="O23" i="15"/>
  <c r="BF9" i="13" l="1"/>
  <c r="BE9" i="13"/>
  <c r="BF8" i="13"/>
  <c r="BE8" i="13"/>
  <c r="BF7" i="13"/>
  <c r="BE7" i="13"/>
  <c r="BF6" i="13"/>
  <c r="BE6" i="13"/>
  <c r="G35" i="6" l="1"/>
  <c r="F27" i="3" l="1"/>
  <c r="F26" i="3"/>
  <c r="F25" i="3"/>
  <c r="F24" i="3"/>
  <c r="E25" i="3"/>
  <c r="E26" i="3"/>
  <c r="E27" i="3"/>
  <c r="E24" i="3"/>
  <c r="C28" i="3"/>
  <c r="E28" i="3" l="1"/>
  <c r="D28" i="3" s="1"/>
  <c r="F28" i="3"/>
  <c r="G28" i="3" s="1"/>
  <c r="BB9" i="13"/>
  <c r="BA9" i="13"/>
  <c r="BB8" i="13"/>
  <c r="BA8" i="13"/>
  <c r="BB7" i="13"/>
  <c r="BA7" i="13"/>
  <c r="BB6" i="13"/>
  <c r="BA6" i="13"/>
  <c r="AF36" i="6" l="1"/>
  <c r="AF42" i="6"/>
  <c r="AW9" i="13" l="1"/>
  <c r="AW8" i="13"/>
  <c r="AW7" i="13"/>
  <c r="AW6" i="13"/>
  <c r="AX9" i="13"/>
  <c r="AX8" i="13"/>
  <c r="AX7" i="13"/>
  <c r="AX6" i="13"/>
  <c r="H24" i="3"/>
  <c r="H28" i="3" s="1"/>
  <c r="X11" i="6"/>
  <c r="Y11" i="6"/>
  <c r="Y39" i="6" s="1"/>
  <c r="Z11" i="6"/>
  <c r="AA11" i="6"/>
  <c r="AA39" i="6" s="1"/>
  <c r="X36" i="6"/>
  <c r="Y36" i="6"/>
  <c r="Z36" i="6"/>
  <c r="AA36" i="6"/>
  <c r="X42" i="6"/>
  <c r="Y42" i="6"/>
  <c r="Z42" i="6"/>
  <c r="AA42" i="6"/>
  <c r="X45" i="6"/>
  <c r="Y45" i="6"/>
  <c r="AT9" i="13"/>
  <c r="AT8" i="13"/>
  <c r="AT7" i="13"/>
  <c r="AT6" i="13"/>
  <c r="AS9" i="13"/>
  <c r="AS8" i="13"/>
  <c r="AS7" i="13"/>
  <c r="AS6" i="13"/>
  <c r="AB11" i="6" l="1"/>
  <c r="Z39" i="6"/>
  <c r="X39" i="6"/>
  <c r="AP7" i="13" l="1"/>
  <c r="AP8" i="13"/>
  <c r="AP9" i="13"/>
  <c r="AP6" i="13"/>
  <c r="AO7" i="13"/>
  <c r="AO8" i="13"/>
  <c r="AO9" i="13"/>
  <c r="AO6" i="13"/>
  <c r="AL9" i="13"/>
  <c r="AK9" i="13"/>
  <c r="AH9" i="13"/>
  <c r="AG9" i="13"/>
  <c r="AD9" i="13"/>
  <c r="AC9" i="13"/>
  <c r="Z9" i="13"/>
  <c r="Y9" i="13"/>
  <c r="V9" i="13"/>
  <c r="U9" i="13"/>
  <c r="AL8" i="13"/>
  <c r="AK8" i="13"/>
  <c r="AH8" i="13"/>
  <c r="AG8" i="13"/>
  <c r="AD8" i="13"/>
  <c r="AC8" i="13"/>
  <c r="Z8" i="13"/>
  <c r="Y8" i="13"/>
  <c r="V8" i="13"/>
  <c r="U8" i="13"/>
  <c r="AL7" i="13"/>
  <c r="AK7" i="13"/>
  <c r="AH7" i="13"/>
  <c r="AG7" i="13"/>
  <c r="AD7" i="13"/>
  <c r="AC7" i="13"/>
  <c r="Z7" i="13"/>
  <c r="Y7" i="13"/>
  <c r="V7" i="13"/>
  <c r="U7" i="13"/>
  <c r="AL6" i="13"/>
  <c r="AK6" i="13"/>
  <c r="AH6" i="13"/>
  <c r="AG6" i="13"/>
  <c r="AD6" i="13"/>
  <c r="AC6" i="13"/>
  <c r="Z6" i="13"/>
  <c r="Y6" i="13"/>
  <c r="V6" i="13"/>
  <c r="U6" i="13"/>
  <c r="C19" i="3" l="1"/>
  <c r="F18" i="3"/>
  <c r="E18" i="3"/>
  <c r="F17" i="3"/>
  <c r="E17" i="3"/>
  <c r="F16" i="3"/>
  <c r="E16" i="3"/>
  <c r="F15" i="3"/>
  <c r="E15" i="3"/>
  <c r="E19" i="3" l="1"/>
  <c r="D19" i="3" s="1"/>
  <c r="F19" i="3"/>
  <c r="G19" i="3" s="1"/>
  <c r="AE11" i="6"/>
  <c r="AD11" i="6"/>
  <c r="AC11" i="6"/>
  <c r="P11" i="6"/>
  <c r="P39" i="6" s="1"/>
  <c r="O11" i="6"/>
  <c r="O39" i="6" s="1"/>
  <c r="N11" i="6"/>
  <c r="M11" i="6"/>
  <c r="H11" i="6"/>
  <c r="G11" i="6"/>
  <c r="F11" i="6"/>
  <c r="D11" i="6"/>
  <c r="C11" i="6"/>
  <c r="B11" i="6"/>
  <c r="E11" i="6" l="1"/>
  <c r="L11" i="6" s="1"/>
  <c r="Q9" i="13"/>
  <c r="Q8" i="13"/>
  <c r="Q7" i="13"/>
  <c r="Q6" i="13"/>
  <c r="R9" i="13" l="1"/>
  <c r="R8" i="13"/>
  <c r="R7" i="13"/>
  <c r="R6" i="13"/>
  <c r="N39" i="6"/>
  <c r="M39" i="6"/>
  <c r="K7" i="13"/>
  <c r="K8" i="13"/>
  <c r="K9" i="13"/>
  <c r="K6" i="13"/>
  <c r="CM11" i="13"/>
  <c r="CR5" i="13"/>
  <c r="CR11" i="13" s="1"/>
  <c r="CQ5" i="13"/>
  <c r="CQ11" i="13" s="1"/>
  <c r="CP5" i="13"/>
  <c r="CP11" i="13" s="1"/>
  <c r="CO5" i="13"/>
  <c r="CO11" i="13" s="1"/>
  <c r="CN5" i="13"/>
  <c r="CN11" i="13" s="1"/>
  <c r="CM5" i="13"/>
  <c r="L9" i="13"/>
  <c r="L8" i="13"/>
  <c r="L7" i="13"/>
  <c r="L6" i="13"/>
  <c r="M42" i="6"/>
  <c r="N42" i="6"/>
  <c r="M45" i="6"/>
  <c r="N45" i="6"/>
  <c r="M36" i="6"/>
  <c r="N36" i="6"/>
  <c r="G46" i="1"/>
  <c r="B31" i="1" l="1"/>
  <c r="B34" i="1"/>
  <c r="B35" i="1"/>
  <c r="AE46" i="11" l="1"/>
  <c r="X31" i="11" l="1"/>
  <c r="X24" i="11"/>
  <c r="X18" i="11"/>
  <c r="X11" i="11"/>
  <c r="X3" i="11"/>
  <c r="G11" i="7" l="1"/>
  <c r="W31" i="11"/>
  <c r="W24" i="11"/>
  <c r="W18" i="11"/>
  <c r="W11" i="11"/>
  <c r="W3" i="11" l="1"/>
  <c r="V3" i="11"/>
  <c r="X43" i="11" l="1"/>
  <c r="W43" i="11"/>
  <c r="V31" i="11"/>
  <c r="U31" i="11"/>
  <c r="U43" i="11" s="1"/>
  <c r="V24" i="11"/>
  <c r="U24" i="11"/>
  <c r="X40" i="11"/>
  <c r="W40" i="11"/>
  <c r="V18" i="11"/>
  <c r="U18" i="11"/>
  <c r="X37" i="11"/>
  <c r="W37" i="11"/>
  <c r="V11" i="11"/>
  <c r="V37" i="11" s="1"/>
  <c r="U11" i="11"/>
  <c r="X34" i="11"/>
  <c r="W34" i="11"/>
  <c r="V34" i="11"/>
  <c r="U3" i="11"/>
  <c r="B25" i="11"/>
  <c r="B12" i="11"/>
  <c r="C12" i="11"/>
  <c r="B4" i="11"/>
  <c r="R61" i="11"/>
  <c r="Q61" i="11"/>
  <c r="V60" i="11"/>
  <c r="V59" i="11"/>
  <c r="V58" i="11"/>
  <c r="V57" i="11"/>
  <c r="V56" i="11"/>
  <c r="V55" i="11"/>
  <c r="V54" i="11"/>
  <c r="V53" i="11"/>
  <c r="V52" i="11"/>
  <c r="V51" i="11"/>
  <c r="S43" i="11"/>
  <c r="R43" i="11"/>
  <c r="Q43" i="11"/>
  <c r="P43" i="11"/>
  <c r="O43" i="11"/>
  <c r="N43" i="11"/>
  <c r="M43" i="11"/>
  <c r="K43" i="11"/>
  <c r="J43" i="11"/>
  <c r="I43" i="11"/>
  <c r="H43" i="11"/>
  <c r="G43" i="11"/>
  <c r="F43" i="11"/>
  <c r="E43" i="11"/>
  <c r="C43" i="11"/>
  <c r="B43" i="11"/>
  <c r="S40" i="11"/>
  <c r="R40" i="11"/>
  <c r="Q40" i="11"/>
  <c r="P40" i="11"/>
  <c r="O40" i="11"/>
  <c r="N40" i="11"/>
  <c r="M40" i="11"/>
  <c r="K40" i="11"/>
  <c r="J40" i="11"/>
  <c r="I40" i="11"/>
  <c r="H40" i="11"/>
  <c r="G40" i="11"/>
  <c r="F40" i="11"/>
  <c r="E40" i="11"/>
  <c r="C40" i="11"/>
  <c r="B40" i="11"/>
  <c r="S37" i="11"/>
  <c r="R37" i="11"/>
  <c r="Q37" i="11"/>
  <c r="P37" i="11"/>
  <c r="O37" i="11"/>
  <c r="N37" i="11"/>
  <c r="M37" i="11"/>
  <c r="K37" i="11"/>
  <c r="J37" i="11"/>
  <c r="I37" i="11"/>
  <c r="H37" i="11"/>
  <c r="G37" i="11"/>
  <c r="F37" i="11"/>
  <c r="E37" i="11"/>
  <c r="C37" i="11"/>
  <c r="B37" i="11"/>
  <c r="S34" i="11"/>
  <c r="R34" i="11"/>
  <c r="Q34" i="11"/>
  <c r="P34" i="11"/>
  <c r="O34" i="11"/>
  <c r="N34" i="11"/>
  <c r="M34" i="11"/>
  <c r="K34" i="11"/>
  <c r="J34" i="11"/>
  <c r="I34" i="11"/>
  <c r="H34" i="11"/>
  <c r="G34" i="11"/>
  <c r="F34" i="11"/>
  <c r="E34" i="11"/>
  <c r="C34" i="11"/>
  <c r="B34" i="11"/>
  <c r="G33" i="11"/>
  <c r="D31" i="11"/>
  <c r="D43" i="11" s="1"/>
  <c r="D24" i="11"/>
  <c r="L24" i="11" s="1"/>
  <c r="T24" i="11" s="1"/>
  <c r="D18" i="11"/>
  <c r="D11" i="11"/>
  <c r="D37" i="11" s="1"/>
  <c r="D3" i="11"/>
  <c r="D34" i="11" s="1"/>
  <c r="C1" i="11"/>
  <c r="V40" i="11" l="1"/>
  <c r="U37" i="11"/>
  <c r="U34" i="11"/>
  <c r="V43" i="11"/>
  <c r="L3" i="11"/>
  <c r="L34" i="11" s="1"/>
  <c r="L46" i="11" s="1"/>
  <c r="L31" i="11"/>
  <c r="L43" i="11" s="1"/>
  <c r="L49" i="11" s="1"/>
  <c r="T31" i="11"/>
  <c r="T43" i="11" s="1"/>
  <c r="T49" i="11" s="1"/>
  <c r="L11" i="11"/>
  <c r="G35" i="11"/>
  <c r="V61" i="11"/>
  <c r="U40" i="11"/>
  <c r="D49" i="11"/>
  <c r="D47" i="11"/>
  <c r="B39" i="11"/>
  <c r="B41" i="11" s="1"/>
  <c r="D17" i="11"/>
  <c r="B19" i="11"/>
  <c r="C36" i="11"/>
  <c r="C38" i="11" s="1"/>
  <c r="B36" i="11"/>
  <c r="B38" i="11" s="1"/>
  <c r="D10" i="11"/>
  <c r="E1" i="11"/>
  <c r="D30" i="11"/>
  <c r="D32" i="11" s="1"/>
  <c r="D2" i="11"/>
  <c r="B33" i="11"/>
  <c r="B35" i="11" s="1"/>
  <c r="D46" i="11"/>
  <c r="D40" i="11"/>
  <c r="L18" i="11"/>
  <c r="B42" i="11"/>
  <c r="B44" i="11" s="1"/>
  <c r="B32" i="11"/>
  <c r="T3" i="11" l="1"/>
  <c r="T11" i="11"/>
  <c r="L37" i="11"/>
  <c r="L47" i="11" s="1"/>
  <c r="T34" i="11"/>
  <c r="C42" i="11"/>
  <c r="C44" i="11" s="1"/>
  <c r="C32" i="11"/>
  <c r="D23" i="11"/>
  <c r="D39" i="11" s="1"/>
  <c r="C25" i="11"/>
  <c r="D19" i="11"/>
  <c r="D33" i="11"/>
  <c r="D4" i="11"/>
  <c r="T18" i="11"/>
  <c r="L40" i="11"/>
  <c r="F1" i="11"/>
  <c r="E25" i="11"/>
  <c r="D48" i="11"/>
  <c r="C39" i="11"/>
  <c r="C41" i="11" s="1"/>
  <c r="C19" i="11"/>
  <c r="D42" i="11"/>
  <c r="D36" i="11"/>
  <c r="D12" i="11"/>
  <c r="C33" i="11"/>
  <c r="C35" i="11" s="1"/>
  <c r="C4" i="11"/>
  <c r="T37" i="11" l="1"/>
  <c r="T47" i="11" s="1"/>
  <c r="C48" i="11"/>
  <c r="D41" i="11"/>
  <c r="E39" i="11"/>
  <c r="E41" i="11" s="1"/>
  <c r="E19" i="11"/>
  <c r="C46" i="11"/>
  <c r="D35" i="11"/>
  <c r="T40" i="11"/>
  <c r="L48" i="11"/>
  <c r="E36" i="11"/>
  <c r="E38" i="11" s="1"/>
  <c r="E12" i="11"/>
  <c r="F25" i="11"/>
  <c r="G1" i="11"/>
  <c r="F48" i="11"/>
  <c r="E48" i="11"/>
  <c r="D50" i="11"/>
  <c r="C49" i="11"/>
  <c r="D44" i="11"/>
  <c r="E4" i="11"/>
  <c r="E33" i="11"/>
  <c r="E35" i="11" s="1"/>
  <c r="D25" i="11"/>
  <c r="C47" i="11"/>
  <c r="D38" i="11"/>
  <c r="E42" i="11"/>
  <c r="E44" i="11" s="1"/>
  <c r="E32" i="11"/>
  <c r="T46" i="11"/>
  <c r="F47" i="11" l="1"/>
  <c r="E47" i="11"/>
  <c r="F19" i="11"/>
  <c r="F39" i="11"/>
  <c r="F41" i="11" s="1"/>
  <c r="F36" i="11"/>
  <c r="F38" i="11" s="1"/>
  <c r="F12" i="11"/>
  <c r="L50" i="11"/>
  <c r="T48" i="11"/>
  <c r="T50" i="11" s="1"/>
  <c r="F33" i="11"/>
  <c r="F35" i="11" s="1"/>
  <c r="F4" i="11"/>
  <c r="E49" i="11"/>
  <c r="F49" i="11"/>
  <c r="H1" i="11"/>
  <c r="G25" i="11"/>
  <c r="G4" i="11"/>
  <c r="C50" i="11"/>
  <c r="F50" i="11" s="1"/>
  <c r="F46" i="11"/>
  <c r="E46" i="11"/>
  <c r="F42" i="11"/>
  <c r="F44" i="11" s="1"/>
  <c r="F32" i="11"/>
  <c r="E50" i="11" l="1"/>
  <c r="G42" i="11"/>
  <c r="G44" i="11" s="1"/>
  <c r="G32" i="11"/>
  <c r="G36" i="11"/>
  <c r="G38" i="11" s="1"/>
  <c r="G12" i="11"/>
  <c r="I1" i="11"/>
  <c r="G19" i="11"/>
  <c r="G39" i="11"/>
  <c r="G41" i="11" s="1"/>
  <c r="H39" i="11" l="1"/>
  <c r="H41" i="11" s="1"/>
  <c r="H19" i="11"/>
  <c r="H33" i="11"/>
  <c r="H35" i="11" s="1"/>
  <c r="H4" i="11"/>
  <c r="H25" i="11"/>
  <c r="H32" i="11"/>
  <c r="H42" i="11"/>
  <c r="H44" i="11" s="1"/>
  <c r="H12" i="11"/>
  <c r="H36" i="11"/>
  <c r="H38" i="11" s="1"/>
  <c r="I25" i="11"/>
  <c r="J1" i="11"/>
  <c r="I39" i="11" l="1"/>
  <c r="I41" i="11" s="1"/>
  <c r="I19" i="11"/>
  <c r="J25" i="11"/>
  <c r="K1" i="11"/>
  <c r="I42" i="11"/>
  <c r="I44" i="11" s="1"/>
  <c r="I32" i="11"/>
  <c r="I36" i="11"/>
  <c r="I38" i="11" s="1"/>
  <c r="I12" i="11"/>
  <c r="I33" i="11"/>
  <c r="I35" i="11" s="1"/>
  <c r="I4" i="11"/>
  <c r="K25" i="11" l="1"/>
  <c r="M1" i="11"/>
  <c r="J42" i="11"/>
  <c r="J44" i="11" s="1"/>
  <c r="J32" i="11"/>
  <c r="J33" i="11"/>
  <c r="J35" i="11" s="1"/>
  <c r="J4" i="11"/>
  <c r="L23" i="11"/>
  <c r="J36" i="11"/>
  <c r="J38" i="11" s="1"/>
  <c r="J12" i="11"/>
  <c r="J19" i="11"/>
  <c r="J39" i="11"/>
  <c r="J41" i="11" s="1"/>
  <c r="K42" i="11" l="1"/>
  <c r="K44" i="11" s="1"/>
  <c r="K32" i="11"/>
  <c r="K39" i="11"/>
  <c r="K41" i="11" s="1"/>
  <c r="K19" i="11"/>
  <c r="L17" i="11"/>
  <c r="K33" i="11"/>
  <c r="K35" i="11" s="1"/>
  <c r="K4" i="11"/>
  <c r="L2" i="11"/>
  <c r="K36" i="11"/>
  <c r="K38" i="11" s="1"/>
  <c r="K12" i="11"/>
  <c r="L10" i="11"/>
  <c r="N1" i="11"/>
  <c r="M25" i="11"/>
  <c r="L25" i="11"/>
  <c r="L30" i="11"/>
  <c r="M33" i="11" l="1"/>
  <c r="M35" i="11" s="1"/>
  <c r="M4" i="11"/>
  <c r="L39" i="11"/>
  <c r="L19" i="11"/>
  <c r="L36" i="11"/>
  <c r="L12" i="11"/>
  <c r="O1" i="11"/>
  <c r="N25" i="11"/>
  <c r="M19" i="11"/>
  <c r="M39" i="11"/>
  <c r="M41" i="11" s="1"/>
  <c r="L4" i="11"/>
  <c r="L33" i="11"/>
  <c r="M42" i="11"/>
  <c r="M44" i="11" s="1"/>
  <c r="M32" i="11"/>
  <c r="L42" i="11"/>
  <c r="L32" i="11"/>
  <c r="M36" i="11"/>
  <c r="M38" i="11" s="1"/>
  <c r="M12" i="11"/>
  <c r="O25" i="11" l="1"/>
  <c r="K47" i="11"/>
  <c r="L38" i="11"/>
  <c r="K49" i="11"/>
  <c r="L44" i="11"/>
  <c r="N36" i="11"/>
  <c r="N38" i="11" s="1"/>
  <c r="N12" i="11"/>
  <c r="K48" i="11"/>
  <c r="L41" i="11"/>
  <c r="N4" i="11"/>
  <c r="N33" i="11"/>
  <c r="N35" i="11" s="1"/>
  <c r="N39" i="11"/>
  <c r="N41" i="11" s="1"/>
  <c r="N19" i="11"/>
  <c r="K46" i="11"/>
  <c r="L35" i="11"/>
  <c r="P1" i="11"/>
  <c r="N42" i="11"/>
  <c r="N44" i="11" s="1"/>
  <c r="N32" i="11"/>
  <c r="O42" i="11" l="1"/>
  <c r="O44" i="11" s="1"/>
  <c r="O32" i="11"/>
  <c r="K50" i="11"/>
  <c r="N46" i="11"/>
  <c r="M46" i="11"/>
  <c r="O36" i="11"/>
  <c r="O38" i="11" s="1"/>
  <c r="O12" i="11"/>
  <c r="N49" i="11"/>
  <c r="M49" i="11"/>
  <c r="M48" i="11"/>
  <c r="N48" i="11"/>
  <c r="O4" i="11"/>
  <c r="O33" i="11"/>
  <c r="O35" i="11" s="1"/>
  <c r="O19" i="11"/>
  <c r="O39" i="11"/>
  <c r="O41" i="11" s="1"/>
  <c r="Q1" i="11"/>
  <c r="N47" i="11"/>
  <c r="M47" i="11"/>
  <c r="Q25" i="11" l="1"/>
  <c r="P39" i="11"/>
  <c r="P41" i="11" s="1"/>
  <c r="P19" i="11"/>
  <c r="P25" i="11"/>
  <c r="R1" i="11"/>
  <c r="P36" i="11"/>
  <c r="P38" i="11" s="1"/>
  <c r="P12" i="11"/>
  <c r="P32" i="11"/>
  <c r="P42" i="11"/>
  <c r="P44" i="11" s="1"/>
  <c r="N50" i="11"/>
  <c r="M50" i="11"/>
  <c r="P33" i="11"/>
  <c r="P35" i="11" s="1"/>
  <c r="P4" i="11"/>
  <c r="R25" i="11" l="1"/>
  <c r="Q32" i="11"/>
  <c r="Q42" i="11"/>
  <c r="Q44" i="11" s="1"/>
  <c r="S1" i="11"/>
  <c r="Q12" i="11"/>
  <c r="Q36" i="11"/>
  <c r="Q38" i="11" s="1"/>
  <c r="Q39" i="11"/>
  <c r="Q41" i="11" s="1"/>
  <c r="Q19" i="11"/>
  <c r="Q33" i="11"/>
  <c r="Q35" i="11" s="1"/>
  <c r="Q4" i="11"/>
  <c r="R32" i="11" l="1"/>
  <c r="R42" i="11"/>
  <c r="R44" i="11" s="1"/>
  <c r="R12" i="11"/>
  <c r="R36" i="11"/>
  <c r="R38" i="11" s="1"/>
  <c r="R19" i="11"/>
  <c r="R39" i="11"/>
  <c r="R41" i="11" s="1"/>
  <c r="R4" i="11"/>
  <c r="R33" i="11"/>
  <c r="R35" i="11" s="1"/>
  <c r="U1" i="11"/>
  <c r="U25" i="11" l="1"/>
  <c r="S36" i="11"/>
  <c r="S38" i="11" s="1"/>
  <c r="S12" i="11"/>
  <c r="T10" i="11"/>
  <c r="S19" i="11"/>
  <c r="S39" i="11"/>
  <c r="S41" i="11" s="1"/>
  <c r="V1" i="11"/>
  <c r="S25" i="11"/>
  <c r="T23" i="11"/>
  <c r="S42" i="11"/>
  <c r="S44" i="11" s="1"/>
  <c r="S32" i="11"/>
  <c r="T30" i="11"/>
  <c r="S33" i="11"/>
  <c r="S35" i="11" s="1"/>
  <c r="S4" i="11"/>
  <c r="T2" i="11"/>
  <c r="T17" i="11"/>
  <c r="V25" i="11" l="1"/>
  <c r="T42" i="11"/>
  <c r="T32" i="11"/>
  <c r="U39" i="11"/>
  <c r="U41" i="11" s="1"/>
  <c r="U19" i="11"/>
  <c r="T39" i="11"/>
  <c r="T19" i="11"/>
  <c r="W1" i="11"/>
  <c r="U33" i="11"/>
  <c r="U35" i="11" s="1"/>
  <c r="U4" i="11"/>
  <c r="U42" i="11"/>
  <c r="U44" i="11" s="1"/>
  <c r="U32" i="11"/>
  <c r="T25" i="11"/>
  <c r="T33" i="11"/>
  <c r="T4" i="11"/>
  <c r="T36" i="11"/>
  <c r="T12" i="11"/>
  <c r="U36" i="11"/>
  <c r="U38" i="11" s="1"/>
  <c r="U12" i="11"/>
  <c r="W25" i="11" l="1"/>
  <c r="S47" i="11"/>
  <c r="T38" i="11"/>
  <c r="X1" i="11"/>
  <c r="V33" i="11"/>
  <c r="V35" i="11" s="1"/>
  <c r="V4" i="11"/>
  <c r="V39" i="11"/>
  <c r="V41" i="11" s="1"/>
  <c r="V19" i="11"/>
  <c r="S48" i="11"/>
  <c r="T41" i="11"/>
  <c r="S46" i="11"/>
  <c r="T35" i="11"/>
  <c r="V36" i="11"/>
  <c r="V38" i="11" s="1"/>
  <c r="V12" i="11"/>
  <c r="V42" i="11"/>
  <c r="V44" i="11" s="1"/>
  <c r="V32" i="11"/>
  <c r="S49" i="11"/>
  <c r="T44" i="11"/>
  <c r="X25" i="11" l="1"/>
  <c r="W33" i="11"/>
  <c r="W35" i="11" s="1"/>
  <c r="W4" i="11"/>
  <c r="V49" i="11"/>
  <c r="U49" i="11"/>
  <c r="S50" i="11"/>
  <c r="V46" i="11"/>
  <c r="U46" i="11"/>
  <c r="U48" i="11"/>
  <c r="V48" i="11"/>
  <c r="Y1" i="11"/>
  <c r="W36" i="11"/>
  <c r="W38" i="11" s="1"/>
  <c r="W12" i="11"/>
  <c r="W42" i="11"/>
  <c r="W44" i="11" s="1"/>
  <c r="W32" i="11"/>
  <c r="W19" i="11"/>
  <c r="W39" i="11"/>
  <c r="W41" i="11" s="1"/>
  <c r="U47" i="11"/>
  <c r="V47" i="11"/>
  <c r="V50" i="11" l="1"/>
  <c r="U50" i="11"/>
  <c r="X39" i="11"/>
  <c r="X41" i="11" s="1"/>
  <c r="X19" i="11"/>
  <c r="X33" i="11"/>
  <c r="X35" i="11" s="1"/>
  <c r="X4" i="11"/>
  <c r="Z1" i="11"/>
  <c r="X42" i="11"/>
  <c r="X44" i="11" s="1"/>
  <c r="X32" i="11"/>
  <c r="X36" i="11"/>
  <c r="X38" i="11" s="1"/>
  <c r="X12" i="11"/>
  <c r="Y36" i="11" l="1"/>
  <c r="AA1" i="11"/>
  <c r="Y33" i="11"/>
  <c r="Y39" i="11"/>
  <c r="Y42" i="11"/>
  <c r="Z36" i="11" l="1"/>
  <c r="Z39" i="11"/>
  <c r="AB1" i="11"/>
  <c r="Z42" i="11"/>
  <c r="Z33" i="11"/>
  <c r="AC17" i="11" l="1"/>
  <c r="AC23" i="11"/>
  <c r="AC2" i="11"/>
  <c r="AC10" i="11"/>
  <c r="AA42" i="11"/>
  <c r="AA33" i="11"/>
  <c r="AA39" i="11"/>
  <c r="AD1" i="11"/>
  <c r="AC30" i="11"/>
  <c r="AA36" i="11"/>
  <c r="AB36" i="11" l="1"/>
  <c r="AB42" i="11"/>
  <c r="AC33" i="11"/>
  <c r="AE1" i="11"/>
  <c r="AC36" i="11"/>
  <c r="AB39" i="11"/>
  <c r="AB33" i="11"/>
  <c r="AC42" i="11"/>
  <c r="AC39" i="11"/>
  <c r="AA47" i="11" l="1"/>
  <c r="AD33" i="11"/>
  <c r="AD39" i="11"/>
  <c r="AA48" i="11"/>
  <c r="AA49" i="11"/>
  <c r="AF1" i="11"/>
  <c r="AA46" i="11"/>
  <c r="AD36" i="11"/>
  <c r="AD42" i="11"/>
  <c r="AE36" i="11" l="1"/>
  <c r="AE42" i="11"/>
  <c r="AG1" i="11"/>
  <c r="AE33" i="11"/>
  <c r="AE39" i="11"/>
  <c r="AA50" i="11"/>
  <c r="AF33" i="11" l="1"/>
  <c r="AF36" i="11"/>
  <c r="AF39" i="11"/>
  <c r="AH1" i="11"/>
  <c r="AF42" i="11"/>
  <c r="AG33" i="11" l="1"/>
  <c r="AI1" i="11"/>
  <c r="AG39" i="11"/>
  <c r="AG36" i="11"/>
  <c r="AG42" i="11"/>
  <c r="AH36" i="11" l="1"/>
  <c r="AH42" i="11"/>
  <c r="AH39" i="11"/>
  <c r="AH33" i="11"/>
  <c r="AJ2" i="11" l="1"/>
  <c r="AJ17" i="11"/>
  <c r="AJ23" i="11"/>
  <c r="AJ10" i="11"/>
  <c r="AI42" i="11"/>
  <c r="AI39" i="11"/>
  <c r="AI36" i="11"/>
  <c r="AJ30" i="11"/>
  <c r="AI33" i="11"/>
  <c r="AJ39" i="11" l="1"/>
  <c r="D8" i="7" s="1"/>
  <c r="AJ36" i="11"/>
  <c r="D7" i="7" s="1"/>
  <c r="AJ42" i="11"/>
  <c r="D9" i="7" s="1"/>
  <c r="AJ33" i="11"/>
  <c r="D6" i="7" s="1"/>
  <c r="BM46" i="11" l="1"/>
  <c r="AG46" i="11"/>
  <c r="BM49" i="11"/>
  <c r="AG49" i="11"/>
  <c r="AG47" i="11"/>
  <c r="BM47" i="11"/>
  <c r="AG48" i="11"/>
  <c r="BM48" i="11"/>
  <c r="AG50" i="11" l="1"/>
  <c r="BM50" i="11"/>
  <c r="C7" i="3" l="1"/>
  <c r="F6" i="3"/>
  <c r="E6" i="3"/>
  <c r="F5" i="3"/>
  <c r="E5" i="3"/>
  <c r="F4" i="3"/>
  <c r="E4" i="3"/>
  <c r="F3" i="3"/>
  <c r="E3" i="3"/>
  <c r="K27" i="8"/>
  <c r="F7" i="3" l="1"/>
  <c r="G7" i="3" s="1"/>
  <c r="E7" i="3"/>
  <c r="D7" i="3" s="1"/>
  <c r="X31" i="10" l="1"/>
  <c r="X24" i="10"/>
  <c r="X18" i="10"/>
  <c r="X11" i="10"/>
  <c r="X3" i="10"/>
  <c r="AG11" i="10"/>
  <c r="AF11" i="10"/>
  <c r="AE11" i="10"/>
  <c r="AD11" i="10"/>
  <c r="AC11" i="10"/>
  <c r="AG3" i="10"/>
  <c r="AF3" i="10"/>
  <c r="AE3" i="10"/>
  <c r="AD3" i="10"/>
  <c r="AC3" i="10"/>
  <c r="C10" i="10"/>
  <c r="B10" i="10"/>
  <c r="E10" i="10"/>
  <c r="F10" i="10"/>
  <c r="G10" i="10"/>
  <c r="H10" i="10"/>
  <c r="I10" i="10"/>
  <c r="J10" i="10"/>
  <c r="K10" i="10"/>
  <c r="M10" i="10"/>
  <c r="N10" i="10"/>
  <c r="O10" i="10"/>
  <c r="P10" i="10"/>
  <c r="Q10" i="10"/>
  <c r="R10" i="10"/>
  <c r="S10" i="10"/>
  <c r="U10" i="10"/>
  <c r="V10" i="10"/>
  <c r="V2" i="10"/>
  <c r="U2" i="10"/>
  <c r="S2" i="10"/>
  <c r="R2" i="10"/>
  <c r="Q2" i="10"/>
  <c r="P2" i="10"/>
  <c r="O2" i="10"/>
  <c r="N2" i="10"/>
  <c r="M2" i="10"/>
  <c r="K2" i="10"/>
  <c r="J2" i="10"/>
  <c r="I2" i="10"/>
  <c r="H2" i="10"/>
  <c r="G2" i="10"/>
  <c r="F2" i="10"/>
  <c r="E2" i="10"/>
  <c r="C2" i="10"/>
  <c r="B2" i="10"/>
  <c r="V17" i="10"/>
  <c r="U17" i="10"/>
  <c r="S17" i="10"/>
  <c r="R17" i="10"/>
  <c r="Q17" i="10"/>
  <c r="P17" i="10"/>
  <c r="O17" i="10"/>
  <c r="N17" i="10"/>
  <c r="M17" i="10"/>
  <c r="K17" i="10"/>
  <c r="J17" i="10"/>
  <c r="I17" i="10"/>
  <c r="H17" i="10"/>
  <c r="G17" i="10"/>
  <c r="F17" i="10"/>
  <c r="E17" i="10"/>
  <c r="C17" i="10"/>
  <c r="B17" i="10"/>
  <c r="V23" i="10"/>
  <c r="U23" i="10"/>
  <c r="S23" i="10"/>
  <c r="R23" i="10"/>
  <c r="Q23" i="10"/>
  <c r="P23" i="10"/>
  <c r="O23" i="10"/>
  <c r="N23" i="10"/>
  <c r="M23" i="10"/>
  <c r="K23" i="10"/>
  <c r="J23" i="10"/>
  <c r="I23" i="10"/>
  <c r="H23" i="10"/>
  <c r="G23" i="10"/>
  <c r="F23" i="10"/>
  <c r="E23" i="10"/>
  <c r="C23" i="10"/>
  <c r="B23" i="10"/>
  <c r="R61" i="10" l="1"/>
  <c r="V61" i="10" s="1"/>
  <c r="Q61" i="10"/>
  <c r="V60" i="10"/>
  <c r="V59" i="10"/>
  <c r="V58" i="10"/>
  <c r="V57" i="10"/>
  <c r="V56" i="10"/>
  <c r="V55" i="10"/>
  <c r="V54" i="10"/>
  <c r="V53" i="10"/>
  <c r="V52" i="10"/>
  <c r="V51" i="10"/>
  <c r="AF44" i="10"/>
  <c r="AG43" i="10"/>
  <c r="AG44" i="10" s="1"/>
  <c r="AF43" i="10"/>
  <c r="AE43" i="10"/>
  <c r="AE44" i="10" s="1"/>
  <c r="AD43" i="10"/>
  <c r="AD44" i="10" s="1"/>
  <c r="AC43" i="10"/>
  <c r="AC44" i="10" s="1"/>
  <c r="X43" i="10"/>
  <c r="X44" i="10" s="1"/>
  <c r="W43" i="10"/>
  <c r="W44" i="10" s="1"/>
  <c r="V43" i="10"/>
  <c r="V44" i="10" s="1"/>
  <c r="U43" i="10"/>
  <c r="S43" i="10"/>
  <c r="R43" i="10"/>
  <c r="Q43" i="10"/>
  <c r="P43" i="10"/>
  <c r="O43" i="10"/>
  <c r="N43" i="10"/>
  <c r="M43" i="10"/>
  <c r="K43" i="10"/>
  <c r="J43" i="10"/>
  <c r="I43" i="10"/>
  <c r="H43" i="10"/>
  <c r="G43" i="10"/>
  <c r="F43" i="10"/>
  <c r="E43" i="10"/>
  <c r="C43" i="10"/>
  <c r="B43" i="10"/>
  <c r="AG42" i="10"/>
  <c r="AF42" i="10"/>
  <c r="AE42" i="10"/>
  <c r="AD42" i="10"/>
  <c r="AC42" i="10"/>
  <c r="AA42" i="10"/>
  <c r="Z42" i="10"/>
  <c r="Y42" i="10"/>
  <c r="X42" i="10"/>
  <c r="W42" i="10"/>
  <c r="V42" i="10"/>
  <c r="W40" i="10"/>
  <c r="V40" i="10"/>
  <c r="U40" i="10"/>
  <c r="S40" i="10"/>
  <c r="R40" i="10"/>
  <c r="Q40" i="10"/>
  <c r="P40" i="10"/>
  <c r="O40" i="10"/>
  <c r="N40" i="10"/>
  <c r="M40" i="10"/>
  <c r="K40" i="10"/>
  <c r="J40" i="10"/>
  <c r="I40" i="10"/>
  <c r="H40" i="10"/>
  <c r="G40" i="10"/>
  <c r="F40" i="10"/>
  <c r="E40" i="10"/>
  <c r="C40" i="10"/>
  <c r="B40" i="10"/>
  <c r="B39" i="10"/>
  <c r="W37" i="10"/>
  <c r="V37" i="10"/>
  <c r="U37" i="10"/>
  <c r="S37" i="10"/>
  <c r="R37" i="10"/>
  <c r="Q37" i="10"/>
  <c r="P37" i="10"/>
  <c r="O37" i="10"/>
  <c r="N37" i="10"/>
  <c r="M37" i="10"/>
  <c r="K37" i="10"/>
  <c r="J37" i="10"/>
  <c r="I37" i="10"/>
  <c r="H37" i="10"/>
  <c r="G37" i="10"/>
  <c r="F37" i="10"/>
  <c r="E37" i="10"/>
  <c r="D37" i="10"/>
  <c r="C37" i="10"/>
  <c r="B37" i="10"/>
  <c r="W34" i="10"/>
  <c r="V34" i="10"/>
  <c r="U34" i="10"/>
  <c r="S34" i="10"/>
  <c r="R34" i="10"/>
  <c r="Q34" i="10"/>
  <c r="P34" i="10"/>
  <c r="O34" i="10"/>
  <c r="N34" i="10"/>
  <c r="M34" i="10"/>
  <c r="K34" i="10"/>
  <c r="J34" i="10"/>
  <c r="I34" i="10"/>
  <c r="H34" i="10"/>
  <c r="G34" i="10"/>
  <c r="F34" i="10"/>
  <c r="E34" i="10"/>
  <c r="C34" i="10"/>
  <c r="B34" i="10"/>
  <c r="G33" i="10"/>
  <c r="AG32" i="10"/>
  <c r="AF32" i="10"/>
  <c r="AE32" i="10"/>
  <c r="AD32" i="10"/>
  <c r="AC32" i="10"/>
  <c r="X32" i="10"/>
  <c r="W32" i="10"/>
  <c r="V32" i="10"/>
  <c r="D31" i="10"/>
  <c r="D43" i="10" s="1"/>
  <c r="D49" i="10" s="1"/>
  <c r="C32" i="10"/>
  <c r="B25" i="10"/>
  <c r="D24" i="10"/>
  <c r="L24" i="10" s="1"/>
  <c r="D18" i="10"/>
  <c r="L18" i="10" s="1"/>
  <c r="B19" i="10"/>
  <c r="D11" i="10"/>
  <c r="L11" i="10" s="1"/>
  <c r="C36" i="10"/>
  <c r="C38" i="10" s="1"/>
  <c r="L3" i="10"/>
  <c r="D3" i="10"/>
  <c r="B33" i="10"/>
  <c r="C1" i="10"/>
  <c r="E1" i="10" s="1"/>
  <c r="F1" i="10" s="1"/>
  <c r="B41" i="10" l="1"/>
  <c r="L34" i="10"/>
  <c r="T3" i="10"/>
  <c r="D34" i="10"/>
  <c r="B36" i="10"/>
  <c r="B38" i="10" s="1"/>
  <c r="B12" i="10"/>
  <c r="D10" i="10"/>
  <c r="D47" i="10"/>
  <c r="F25" i="10"/>
  <c r="G1" i="10"/>
  <c r="T11" i="10"/>
  <c r="L37" i="10"/>
  <c r="T24" i="10"/>
  <c r="C12" i="10"/>
  <c r="T18" i="10"/>
  <c r="D40" i="10"/>
  <c r="B32" i="10"/>
  <c r="D30" i="10"/>
  <c r="D32" i="10" s="1"/>
  <c r="B35" i="10"/>
  <c r="C42" i="10"/>
  <c r="C44" i="10" s="1"/>
  <c r="L31" i="10"/>
  <c r="L40" i="10"/>
  <c r="B42" i="10"/>
  <c r="B44" i="10" s="1"/>
  <c r="E25" i="10"/>
  <c r="B4" i="10"/>
  <c r="D2" i="10"/>
  <c r="G35" i="10"/>
  <c r="C39" i="10" l="1"/>
  <c r="C41" i="10" s="1"/>
  <c r="C19" i="10"/>
  <c r="D12" i="10"/>
  <c r="D36" i="10"/>
  <c r="L43" i="10"/>
  <c r="T31" i="10"/>
  <c r="D33" i="10"/>
  <c r="C46" i="10" s="1"/>
  <c r="T40" i="10"/>
  <c r="D17" i="10"/>
  <c r="E33" i="10"/>
  <c r="E35" i="10" s="1"/>
  <c r="E4" i="10"/>
  <c r="D4" i="10"/>
  <c r="D48" i="10"/>
  <c r="F42" i="10"/>
  <c r="F44" i="10" s="1"/>
  <c r="F32" i="10"/>
  <c r="T34" i="10"/>
  <c r="E19" i="10"/>
  <c r="E39" i="10"/>
  <c r="E41" i="10" s="1"/>
  <c r="E42" i="10"/>
  <c r="E44" i="10" s="1"/>
  <c r="E32" i="10"/>
  <c r="G25" i="10"/>
  <c r="H1" i="10"/>
  <c r="G4" i="10"/>
  <c r="F19" i="10"/>
  <c r="F39" i="10"/>
  <c r="F41" i="10" s="1"/>
  <c r="E12" i="10"/>
  <c r="E36" i="10"/>
  <c r="E38" i="10" s="1"/>
  <c r="L47" i="10"/>
  <c r="F33" i="10"/>
  <c r="F35" i="10" s="1"/>
  <c r="F4" i="10"/>
  <c r="F36" i="10"/>
  <c r="F38" i="10" s="1"/>
  <c r="F12" i="10"/>
  <c r="D42" i="10"/>
  <c r="D46" i="10"/>
  <c r="L48" i="10"/>
  <c r="C4" i="10"/>
  <c r="C33" i="10"/>
  <c r="C35" i="10" s="1"/>
  <c r="D23" i="10"/>
  <c r="C25" i="10"/>
  <c r="T37" i="10"/>
  <c r="L46" i="10"/>
  <c r="D35" i="10" l="1"/>
  <c r="L49" i="10"/>
  <c r="T48" i="10"/>
  <c r="F46" i="10"/>
  <c r="E46" i="10"/>
  <c r="D50" i="10"/>
  <c r="H25" i="10"/>
  <c r="I1" i="10"/>
  <c r="G19" i="10"/>
  <c r="G39" i="10"/>
  <c r="G41" i="10" s="1"/>
  <c r="T43" i="10"/>
  <c r="D39" i="10"/>
  <c r="D19" i="10"/>
  <c r="T47" i="10"/>
  <c r="G36" i="10"/>
  <c r="G38" i="10" s="1"/>
  <c r="G12" i="10"/>
  <c r="T46" i="10"/>
  <c r="G42" i="10"/>
  <c r="G44" i="10" s="1"/>
  <c r="G32" i="10"/>
  <c r="C47" i="10"/>
  <c r="D38" i="10"/>
  <c r="D25" i="10"/>
  <c r="C49" i="10"/>
  <c r="D44" i="10"/>
  <c r="N36" i="8"/>
  <c r="N35" i="8"/>
  <c r="N34" i="8"/>
  <c r="N33" i="8"/>
  <c r="N32" i="8"/>
  <c r="M33" i="8"/>
  <c r="M34" i="8"/>
  <c r="M35" i="8"/>
  <c r="G36" i="6"/>
  <c r="H12" i="10" l="1"/>
  <c r="H36" i="10"/>
  <c r="H38" i="10" s="1"/>
  <c r="F49" i="10"/>
  <c r="E49" i="10"/>
  <c r="J1" i="10"/>
  <c r="T49" i="10"/>
  <c r="T50" i="10" s="1"/>
  <c r="H39" i="10"/>
  <c r="H41" i="10" s="1"/>
  <c r="H19" i="10"/>
  <c r="L50" i="10"/>
  <c r="H33" i="10"/>
  <c r="H35" i="10" s="1"/>
  <c r="H4" i="10"/>
  <c r="H42" i="10"/>
  <c r="H44" i="10" s="1"/>
  <c r="H32" i="10"/>
  <c r="F47" i="10"/>
  <c r="E47" i="10"/>
  <c r="C48" i="10"/>
  <c r="D41" i="10"/>
  <c r="J25" i="10" l="1"/>
  <c r="K1" i="10"/>
  <c r="E48" i="10"/>
  <c r="F48" i="10"/>
  <c r="C50" i="10"/>
  <c r="I36" i="10"/>
  <c r="I38" i="10" s="1"/>
  <c r="I12" i="10"/>
  <c r="I39" i="10"/>
  <c r="I41" i="10" s="1"/>
  <c r="I19" i="10"/>
  <c r="I33" i="10"/>
  <c r="I35" i="10" s="1"/>
  <c r="I4" i="10"/>
  <c r="I42" i="10"/>
  <c r="I44" i="10" s="1"/>
  <c r="I32" i="10"/>
  <c r="I25" i="10"/>
  <c r="J39" i="10" l="1"/>
  <c r="J41" i="10" s="1"/>
  <c r="J19" i="10"/>
  <c r="M1" i="10"/>
  <c r="L10" i="10"/>
  <c r="J32" i="10"/>
  <c r="J42" i="10"/>
  <c r="J44" i="10" s="1"/>
  <c r="J33" i="10"/>
  <c r="J35" i="10" s="1"/>
  <c r="J4" i="10"/>
  <c r="E50" i="10"/>
  <c r="F50" i="10"/>
  <c r="J36" i="10"/>
  <c r="J38" i="10" s="1"/>
  <c r="J12" i="10"/>
  <c r="S9" i="8"/>
  <c r="S8" i="8"/>
  <c r="S7" i="8"/>
  <c r="S6" i="8"/>
  <c r="K37" i="8"/>
  <c r="AB23" i="8"/>
  <c r="AA23" i="8"/>
  <c r="AB22" i="8"/>
  <c r="AA22" i="8"/>
  <c r="L37" i="8"/>
  <c r="AB21" i="8"/>
  <c r="AA21" i="8"/>
  <c r="M32" i="8"/>
  <c r="L36" i="10" l="1"/>
  <c r="L12" i="10"/>
  <c r="K39" i="10"/>
  <c r="K41" i="10" s="1"/>
  <c r="K19" i="10"/>
  <c r="M25" i="10"/>
  <c r="N1" i="10"/>
  <c r="K25" i="10"/>
  <c r="L23" i="10"/>
  <c r="K4" i="10"/>
  <c r="K33" i="10"/>
  <c r="K35" i="10" s="1"/>
  <c r="L2" i="10"/>
  <c r="K32" i="10"/>
  <c r="K42" i="10"/>
  <c r="K44" i="10" s="1"/>
  <c r="L30" i="10"/>
  <c r="K36" i="10"/>
  <c r="K38" i="10" s="1"/>
  <c r="K12" i="10"/>
  <c r="L17" i="10"/>
  <c r="N37" i="8"/>
  <c r="M37" i="8"/>
  <c r="L39" i="10" l="1"/>
  <c r="L19" i="10"/>
  <c r="M32" i="10"/>
  <c r="M42" i="10"/>
  <c r="M44" i="10" s="1"/>
  <c r="M39" i="10"/>
  <c r="M41" i="10" s="1"/>
  <c r="M19" i="10"/>
  <c r="L25" i="10"/>
  <c r="M4" i="10"/>
  <c r="M33" i="10"/>
  <c r="M35" i="10" s="1"/>
  <c r="L42" i="10"/>
  <c r="L32" i="10"/>
  <c r="M12" i="10"/>
  <c r="M36" i="10"/>
  <c r="M38" i="10" s="1"/>
  <c r="L33" i="10"/>
  <c r="L4" i="10"/>
  <c r="N25" i="10"/>
  <c r="O1" i="10"/>
  <c r="K47" i="10"/>
  <c r="L38" i="10"/>
  <c r="N33" i="10" l="1"/>
  <c r="N35" i="10" s="1"/>
  <c r="N4" i="10"/>
  <c r="K49" i="10"/>
  <c r="L44" i="10"/>
  <c r="N19" i="10"/>
  <c r="N39" i="10"/>
  <c r="N41" i="10" s="1"/>
  <c r="N32" i="10"/>
  <c r="N42" i="10"/>
  <c r="N44" i="10" s="1"/>
  <c r="K46" i="10"/>
  <c r="L35" i="10"/>
  <c r="N47" i="10"/>
  <c r="M47" i="10"/>
  <c r="P1" i="10"/>
  <c r="N36" i="10"/>
  <c r="N38" i="10" s="1"/>
  <c r="N12" i="10"/>
  <c r="K48" i="10"/>
  <c r="L41" i="10"/>
  <c r="M48" i="10" l="1"/>
  <c r="N48" i="10"/>
  <c r="O42" i="10"/>
  <c r="O44" i="10" s="1"/>
  <c r="O32" i="10"/>
  <c r="O36" i="10"/>
  <c r="O38" i="10" s="1"/>
  <c r="O12" i="10"/>
  <c r="Q1" i="10"/>
  <c r="P25" i="10"/>
  <c r="O33" i="10"/>
  <c r="O35" i="10" s="1"/>
  <c r="O4" i="10"/>
  <c r="K50" i="10"/>
  <c r="N46" i="10"/>
  <c r="M46" i="10"/>
  <c r="O25" i="10"/>
  <c r="N49" i="10"/>
  <c r="M49" i="10"/>
  <c r="O19" i="10"/>
  <c r="O39" i="10"/>
  <c r="O41" i="10" s="1"/>
  <c r="A15" i="1"/>
  <c r="A29" i="1"/>
  <c r="A22" i="1"/>
  <c r="A8" i="1"/>
  <c r="N50" i="10" l="1"/>
  <c r="M50" i="10"/>
  <c r="P19" i="10"/>
  <c r="P39" i="10"/>
  <c r="P41" i="10" s="1"/>
  <c r="P42" i="10"/>
  <c r="P44" i="10" s="1"/>
  <c r="P32" i="10"/>
  <c r="P36" i="10"/>
  <c r="P38" i="10" s="1"/>
  <c r="P12" i="10"/>
  <c r="Q25" i="10"/>
  <c r="R1" i="10"/>
  <c r="P33" i="10"/>
  <c r="P35" i="10" s="1"/>
  <c r="P4" i="10"/>
  <c r="B27" i="6"/>
  <c r="Q36" i="10" l="1"/>
  <c r="Q38" i="10" s="1"/>
  <c r="Q12" i="10"/>
  <c r="Q42" i="10"/>
  <c r="Q44" i="10" s="1"/>
  <c r="Q32" i="10"/>
  <c r="R25" i="10"/>
  <c r="S1" i="10"/>
  <c r="Q19" i="10"/>
  <c r="Q39" i="10"/>
  <c r="Q41" i="10" s="1"/>
  <c r="Q33" i="10"/>
  <c r="Q35" i="10" s="1"/>
  <c r="Q4" i="10"/>
  <c r="R39" i="10" l="1"/>
  <c r="R41" i="10" s="1"/>
  <c r="R19" i="10"/>
  <c r="R32" i="10"/>
  <c r="R42" i="10"/>
  <c r="R44" i="10" s="1"/>
  <c r="R12" i="10"/>
  <c r="R36" i="10"/>
  <c r="R38" i="10" s="1"/>
  <c r="R33" i="10"/>
  <c r="R35" i="10" s="1"/>
  <c r="R4" i="10"/>
  <c r="U1" i="10"/>
  <c r="S32" i="10" l="1"/>
  <c r="S42" i="10"/>
  <c r="S44" i="10" s="1"/>
  <c r="T30" i="10"/>
  <c r="S36" i="10"/>
  <c r="S38" i="10" s="1"/>
  <c r="S12" i="10"/>
  <c r="T10" i="10"/>
  <c r="S25" i="10"/>
  <c r="T23" i="10"/>
  <c r="U25" i="10"/>
  <c r="V1" i="10"/>
  <c r="S33" i="10"/>
  <c r="S35" i="10" s="1"/>
  <c r="S4" i="10"/>
  <c r="S39" i="10"/>
  <c r="S41" i="10" s="1"/>
  <c r="S19" i="10"/>
  <c r="T17" i="10"/>
  <c r="T2" i="10"/>
  <c r="T25" i="10" l="1"/>
  <c r="U4" i="10"/>
  <c r="U33" i="10"/>
  <c r="U35" i="10" s="1"/>
  <c r="T39" i="10"/>
  <c r="T19" i="10"/>
  <c r="U36" i="10"/>
  <c r="U38" i="10" s="1"/>
  <c r="U12" i="10"/>
  <c r="T33" i="10"/>
  <c r="T4" i="10"/>
  <c r="V25" i="10"/>
  <c r="W1" i="10"/>
  <c r="T36" i="10"/>
  <c r="T12" i="10"/>
  <c r="U39" i="10"/>
  <c r="U41" i="10" s="1"/>
  <c r="U19" i="10"/>
  <c r="AB30" i="10"/>
  <c r="T42" i="10"/>
  <c r="T32" i="10"/>
  <c r="U42" i="10"/>
  <c r="U44" i="10" s="1"/>
  <c r="U32" i="10"/>
  <c r="V33" i="10" l="1"/>
  <c r="V35" i="10" s="1"/>
  <c r="V4" i="10"/>
  <c r="V19" i="10"/>
  <c r="V39" i="10"/>
  <c r="V41" i="10" s="1"/>
  <c r="S49" i="10"/>
  <c r="T44" i="10"/>
  <c r="AB42" i="10"/>
  <c r="D11" i="7" s="1"/>
  <c r="AH30" i="10"/>
  <c r="S48" i="10"/>
  <c r="T41" i="10"/>
  <c r="S47" i="10"/>
  <c r="T38" i="10"/>
  <c r="S46" i="10"/>
  <c r="T35" i="10"/>
  <c r="W25" i="10"/>
  <c r="X1" i="10"/>
  <c r="V36" i="10"/>
  <c r="V38" i="10" s="1"/>
  <c r="V12" i="10"/>
  <c r="H42" i="6"/>
  <c r="H39" i="6"/>
  <c r="H36" i="6"/>
  <c r="F36" i="6"/>
  <c r="D39" i="6"/>
  <c r="C45" i="6"/>
  <c r="D45" i="6"/>
  <c r="B45" i="6"/>
  <c r="B42" i="6"/>
  <c r="F39" i="6"/>
  <c r="C39" i="6"/>
  <c r="D36" i="6"/>
  <c r="C36" i="6"/>
  <c r="C1" i="6"/>
  <c r="AA49" i="10" l="1"/>
  <c r="V47" i="10"/>
  <c r="U47" i="10"/>
  <c r="W33" i="10"/>
  <c r="W35" i="10" s="1"/>
  <c r="W4" i="10"/>
  <c r="S50" i="10"/>
  <c r="V46" i="10"/>
  <c r="U46" i="10"/>
  <c r="W19" i="10"/>
  <c r="W39" i="10"/>
  <c r="W41" i="10" s="1"/>
  <c r="W36" i="10"/>
  <c r="W38" i="10" s="1"/>
  <c r="W12" i="10"/>
  <c r="V48" i="10"/>
  <c r="U48" i="10"/>
  <c r="V49" i="10"/>
  <c r="U49" i="10"/>
  <c r="Y1" i="10"/>
  <c r="AH42" i="10"/>
  <c r="C42" i="6"/>
  <c r="D42" i="6"/>
  <c r="B39" i="6"/>
  <c r="B36" i="6"/>
  <c r="F45" i="6"/>
  <c r="B14" i="6"/>
  <c r="G45" i="6"/>
  <c r="H45" i="6"/>
  <c r="F42" i="6"/>
  <c r="G42" i="6"/>
  <c r="G39" i="6"/>
  <c r="D1" i="6"/>
  <c r="B38" i="6"/>
  <c r="B35" i="6"/>
  <c r="B4" i="6"/>
  <c r="B21" i="6"/>
  <c r="B41" i="6"/>
  <c r="B43" i="6" s="1"/>
  <c r="B34" i="6"/>
  <c r="B44" i="6"/>
  <c r="B46" i="6" s="1"/>
  <c r="E25" i="6" l="1"/>
  <c r="E2" i="6"/>
  <c r="E10" i="6"/>
  <c r="E19" i="6"/>
  <c r="X39" i="10"/>
  <c r="X36" i="10"/>
  <c r="V50" i="10"/>
  <c r="U50" i="10"/>
  <c r="Z1" i="10"/>
  <c r="X25" i="10"/>
  <c r="X33" i="10"/>
  <c r="BK49" i="10"/>
  <c r="AG49" i="10"/>
  <c r="C27" i="6"/>
  <c r="C14" i="6"/>
  <c r="C38" i="6"/>
  <c r="C40" i="6" s="1"/>
  <c r="B37" i="6"/>
  <c r="B40" i="6"/>
  <c r="C4" i="6"/>
  <c r="C35" i="6"/>
  <c r="C37" i="6" s="1"/>
  <c r="C44" i="6"/>
  <c r="C46" i="6" s="1"/>
  <c r="C34" i="6"/>
  <c r="C21" i="6"/>
  <c r="C41" i="6"/>
  <c r="C43" i="6" s="1"/>
  <c r="F1" i="6"/>
  <c r="Y36" i="10" l="1"/>
  <c r="X37" i="10"/>
  <c r="X38" i="10" s="1"/>
  <c r="X12" i="10"/>
  <c r="Y33" i="10"/>
  <c r="Y39" i="10"/>
  <c r="X34" i="10"/>
  <c r="X35" i="10" s="1"/>
  <c r="X4" i="10"/>
  <c r="AA1" i="10"/>
  <c r="X19" i="10"/>
  <c r="X40" i="10"/>
  <c r="X41" i="10" s="1"/>
  <c r="D27" i="6"/>
  <c r="D14" i="6"/>
  <c r="D38" i="6"/>
  <c r="D40" i="6" s="1"/>
  <c r="D41" i="6"/>
  <c r="D43" i="6" s="1"/>
  <c r="D21" i="6"/>
  <c r="D4" i="6"/>
  <c r="D35" i="6"/>
  <c r="D37" i="6" s="1"/>
  <c r="G1" i="6"/>
  <c r="D34" i="6"/>
  <c r="D44" i="6"/>
  <c r="D46" i="6" s="1"/>
  <c r="AC1" i="10" l="1"/>
  <c r="Z36" i="10"/>
  <c r="Z39" i="10"/>
  <c r="Z33" i="10"/>
  <c r="F27" i="6"/>
  <c r="F35" i="6"/>
  <c r="F37" i="6" s="1"/>
  <c r="F4" i="6"/>
  <c r="F21" i="6"/>
  <c r="F41" i="6"/>
  <c r="F43" i="6" s="1"/>
  <c r="F38" i="6"/>
  <c r="F40" i="6" s="1"/>
  <c r="F14" i="6"/>
  <c r="H1" i="6"/>
  <c r="F44" i="6"/>
  <c r="F46" i="6" s="1"/>
  <c r="F34" i="6"/>
  <c r="I1" i="6" l="1"/>
  <c r="G4" i="6"/>
  <c r="G27" i="6"/>
  <c r="AA39" i="10"/>
  <c r="AB17" i="10"/>
  <c r="AA36" i="10"/>
  <c r="AB23" i="10"/>
  <c r="AC24" i="10"/>
  <c r="AC25" i="10" s="1"/>
  <c r="AD1" i="10"/>
  <c r="AA33" i="10"/>
  <c r="AB2" i="10"/>
  <c r="AB10" i="10"/>
  <c r="G37" i="6"/>
  <c r="G38" i="6"/>
  <c r="G40" i="6" s="1"/>
  <c r="G14" i="6"/>
  <c r="G41" i="6"/>
  <c r="G43" i="6" s="1"/>
  <c r="G21" i="6"/>
  <c r="G44" i="6"/>
  <c r="G46" i="6" s="1"/>
  <c r="G34" i="6"/>
  <c r="J1" i="6" l="1"/>
  <c r="I27" i="6"/>
  <c r="H27" i="6"/>
  <c r="AB36" i="10"/>
  <c r="AA47" i="10" s="1"/>
  <c r="AB33" i="10"/>
  <c r="AA46" i="10" s="1"/>
  <c r="AC33" i="10"/>
  <c r="AC36" i="10"/>
  <c r="AD24" i="10"/>
  <c r="AD25" i="10" s="1"/>
  <c r="AE1" i="10"/>
  <c r="AC39" i="10"/>
  <c r="AC18" i="10"/>
  <c r="AB39" i="10"/>
  <c r="AA48" i="10" s="1"/>
  <c r="H38" i="6"/>
  <c r="H40" i="6" s="1"/>
  <c r="H14" i="6"/>
  <c r="H34" i="6"/>
  <c r="H44" i="6"/>
  <c r="H46" i="6" s="1"/>
  <c r="H41" i="6"/>
  <c r="H43" i="6" s="1"/>
  <c r="H21" i="6"/>
  <c r="H35" i="6"/>
  <c r="H37" i="6" s="1"/>
  <c r="H4" i="6"/>
  <c r="I35" i="6" l="1"/>
  <c r="I37" i="6" s="1"/>
  <c r="I4" i="6"/>
  <c r="I38" i="6"/>
  <c r="I40" i="6" s="1"/>
  <c r="I14" i="6"/>
  <c r="I21" i="6"/>
  <c r="I41" i="6"/>
  <c r="I43" i="6" s="1"/>
  <c r="J27" i="6"/>
  <c r="K1" i="6"/>
  <c r="AD36" i="10"/>
  <c r="AC37" i="10"/>
  <c r="AC38" i="10" s="1"/>
  <c r="AC12" i="10"/>
  <c r="AD33" i="10"/>
  <c r="AD39" i="10"/>
  <c r="AD18" i="10"/>
  <c r="AA50" i="10"/>
  <c r="AC40" i="10"/>
  <c r="AC41" i="10" s="1"/>
  <c r="AC19" i="10"/>
  <c r="AF1" i="10"/>
  <c r="AC4" i="10"/>
  <c r="AC34" i="10"/>
  <c r="AC35" i="10" s="1"/>
  <c r="J21" i="6" l="1"/>
  <c r="J41" i="6"/>
  <c r="J43" i="6" s="1"/>
  <c r="J35" i="6"/>
  <c r="J37" i="6" s="1"/>
  <c r="J4" i="6"/>
  <c r="J38" i="6"/>
  <c r="J40" i="6" s="1"/>
  <c r="J14" i="6"/>
  <c r="M1" i="6"/>
  <c r="AE18" i="10"/>
  <c r="AE39" i="10"/>
  <c r="AF24" i="10"/>
  <c r="AF25" i="10" s="1"/>
  <c r="AG1" i="10"/>
  <c r="AE36" i="10"/>
  <c r="AD19" i="10"/>
  <c r="AD40" i="10"/>
  <c r="AD41" i="10" s="1"/>
  <c r="AD37" i="10"/>
  <c r="AD38" i="10" s="1"/>
  <c r="AD12" i="10"/>
  <c r="AD34" i="10"/>
  <c r="AD35" i="10" s="1"/>
  <c r="AD4" i="10"/>
  <c r="AE24" i="10"/>
  <c r="AE33" i="10"/>
  <c r="K27" i="6" l="1"/>
  <c r="L25" i="6"/>
  <c r="K14" i="6"/>
  <c r="K38" i="6"/>
  <c r="K40" i="6" s="1"/>
  <c r="L10" i="6"/>
  <c r="K35" i="6"/>
  <c r="K37" i="6" s="1"/>
  <c r="K4" i="6"/>
  <c r="L2" i="6"/>
  <c r="K21" i="6"/>
  <c r="K41" i="6"/>
  <c r="K43" i="6" s="1"/>
  <c r="L19" i="6"/>
  <c r="N1" i="6"/>
  <c r="AE34" i="10"/>
  <c r="AE35" i="10" s="1"/>
  <c r="AE4" i="10"/>
  <c r="AF33" i="10"/>
  <c r="AH2" i="10"/>
  <c r="AH33" i="10" s="1"/>
  <c r="AE12" i="10"/>
  <c r="AE37" i="10"/>
  <c r="AE38" i="10" s="1"/>
  <c r="AF36" i="10"/>
  <c r="AH23" i="10"/>
  <c r="AG24" i="10"/>
  <c r="AG25" i="10" s="1"/>
  <c r="AH10" i="10"/>
  <c r="AH36" i="10" s="1"/>
  <c r="AE25" i="10"/>
  <c r="AF18" i="10"/>
  <c r="AF39" i="10"/>
  <c r="AE19" i="10"/>
  <c r="AE40" i="10"/>
  <c r="AE41" i="10" s="1"/>
  <c r="N14" i="6" l="1"/>
  <c r="M44" i="6"/>
  <c r="M46" i="6" s="1"/>
  <c r="M14" i="6"/>
  <c r="M27" i="6"/>
  <c r="M35" i="6"/>
  <c r="M37" i="6" s="1"/>
  <c r="O1" i="6"/>
  <c r="M21" i="6"/>
  <c r="M4" i="6"/>
  <c r="M34" i="6"/>
  <c r="M41" i="6"/>
  <c r="M43" i="6" s="1"/>
  <c r="M38" i="6"/>
  <c r="M40" i="6" s="1"/>
  <c r="BK47" i="10"/>
  <c r="AG47" i="10"/>
  <c r="AF37" i="10"/>
  <c r="AF38" i="10" s="1"/>
  <c r="AF12" i="10"/>
  <c r="AG39" i="10"/>
  <c r="AG18" i="10"/>
  <c r="AH17" i="10"/>
  <c r="AH39" i="10" s="1"/>
  <c r="AG33" i="10"/>
  <c r="AF40" i="10"/>
  <c r="AF41" i="10" s="1"/>
  <c r="AF19" i="10"/>
  <c r="BK46" i="10"/>
  <c r="AG46" i="10"/>
  <c r="AF34" i="10"/>
  <c r="AF35" i="10" s="1"/>
  <c r="AF4" i="10"/>
  <c r="AG36" i="10"/>
  <c r="N21" i="6" l="1"/>
  <c r="N4" i="6"/>
  <c r="O38" i="6"/>
  <c r="O40" i="6" s="1"/>
  <c r="O4" i="6"/>
  <c r="N27" i="6"/>
  <c r="P1" i="6"/>
  <c r="N44" i="6"/>
  <c r="N46" i="6" s="1"/>
  <c r="N35" i="6"/>
  <c r="N37" i="6" s="1"/>
  <c r="N38" i="6"/>
  <c r="N40" i="6" s="1"/>
  <c r="N34" i="6"/>
  <c r="N41" i="6"/>
  <c r="N43" i="6" s="1"/>
  <c r="AG40" i="10"/>
  <c r="AG41" i="10" s="1"/>
  <c r="AG19" i="10"/>
  <c r="BK48" i="10"/>
  <c r="BK50" i="10" s="1"/>
  <c r="AG48" i="10"/>
  <c r="AG50" i="10" s="1"/>
  <c r="AG37" i="10"/>
  <c r="AG38" i="10" s="1"/>
  <c r="AG12" i="10"/>
  <c r="AG34" i="10"/>
  <c r="AG35" i="10" s="1"/>
  <c r="AG4" i="10"/>
  <c r="Q1" i="6" l="1"/>
  <c r="O44" i="6"/>
  <c r="O46" i="6" s="1"/>
  <c r="O34" i="6"/>
  <c r="O27" i="6"/>
  <c r="O14" i="6"/>
  <c r="O41" i="6"/>
  <c r="O43" i="6" s="1"/>
  <c r="O21" i="6"/>
  <c r="O35" i="6"/>
  <c r="O37" i="6" s="1"/>
  <c r="R1" i="6" l="1"/>
  <c r="Q27" i="6"/>
  <c r="P35" i="6"/>
  <c r="P37" i="6" s="1"/>
  <c r="P38" i="6"/>
  <c r="P40" i="6" s="1"/>
  <c r="P27" i="6"/>
  <c r="P44" i="6"/>
  <c r="P46" i="6" s="1"/>
  <c r="P41" i="6"/>
  <c r="P43" i="6" s="1"/>
  <c r="P4" i="6"/>
  <c r="P34" i="6"/>
  <c r="P14" i="6"/>
  <c r="P21" i="6"/>
  <c r="Q34" i="6" l="1"/>
  <c r="Q44" i="6"/>
  <c r="Q46" i="6" s="1"/>
  <c r="Q38" i="6"/>
  <c r="Q40" i="6" s="1"/>
  <c r="Q14" i="6"/>
  <c r="Q21" i="6"/>
  <c r="Q41" i="6"/>
  <c r="Q43" i="6" s="1"/>
  <c r="Q4" i="6"/>
  <c r="Q35" i="6"/>
  <c r="Q37" i="6" s="1"/>
  <c r="S1" i="6"/>
  <c r="R27" i="6"/>
  <c r="T1" i="6"/>
  <c r="Y18" i="11"/>
  <c r="Y18" i="10"/>
  <c r="Y3" i="11"/>
  <c r="Y3" i="10"/>
  <c r="Y31" i="11"/>
  <c r="Y31" i="10"/>
  <c r="R38" i="6" l="1"/>
  <c r="R40" i="6" s="1"/>
  <c r="R14" i="6"/>
  <c r="R34" i="6"/>
  <c r="R44" i="6"/>
  <c r="R46" i="6" s="1"/>
  <c r="R4" i="6"/>
  <c r="R35" i="6"/>
  <c r="R37" i="6" s="1"/>
  <c r="R21" i="6"/>
  <c r="R41" i="6"/>
  <c r="R43" i="6" s="1"/>
  <c r="S27" i="6"/>
  <c r="U32" i="6"/>
  <c r="V1" i="6"/>
  <c r="Y34" i="11"/>
  <c r="Y35" i="11" s="1"/>
  <c r="Y4" i="11"/>
  <c r="Z11" i="11"/>
  <c r="Z11" i="10"/>
  <c r="Y43" i="10"/>
  <c r="Y44" i="10" s="1"/>
  <c r="Y32" i="10"/>
  <c r="Y19" i="10"/>
  <c r="Y34" i="10"/>
  <c r="Y35" i="10" s="1"/>
  <c r="Y4" i="10"/>
  <c r="Z18" i="11"/>
  <c r="Z18" i="10"/>
  <c r="Y19" i="11"/>
  <c r="Y24" i="11"/>
  <c r="Y40" i="11" s="1"/>
  <c r="Y41" i="11" s="1"/>
  <c r="Y24" i="10"/>
  <c r="Y40" i="10" s="1"/>
  <c r="Y41" i="10" s="1"/>
  <c r="Y11" i="11"/>
  <c r="Y11" i="10"/>
  <c r="Z3" i="11"/>
  <c r="Z3" i="10"/>
  <c r="Y43" i="11"/>
  <c r="Y44" i="11" s="1"/>
  <c r="Y32" i="11"/>
  <c r="U25" i="6" l="1"/>
  <c r="U2" i="6"/>
  <c r="U19" i="6"/>
  <c r="U10" i="6"/>
  <c r="S38" i="6"/>
  <c r="S40" i="6" s="1"/>
  <c r="S14" i="6"/>
  <c r="S34" i="6"/>
  <c r="S44" i="6"/>
  <c r="S46" i="6" s="1"/>
  <c r="S4" i="6"/>
  <c r="S35" i="6"/>
  <c r="S37" i="6" s="1"/>
  <c r="S21" i="6"/>
  <c r="S41" i="6"/>
  <c r="S43" i="6" s="1"/>
  <c r="T14" i="6"/>
  <c r="T38" i="6"/>
  <c r="T40" i="6" s="1"/>
  <c r="T27" i="6"/>
  <c r="V27" i="6"/>
  <c r="W1" i="6"/>
  <c r="T4" i="6"/>
  <c r="T35" i="6"/>
  <c r="T37" i="6" s="1"/>
  <c r="T41" i="6"/>
  <c r="T43" i="6" s="1"/>
  <c r="T21" i="6"/>
  <c r="T34" i="6"/>
  <c r="T44" i="6"/>
  <c r="T46" i="6" s="1"/>
  <c r="AA24" i="11"/>
  <c r="AA25" i="11" s="1"/>
  <c r="AA24" i="10"/>
  <c r="AA25" i="10" s="1"/>
  <c r="Y12" i="10"/>
  <c r="Y37" i="10"/>
  <c r="Y38" i="10" s="1"/>
  <c r="AA18" i="11"/>
  <c r="AA18" i="10"/>
  <c r="Z37" i="11"/>
  <c r="Z38" i="11" s="1"/>
  <c r="Z12" i="11"/>
  <c r="Y37" i="11"/>
  <c r="Y38" i="11" s="1"/>
  <c r="Y12" i="11"/>
  <c r="Z37" i="10"/>
  <c r="Z38" i="10" s="1"/>
  <c r="Z12" i="10"/>
  <c r="AA11" i="11"/>
  <c r="AA11" i="10"/>
  <c r="AA3" i="11"/>
  <c r="AA3" i="10"/>
  <c r="AB3" i="10" s="1"/>
  <c r="Z34" i="10"/>
  <c r="Z35" i="10" s="1"/>
  <c r="Z4" i="10"/>
  <c r="Z19" i="10"/>
  <c r="Z24" i="11"/>
  <c r="Z25" i="11" s="1"/>
  <c r="Z24" i="10"/>
  <c r="Z25" i="10" s="1"/>
  <c r="Z34" i="11"/>
  <c r="Z35" i="11" s="1"/>
  <c r="Z4" i="11"/>
  <c r="Y25" i="10"/>
  <c r="Z19" i="11"/>
  <c r="Y25" i="11"/>
  <c r="AB24" i="11"/>
  <c r="AB25" i="11" s="1"/>
  <c r="V21" i="6" l="1"/>
  <c r="V41" i="6"/>
  <c r="V43" i="6" s="1"/>
  <c r="V34" i="6"/>
  <c r="V44" i="6"/>
  <c r="V46" i="6" s="1"/>
  <c r="X1" i="6"/>
  <c r="V4" i="6"/>
  <c r="V35" i="6"/>
  <c r="V37" i="6" s="1"/>
  <c r="V38" i="6"/>
  <c r="V40" i="6" s="1"/>
  <c r="V14" i="6"/>
  <c r="AB24" i="10"/>
  <c r="AH24" i="10" s="1"/>
  <c r="AH25" i="10" s="1"/>
  <c r="AB34" i="10"/>
  <c r="AB4" i="10"/>
  <c r="AH3" i="10"/>
  <c r="Z40" i="11"/>
  <c r="Z41" i="11" s="1"/>
  <c r="AA37" i="11"/>
  <c r="AA38" i="11" s="1"/>
  <c r="AA12" i="11"/>
  <c r="AC39" i="6"/>
  <c r="AB11" i="11"/>
  <c r="AA34" i="11"/>
  <c r="AA35" i="11" s="1"/>
  <c r="AA4" i="11"/>
  <c r="AC24" i="11"/>
  <c r="AC25" i="11" s="1"/>
  <c r="AA40" i="11"/>
  <c r="AA41" i="11" s="1"/>
  <c r="AA19" i="11"/>
  <c r="AB3" i="11"/>
  <c r="AC36" i="6"/>
  <c r="AA40" i="10"/>
  <c r="AA41" i="10" s="1"/>
  <c r="AA19" i="10"/>
  <c r="AB18" i="10"/>
  <c r="AA34" i="10"/>
  <c r="AA35" i="10" s="1"/>
  <c r="AA4" i="10"/>
  <c r="Z40" i="10"/>
  <c r="Z41" i="10" s="1"/>
  <c r="AA37" i="10"/>
  <c r="AA38" i="10" s="1"/>
  <c r="AA12" i="10"/>
  <c r="AB11" i="10"/>
  <c r="AD24" i="11"/>
  <c r="AD25" i="11" s="1"/>
  <c r="W27" i="6" l="1"/>
  <c r="W21" i="6"/>
  <c r="W41" i="6"/>
  <c r="W43" i="6" s="1"/>
  <c r="W4" i="6"/>
  <c r="W35" i="6"/>
  <c r="W37" i="6" s="1"/>
  <c r="W34" i="6"/>
  <c r="W44" i="6"/>
  <c r="W46" i="6" s="1"/>
  <c r="X27" i="6"/>
  <c r="Y1" i="6"/>
  <c r="W14" i="6"/>
  <c r="W38" i="6"/>
  <c r="W40" i="6" s="1"/>
  <c r="AB25" i="10"/>
  <c r="AD3" i="11"/>
  <c r="AD36" i="6"/>
  <c r="AB34" i="11"/>
  <c r="AB35" i="11" s="1"/>
  <c r="AB4" i="11"/>
  <c r="AB37" i="11"/>
  <c r="AB38" i="11" s="1"/>
  <c r="AB12" i="11"/>
  <c r="AD18" i="11"/>
  <c r="AD42" i="6"/>
  <c r="AC3" i="11"/>
  <c r="AD11" i="11"/>
  <c r="AD39" i="6"/>
  <c r="AB40" i="10"/>
  <c r="AB19" i="10"/>
  <c r="AH18" i="10"/>
  <c r="AH4" i="10"/>
  <c r="AH34" i="10"/>
  <c r="AB35" i="10"/>
  <c r="AB46" i="10"/>
  <c r="AC11" i="11"/>
  <c r="AB37" i="10"/>
  <c r="AB12" i="10"/>
  <c r="AH11" i="10"/>
  <c r="AC42" i="6"/>
  <c r="AB18" i="11"/>
  <c r="X41" i="6" l="1"/>
  <c r="X43" i="6" s="1"/>
  <c r="X21" i="6"/>
  <c r="X44" i="6"/>
  <c r="X46" i="6" s="1"/>
  <c r="X34" i="6"/>
  <c r="Y27" i="6"/>
  <c r="Z1" i="6"/>
  <c r="X14" i="6"/>
  <c r="X38" i="6"/>
  <c r="X40" i="6" s="1"/>
  <c r="X4" i="6"/>
  <c r="X35" i="6"/>
  <c r="X37" i="6" s="1"/>
  <c r="AD46" i="10"/>
  <c r="AC46" i="10"/>
  <c r="AB48" i="10"/>
  <c r="AB41" i="10"/>
  <c r="AC34" i="11"/>
  <c r="AC4" i="11"/>
  <c r="AE3" i="11"/>
  <c r="AE36" i="6"/>
  <c r="AD37" i="11"/>
  <c r="AD38" i="11" s="1"/>
  <c r="AD12" i="11"/>
  <c r="AE24" i="11"/>
  <c r="AE25" i="11" s="1"/>
  <c r="AH35" i="10"/>
  <c r="BL46" i="10"/>
  <c r="AH46" i="10"/>
  <c r="AE18" i="11"/>
  <c r="AE42" i="6"/>
  <c r="AD40" i="11"/>
  <c r="AD41" i="11" s="1"/>
  <c r="AD19" i="11"/>
  <c r="AH19" i="10"/>
  <c r="AH40" i="10"/>
  <c r="AH37" i="10"/>
  <c r="AH12" i="10"/>
  <c r="AE11" i="11"/>
  <c r="AE39" i="6"/>
  <c r="AB47" i="10"/>
  <c r="AB38" i="10"/>
  <c r="AC37" i="11"/>
  <c r="AC12" i="11"/>
  <c r="AD34" i="11"/>
  <c r="AD35" i="11" s="1"/>
  <c r="AD4" i="11"/>
  <c r="AC18" i="11"/>
  <c r="AB40" i="11"/>
  <c r="AB41" i="11" s="1"/>
  <c r="AB19" i="11"/>
  <c r="Z45" i="6" l="1"/>
  <c r="Z31" i="11"/>
  <c r="Z31" i="10"/>
  <c r="Y34" i="6"/>
  <c r="Y44" i="6"/>
  <c r="Y46" i="6" s="1"/>
  <c r="Y41" i="6"/>
  <c r="Y43" i="6" s="1"/>
  <c r="Y21" i="6"/>
  <c r="Z27" i="6"/>
  <c r="AA1" i="6"/>
  <c r="Y4" i="6"/>
  <c r="Y35" i="6"/>
  <c r="Y37" i="6" s="1"/>
  <c r="Y38" i="6"/>
  <c r="Y40" i="6" s="1"/>
  <c r="Y14" i="6"/>
  <c r="AG24" i="11"/>
  <c r="AG25" i="11" s="1"/>
  <c r="AB46" i="11"/>
  <c r="AC35" i="11"/>
  <c r="AE40" i="11"/>
  <c r="AE41" i="11" s="1"/>
  <c r="AE19" i="11"/>
  <c r="AJ46" i="10"/>
  <c r="AI46" i="10"/>
  <c r="BL48" i="10"/>
  <c r="AH41" i="10"/>
  <c r="AH48" i="10"/>
  <c r="AC47" i="10"/>
  <c r="AD47" i="10"/>
  <c r="BN46" i="10"/>
  <c r="BM46" i="10"/>
  <c r="AD48" i="10"/>
  <c r="AC48" i="10"/>
  <c r="AE37" i="11"/>
  <c r="AE38" i="11" s="1"/>
  <c r="AE12" i="11"/>
  <c r="AE34" i="11"/>
  <c r="AE35" i="11" s="1"/>
  <c r="AE4" i="11"/>
  <c r="AB47" i="11"/>
  <c r="AC38" i="11"/>
  <c r="AH38" i="10"/>
  <c r="AH47" i="10"/>
  <c r="BL47" i="10"/>
  <c r="AC40" i="11"/>
  <c r="AC19" i="11"/>
  <c r="AB32" i="6" l="1"/>
  <c r="Z43" i="10"/>
  <c r="Z44" i="10" s="1"/>
  <c r="Z32" i="10"/>
  <c r="Z43" i="11"/>
  <c r="Z44" i="11" s="1"/>
  <c r="Z32" i="11"/>
  <c r="Z41" i="6"/>
  <c r="Z43" i="6" s="1"/>
  <c r="Z21" i="6"/>
  <c r="AB10" i="6"/>
  <c r="AB19" i="6"/>
  <c r="AB2" i="6"/>
  <c r="AC7" i="6"/>
  <c r="AD1" i="6" s="1"/>
  <c r="AC1" i="6"/>
  <c r="Z14" i="6"/>
  <c r="Z38" i="6"/>
  <c r="Z40" i="6" s="1"/>
  <c r="Z44" i="6"/>
  <c r="Z46" i="6" s="1"/>
  <c r="Z34" i="6"/>
  <c r="Z35" i="6"/>
  <c r="Z37" i="6" s="1"/>
  <c r="Z4" i="6"/>
  <c r="BM48" i="10"/>
  <c r="BN48" i="10"/>
  <c r="AG3" i="11"/>
  <c r="AG18" i="11"/>
  <c r="BN47" i="10"/>
  <c r="BM47" i="10"/>
  <c r="AJ48" i="10"/>
  <c r="AI48" i="10"/>
  <c r="AF24" i="11"/>
  <c r="AF25" i="11" s="1"/>
  <c r="AF18" i="11"/>
  <c r="AD47" i="11"/>
  <c r="AC47" i="11"/>
  <c r="AF3" i="11"/>
  <c r="AI47" i="10"/>
  <c r="AJ47" i="10"/>
  <c r="AD46" i="11"/>
  <c r="AC46" i="11"/>
  <c r="AB48" i="11"/>
  <c r="AC41" i="11"/>
  <c r="AC45" i="6" l="1"/>
  <c r="AB31" i="11"/>
  <c r="AD31" i="11"/>
  <c r="AD45" i="6"/>
  <c r="AA45" i="6"/>
  <c r="AA31" i="11"/>
  <c r="AA31" i="10"/>
  <c r="AB33" i="6"/>
  <c r="AA27" i="6"/>
  <c r="AB25" i="6"/>
  <c r="AA34" i="6"/>
  <c r="AA44" i="6"/>
  <c r="AD27" i="6"/>
  <c r="AE1" i="6"/>
  <c r="AA38" i="6"/>
  <c r="AA40" i="6" s="1"/>
  <c r="AA14" i="6"/>
  <c r="AA35" i="6"/>
  <c r="AA37" i="6" s="1"/>
  <c r="AA4" i="6"/>
  <c r="AA41" i="6"/>
  <c r="AA43" i="6" s="1"/>
  <c r="AA21" i="6"/>
  <c r="AF40" i="11"/>
  <c r="AF41" i="11" s="1"/>
  <c r="AF19" i="11"/>
  <c r="AH24" i="11"/>
  <c r="AH25" i="11" s="1"/>
  <c r="AF34" i="11"/>
  <c r="AF35" i="11" s="1"/>
  <c r="AF4" i="11"/>
  <c r="AG40" i="11"/>
  <c r="AG41" i="11" s="1"/>
  <c r="AG19" i="11"/>
  <c r="AG34" i="11"/>
  <c r="AG35" i="11" s="1"/>
  <c r="AG4" i="11"/>
  <c r="AD48" i="11"/>
  <c r="AC48" i="11"/>
  <c r="B4" i="1"/>
  <c r="B25" i="1"/>
  <c r="B22" i="1"/>
  <c r="B18" i="1"/>
  <c r="B15" i="1"/>
  <c r="B11" i="1"/>
  <c r="B8" i="1"/>
  <c r="AE31" i="11" l="1"/>
  <c r="AE45" i="6"/>
  <c r="AB31" i="10"/>
  <c r="AA43" i="10"/>
  <c r="AA44" i="10" s="1"/>
  <c r="AA32" i="10"/>
  <c r="AA43" i="11"/>
  <c r="AA44" i="11" s="1"/>
  <c r="AA32" i="11"/>
  <c r="AC31" i="11"/>
  <c r="AA46" i="6"/>
  <c r="AD43" i="11"/>
  <c r="AD44" i="11" s="1"/>
  <c r="AD32" i="11"/>
  <c r="AB43" i="11"/>
  <c r="AB44" i="11" s="1"/>
  <c r="AB32" i="11"/>
  <c r="AD21" i="6"/>
  <c r="AD41" i="6"/>
  <c r="AD43" i="6" s="1"/>
  <c r="AC27" i="6"/>
  <c r="AE27" i="6"/>
  <c r="AF1" i="6"/>
  <c r="AD4" i="6"/>
  <c r="AD35" i="6"/>
  <c r="AD37" i="6" s="1"/>
  <c r="AC21" i="6"/>
  <c r="AC41" i="6"/>
  <c r="AC43" i="6" s="1"/>
  <c r="AC4" i="6"/>
  <c r="AC35" i="6"/>
  <c r="AC37" i="6" s="1"/>
  <c r="AC14" i="6"/>
  <c r="AC38" i="6"/>
  <c r="AC40" i="6" s="1"/>
  <c r="AD44" i="6"/>
  <c r="AD46" i="6" s="1"/>
  <c r="AD34" i="6"/>
  <c r="AD38" i="6"/>
  <c r="AD40" i="6" s="1"/>
  <c r="AD14" i="6"/>
  <c r="AC44" i="6"/>
  <c r="AC46" i="6" s="1"/>
  <c r="AC34" i="6"/>
  <c r="AH3" i="11"/>
  <c r="AH18" i="11"/>
  <c r="B56" i="1"/>
  <c r="AF45" i="6" l="1"/>
  <c r="AF31" i="11"/>
  <c r="AH31" i="10"/>
  <c r="AB43" i="10"/>
  <c r="AB32" i="10"/>
  <c r="AE43" i="11"/>
  <c r="AE44" i="11" s="1"/>
  <c r="AE32" i="11"/>
  <c r="AC32" i="11"/>
  <c r="AC43" i="11"/>
  <c r="AE47" i="11"/>
  <c r="AE48" i="11" s="1"/>
  <c r="AE35" i="6"/>
  <c r="AE37" i="6" s="1"/>
  <c r="AE4" i="6"/>
  <c r="AE14" i="6"/>
  <c r="AE38" i="6"/>
  <c r="AE40" i="6" s="1"/>
  <c r="AF27" i="6"/>
  <c r="AF38" i="6"/>
  <c r="AE44" i="6"/>
  <c r="AE46" i="6" s="1"/>
  <c r="AE34" i="6"/>
  <c r="AE21" i="6"/>
  <c r="AE41" i="6"/>
  <c r="AE43" i="6" s="1"/>
  <c r="AH34" i="11"/>
  <c r="AH35" i="11" s="1"/>
  <c r="AH4" i="11"/>
  <c r="AI24" i="11"/>
  <c r="AI25" i="11" s="1"/>
  <c r="AH40" i="11"/>
  <c r="AH41" i="11" s="1"/>
  <c r="AH19" i="11"/>
  <c r="AC44" i="11" l="1"/>
  <c r="AB49" i="11"/>
  <c r="AG31" i="11"/>
  <c r="AB49" i="10"/>
  <c r="AB44" i="10"/>
  <c r="AH43" i="10"/>
  <c r="AH32" i="10"/>
  <c r="AF43" i="11"/>
  <c r="AF44" i="11" s="1"/>
  <c r="AF32" i="11"/>
  <c r="AF4" i="6"/>
  <c r="AF35" i="6"/>
  <c r="AF37" i="6" s="1"/>
  <c r="AF21" i="6"/>
  <c r="AF41" i="6"/>
  <c r="AF43" i="6" s="1"/>
  <c r="AF34" i="6"/>
  <c r="AF44" i="6"/>
  <c r="AF46" i="6" s="1"/>
  <c r="AJ20" i="6"/>
  <c r="AJ24" i="11"/>
  <c r="AJ25" i="11" s="1"/>
  <c r="AH31" i="11" l="1"/>
  <c r="AC49" i="10"/>
  <c r="AD49" i="10"/>
  <c r="AB50" i="10"/>
  <c r="AG43" i="11"/>
  <c r="AG44" i="11" s="1"/>
  <c r="AG32" i="11"/>
  <c r="BL49" i="10"/>
  <c r="AH49" i="10"/>
  <c r="AH44" i="10"/>
  <c r="AC49" i="11"/>
  <c r="AD49" i="11"/>
  <c r="AB50" i="11"/>
  <c r="AI3" i="11"/>
  <c r="AI18" i="11"/>
  <c r="AC46" i="1"/>
  <c r="W46" i="1"/>
  <c r="V46" i="1"/>
  <c r="N46" i="1"/>
  <c r="M46" i="1"/>
  <c r="F46" i="1"/>
  <c r="B29" i="1"/>
  <c r="C1" i="1"/>
  <c r="BN49" i="10" l="1"/>
  <c r="BM49" i="10"/>
  <c r="BL50" i="10"/>
  <c r="AC50" i="11"/>
  <c r="AD50" i="11"/>
  <c r="AI31" i="11"/>
  <c r="AJ33" i="6"/>
  <c r="AD50" i="10"/>
  <c r="AC50" i="10"/>
  <c r="AI49" i="10"/>
  <c r="AJ49" i="10"/>
  <c r="AH50" i="10"/>
  <c r="AH32" i="11"/>
  <c r="AH43" i="11"/>
  <c r="AH44" i="11" s="1"/>
  <c r="AJ2" i="6"/>
  <c r="AJ19" i="6"/>
  <c r="AJ32" i="6"/>
  <c r="AJ3" i="11"/>
  <c r="AI4" i="11"/>
  <c r="AI34" i="11"/>
  <c r="AI35" i="11" s="1"/>
  <c r="AJ18" i="11"/>
  <c r="AI40" i="11"/>
  <c r="AI41" i="11" s="1"/>
  <c r="AI19" i="11"/>
  <c r="D1" i="1"/>
  <c r="B30" i="1"/>
  <c r="B36" i="1"/>
  <c r="AI32" i="11" l="1"/>
  <c r="AI43" i="11"/>
  <c r="AI44" i="11" s="1"/>
  <c r="AJ31" i="11"/>
  <c r="BN50" i="10"/>
  <c r="BM50" i="10"/>
  <c r="AJ50" i="10"/>
  <c r="AI50" i="10"/>
  <c r="E26" i="1"/>
  <c r="E27" i="1"/>
  <c r="E55" i="1"/>
  <c r="E28" i="1"/>
  <c r="E6" i="1"/>
  <c r="E24" i="1"/>
  <c r="E17" i="1"/>
  <c r="E10" i="1"/>
  <c r="AJ25" i="6"/>
  <c r="AJ10" i="6"/>
  <c r="C56" i="1"/>
  <c r="C15" i="1"/>
  <c r="E16" i="1"/>
  <c r="E13" i="1"/>
  <c r="E9" i="1"/>
  <c r="E23" i="1"/>
  <c r="E53" i="1"/>
  <c r="E12" i="1"/>
  <c r="E5" i="1"/>
  <c r="E2" i="1"/>
  <c r="E19" i="1"/>
  <c r="E20" i="1"/>
  <c r="E14" i="1"/>
  <c r="E21" i="1"/>
  <c r="E7" i="1"/>
  <c r="E54" i="1"/>
  <c r="C22" i="1"/>
  <c r="C31" i="1"/>
  <c r="C34" i="1"/>
  <c r="C35" i="1"/>
  <c r="C8" i="1"/>
  <c r="C29" i="1"/>
  <c r="AJ34" i="11"/>
  <c r="AJ4" i="11"/>
  <c r="AJ19" i="11"/>
  <c r="AJ40" i="11"/>
  <c r="F1" i="1"/>
  <c r="C11" i="1"/>
  <c r="C25" i="1"/>
  <c r="C18" i="1"/>
  <c r="B32" i="1"/>
  <c r="AJ32" i="11" l="1"/>
  <c r="AJ43" i="11"/>
  <c r="C36" i="1"/>
  <c r="D22" i="1"/>
  <c r="D34" i="1"/>
  <c r="E34" i="1" s="1"/>
  <c r="D15" i="1"/>
  <c r="D56" i="1"/>
  <c r="D31" i="1"/>
  <c r="E31" i="1" s="1"/>
  <c r="D8" i="1"/>
  <c r="D35" i="1"/>
  <c r="E35" i="1" s="1"/>
  <c r="G1" i="1"/>
  <c r="D29" i="1"/>
  <c r="AJ46" i="11"/>
  <c r="BN46" i="11"/>
  <c r="AJ35" i="11"/>
  <c r="AJ48" i="11"/>
  <c r="AJ41" i="11"/>
  <c r="BN48" i="11"/>
  <c r="D11" i="1"/>
  <c r="D18" i="1"/>
  <c r="AJ49" i="11" l="1"/>
  <c r="AJ44" i="11"/>
  <c r="BN49" i="11"/>
  <c r="F15" i="1"/>
  <c r="F56" i="1"/>
  <c r="F22" i="1"/>
  <c r="F34" i="1"/>
  <c r="F8" i="1"/>
  <c r="F35" i="1"/>
  <c r="D36" i="1"/>
  <c r="H1" i="1"/>
  <c r="F29" i="1"/>
  <c r="F11" i="1"/>
  <c r="F31" i="1"/>
  <c r="F18" i="1"/>
  <c r="BO48" i="11"/>
  <c r="BP48" i="11"/>
  <c r="AK48" i="11"/>
  <c r="AL48" i="11"/>
  <c r="BP46" i="11"/>
  <c r="BO46" i="11"/>
  <c r="AK46" i="11"/>
  <c r="AL46" i="11"/>
  <c r="F33" i="1"/>
  <c r="F37" i="1"/>
  <c r="BO49" i="11" l="1"/>
  <c r="BP49" i="11"/>
  <c r="AK49" i="11"/>
  <c r="AL49" i="11"/>
  <c r="I1" i="1"/>
  <c r="G37" i="1"/>
  <c r="G18" i="1"/>
  <c r="G33" i="1"/>
  <c r="G15" i="1"/>
  <c r="G29" i="1"/>
  <c r="G8" i="1"/>
  <c r="G35" i="1"/>
  <c r="G11" i="1"/>
  <c r="G22" i="1"/>
  <c r="G31" i="1"/>
  <c r="F36" i="1"/>
  <c r="G56" i="1"/>
  <c r="G34" i="1"/>
  <c r="J1" i="1" l="1"/>
  <c r="H37" i="1"/>
  <c r="H31" i="1"/>
  <c r="H33" i="1"/>
  <c r="H15" i="1"/>
  <c r="H8" i="1"/>
  <c r="H35" i="1"/>
  <c r="G36" i="1"/>
  <c r="H22" i="1"/>
  <c r="H34" i="1"/>
  <c r="H29" i="1"/>
  <c r="H18" i="1"/>
  <c r="H56" i="1"/>
  <c r="H11" i="1"/>
  <c r="I18" i="1" l="1"/>
  <c r="I15" i="1"/>
  <c r="I37" i="1"/>
  <c r="I29" i="1"/>
  <c r="I25" i="1"/>
  <c r="I11" i="1"/>
  <c r="I56" i="1"/>
  <c r="I31" i="1"/>
  <c r="I4" i="1"/>
  <c r="I35" i="1"/>
  <c r="I8" i="1"/>
  <c r="I22" i="1"/>
  <c r="K1" i="1"/>
  <c r="I30" i="1"/>
  <c r="I33" i="1"/>
  <c r="I34" i="1"/>
  <c r="H36" i="1"/>
  <c r="J25" i="1" l="1"/>
  <c r="J22" i="1"/>
  <c r="J29" i="1"/>
  <c r="J33" i="1"/>
  <c r="L23" i="1"/>
  <c r="L13" i="1"/>
  <c r="L26" i="1"/>
  <c r="L12" i="1"/>
  <c r="L20" i="1"/>
  <c r="L6" i="1"/>
  <c r="L9" i="1"/>
  <c r="L16" i="1"/>
  <c r="K29" i="1"/>
  <c r="L19" i="1"/>
  <c r="L53" i="1"/>
  <c r="L54" i="1"/>
  <c r="J18" i="1"/>
  <c r="J56" i="1"/>
  <c r="I36" i="1"/>
  <c r="J15" i="1"/>
  <c r="J37" i="1"/>
  <c r="J30" i="1"/>
  <c r="J8" i="1"/>
  <c r="J35" i="1"/>
  <c r="M1" i="1"/>
  <c r="J4" i="1"/>
  <c r="J31" i="1"/>
  <c r="J34" i="1"/>
  <c r="J11" i="1"/>
  <c r="I32" i="1"/>
  <c r="K22" i="1" l="1"/>
  <c r="J32" i="1"/>
  <c r="K42" i="1"/>
  <c r="K40" i="1"/>
  <c r="K49" i="1"/>
  <c r="K41" i="1"/>
  <c r="J49" i="1"/>
  <c r="J50" i="1" s="1"/>
  <c r="J51" i="1" s="1"/>
  <c r="K15" i="1"/>
  <c r="L14" i="1"/>
  <c r="J36" i="1"/>
  <c r="K56" i="1"/>
  <c r="L55" i="1"/>
  <c r="K33" i="1"/>
  <c r="M29" i="1"/>
  <c r="L28" i="1"/>
  <c r="K35" i="1"/>
  <c r="K8" i="1"/>
  <c r="K30" i="1"/>
  <c r="L2" i="1"/>
  <c r="K34" i="1"/>
  <c r="L34" i="1" s="1"/>
  <c r="L27" i="1"/>
  <c r="N1" i="1"/>
  <c r="L21" i="1"/>
  <c r="K31" i="1"/>
  <c r="K4" i="1"/>
  <c r="K37" i="1"/>
  <c r="K25" i="1"/>
  <c r="L24" i="1"/>
  <c r="L5" i="1"/>
  <c r="K11" i="1"/>
  <c r="L10" i="1"/>
  <c r="K18" i="1"/>
  <c r="L17" i="1"/>
  <c r="L7" i="1"/>
  <c r="M25" i="1" l="1"/>
  <c r="M56" i="1"/>
  <c r="M35" i="1"/>
  <c r="M8" i="1"/>
  <c r="M22" i="1"/>
  <c r="K39" i="1"/>
  <c r="K45" i="1" s="1"/>
  <c r="K47" i="1" s="1"/>
  <c r="K50" i="1"/>
  <c r="K51" i="1" s="1"/>
  <c r="N25" i="1"/>
  <c r="M31" i="1"/>
  <c r="M37" i="1"/>
  <c r="M11" i="1"/>
  <c r="M15" i="1"/>
  <c r="K36" i="1"/>
  <c r="M34" i="1"/>
  <c r="M30" i="1"/>
  <c r="M4" i="1"/>
  <c r="O1" i="1"/>
  <c r="M33" i="1"/>
  <c r="L35" i="1"/>
  <c r="K32" i="1"/>
  <c r="L31" i="1"/>
  <c r="N15" i="1"/>
  <c r="P1" i="1"/>
  <c r="M36" i="1" l="1"/>
  <c r="K43" i="1"/>
  <c r="N37" i="1"/>
  <c r="N8" i="1"/>
  <c r="N33" i="1"/>
  <c r="N22" i="1"/>
  <c r="N18" i="1"/>
  <c r="N56" i="1"/>
  <c r="N29" i="1"/>
  <c r="N4" i="1"/>
  <c r="N31" i="1"/>
  <c r="N34" i="1"/>
  <c r="O8" i="1"/>
  <c r="O25" i="1"/>
  <c r="N30" i="1"/>
  <c r="M32" i="1"/>
  <c r="N11" i="1"/>
  <c r="N35" i="1"/>
  <c r="T65" i="1" s="1"/>
  <c r="O56" i="1"/>
  <c r="O22" i="1" l="1"/>
  <c r="O18" i="1"/>
  <c r="N36" i="1"/>
  <c r="N32" i="1"/>
  <c r="O30" i="1"/>
  <c r="O35" i="1"/>
  <c r="O37" i="1"/>
  <c r="O31" i="1"/>
  <c r="O33" i="1"/>
  <c r="O29" i="1"/>
  <c r="O11" i="1"/>
  <c r="O4" i="1"/>
  <c r="O34" i="1"/>
  <c r="P15" i="1"/>
  <c r="P25" i="1"/>
  <c r="P37" i="1"/>
  <c r="P29" i="1"/>
  <c r="P56" i="1"/>
  <c r="P18" i="1"/>
  <c r="P11" i="1"/>
  <c r="P35" i="1"/>
  <c r="P8" i="1"/>
  <c r="P22" i="1"/>
  <c r="P31" i="1"/>
  <c r="P4" i="1"/>
  <c r="P34" i="1"/>
  <c r="P33" i="1"/>
  <c r="P30" i="1"/>
  <c r="O32" i="1" l="1"/>
  <c r="O36" i="1"/>
  <c r="P36" i="1"/>
  <c r="P32" i="1"/>
  <c r="U53" i="1" l="1"/>
  <c r="T49" i="1" s="1"/>
  <c r="T50" i="1" s="1"/>
  <c r="T51" i="1" s="1"/>
  <c r="U55" i="1" l="1"/>
  <c r="U24" i="1"/>
  <c r="U10" i="1"/>
  <c r="U17" i="1"/>
  <c r="U3" i="1"/>
  <c r="U9" i="1"/>
  <c r="U21" i="1"/>
  <c r="U6" i="1"/>
  <c r="U28" i="1"/>
  <c r="U2" i="1"/>
  <c r="U23" i="1"/>
  <c r="U20" i="1"/>
  <c r="U26" i="1"/>
  <c r="T41" i="1" s="1"/>
  <c r="U16" i="1"/>
  <c r="U27" i="1"/>
  <c r="U14" i="1"/>
  <c r="U5" i="1"/>
  <c r="T39" i="1" s="1"/>
  <c r="U12" i="1"/>
  <c r="T40" i="1" s="1"/>
  <c r="U7" i="1"/>
  <c r="U13" i="1"/>
  <c r="U54" i="1"/>
  <c r="U19" i="1"/>
  <c r="T42" i="1" s="1"/>
  <c r="V1" i="1"/>
  <c r="T45" i="1" l="1"/>
  <c r="T47" i="1" s="1"/>
  <c r="T43" i="1"/>
  <c r="U34" i="1"/>
  <c r="U31" i="1"/>
  <c r="U35" i="1"/>
  <c r="W1" i="1"/>
  <c r="V25" i="1" l="1"/>
  <c r="V34" i="1"/>
  <c r="V33" i="1"/>
  <c r="V31" i="1"/>
  <c r="V11" i="1"/>
  <c r="V4" i="1"/>
  <c r="V30" i="1"/>
  <c r="X1" i="1"/>
  <c r="V37" i="1"/>
  <c r="V18" i="1"/>
  <c r="W18" i="1" l="1"/>
  <c r="W11" i="1"/>
  <c r="W34" i="1"/>
  <c r="V32" i="1"/>
  <c r="W25" i="1"/>
  <c r="W33" i="1"/>
  <c r="W4" i="1"/>
  <c r="W30" i="1"/>
  <c r="W37" i="1"/>
  <c r="W31" i="1"/>
  <c r="Y1" i="1"/>
  <c r="X18" i="1" l="1"/>
  <c r="W32" i="1"/>
  <c r="X34" i="1"/>
  <c r="X31" i="1"/>
  <c r="X33" i="1"/>
  <c r="X37" i="1"/>
  <c r="Z1" i="1"/>
  <c r="X11" i="1"/>
  <c r="Y11" i="1" l="1"/>
  <c r="Y33" i="1"/>
  <c r="AA1" i="1"/>
  <c r="Y34" i="1"/>
  <c r="Y37" i="1"/>
  <c r="Y31" i="1"/>
  <c r="Y18" i="1"/>
  <c r="AB3" i="1" l="1"/>
  <c r="AB24" i="1"/>
  <c r="AB10" i="1"/>
  <c r="AB17" i="1"/>
  <c r="Z11" i="1"/>
  <c r="AB2" i="1"/>
  <c r="AB9" i="1"/>
  <c r="AB23" i="1"/>
  <c r="AB6" i="1"/>
  <c r="AB16" i="1"/>
  <c r="AB5" i="1"/>
  <c r="AC1" i="1"/>
  <c r="Z18" i="1"/>
  <c r="Z31" i="1"/>
  <c r="Z37" i="1"/>
  <c r="Z34" i="1"/>
  <c r="Z33" i="1"/>
  <c r="AB19" i="1" l="1"/>
  <c r="AB26" i="1"/>
  <c r="AB53" i="1"/>
  <c r="AB12" i="1"/>
  <c r="AA18" i="1"/>
  <c r="AA11" i="1"/>
  <c r="AA33" i="1"/>
  <c r="AA37" i="1"/>
  <c r="AD1" i="1"/>
  <c r="AA31" i="1"/>
  <c r="AB31" i="1" s="1"/>
  <c r="B33" i="1"/>
  <c r="B37" i="1"/>
  <c r="AB13" i="1" l="1"/>
  <c r="AB27" i="1"/>
  <c r="AA34" i="1"/>
  <c r="AB34" i="1" s="1"/>
  <c r="AB54" i="1"/>
  <c r="AB20" i="1"/>
  <c r="AC18" i="1"/>
  <c r="AC33" i="1"/>
  <c r="AC34" i="1"/>
  <c r="AE1" i="1"/>
  <c r="AC31" i="1"/>
  <c r="AC11" i="1"/>
  <c r="AC37" i="1"/>
  <c r="C37" i="1"/>
  <c r="C33" i="1"/>
  <c r="AD18" i="1" l="1"/>
  <c r="AD11" i="1"/>
  <c r="AD37" i="1"/>
  <c r="AD34" i="1"/>
  <c r="AD33" i="1"/>
  <c r="AD31" i="1"/>
  <c r="D37" i="1"/>
  <c r="D33" i="1"/>
  <c r="E33" i="1" s="1"/>
  <c r="L33" i="1" s="1"/>
  <c r="U33" i="1" s="1"/>
  <c r="AB33" i="1" s="1"/>
  <c r="AE31" i="1" l="1"/>
  <c r="AE34" i="1"/>
  <c r="AE33" i="1"/>
  <c r="AE18" i="1"/>
  <c r="AE37" i="1"/>
  <c r="AE11" i="1"/>
  <c r="Y8" i="8" l="1"/>
  <c r="AJ17" i="1" l="1"/>
  <c r="AJ3" i="1"/>
  <c r="AJ24" i="1"/>
  <c r="AJ10" i="1"/>
  <c r="AJ23" i="1"/>
  <c r="AJ2" i="1"/>
  <c r="AJ16" i="1"/>
  <c r="AJ9" i="1"/>
  <c r="AJ19" i="1" l="1"/>
  <c r="AI42" i="1" s="1"/>
  <c r="AJ5" i="1"/>
  <c r="AI39" i="1" s="1"/>
  <c r="AJ26" i="1"/>
  <c r="AI41" i="1" s="1"/>
  <c r="AJ12" i="1"/>
  <c r="AI40" i="1" s="1"/>
  <c r="AJ33" i="1"/>
  <c r="AI43" i="1" l="1"/>
  <c r="AI45" i="1"/>
  <c r="AI47" i="1" s="1"/>
  <c r="AJ13" i="1"/>
  <c r="AJ27" i="1"/>
  <c r="AJ6" i="1"/>
  <c r="AJ34" i="1"/>
  <c r="AJ20" i="1"/>
  <c r="AJ31" i="1"/>
  <c r="I9" i="15"/>
  <c r="I19" i="15" l="1"/>
  <c r="I22" i="15"/>
  <c r="I21" i="15" l="1"/>
  <c r="I16" i="15" l="1"/>
  <c r="I23" i="15" s="1"/>
  <c r="I20" i="15" l="1"/>
  <c r="AD4" i="1" l="1"/>
  <c r="D4" i="1"/>
  <c r="AC4" i="1"/>
  <c r="C30" i="1"/>
  <c r="C4" i="1"/>
  <c r="Y4" i="1"/>
  <c r="AE4" i="1"/>
  <c r="X4" i="1"/>
  <c r="AA4" i="1"/>
  <c r="Z4" i="1"/>
  <c r="H4" i="1"/>
  <c r="G4" i="1"/>
  <c r="F4" i="1"/>
  <c r="C32" i="1" l="1"/>
  <c r="D25" i="1" l="1"/>
  <c r="D30" i="1"/>
  <c r="E30" i="1" s="1"/>
  <c r="D32" i="1" l="1"/>
  <c r="F25" i="1" l="1"/>
  <c r="F30" i="1"/>
  <c r="F32" i="1" l="1"/>
  <c r="G25" i="1" l="1"/>
  <c r="G30" i="1"/>
  <c r="G32" i="1" l="1"/>
  <c r="H25" i="1" l="1"/>
  <c r="H30" i="1"/>
  <c r="H32" i="1" s="1"/>
  <c r="L30" i="1" l="1"/>
  <c r="U30" i="1" l="1"/>
  <c r="X25" i="1" l="1"/>
  <c r="X30" i="1"/>
  <c r="X32" i="1" l="1"/>
  <c r="Y25" i="1"/>
  <c r="Y30" i="1"/>
  <c r="Y32" i="1" s="1"/>
  <c r="Z25" i="1" l="1"/>
  <c r="Z30" i="1"/>
  <c r="Z32" i="1" s="1"/>
  <c r="AA25" i="1" l="1"/>
  <c r="AA30" i="1"/>
  <c r="AB30" i="1" s="1"/>
  <c r="AC25" i="1" l="1"/>
  <c r="AC30" i="1"/>
  <c r="AC32" i="1" s="1"/>
  <c r="AA32" i="1"/>
  <c r="AD25" i="1" l="1"/>
  <c r="AD30" i="1"/>
  <c r="AE25" i="1" l="1"/>
  <c r="AE30" i="1"/>
  <c r="AE32" i="1" s="1"/>
  <c r="AD32" i="1"/>
  <c r="AJ30" i="1" l="1"/>
  <c r="U44" i="6"/>
  <c r="T51" i="6" l="1"/>
  <c r="C75" i="3" l="1"/>
  <c r="E75" i="3" s="1"/>
  <c r="C76" i="3"/>
  <c r="E76" i="3" s="1"/>
  <c r="C73" i="3"/>
  <c r="E73" i="3" s="1"/>
  <c r="C74" i="3"/>
  <c r="E74" i="3" s="1"/>
  <c r="E77" i="3" l="1"/>
  <c r="C77" i="3"/>
  <c r="D77" i="3" s="1"/>
  <c r="AF11" i="6"/>
  <c r="AF39" i="6" l="1"/>
  <c r="AF40" i="6" s="1"/>
  <c r="AF11" i="11"/>
  <c r="AF14" i="6"/>
  <c r="AF12" i="11" l="1"/>
  <c r="AF37" i="11"/>
  <c r="AF38" i="11" s="1"/>
  <c r="AJ11" i="6" l="1"/>
  <c r="AI11" i="11"/>
  <c r="AI37" i="11" s="1"/>
  <c r="AI38" i="11" s="1"/>
  <c r="AH11" i="11"/>
  <c r="AH12" i="11" s="1"/>
  <c r="AG11" i="11"/>
  <c r="AG37" i="11" s="1"/>
  <c r="AG38" i="11" s="1"/>
  <c r="AH37" i="11" l="1"/>
  <c r="AH38" i="11" s="1"/>
  <c r="AI12" i="11"/>
  <c r="AJ11" i="11"/>
  <c r="AJ37" i="11" s="1"/>
  <c r="AG12" i="11"/>
  <c r="AJ12" i="11" l="1"/>
  <c r="BN47" i="11"/>
  <c r="AJ47" i="11"/>
  <c r="AJ38" i="11"/>
  <c r="AK47" i="11" l="1"/>
  <c r="AJ50" i="11"/>
  <c r="AL47" i="11"/>
  <c r="BP47" i="11"/>
  <c r="BN50" i="11"/>
  <c r="BO47" i="11"/>
  <c r="BO50" i="11" l="1"/>
  <c r="BP50" i="11"/>
  <c r="AK50" i="11"/>
  <c r="AL50" i="11"/>
  <c r="E4" i="1" l="1"/>
  <c r="D39" i="1"/>
  <c r="E39" i="1"/>
  <c r="E8" i="1"/>
  <c r="F39" i="1" l="1"/>
  <c r="G39" i="1"/>
  <c r="E11" i="1"/>
  <c r="D40" i="1"/>
  <c r="E15" i="1"/>
  <c r="E40" i="1"/>
  <c r="E18" i="1"/>
  <c r="D42" i="1"/>
  <c r="E22" i="1"/>
  <c r="E42" i="1"/>
  <c r="E25" i="1"/>
  <c r="D41" i="1"/>
  <c r="E37" i="1"/>
  <c r="E29" i="1"/>
  <c r="E41" i="1"/>
  <c r="F42" i="1" l="1"/>
  <c r="D45" i="1"/>
  <c r="D47" i="1" s="1"/>
  <c r="F40" i="1"/>
  <c r="G42" i="1"/>
  <c r="D43" i="1"/>
  <c r="E45" i="1"/>
  <c r="G41" i="1"/>
  <c r="G40" i="1"/>
  <c r="F41" i="1"/>
  <c r="E43" i="1"/>
  <c r="E32" i="1"/>
  <c r="F45" i="1" l="1"/>
  <c r="E47" i="1"/>
  <c r="G47" i="1" s="1"/>
  <c r="F43" i="1"/>
  <c r="G45" i="1"/>
  <c r="G43" i="1"/>
  <c r="E36" i="1"/>
  <c r="L4" i="1"/>
  <c r="L8" i="1"/>
  <c r="L39" i="1"/>
  <c r="F47" i="1" l="1"/>
  <c r="N39" i="1"/>
  <c r="M39" i="1"/>
  <c r="L11" i="1"/>
  <c r="L15" i="1"/>
  <c r="L40" i="1"/>
  <c r="M40" i="1" s="1"/>
  <c r="N40" i="1" l="1"/>
  <c r="L18" i="1"/>
  <c r="L22" i="1"/>
  <c r="L42" i="1"/>
  <c r="N42" i="1" l="1"/>
  <c r="M42" i="1"/>
  <c r="L25" i="1"/>
  <c r="L37" i="1"/>
  <c r="T67" i="1" s="1"/>
  <c r="T70" i="1" s="1"/>
  <c r="L29" i="1"/>
  <c r="L41" i="1"/>
  <c r="M41" i="1" l="1"/>
  <c r="L43" i="1"/>
  <c r="M43" i="1" s="1"/>
  <c r="L45" i="1"/>
  <c r="L47" i="1" s="1"/>
  <c r="M47" i="1" s="1"/>
  <c r="N41" i="1"/>
  <c r="L32" i="1"/>
  <c r="L36" i="1"/>
  <c r="T66" i="1" s="1"/>
  <c r="U4" i="1"/>
  <c r="U8" i="1"/>
  <c r="U39" i="1"/>
  <c r="W39" i="1" l="1"/>
  <c r="M45" i="1"/>
  <c r="N47" i="1"/>
  <c r="N45" i="1"/>
  <c r="N43" i="1"/>
  <c r="V39" i="1"/>
  <c r="U11" i="1"/>
  <c r="U15" i="1"/>
  <c r="U40" i="1"/>
  <c r="AD8" i="1" l="1"/>
  <c r="W15" i="1"/>
  <c r="X15" i="1"/>
  <c r="Y15" i="1"/>
  <c r="AA15" i="1"/>
  <c r="AC15" i="1"/>
  <c r="AD15" i="1"/>
  <c r="AE15" i="1"/>
  <c r="X8" i="1"/>
  <c r="W8" i="1"/>
  <c r="V8" i="1"/>
  <c r="AB7" i="1"/>
  <c r="AJ7" i="1" s="1"/>
  <c r="AE8" i="1"/>
  <c r="AC8" i="1"/>
  <c r="W40" i="1"/>
  <c r="V40" i="1"/>
  <c r="U18" i="1"/>
  <c r="U42" i="1"/>
  <c r="U22" i="1"/>
  <c r="W22" i="1" l="1"/>
  <c r="X22" i="1"/>
  <c r="Y22" i="1"/>
  <c r="AD22" i="1"/>
  <c r="V15" i="1"/>
  <c r="AB14" i="1"/>
  <c r="AJ14" i="1" s="1"/>
  <c r="V42" i="1"/>
  <c r="W42" i="1"/>
  <c r="U25" i="1"/>
  <c r="U37" i="1"/>
  <c r="AA22" i="1" l="1"/>
  <c r="Z22" i="1"/>
  <c r="V22" i="1"/>
  <c r="AB21" i="1"/>
  <c r="AJ21" i="1" s="1"/>
  <c r="AE22" i="1"/>
  <c r="AC22" i="1"/>
  <c r="U29" i="1"/>
  <c r="U41" i="1"/>
  <c r="U43" i="1" s="1"/>
  <c r="AA29" i="1" l="1"/>
  <c r="Z29" i="1"/>
  <c r="U45" i="1"/>
  <c r="V45" i="1" s="1"/>
  <c r="W41" i="1"/>
  <c r="V41" i="1"/>
  <c r="W43" i="1"/>
  <c r="V43" i="1"/>
  <c r="AD29" i="1" l="1"/>
  <c r="AD35" i="1"/>
  <c r="AD36" i="1" s="1"/>
  <c r="AA35" i="1"/>
  <c r="AC29" i="1"/>
  <c r="AC35" i="1"/>
  <c r="AC36" i="1" s="1"/>
  <c r="Z35" i="1"/>
  <c r="Z36" i="1" s="1"/>
  <c r="Y29" i="1"/>
  <c r="Y35" i="1"/>
  <c r="Y36" i="1" s="1"/>
  <c r="X29" i="1"/>
  <c r="X35" i="1"/>
  <c r="X36" i="1" s="1"/>
  <c r="W29" i="1"/>
  <c r="W35" i="1"/>
  <c r="W36" i="1" s="1"/>
  <c r="AE29" i="1"/>
  <c r="AE35" i="1"/>
  <c r="AE36" i="1" s="1"/>
  <c r="V29" i="1"/>
  <c r="AB28" i="1"/>
  <c r="AJ28" i="1" s="1"/>
  <c r="V35" i="1"/>
  <c r="V36" i="1" s="1"/>
  <c r="W45" i="1"/>
  <c r="U47" i="1"/>
  <c r="W47" i="1" s="1"/>
  <c r="U32" i="1"/>
  <c r="U36" i="1"/>
  <c r="AJ4" i="1"/>
  <c r="AB4" i="1"/>
  <c r="AA39" i="1"/>
  <c r="K6" i="8"/>
  <c r="AB35" i="1" l="1"/>
  <c r="AJ35" i="1" s="1"/>
  <c r="AA36" i="1"/>
  <c r="V47" i="1"/>
  <c r="C6" i="8"/>
  <c r="AK6" i="1"/>
  <c r="D6" i="8" l="1"/>
  <c r="F6" i="8" l="1"/>
  <c r="E6" i="8"/>
  <c r="AB8" i="1"/>
  <c r="AB39" i="1"/>
  <c r="AD39" i="1" s="1"/>
  <c r="AJ39" i="1"/>
  <c r="L6" i="8"/>
  <c r="AC39" i="1" l="1"/>
  <c r="N6" i="8"/>
  <c r="M6" i="8"/>
  <c r="AL39" i="1"/>
  <c r="AK39" i="1"/>
  <c r="AJ8" i="1"/>
  <c r="T6" i="8" s="1"/>
  <c r="U6" i="8" s="1"/>
  <c r="AJ11" i="1"/>
  <c r="AB11" i="1"/>
  <c r="K7" i="8"/>
  <c r="C7" i="8"/>
  <c r="AA40" i="1"/>
  <c r="AK13" i="1"/>
  <c r="D7" i="8"/>
  <c r="E7" i="8" l="1"/>
  <c r="F7" i="8"/>
  <c r="AJ15" i="1"/>
  <c r="AB15" i="1"/>
  <c r="AB40" i="1"/>
  <c r="AC40" i="1" s="1"/>
  <c r="L7" i="8"/>
  <c r="M7" i="8" s="1"/>
  <c r="T7" i="8" l="1"/>
  <c r="U7" i="8" s="1"/>
  <c r="N7" i="8"/>
  <c r="AD40" i="1"/>
  <c r="AJ40" i="1"/>
  <c r="AK40" i="1" l="1"/>
  <c r="AL40" i="1"/>
  <c r="AJ18" i="1"/>
  <c r="AB18" i="1"/>
  <c r="K9" i="8"/>
  <c r="AA42" i="1"/>
  <c r="C9" i="8" l="1"/>
  <c r="D9" i="8"/>
  <c r="AK20" i="1"/>
  <c r="F9" i="8" l="1"/>
  <c r="E9" i="8"/>
  <c r="AB42" i="1"/>
  <c r="AD42" i="1" s="1"/>
  <c r="AB22" i="1"/>
  <c r="AJ22" i="1"/>
  <c r="T9" i="8" s="1"/>
  <c r="U9" i="8" s="1"/>
  <c r="L9" i="8"/>
  <c r="AJ42" i="1"/>
  <c r="AK42" i="1" s="1"/>
  <c r="AC42" i="1" l="1"/>
  <c r="AL42" i="1"/>
  <c r="N9" i="8"/>
  <c r="M9" i="8"/>
  <c r="AJ25" i="1"/>
  <c r="AB25" i="1"/>
  <c r="AB37" i="1"/>
  <c r="C8" i="8"/>
  <c r="C14" i="8" s="1"/>
  <c r="AK33" i="1"/>
  <c r="AA41" i="1"/>
  <c r="AA43" i="1" s="1"/>
  <c r="C11" i="8" l="1"/>
  <c r="AJ37" i="1"/>
  <c r="K8" i="8"/>
  <c r="AA45" i="1"/>
  <c r="AA47" i="1" s="1"/>
  <c r="K14" i="8" l="1"/>
  <c r="K11" i="8"/>
  <c r="S11" i="8" s="1"/>
  <c r="AK27" i="1"/>
  <c r="D8" i="8"/>
  <c r="D11" i="8" l="1"/>
  <c r="F8" i="8"/>
  <c r="E8" i="8"/>
  <c r="D14" i="8"/>
  <c r="AK34" i="1"/>
  <c r="F14" i="8" l="1"/>
  <c r="E14" i="8"/>
  <c r="F11" i="8"/>
  <c r="E11" i="8"/>
  <c r="AJ29" i="1"/>
  <c r="L8" i="8"/>
  <c r="L11" i="8" s="1"/>
  <c r="N11" i="8" s="1"/>
  <c r="AB29" i="1"/>
  <c r="AJ41" i="1"/>
  <c r="AJ45" i="1" s="1"/>
  <c r="AK35" i="1"/>
  <c r="AB41" i="1"/>
  <c r="AC41" i="1" s="1"/>
  <c r="T8" i="8" l="1"/>
  <c r="U8" i="8" s="1"/>
  <c r="AB45" i="1"/>
  <c r="AD45" i="1" s="1"/>
  <c r="AD41" i="1"/>
  <c r="AB43" i="1"/>
  <c r="AJ43" i="1"/>
  <c r="AL43" i="1" s="1"/>
  <c r="AK41" i="1"/>
  <c r="N8" i="8"/>
  <c r="L14" i="8"/>
  <c r="M14" i="8" s="1"/>
  <c r="T11" i="8"/>
  <c r="U11" i="8" s="1"/>
  <c r="M11" i="8"/>
  <c r="AL45" i="1"/>
  <c r="AK45" i="1"/>
  <c r="AJ47" i="1"/>
  <c r="AL41" i="1"/>
  <c r="M8" i="8"/>
  <c r="AC45" i="1" l="1"/>
  <c r="AB47" i="1"/>
  <c r="AD47" i="1" s="1"/>
  <c r="AK43" i="1"/>
  <c r="AC43" i="1"/>
  <c r="AD43" i="1"/>
  <c r="N14" i="8"/>
  <c r="AK47" i="1"/>
  <c r="AL47" i="1"/>
  <c r="AB32" i="1"/>
  <c r="AJ32" i="1"/>
  <c r="AK30" i="1"/>
  <c r="A44" i="1"/>
  <c r="AK31" i="1"/>
  <c r="AB36" i="1"/>
  <c r="AJ36" i="1"/>
  <c r="AC47" i="1" l="1"/>
  <c r="AK32" i="1"/>
  <c r="D49" i="1"/>
  <c r="D50" i="1" s="1"/>
  <c r="D51" i="1" s="1"/>
  <c r="E49" i="1"/>
  <c r="E50" i="1"/>
  <c r="E56" i="1"/>
  <c r="U49" i="1"/>
  <c r="F49" i="1" l="1"/>
  <c r="F50" i="1"/>
  <c r="G49" i="1"/>
  <c r="M49" i="1"/>
  <c r="V49" i="1"/>
  <c r="W49" i="1"/>
  <c r="E51" i="1"/>
  <c r="F51" i="1" s="1"/>
  <c r="L49" i="1"/>
  <c r="G50" i="1"/>
  <c r="AA49" i="1" l="1"/>
  <c r="AA50" i="1" s="1"/>
  <c r="AA51" i="1" s="1"/>
  <c r="AJ53" i="1"/>
  <c r="AI49" i="1" s="1"/>
  <c r="AI50" i="1" s="1"/>
  <c r="G51" i="1"/>
  <c r="AB49" i="1"/>
  <c r="AJ54" i="1"/>
  <c r="L56" i="1"/>
  <c r="L50" i="1"/>
  <c r="U56" i="1"/>
  <c r="AD56" i="1" l="1"/>
  <c r="AE56" i="1"/>
  <c r="W56" i="1"/>
  <c r="X56" i="1"/>
  <c r="Y56" i="1"/>
  <c r="Z56" i="1"/>
  <c r="AC56" i="1"/>
  <c r="AA56" i="1"/>
  <c r="Y6" i="8"/>
  <c r="Y7" i="8" s="1"/>
  <c r="AJ49" i="1"/>
  <c r="Z6" i="8"/>
  <c r="AC6" i="8" s="1"/>
  <c r="M50" i="1"/>
  <c r="AD49" i="1"/>
  <c r="AC49" i="1"/>
  <c r="M51" i="1"/>
  <c r="U50" i="1"/>
  <c r="W50" i="1" s="1"/>
  <c r="AK49" i="1" l="1"/>
  <c r="AL49" i="1"/>
  <c r="V56" i="1"/>
  <c r="AB55" i="1"/>
  <c r="AB56" i="1" s="1"/>
  <c r="AB6" i="8"/>
  <c r="AA6" i="8"/>
  <c r="V50" i="1"/>
  <c r="L51" i="1"/>
  <c r="U51" i="1"/>
  <c r="W51" i="1" s="1"/>
  <c r="AJ55" i="1" l="1"/>
  <c r="AJ56" i="1" s="1"/>
  <c r="AB50" i="1"/>
  <c r="AC50" i="1" s="1"/>
  <c r="V51" i="1"/>
  <c r="AB51" i="1"/>
  <c r="Z7" i="8"/>
  <c r="AD50" i="1" l="1"/>
  <c r="AJ50" i="1"/>
  <c r="AJ51" i="1" s="1"/>
  <c r="AL51" i="1" s="1"/>
  <c r="Z8" i="8"/>
  <c r="AA7" i="8"/>
  <c r="AB7" i="8"/>
  <c r="AD51" i="1"/>
  <c r="AC51" i="1"/>
  <c r="AK51" i="1" l="1"/>
  <c r="AA8" i="8"/>
  <c r="AB8" i="8"/>
  <c r="E35" i="6"/>
  <c r="D48" i="6" s="1"/>
  <c r="E4" i="6"/>
  <c r="E36" i="6"/>
  <c r="E48" i="6" s="1"/>
  <c r="F48" i="6" l="1"/>
  <c r="E37" i="6"/>
  <c r="G48" i="6"/>
  <c r="E38" i="6"/>
  <c r="D49" i="6" s="1"/>
  <c r="E14" i="6"/>
  <c r="E39" i="6"/>
  <c r="E49" i="6" s="1"/>
  <c r="G49" i="6" l="1"/>
  <c r="F49" i="6"/>
  <c r="E40" i="6"/>
  <c r="E21" i="6"/>
  <c r="E41" i="6"/>
  <c r="D50" i="6" s="1"/>
  <c r="E42" i="6"/>
  <c r="E50" i="6" s="1"/>
  <c r="E27" i="6"/>
  <c r="E43" i="6" l="1"/>
  <c r="F50" i="6"/>
  <c r="G50" i="6"/>
  <c r="E44" i="6"/>
  <c r="D51" i="6" s="1"/>
  <c r="D52" i="6" s="1"/>
  <c r="E34" i="6"/>
  <c r="E45" i="6"/>
  <c r="E51" i="6" s="1"/>
  <c r="F51" i="6" l="1"/>
  <c r="E46" i="6"/>
  <c r="G51" i="6"/>
  <c r="E52" i="6"/>
  <c r="F52" i="6" l="1"/>
  <c r="G52" i="6"/>
  <c r="L35" i="6"/>
  <c r="M48" i="6" s="1"/>
  <c r="L36" i="6"/>
  <c r="N48" i="6" s="1"/>
  <c r="L4" i="6"/>
  <c r="P48" i="6" l="1"/>
  <c r="L37" i="6"/>
  <c r="O48" i="6"/>
  <c r="L38" i="6"/>
  <c r="M49" i="6" s="1"/>
  <c r="L14" i="6"/>
  <c r="L39" i="6"/>
  <c r="L40" i="6" l="1"/>
  <c r="N49" i="6"/>
  <c r="P49" i="6" s="1"/>
  <c r="O49" i="6"/>
  <c r="L21" i="6"/>
  <c r="L41" i="6"/>
  <c r="M50" i="6" s="1"/>
  <c r="L27" i="6"/>
  <c r="L42" i="6"/>
  <c r="L43" i="6" l="1"/>
  <c r="N50" i="6"/>
  <c r="P50" i="6" s="1"/>
  <c r="L44" i="6"/>
  <c r="M51" i="6" s="1"/>
  <c r="M52" i="6" s="1"/>
  <c r="L34" i="6"/>
  <c r="L45" i="6"/>
  <c r="N51" i="6" s="1"/>
  <c r="O50" i="6" l="1"/>
  <c r="P51" i="6"/>
  <c r="O51" i="6"/>
  <c r="N52" i="6"/>
  <c r="L46" i="6"/>
  <c r="O52" i="6" l="1"/>
  <c r="P52" i="6"/>
  <c r="U35" i="6"/>
  <c r="T48" i="6" s="1"/>
  <c r="U4" i="6"/>
  <c r="U36" i="6"/>
  <c r="U48" i="6" s="1"/>
  <c r="V48" i="6" l="1"/>
  <c r="U37" i="6"/>
  <c r="W48" i="6"/>
  <c r="U38" i="6"/>
  <c r="T49" i="6" s="1"/>
  <c r="U14" i="6"/>
  <c r="U39" i="6"/>
  <c r="U49" i="6" s="1"/>
  <c r="U40" i="6" l="1"/>
  <c r="V49" i="6"/>
  <c r="W49" i="6"/>
  <c r="U21" i="6"/>
  <c r="U41" i="6"/>
  <c r="T50" i="6" s="1"/>
  <c r="U27" i="6"/>
  <c r="U42" i="6"/>
  <c r="U50" i="6" s="1"/>
  <c r="U34" i="6"/>
  <c r="U45" i="6"/>
  <c r="U51" i="6" s="1"/>
  <c r="U43" i="6" l="1"/>
  <c r="T52" i="6"/>
  <c r="V50" i="6"/>
  <c r="W50" i="6"/>
  <c r="V51" i="6"/>
  <c r="W51" i="6"/>
  <c r="U52" i="6"/>
  <c r="U46" i="6"/>
  <c r="V52" i="6" l="1"/>
  <c r="W52" i="6"/>
  <c r="AB35" i="6"/>
  <c r="AB48" i="6" s="1"/>
  <c r="AJ35" i="6"/>
  <c r="AH48" i="6" s="1"/>
  <c r="C6" i="7" l="1"/>
  <c r="AO48" i="6"/>
  <c r="AB4" i="6"/>
  <c r="AJ4" i="6"/>
  <c r="AJ36" i="6"/>
  <c r="AI48" i="6" s="1"/>
  <c r="E6" i="7"/>
  <c r="AB36" i="6"/>
  <c r="AB37" i="6" s="1"/>
  <c r="F6" i="7" l="1"/>
  <c r="J6" i="7"/>
  <c r="H6" i="7"/>
  <c r="I6" i="7" s="1"/>
  <c r="AJ48" i="6"/>
  <c r="AK48" i="6"/>
  <c r="AP48" i="6"/>
  <c r="AJ37" i="6"/>
  <c r="AC48" i="6"/>
  <c r="K6" i="7" l="1"/>
  <c r="AQ48" i="6"/>
  <c r="AR48" i="6"/>
  <c r="AD48" i="6"/>
  <c r="AE48" i="6"/>
  <c r="AJ38" i="6"/>
  <c r="AH49" i="6" s="1"/>
  <c r="AB38" i="6"/>
  <c r="AB49" i="6" s="1"/>
  <c r="C7" i="7" l="1"/>
  <c r="AO49" i="6"/>
  <c r="AB14" i="6"/>
  <c r="AB39" i="6"/>
  <c r="AB40" i="6" s="1"/>
  <c r="AC49" i="6" l="1"/>
  <c r="AE49" i="6" s="1"/>
  <c r="AJ39" i="6"/>
  <c r="AI49" i="6" s="1"/>
  <c r="AJ14" i="6"/>
  <c r="AD49" i="6" l="1"/>
  <c r="AJ40" i="6"/>
  <c r="E7" i="7"/>
  <c r="AP49" i="6"/>
  <c r="AJ49" i="6" l="1"/>
  <c r="AK49" i="6"/>
  <c r="H7" i="7"/>
  <c r="F7" i="7"/>
  <c r="J7" i="7"/>
  <c r="AR49" i="6"/>
  <c r="AQ49" i="6"/>
  <c r="K7" i="7" l="1"/>
  <c r="I7" i="7"/>
  <c r="AJ21" i="6"/>
  <c r="AB21" i="6"/>
  <c r="AB41" i="6"/>
  <c r="AB50" i="6" s="1"/>
  <c r="AJ41" i="6"/>
  <c r="AO50" i="6" l="1"/>
  <c r="AH50" i="6"/>
  <c r="C8" i="7"/>
  <c r="AB27" i="6"/>
  <c r="AB42" i="6"/>
  <c r="AB43" i="6" s="1"/>
  <c r="AJ27" i="6"/>
  <c r="AJ42" i="6"/>
  <c r="AJ43" i="6" l="1"/>
  <c r="AI50" i="6"/>
  <c r="E8" i="7"/>
  <c r="F8" i="7" s="1"/>
  <c r="AP50" i="6"/>
  <c r="AC50" i="6"/>
  <c r="H8" i="7" l="1"/>
  <c r="I8" i="7" s="1"/>
  <c r="J8" i="7"/>
  <c r="AE50" i="6"/>
  <c r="AD50" i="6"/>
  <c r="AQ50" i="6"/>
  <c r="AR50" i="6"/>
  <c r="AK50" i="6"/>
  <c r="AJ50" i="6"/>
  <c r="AB44" i="6"/>
  <c r="AB51" i="6" s="1"/>
  <c r="AB52" i="6" s="1"/>
  <c r="AJ44" i="6"/>
  <c r="AH51" i="6" s="1"/>
  <c r="AH52" i="6" s="1"/>
  <c r="K8" i="7" l="1"/>
  <c r="AO51" i="6"/>
  <c r="AO52" i="6" s="1"/>
  <c r="C9" i="7"/>
  <c r="C11" i="7" s="1"/>
  <c r="AJ34" i="6"/>
  <c r="AB45" i="6"/>
  <c r="AC51" i="6" s="1"/>
  <c r="AB34" i="6"/>
  <c r="AJ45" i="6"/>
  <c r="AP51" i="6" l="1"/>
  <c r="AI51" i="6"/>
  <c r="AI52" i="6" s="1"/>
  <c r="E9" i="7"/>
  <c r="H9" i="7" s="1"/>
  <c r="AD51" i="6"/>
  <c r="AC52" i="6"/>
  <c r="AB46" i="6"/>
  <c r="AJ46" i="6"/>
  <c r="AK51" i="6"/>
  <c r="AE51" i="6"/>
  <c r="AP52" i="6"/>
  <c r="AQ51" i="6"/>
  <c r="AR51" i="6"/>
  <c r="J9" i="7" l="1"/>
  <c r="F9" i="7"/>
  <c r="F11" i="7" s="1"/>
  <c r="E11" i="7"/>
  <c r="J11" i="7" s="1"/>
  <c r="AJ51" i="6"/>
  <c r="AK52" i="6"/>
  <c r="AE52" i="6"/>
  <c r="AD52" i="6"/>
  <c r="AQ52" i="6"/>
  <c r="AR52" i="6"/>
  <c r="H11" i="7"/>
  <c r="K9" i="7"/>
  <c r="I9" i="7"/>
  <c r="AJ52" i="6" l="1"/>
  <c r="K11" i="7"/>
  <c r="I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tc={96FA9E45-32C7-B648-B2B1-97BEC5AD3691}</author>
  </authors>
  <commentList>
    <comment ref="AH10" authorId="0" shapeId="0" xr:uid="{96FA9E45-32C7-B648-B2B1-97BEC5AD3691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836 RBD PALMISTE
140 RBD PALMA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Pabon</author>
  </authors>
  <commentList>
    <comment ref="C83" authorId="0" shapeId="0" xr:uid="{DB081D99-6336-F441-9692-E9315EF0BEE4}">
      <text>
        <r>
          <rPr>
            <b/>
            <sz val="10"/>
            <color rgb="FF000000"/>
            <rFont val="Tahoma"/>
            <family val="2"/>
          </rPr>
          <t>Enrique Pabon: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19770
</t>
        </r>
        <r>
          <rPr>
            <sz val="10"/>
            <color rgb="FF000000"/>
            <rFont val="Tahoma"/>
            <family val="2"/>
          </rPr>
          <t xml:space="preserve">+500 MLB
</t>
        </r>
      </text>
    </comment>
    <comment ref="C84" authorId="0" shapeId="0" xr:uid="{27A4909F-9245-C140-8F9A-C77152C4F92B}">
      <text>
        <r>
          <rPr>
            <b/>
            <sz val="10"/>
            <color rgb="FF000000"/>
            <rFont val="Tahoma"/>
            <family val="2"/>
          </rPr>
          <t>Enrique Pabon: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6560
</t>
        </r>
        <r>
          <rPr>
            <sz val="10"/>
            <color rgb="FF000000"/>
            <rFont val="Tahoma"/>
            <family val="2"/>
          </rPr>
          <t xml:space="preserve">-500 CZZ
</t>
        </r>
        <r>
          <rPr>
            <sz val="10"/>
            <color rgb="FF000000"/>
            <rFont val="Tahoma"/>
            <family val="2"/>
          </rPr>
          <t>-500 SINU</t>
        </r>
      </text>
    </comment>
    <comment ref="C86" authorId="0" shapeId="0" xr:uid="{CA565DB7-5696-4943-AE5A-4AC7F44B1546}">
      <text>
        <r>
          <rPr>
            <b/>
            <sz val="10"/>
            <color rgb="FF000000"/>
            <rFont val="Tahoma"/>
            <family val="2"/>
          </rPr>
          <t>Enrique Pabon: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6300
</t>
        </r>
        <r>
          <rPr>
            <sz val="10"/>
            <color rgb="FF000000"/>
            <rFont val="Tahoma"/>
            <family val="2"/>
          </rPr>
          <t>500 MLB</t>
        </r>
      </text>
    </comment>
  </commentList>
</comments>
</file>

<file path=xl/sharedStrings.xml><?xml version="1.0" encoding="utf-8"?>
<sst xmlns="http://schemas.openxmlformats.org/spreadsheetml/2006/main" count="993" uniqueCount="221">
  <si>
    <t>ZONA</t>
  </si>
  <si>
    <t>Codazzi Proyección</t>
  </si>
  <si>
    <t>Codazzi Real</t>
  </si>
  <si>
    <t>% Cumplimiento</t>
  </si>
  <si>
    <t>Ext Codazzi Proy</t>
  </si>
  <si>
    <t>Ext Codazzi Real</t>
  </si>
  <si>
    <t>CPO</t>
  </si>
  <si>
    <t>MLB Proyección</t>
  </si>
  <si>
    <t>MLB Real</t>
  </si>
  <si>
    <t>Ext MLB Proy</t>
  </si>
  <si>
    <t>Ext MLB Real</t>
  </si>
  <si>
    <t>Córdoba Proyección</t>
  </si>
  <si>
    <t>Córdoba Real</t>
  </si>
  <si>
    <t>Ext SINÚ Proy</t>
  </si>
  <si>
    <t>Ext SINÚ Real</t>
  </si>
  <si>
    <t>A&amp;G Proyección</t>
  </si>
  <si>
    <t>A&amp;G Real</t>
  </si>
  <si>
    <t>Ext A&amp;GC Proy</t>
  </si>
  <si>
    <t>Ext A&amp;GC Real</t>
  </si>
  <si>
    <t>TOTAL Proyección</t>
  </si>
  <si>
    <t>TOTAL Real</t>
  </si>
  <si>
    <t>Proyección inicio mes Fruta procesada sin Sinú</t>
  </si>
  <si>
    <t>RFF Procesada</t>
  </si>
  <si>
    <t>Cierre Fruta procesada sin Sinú</t>
  </si>
  <si>
    <t>CPO Real</t>
  </si>
  <si>
    <t>Diferencia</t>
  </si>
  <si>
    <t>TEA% 21,5%</t>
  </si>
  <si>
    <t xml:space="preserve">Proyección CPO </t>
  </si>
  <si>
    <t>PLANTA</t>
  </si>
  <si>
    <t>CPO ME</t>
  </si>
  <si>
    <t>CPO REAL</t>
  </si>
  <si>
    <t>% CUMPL</t>
  </si>
  <si>
    <t>DIF TM</t>
  </si>
  <si>
    <t>TEA ME</t>
  </si>
  <si>
    <t>Ext. Codazzi</t>
  </si>
  <si>
    <t>Ext. MLB</t>
  </si>
  <si>
    <t>Ext. A&amp;G</t>
  </si>
  <si>
    <t>Ext. Sinú</t>
  </si>
  <si>
    <t>TOTAL</t>
  </si>
  <si>
    <t>CPO PROD</t>
  </si>
  <si>
    <t>CPO COMPRA SINÚ</t>
  </si>
  <si>
    <t>TOTAL Oleoflores</t>
  </si>
  <si>
    <t>TOTAL Oleofl</t>
  </si>
  <si>
    <t>ALMENDRA</t>
  </si>
  <si>
    <t>KPO</t>
  </si>
  <si>
    <t>EXTRACCIÓN</t>
  </si>
  <si>
    <t>PK Proy</t>
  </si>
  <si>
    <t>PK Real</t>
  </si>
  <si>
    <t>TEA% 41%</t>
  </si>
  <si>
    <t>Refinería 1 ME</t>
  </si>
  <si>
    <t>Refinería 1 Real</t>
  </si>
  <si>
    <t>Rendimiento (94,5%)</t>
  </si>
  <si>
    <t>Acidez Ingreso</t>
  </si>
  <si>
    <t>Rojo Recepción</t>
  </si>
  <si>
    <t>Rojo Saponif</t>
  </si>
  <si>
    <t>Inventario Inicio</t>
  </si>
  <si>
    <t>Refinería 2 ME</t>
  </si>
  <si>
    <t>Refineria 2 Real</t>
  </si>
  <si>
    <t>Rendimiento (93,5%)</t>
  </si>
  <si>
    <t>Fracc 1 ME</t>
  </si>
  <si>
    <t>Fracc 1 Real</t>
  </si>
  <si>
    <t>Rendimiento (75,2%)</t>
  </si>
  <si>
    <t>Fracc 2 ME</t>
  </si>
  <si>
    <t>Fracc 2 Real</t>
  </si>
  <si>
    <t>Rendimiento (77,3%)</t>
  </si>
  <si>
    <t>Cold Test</t>
  </si>
  <si>
    <t>Rojo</t>
  </si>
  <si>
    <t>Margarinas ME</t>
  </si>
  <si>
    <t>Margarinas Real</t>
  </si>
  <si>
    <t>TOTAL PALMA RBD ME</t>
  </si>
  <si>
    <t>TOTAL PALMA RBD Real</t>
  </si>
  <si>
    <t>TOTAL PALMISTE RBD ME</t>
  </si>
  <si>
    <t>TOTAL PALMISTE RBD Real</t>
  </si>
  <si>
    <t>TOTAL OLEINA ME</t>
  </si>
  <si>
    <t>TOTAL OLEINA Real</t>
  </si>
  <si>
    <t>TOTAL MARGARINAS ME</t>
  </si>
  <si>
    <t>TOTAL MARGARINAS Real</t>
  </si>
  <si>
    <t>ME</t>
  </si>
  <si>
    <t>REAL</t>
  </si>
  <si>
    <t>REFINERIA 1</t>
  </si>
  <si>
    <t>REFINERIA 2</t>
  </si>
  <si>
    <t>OLEINA</t>
  </si>
  <si>
    <t>MARGARINAS</t>
  </si>
  <si>
    <t>TM</t>
  </si>
  <si>
    <t>EXT</t>
  </si>
  <si>
    <t>PK</t>
  </si>
  <si>
    <t>Dif</t>
  </si>
  <si>
    <t>CODAZZI</t>
  </si>
  <si>
    <t>MLB</t>
  </si>
  <si>
    <t>CATATUMBO</t>
  </si>
  <si>
    <t>SINÚ</t>
  </si>
  <si>
    <t>Real</t>
  </si>
  <si>
    <t>%</t>
  </si>
  <si>
    <t>RFF Producción sin Sinú</t>
  </si>
  <si>
    <t>CPO PROD sin Sinú</t>
  </si>
  <si>
    <t>ALMENDRA Y KPO</t>
  </si>
  <si>
    <t>TAE%</t>
  </si>
  <si>
    <t>TEA REAL</t>
  </si>
  <si>
    <t>DIF</t>
  </si>
  <si>
    <t>ACUMULADO S1</t>
  </si>
  <si>
    <t>ACUMULADO S2</t>
  </si>
  <si>
    <t>ACUMULADO S3</t>
  </si>
  <si>
    <t>ACUMULADO S4</t>
  </si>
  <si>
    <t>DOWNSTREAM</t>
  </si>
  <si>
    <t>ME PK</t>
  </si>
  <si>
    <t>Real PK</t>
  </si>
  <si>
    <t>Ingreso CPO</t>
  </si>
  <si>
    <t>Despacho CPO</t>
  </si>
  <si>
    <t>Ext. Sinú*</t>
  </si>
  <si>
    <t>INVENTARIO CPO</t>
  </si>
  <si>
    <t>Venta CPO</t>
  </si>
  <si>
    <t>Cliente</t>
  </si>
  <si>
    <t>Objetivo</t>
  </si>
  <si>
    <t>RECUPERACIÓN DE ALMENDRA</t>
  </si>
  <si>
    <t>INVENTARIO ALMENDRA</t>
  </si>
  <si>
    <t>Acumulado FEB 25</t>
  </si>
  <si>
    <t>Inventario</t>
  </si>
  <si>
    <t>RBD Palma</t>
  </si>
  <si>
    <t>Oleina</t>
  </si>
  <si>
    <t>Prestamo Acepalma CPO</t>
  </si>
  <si>
    <t>ME 1</t>
  </si>
  <si>
    <t>ME 2</t>
  </si>
  <si>
    <t xml:space="preserve">  -   </t>
  </si>
  <si>
    <t>Dif 2</t>
  </si>
  <si>
    <t>Dif 1</t>
  </si>
  <si>
    <t>Ext. Codazzi*</t>
  </si>
  <si>
    <t>Ext. MLB*</t>
  </si>
  <si>
    <t>*Nuez</t>
  </si>
  <si>
    <t>Golden Agri 1</t>
  </si>
  <si>
    <t>CPO Alto Estearico</t>
  </si>
  <si>
    <t>RBD Rep</t>
  </si>
  <si>
    <t>Real T</t>
  </si>
  <si>
    <t>PROCESO ABRIL 2025</t>
  </si>
  <si>
    <t>Acumulado ABR 25</t>
  </si>
  <si>
    <t xml:space="preserve">  859,88 </t>
  </si>
  <si>
    <t>18,45%</t>
  </si>
  <si>
    <t xml:space="preserve">  904,26 </t>
  </si>
  <si>
    <t>19,40%</t>
  </si>
  <si>
    <t xml:space="preserve">  823,81 </t>
  </si>
  <si>
    <t>17,67%</t>
  </si>
  <si>
    <t>19,81%</t>
  </si>
  <si>
    <t>Costos Abril 07</t>
  </si>
  <si>
    <t>Costos 27 Marzo</t>
  </si>
  <si>
    <t>Costos 31 Marzo</t>
  </si>
  <si>
    <t>EXTRACTORA</t>
  </si>
  <si>
    <t>$</t>
  </si>
  <si>
    <t>VAR</t>
  </si>
  <si>
    <t>ABRIL</t>
  </si>
  <si>
    <t>MAYO</t>
  </si>
  <si>
    <t>JUNIO</t>
  </si>
  <si>
    <t>JULIO</t>
  </si>
  <si>
    <t>AGOSTO</t>
  </si>
  <si>
    <t>SEPTIEMBRE</t>
  </si>
  <si>
    <t>REPELON</t>
  </si>
  <si>
    <t>CENSO ABRIL - JULIO</t>
  </si>
  <si>
    <t>COSTOS</t>
  </si>
  <si>
    <t>RBD Palmiste</t>
  </si>
  <si>
    <t>Costos 7 Abril</t>
  </si>
  <si>
    <t>Costos 17 Abril</t>
  </si>
  <si>
    <t>Promedio díario</t>
  </si>
  <si>
    <t>Costos 24 Abril</t>
  </si>
  <si>
    <t>Efeciencia</t>
  </si>
  <si>
    <t>RBD</t>
  </si>
  <si>
    <t>PROCESO JUNIO 2025</t>
  </si>
  <si>
    <t>Costos 07 Junio</t>
  </si>
  <si>
    <t>Costos 11 Mayo</t>
  </si>
  <si>
    <t>Costos 17 Mayo</t>
  </si>
  <si>
    <t>Costos 22 Mayo</t>
  </si>
  <si>
    <t>Costos 31Mayo</t>
  </si>
  <si>
    <t>Costos JUNIO</t>
  </si>
  <si>
    <t>PROCESO JULIO 2025</t>
  </si>
  <si>
    <t>CENSO</t>
  </si>
  <si>
    <t>Costos 19 Junio</t>
  </si>
  <si>
    <t>Incremento 3%</t>
  </si>
  <si>
    <t>Costos 26 Junio</t>
  </si>
  <si>
    <t>RFF Procesada 2025</t>
  </si>
  <si>
    <t>Producción CPO 2025</t>
  </si>
  <si>
    <t>Extracción 2025</t>
  </si>
  <si>
    <t>A&amp;G</t>
  </si>
  <si>
    <t>Codazzi</t>
  </si>
  <si>
    <t>Sinu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</si>
  <si>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</si>
  <si>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</si>
  <si>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</si>
  <si>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</si>
  <si>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</si>
  <si>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</si>
  <si>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</si>
  <si>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</si>
  <si>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</si>
  <si>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</si>
  <si>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</si>
  <si>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</si>
  <si>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 2025</t>
  </si>
  <si>
    <t>Costos 30 Junio</t>
  </si>
  <si>
    <t>Costos 17 Julio</t>
  </si>
  <si>
    <t>Precio</t>
  </si>
  <si>
    <t>Censo</t>
  </si>
  <si>
    <t>Costos 14 Agosto</t>
  </si>
  <si>
    <t>PROCESO SEPTIEMBRE 2025</t>
  </si>
  <si>
    <t>Costos 31 Agosto</t>
  </si>
  <si>
    <t>PROCESO SEPTIEMBRE V2 2025</t>
  </si>
  <si>
    <t>Fruta Inventario</t>
  </si>
  <si>
    <t>PROCESO OCTUBRE V2 2025</t>
  </si>
  <si>
    <t>Margarinas</t>
  </si>
  <si>
    <t>Costos 18 Sept</t>
  </si>
  <si>
    <t>PROCESO OCTUBRE 2025</t>
  </si>
  <si>
    <t>Costos 3 Oct</t>
  </si>
  <si>
    <t>CI CARIBBEAN</t>
  </si>
  <si>
    <t>PROCESO NOVIEMBRE 2025</t>
  </si>
  <si>
    <t>ACUMULADO NOV 25</t>
  </si>
  <si>
    <t>Costos 16 Nov</t>
  </si>
  <si>
    <t>PROCESO DICIEMBRE 2025</t>
  </si>
  <si>
    <t>NOV</t>
  </si>
  <si>
    <t>25 DOMINGO</t>
  </si>
  <si>
    <t>31 DOMINGO</t>
  </si>
  <si>
    <t>SINU</t>
  </si>
  <si>
    <t>17,11%</t>
  </si>
  <si>
    <t>19,00%</t>
  </si>
  <si>
    <t>20,41%</t>
  </si>
  <si>
    <t>Prestamo Acepalma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</si>
</sst>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240A]ddd\,\ dd&quot;    &quot;"/>
    <numFmt numFmtId="166" formatCode="0.0%"/>
    <numFmt numFmtId="167" formatCode="0.0"/>
    <numFmt numFmtId="168" formatCode="#,##0.0"/>
    <numFmt numFmtId="169" formatCode="_(* #,##0_);_(* \(#,##0\);_(* &quot;-&quot;??_);_(@_)"/>
    <numFmt numFmtId="170" formatCode="0.000"/>
    <numFmt numFmtId="171" formatCode="_(* #,##0.0000_);_(* \(#,##0.0000\);_(* &quot;-&quot;??_);_(@_)"/>
  </numFmts>
  <fonts count="45" x14ac:knownFonts="1">
    <font>
      <sz val="11"/>
      <color theme="1"/>
      <name val="Calibri"/>
      <scheme val="minor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rgb="FF00B050"/>
      <name val="Calibri"/>
      <family val="2"/>
    </font>
    <font>
      <sz val="11"/>
      <color theme="1"/>
      <name val="Calibri"/>
      <family val="2"/>
    </font>
    <font>
      <sz val="9"/>
      <color theme="0"/>
      <name val="Calibri"/>
      <family val="2"/>
    </font>
    <font>
      <sz val="6"/>
      <color theme="1"/>
      <name val="Calibri"/>
      <family val="2"/>
    </font>
    <font>
      <b/>
      <sz val="6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1"/>
      <color rgb="FF00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 (Body)"/>
    </font>
    <font>
      <b/>
      <sz val="9"/>
      <color theme="1"/>
      <name val="Calibri (Body)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FF0000"/>
      <name val="Calibri"/>
      <family val="2"/>
    </font>
    <font>
      <sz val="9"/>
      <color theme="4"/>
      <name val="Calibri"/>
      <family val="2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CFF99"/>
        <bgColor rgb="FFCC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7">
    <xf numFmtId="0" fontId="0" fillId="0" borderId="0"/>
    <xf numFmtId="9" fontId="13" fillId="0" borderId="0" applyFont="0" applyFill="0" applyBorder="0" applyAlignment="0" applyProtection="0"/>
    <xf numFmtId="0" fontId="13" fillId="0" borderId="4"/>
    <xf numFmtId="9" fontId="13" fillId="0" borderId="4" applyFont="0" applyFill="0" applyBorder="0" applyAlignment="0" applyProtection="0"/>
    <xf numFmtId="164" fontId="13" fillId="0" borderId="4" applyFont="0" applyFill="0" applyBorder="0" applyAlignment="0" applyProtection="0"/>
    <xf numFmtId="164" fontId="30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4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 wrapText="1"/>
    </xf>
    <xf numFmtId="9" fontId="6" fillId="4" borderId="6" xfId="0" applyNumberFormat="1" applyFont="1" applyFill="1" applyBorder="1" applyAlignment="1">
      <alignment horizontal="center" vertical="center" wrapText="1"/>
    </xf>
    <xf numFmtId="10" fontId="6" fillId="4" borderId="4" xfId="0" applyNumberFormat="1" applyFont="1" applyFill="1" applyBorder="1" applyAlignment="1">
      <alignment horizontal="center" vertical="center" wrapText="1"/>
    </xf>
    <xf numFmtId="10" fontId="6" fillId="4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0" fontId="6" fillId="4" borderId="7" xfId="0" applyNumberFormat="1" applyFont="1" applyFill="1" applyBorder="1" applyAlignment="1">
      <alignment horizontal="center" vertical="center" wrapText="1"/>
    </xf>
    <xf numFmtId="10" fontId="6" fillId="4" borderId="8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9" fontId="3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3" fontId="3" fillId="3" borderId="9" xfId="0" applyNumberFormat="1" applyFont="1" applyFill="1" applyBorder="1" applyAlignment="1">
      <alignment horizontal="center" vertical="center" wrapText="1"/>
    </xf>
    <xf numFmtId="3" fontId="3" fillId="3" borderId="15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3" fontId="3" fillId="3" borderId="16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vertical="center" wrapText="1"/>
    </xf>
    <xf numFmtId="3" fontId="3" fillId="3" borderId="17" xfId="0" applyNumberFormat="1" applyFont="1" applyFill="1" applyBorder="1" applyAlignment="1">
      <alignment horizontal="center" vertical="center" wrapText="1"/>
    </xf>
    <xf numFmtId="3" fontId="3" fillId="3" borderId="14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9" fontId="2" fillId="6" borderId="4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3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7" fillId="3" borderId="4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1" fontId="3" fillId="3" borderId="17" xfId="0" applyNumberFormat="1" applyFont="1" applyFill="1" applyBorder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6" fontId="3" fillId="3" borderId="13" xfId="0" applyNumberFormat="1" applyFont="1" applyFill="1" applyBorder="1" applyAlignment="1">
      <alignment horizontal="center" vertical="center" wrapText="1"/>
    </xf>
    <xf numFmtId="3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0" borderId="0" xfId="0" applyFont="1"/>
    <xf numFmtId="0" fontId="12" fillId="7" borderId="4" xfId="0" applyFont="1" applyFill="1" applyBorder="1"/>
    <xf numFmtId="0" fontId="7" fillId="7" borderId="4" xfId="0" applyFont="1" applyFill="1" applyBorder="1"/>
    <xf numFmtId="0" fontId="11" fillId="0" borderId="0" xfId="0" applyFont="1" applyAlignment="1">
      <alignment horizontal="center"/>
    </xf>
    <xf numFmtId="3" fontId="7" fillId="0" borderId="0" xfId="0" applyNumberFormat="1" applyFont="1"/>
    <xf numFmtId="166" fontId="7" fillId="0" borderId="0" xfId="0" applyNumberFormat="1" applyFont="1" applyAlignment="1">
      <alignment horizontal="center"/>
    </xf>
    <xf numFmtId="3" fontId="11" fillId="7" borderId="4" xfId="0" applyNumberFormat="1" applyFont="1" applyFill="1" applyBorder="1"/>
    <xf numFmtId="166" fontId="11" fillId="7" borderId="4" xfId="0" applyNumberFormat="1" applyFont="1" applyFill="1" applyBorder="1" applyAlignment="1">
      <alignment horizontal="center"/>
    </xf>
    <xf numFmtId="3" fontId="0" fillId="0" borderId="0" xfId="0" applyNumberFormat="1"/>
    <xf numFmtId="0" fontId="14" fillId="0" borderId="0" xfId="0" applyFont="1" applyAlignment="1">
      <alignment horizontal="center" vertical="center"/>
    </xf>
    <xf numFmtId="0" fontId="15" fillId="0" borderId="0" xfId="0" applyFont="1"/>
    <xf numFmtId="9" fontId="15" fillId="0" borderId="4" xfId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3" fontId="15" fillId="0" borderId="26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0" fontId="16" fillId="0" borderId="0" xfId="0" applyFont="1"/>
    <xf numFmtId="166" fontId="15" fillId="0" borderId="4" xfId="1" applyNumberFormat="1" applyFont="1" applyBorder="1" applyAlignment="1">
      <alignment horizontal="center" vertical="center"/>
    </xf>
    <xf numFmtId="166" fontId="15" fillId="0" borderId="26" xfId="1" applyNumberFormat="1" applyFont="1" applyBorder="1" applyAlignment="1">
      <alignment horizontal="center" vertical="center"/>
    </xf>
    <xf numFmtId="166" fontId="15" fillId="0" borderId="31" xfId="1" applyNumberFormat="1" applyFont="1" applyBorder="1" applyAlignment="1">
      <alignment horizontal="center" vertical="center"/>
    </xf>
    <xf numFmtId="0" fontId="14" fillId="3" borderId="4" xfId="0" applyFont="1" applyFill="1" applyBorder="1" applyAlignment="1">
      <alignment vertical="center" wrapText="1"/>
    </xf>
    <xf numFmtId="166" fontId="15" fillId="0" borderId="31" xfId="0" applyNumberFormat="1" applyFont="1" applyBorder="1" applyAlignment="1">
      <alignment horizontal="center" vertical="center"/>
    </xf>
    <xf numFmtId="0" fontId="14" fillId="13" borderId="4" xfId="0" applyFont="1" applyFill="1" applyBorder="1"/>
    <xf numFmtId="3" fontId="14" fillId="13" borderId="4" xfId="0" applyNumberFormat="1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left" vertical="center" wrapText="1"/>
    </xf>
    <xf numFmtId="0" fontId="14" fillId="3" borderId="28" xfId="0" applyFont="1" applyFill="1" applyBorder="1" applyAlignment="1">
      <alignment horizontal="left" vertical="center" wrapText="1"/>
    </xf>
    <xf numFmtId="0" fontId="14" fillId="3" borderId="30" xfId="0" applyFont="1" applyFill="1" applyBorder="1" applyAlignment="1">
      <alignment horizontal="left" vertical="center" wrapText="1"/>
    </xf>
    <xf numFmtId="166" fontId="17" fillId="12" borderId="26" xfId="0" applyNumberFormat="1" applyFont="1" applyFill="1" applyBorder="1" applyAlignment="1">
      <alignment horizontal="center" vertical="center" wrapText="1"/>
    </xf>
    <xf numFmtId="166" fontId="17" fillId="12" borderId="4" xfId="0" applyNumberFormat="1" applyFont="1" applyFill="1" applyBorder="1" applyAlignment="1">
      <alignment horizontal="center" vertical="center" wrapText="1"/>
    </xf>
    <xf numFmtId="166" fontId="17" fillId="12" borderId="31" xfId="0" applyNumberFormat="1" applyFont="1" applyFill="1" applyBorder="1" applyAlignment="1">
      <alignment horizontal="center" vertical="center" wrapText="1"/>
    </xf>
    <xf numFmtId="0" fontId="1" fillId="7" borderId="1" xfId="2" applyFont="1" applyFill="1" applyBorder="1" applyAlignment="1">
      <alignment horizontal="center" vertical="center"/>
    </xf>
    <xf numFmtId="165" fontId="2" fillId="7" borderId="2" xfId="2" applyNumberFormat="1" applyFont="1" applyFill="1" applyBorder="1" applyAlignment="1">
      <alignment horizontal="center" vertical="center"/>
    </xf>
    <xf numFmtId="165" fontId="2" fillId="7" borderId="18" xfId="2" applyNumberFormat="1" applyFont="1" applyFill="1" applyBorder="1" applyAlignment="1">
      <alignment horizontal="center" vertical="center"/>
    </xf>
    <xf numFmtId="0" fontId="13" fillId="0" borderId="4" xfId="2"/>
    <xf numFmtId="165" fontId="8" fillId="3" borderId="19" xfId="2" applyNumberFormat="1" applyFont="1" applyFill="1" applyBorder="1" applyAlignment="1">
      <alignment horizontal="center" vertical="center" wrapText="1"/>
    </xf>
    <xf numFmtId="0" fontId="8" fillId="3" borderId="4" xfId="2" applyFont="1" applyFill="1" applyAlignment="1">
      <alignment horizontal="center" vertical="center"/>
    </xf>
    <xf numFmtId="0" fontId="3" fillId="3" borderId="4" xfId="2" applyFont="1" applyFill="1" applyAlignment="1">
      <alignment horizontal="center" vertical="center"/>
    </xf>
    <xf numFmtId="0" fontId="3" fillId="3" borderId="4" xfId="2" applyFont="1" applyFill="1" applyAlignment="1">
      <alignment horizontal="left" vertical="center"/>
    </xf>
    <xf numFmtId="0" fontId="4" fillId="8" borderId="5" xfId="2" applyFont="1" applyFill="1" applyBorder="1" applyAlignment="1">
      <alignment horizontal="center" vertical="center" wrapText="1"/>
    </xf>
    <xf numFmtId="3" fontId="3" fillId="0" borderId="20" xfId="2" applyNumberFormat="1" applyFont="1" applyBorder="1" applyAlignment="1">
      <alignment horizontal="center" vertical="center" wrapText="1"/>
    </xf>
    <xf numFmtId="3" fontId="3" fillId="5" borderId="5" xfId="2" applyNumberFormat="1" applyFont="1" applyFill="1" applyBorder="1" applyAlignment="1">
      <alignment horizontal="center" vertical="center" wrapText="1"/>
    </xf>
    <xf numFmtId="3" fontId="8" fillId="3" borderId="4" xfId="2" applyNumberFormat="1" applyFont="1" applyFill="1" applyAlignment="1">
      <alignment horizontal="center" vertical="center" wrapText="1"/>
    </xf>
    <xf numFmtId="0" fontId="3" fillId="3" borderId="4" xfId="2" applyFont="1" applyFill="1" applyAlignment="1">
      <alignment horizontal="center" vertical="center" wrapText="1"/>
    </xf>
    <xf numFmtId="0" fontId="3" fillId="3" borderId="4" xfId="2" applyFont="1" applyFill="1" applyAlignment="1">
      <alignment horizontal="left" vertical="center" wrapText="1"/>
    </xf>
    <xf numFmtId="0" fontId="4" fillId="8" borderId="6" xfId="2" applyFont="1" applyFill="1" applyBorder="1" applyAlignment="1">
      <alignment horizontal="center" vertical="center" wrapText="1"/>
    </xf>
    <xf numFmtId="3" fontId="3" fillId="0" borderId="4" xfId="2" applyNumberFormat="1" applyFont="1" applyAlignment="1">
      <alignment horizontal="center" vertical="center" wrapText="1"/>
    </xf>
    <xf numFmtId="3" fontId="3" fillId="5" borderId="6" xfId="2" applyNumberFormat="1" applyFont="1" applyFill="1" applyBorder="1" applyAlignment="1">
      <alignment horizontal="center" vertical="center" wrapText="1"/>
    </xf>
    <xf numFmtId="0" fontId="1" fillId="8" borderId="6" xfId="2" applyFont="1" applyFill="1" applyBorder="1" applyAlignment="1">
      <alignment horizontal="center" vertical="center" wrapText="1"/>
    </xf>
    <xf numFmtId="9" fontId="2" fillId="0" borderId="4" xfId="2" applyNumberFormat="1" applyFont="1" applyAlignment="1">
      <alignment horizontal="center" vertical="center" wrapText="1"/>
    </xf>
    <xf numFmtId="9" fontId="2" fillId="5" borderId="6" xfId="2" applyNumberFormat="1" applyFont="1" applyFill="1" applyBorder="1" applyAlignment="1">
      <alignment horizontal="center" vertical="center" wrapText="1"/>
    </xf>
    <xf numFmtId="166" fontId="3" fillId="0" borderId="4" xfId="2" applyNumberFormat="1" applyFont="1" applyAlignment="1">
      <alignment horizontal="center" vertical="center" wrapText="1"/>
    </xf>
    <xf numFmtId="166" fontId="3" fillId="5" borderId="6" xfId="2" applyNumberFormat="1" applyFont="1" applyFill="1" applyBorder="1" applyAlignment="1">
      <alignment horizontal="center" vertical="center" wrapText="1"/>
    </xf>
    <xf numFmtId="167" fontId="3" fillId="0" borderId="4" xfId="2" applyNumberFormat="1" applyFont="1" applyAlignment="1">
      <alignment horizontal="center" vertical="center" wrapText="1"/>
    </xf>
    <xf numFmtId="167" fontId="3" fillId="5" borderId="6" xfId="2" applyNumberFormat="1" applyFont="1" applyFill="1" applyBorder="1" applyAlignment="1">
      <alignment horizontal="center" vertical="center" wrapText="1"/>
    </xf>
    <xf numFmtId="168" fontId="3" fillId="0" borderId="4" xfId="2" applyNumberFormat="1" applyFont="1" applyAlignment="1">
      <alignment horizontal="center" vertical="center" wrapText="1"/>
    </xf>
    <xf numFmtId="0" fontId="4" fillId="8" borderId="7" xfId="2" applyFont="1" applyFill="1" applyBorder="1" applyAlignment="1">
      <alignment horizontal="center" vertical="center" wrapText="1"/>
    </xf>
    <xf numFmtId="3" fontId="3" fillId="0" borderId="21" xfId="2" applyNumberFormat="1" applyFont="1" applyBorder="1" applyAlignment="1">
      <alignment horizontal="center" vertical="center" wrapText="1"/>
    </xf>
    <xf numFmtId="3" fontId="3" fillId="5" borderId="7" xfId="2" applyNumberFormat="1" applyFont="1" applyFill="1" applyBorder="1" applyAlignment="1">
      <alignment horizontal="center" vertical="center" wrapText="1"/>
    </xf>
    <xf numFmtId="0" fontId="4" fillId="9" borderId="5" xfId="2" applyFont="1" applyFill="1" applyBorder="1" applyAlignment="1">
      <alignment horizontal="center" vertical="center" wrapText="1"/>
    </xf>
    <xf numFmtId="0" fontId="4" fillId="9" borderId="6" xfId="2" applyFont="1" applyFill="1" applyBorder="1" applyAlignment="1">
      <alignment horizontal="center" vertical="center" wrapText="1"/>
    </xf>
    <xf numFmtId="0" fontId="1" fillId="9" borderId="6" xfId="2" applyFont="1" applyFill="1" applyBorder="1" applyAlignment="1">
      <alignment horizontal="center" vertical="center" wrapText="1"/>
    </xf>
    <xf numFmtId="168" fontId="3" fillId="5" borderId="6" xfId="2" applyNumberFormat="1" applyFont="1" applyFill="1" applyBorder="1" applyAlignment="1">
      <alignment horizontal="center" vertical="center" wrapText="1"/>
    </xf>
    <xf numFmtId="0" fontId="4" fillId="9" borderId="7" xfId="2" applyFont="1" applyFill="1" applyBorder="1" applyAlignment="1">
      <alignment horizontal="center" vertical="center" wrapText="1"/>
    </xf>
    <xf numFmtId="1" fontId="3" fillId="0" borderId="21" xfId="2" applyNumberFormat="1" applyFont="1" applyBorder="1" applyAlignment="1">
      <alignment horizontal="center" vertical="center" wrapText="1"/>
    </xf>
    <xf numFmtId="1" fontId="3" fillId="5" borderId="7" xfId="2" applyNumberFormat="1" applyFont="1" applyFill="1" applyBorder="1" applyAlignment="1">
      <alignment horizontal="center" vertical="center" wrapText="1"/>
    </xf>
    <xf numFmtId="0" fontId="4" fillId="10" borderId="5" xfId="2" applyFont="1" applyFill="1" applyBorder="1" applyAlignment="1">
      <alignment horizontal="center" vertical="center" wrapText="1"/>
    </xf>
    <xf numFmtId="0" fontId="4" fillId="10" borderId="6" xfId="2" applyFont="1" applyFill="1" applyBorder="1" applyAlignment="1">
      <alignment horizontal="center" vertical="center" wrapText="1"/>
    </xf>
    <xf numFmtId="0" fontId="1" fillId="10" borderId="6" xfId="2" applyFont="1" applyFill="1" applyBorder="1" applyAlignment="1">
      <alignment horizontal="center" vertical="center" wrapText="1"/>
    </xf>
    <xf numFmtId="0" fontId="4" fillId="11" borderId="5" xfId="2" applyFont="1" applyFill="1" applyBorder="1" applyAlignment="1">
      <alignment horizontal="center" vertical="center" wrapText="1"/>
    </xf>
    <xf numFmtId="0" fontId="4" fillId="11" borderId="6" xfId="2" applyFont="1" applyFill="1" applyBorder="1" applyAlignment="1">
      <alignment horizontal="center" vertical="center" wrapText="1"/>
    </xf>
    <xf numFmtId="0" fontId="1" fillId="11" borderId="6" xfId="2" applyFont="1" applyFill="1" applyBorder="1" applyAlignment="1">
      <alignment horizontal="center" vertical="center" wrapText="1"/>
    </xf>
    <xf numFmtId="0" fontId="4" fillId="11" borderId="7" xfId="2" applyFont="1" applyFill="1" applyBorder="1" applyAlignment="1">
      <alignment horizontal="center" vertical="center" wrapText="1"/>
    </xf>
    <xf numFmtId="0" fontId="9" fillId="6" borderId="9" xfId="2" applyFont="1" applyFill="1" applyBorder="1" applyAlignment="1">
      <alignment horizontal="center" vertical="center" wrapText="1"/>
    </xf>
    <xf numFmtId="3" fontId="2" fillId="6" borderId="20" xfId="2" applyNumberFormat="1" applyFont="1" applyFill="1" applyBorder="1" applyAlignment="1">
      <alignment horizontal="center" vertical="center" wrapText="1"/>
    </xf>
    <xf numFmtId="3" fontId="2" fillId="6" borderId="5" xfId="2" applyNumberFormat="1" applyFont="1" applyFill="1" applyBorder="1" applyAlignment="1">
      <alignment horizontal="center" vertical="center" wrapText="1"/>
    </xf>
    <xf numFmtId="0" fontId="10" fillId="6" borderId="11" xfId="2" applyFont="1" applyFill="1" applyBorder="1" applyAlignment="1">
      <alignment horizontal="center" vertical="center" wrapText="1"/>
    </xf>
    <xf numFmtId="3" fontId="5" fillId="6" borderId="4" xfId="2" applyNumberFormat="1" applyFont="1" applyFill="1" applyAlignment="1">
      <alignment horizontal="center" vertical="center" wrapText="1"/>
    </xf>
    <xf numFmtId="3" fontId="5" fillId="6" borderId="6" xfId="2" applyNumberFormat="1" applyFont="1" applyFill="1" applyBorder="1" applyAlignment="1">
      <alignment horizontal="center" vertical="center" wrapText="1"/>
    </xf>
    <xf numFmtId="0" fontId="10" fillId="4" borderId="11" xfId="2" applyFont="1" applyFill="1" applyBorder="1" applyAlignment="1">
      <alignment horizontal="center" vertical="center" wrapText="1"/>
    </xf>
    <xf numFmtId="9" fontId="6" fillId="4" borderId="4" xfId="2" applyNumberFormat="1" applyFont="1" applyFill="1" applyAlignment="1">
      <alignment horizontal="center" vertical="center" wrapText="1"/>
    </xf>
    <xf numFmtId="9" fontId="6" fillId="4" borderId="6" xfId="2" applyNumberFormat="1" applyFont="1" applyFill="1" applyBorder="1" applyAlignment="1">
      <alignment horizontal="center" vertical="center" wrapText="1"/>
    </xf>
    <xf numFmtId="0" fontId="10" fillId="4" borderId="17" xfId="2" applyFont="1" applyFill="1" applyBorder="1" applyAlignment="1">
      <alignment horizontal="center" vertical="center" wrapText="1"/>
    </xf>
    <xf numFmtId="9" fontId="6" fillId="4" borderId="21" xfId="2" applyNumberFormat="1" applyFont="1" applyFill="1" applyBorder="1" applyAlignment="1">
      <alignment horizontal="center" vertical="center" wrapText="1"/>
    </xf>
    <xf numFmtId="9" fontId="6" fillId="4" borderId="7" xfId="2" applyNumberFormat="1" applyFont="1" applyFill="1" applyBorder="1" applyAlignment="1">
      <alignment horizontal="center" vertical="center" wrapText="1"/>
    </xf>
    <xf numFmtId="0" fontId="2" fillId="3" borderId="14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2" fillId="3" borderId="4" xfId="2" applyFont="1" applyFill="1" applyAlignment="1">
      <alignment horizontal="center" vertical="center" wrapText="1"/>
    </xf>
    <xf numFmtId="0" fontId="2" fillId="3" borderId="17" xfId="2" applyFont="1" applyFill="1" applyBorder="1" applyAlignment="1">
      <alignment horizontal="center" vertical="center" wrapText="1"/>
    </xf>
    <xf numFmtId="3" fontId="3" fillId="3" borderId="4" xfId="2" applyNumberFormat="1" applyFont="1" applyFill="1" applyAlignment="1">
      <alignment horizontal="center" vertical="center" wrapText="1"/>
    </xf>
    <xf numFmtId="0" fontId="2" fillId="3" borderId="22" xfId="2" applyFont="1" applyFill="1" applyBorder="1" applyAlignment="1">
      <alignment horizontal="center" vertical="center" wrapText="1"/>
    </xf>
    <xf numFmtId="0" fontId="2" fillId="3" borderId="23" xfId="2" applyFont="1" applyFill="1" applyBorder="1" applyAlignment="1">
      <alignment horizontal="center" vertical="center" wrapText="1"/>
    </xf>
    <xf numFmtId="0" fontId="2" fillId="3" borderId="24" xfId="2" applyFont="1" applyFill="1" applyBorder="1" applyAlignment="1">
      <alignment horizontal="center" vertical="center" wrapText="1"/>
    </xf>
    <xf numFmtId="0" fontId="2" fillId="3" borderId="5" xfId="2" applyFont="1" applyFill="1" applyBorder="1" applyAlignment="1">
      <alignment vertical="center" wrapText="1"/>
    </xf>
    <xf numFmtId="3" fontId="3" fillId="3" borderId="5" xfId="2" applyNumberFormat="1" applyFont="1" applyFill="1" applyBorder="1" applyAlignment="1">
      <alignment horizontal="center" vertical="center" wrapText="1"/>
    </xf>
    <xf numFmtId="3" fontId="3" fillId="3" borderId="15" xfId="2" applyNumberFormat="1" applyFont="1" applyFill="1" applyBorder="1" applyAlignment="1">
      <alignment horizontal="center" vertical="center" wrapText="1"/>
    </xf>
    <xf numFmtId="9" fontId="3" fillId="3" borderId="4" xfId="2" applyNumberFormat="1" applyFont="1" applyFill="1" applyAlignment="1">
      <alignment horizontal="center" vertical="center" wrapText="1"/>
    </xf>
    <xf numFmtId="3" fontId="3" fillId="3" borderId="9" xfId="2" applyNumberFormat="1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vertical="center" wrapText="1"/>
    </xf>
    <xf numFmtId="3" fontId="3" fillId="3" borderId="11" xfId="2" applyNumberFormat="1" applyFont="1" applyFill="1" applyBorder="1" applyAlignment="1">
      <alignment horizontal="center" vertical="center" wrapText="1"/>
    </xf>
    <xf numFmtId="3" fontId="3" fillId="3" borderId="16" xfId="2" applyNumberFormat="1" applyFont="1" applyFill="1" applyBorder="1" applyAlignment="1">
      <alignment horizontal="center" vertical="center" wrapText="1"/>
    </xf>
    <xf numFmtId="10" fontId="3" fillId="3" borderId="4" xfId="2" applyNumberFormat="1" applyFont="1" applyFill="1" applyAlignment="1">
      <alignment horizontal="center" vertical="center" wrapText="1"/>
    </xf>
    <xf numFmtId="3" fontId="3" fillId="3" borderId="6" xfId="2" applyNumberFormat="1" applyFont="1" applyFill="1" applyBorder="1" applyAlignment="1">
      <alignment horizontal="center" vertical="center" wrapText="1"/>
    </xf>
    <xf numFmtId="0" fontId="2" fillId="3" borderId="7" xfId="2" applyFont="1" applyFill="1" applyBorder="1" applyAlignment="1">
      <alignment vertical="center" wrapText="1"/>
    </xf>
    <xf numFmtId="3" fontId="3" fillId="3" borderId="7" xfId="2" applyNumberFormat="1" applyFont="1" applyFill="1" applyBorder="1" applyAlignment="1">
      <alignment horizontal="center" vertical="center" wrapText="1"/>
    </xf>
    <xf numFmtId="3" fontId="3" fillId="3" borderId="14" xfId="2" applyNumberFormat="1" applyFont="1" applyFill="1" applyBorder="1" applyAlignment="1">
      <alignment horizontal="center" vertical="center" wrapText="1"/>
    </xf>
    <xf numFmtId="3" fontId="3" fillId="3" borderId="21" xfId="2" applyNumberFormat="1" applyFont="1" applyFill="1" applyBorder="1" applyAlignment="1">
      <alignment horizontal="center" vertical="center" wrapText="1"/>
    </xf>
    <xf numFmtId="0" fontId="2" fillId="6" borderId="3" xfId="2" applyFont="1" applyFill="1" applyBorder="1" applyAlignment="1">
      <alignment vertical="center" wrapText="1"/>
    </xf>
    <xf numFmtId="3" fontId="2" fillId="6" borderId="1" xfId="2" applyNumberFormat="1" applyFont="1" applyFill="1" applyBorder="1" applyAlignment="1">
      <alignment horizontal="center" vertical="center" wrapText="1"/>
    </xf>
    <xf numFmtId="3" fontId="2" fillId="6" borderId="3" xfId="2" applyNumberFormat="1" applyFont="1" applyFill="1" applyBorder="1" applyAlignment="1">
      <alignment horizontal="center" vertical="center" wrapText="1"/>
    </xf>
    <xf numFmtId="9" fontId="2" fillId="6" borderId="4" xfId="2" applyNumberFormat="1" applyFont="1" applyFill="1" applyAlignment="1">
      <alignment horizontal="center" vertical="center" wrapText="1"/>
    </xf>
    <xf numFmtId="3" fontId="2" fillId="6" borderId="4" xfId="2" applyNumberFormat="1" applyFont="1" applyFill="1" applyAlignment="1">
      <alignment horizontal="center" vertical="center" wrapText="1"/>
    </xf>
    <xf numFmtId="3" fontId="2" fillId="3" borderId="4" xfId="2" applyNumberFormat="1" applyFont="1" applyFill="1" applyAlignment="1">
      <alignment horizontal="center" vertical="center" wrapText="1"/>
    </xf>
    <xf numFmtId="0" fontId="8" fillId="3" borderId="4" xfId="2" applyFont="1" applyFill="1" applyAlignment="1">
      <alignment horizontal="center" vertical="center" wrapText="1"/>
    </xf>
    <xf numFmtId="0" fontId="4" fillId="3" borderId="4" xfId="2" applyFont="1" applyFill="1" applyAlignment="1">
      <alignment horizontal="center" vertical="center" wrapText="1"/>
    </xf>
    <xf numFmtId="166" fontId="3" fillId="3" borderId="4" xfId="2" applyNumberFormat="1" applyFont="1" applyFill="1" applyAlignment="1">
      <alignment horizontal="center" vertical="center" wrapText="1"/>
    </xf>
    <xf numFmtId="0" fontId="20" fillId="0" borderId="0" xfId="0" applyFont="1"/>
    <xf numFmtId="10" fontId="6" fillId="4" borderId="41" xfId="0" applyNumberFormat="1" applyFont="1" applyFill="1" applyBorder="1" applyAlignment="1">
      <alignment horizontal="center" vertical="center" wrapText="1"/>
    </xf>
    <xf numFmtId="3" fontId="3" fillId="3" borderId="26" xfId="0" applyNumberFormat="1" applyFont="1" applyFill="1" applyBorder="1" applyAlignment="1">
      <alignment horizontal="center" vertical="center" wrapText="1"/>
    </xf>
    <xf numFmtId="10" fontId="6" fillId="4" borderId="3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0" fillId="14" borderId="0" xfId="0" applyFill="1"/>
    <xf numFmtId="9" fontId="1" fillId="4" borderId="6" xfId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vertical="center" wrapText="1"/>
    </xf>
    <xf numFmtId="0" fontId="2" fillId="3" borderId="41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66" fontId="3" fillId="3" borderId="17" xfId="0" applyNumberFormat="1" applyFont="1" applyFill="1" applyBorder="1" applyAlignment="1">
      <alignment horizontal="center" vertical="center" wrapText="1"/>
    </xf>
    <xf numFmtId="166" fontId="3" fillId="3" borderId="14" xfId="0" applyNumberFormat="1" applyFont="1" applyFill="1" applyBorder="1" applyAlignment="1">
      <alignment horizontal="center" vertical="center" wrapText="1"/>
    </xf>
    <xf numFmtId="3" fontId="3" fillId="3" borderId="25" xfId="0" applyNumberFormat="1" applyFont="1" applyFill="1" applyBorder="1" applyAlignment="1">
      <alignment horizontal="center" vertical="center" wrapText="1"/>
    </xf>
    <xf numFmtId="1" fontId="3" fillId="3" borderId="27" xfId="0" applyNumberFormat="1" applyFont="1" applyFill="1" applyBorder="1" applyAlignment="1">
      <alignment horizontal="center" vertical="center" wrapText="1"/>
    </xf>
    <xf numFmtId="1" fontId="3" fillId="3" borderId="32" xfId="0" applyNumberFormat="1" applyFont="1" applyFill="1" applyBorder="1" applyAlignment="1">
      <alignment horizontal="center" vertical="center" wrapText="1"/>
    </xf>
    <xf numFmtId="165" fontId="2" fillId="3" borderId="42" xfId="0" applyNumberFormat="1" applyFont="1" applyFill="1" applyBorder="1" applyAlignment="1">
      <alignment horizontal="center" vertical="center"/>
    </xf>
    <xf numFmtId="0" fontId="16" fillId="0" borderId="4" xfId="2" applyFont="1"/>
    <xf numFmtId="0" fontId="13" fillId="0" borderId="4" xfId="2" applyAlignment="1">
      <alignment horizontal="right"/>
    </xf>
    <xf numFmtId="0" fontId="14" fillId="0" borderId="4" xfId="2" applyFont="1" applyAlignment="1">
      <alignment horizontal="center" vertical="center"/>
    </xf>
    <xf numFmtId="0" fontId="15" fillId="0" borderId="4" xfId="2" applyFont="1"/>
    <xf numFmtId="0" fontId="14" fillId="0" borderId="4" xfId="2" applyFont="1"/>
    <xf numFmtId="0" fontId="14" fillId="0" borderId="4" xfId="2" applyFont="1" applyAlignment="1">
      <alignment horizontal="left"/>
    </xf>
    <xf numFmtId="0" fontId="15" fillId="0" borderId="4" xfId="2" applyFont="1" applyAlignment="1">
      <alignment horizontal="right"/>
    </xf>
    <xf numFmtId="0" fontId="14" fillId="3" borderId="25" xfId="2" applyFont="1" applyFill="1" applyBorder="1" applyAlignment="1">
      <alignment horizontal="left" vertical="center" wrapText="1"/>
    </xf>
    <xf numFmtId="3" fontId="15" fillId="0" borderId="26" xfId="2" applyNumberFormat="1" applyFont="1" applyBorder="1" applyAlignment="1">
      <alignment horizontal="center" vertical="center"/>
    </xf>
    <xf numFmtId="9" fontId="15" fillId="0" borderId="27" xfId="3" applyFont="1" applyBorder="1" applyAlignment="1">
      <alignment horizontal="center" vertical="center"/>
    </xf>
    <xf numFmtId="3" fontId="15" fillId="0" borderId="4" xfId="2" applyNumberFormat="1" applyFont="1" applyAlignment="1">
      <alignment horizontal="center" vertical="center"/>
    </xf>
    <xf numFmtId="0" fontId="14" fillId="0" borderId="25" xfId="2" applyFont="1" applyBorder="1" applyAlignment="1">
      <alignment horizontal="left" vertical="center"/>
    </xf>
    <xf numFmtId="9" fontId="15" fillId="0" borderId="27" xfId="2" applyNumberFormat="1" applyFont="1" applyBorder="1" applyAlignment="1">
      <alignment horizontal="center" vertical="center"/>
    </xf>
    <xf numFmtId="166" fontId="15" fillId="0" borderId="26" xfId="3" applyNumberFormat="1" applyFont="1" applyBorder="1" applyAlignment="1">
      <alignment horizontal="center" vertical="center"/>
    </xf>
    <xf numFmtId="166" fontId="15" fillId="0" borderId="27" xfId="2" applyNumberFormat="1" applyFont="1" applyBorder="1" applyAlignment="1">
      <alignment horizontal="center"/>
    </xf>
    <xf numFmtId="0" fontId="14" fillId="3" borderId="28" xfId="2" applyFont="1" applyFill="1" applyBorder="1" applyAlignment="1">
      <alignment horizontal="left" vertical="center" wrapText="1"/>
    </xf>
    <xf numFmtId="9" fontId="15" fillId="0" borderId="29" xfId="3" applyFont="1" applyBorder="1" applyAlignment="1">
      <alignment horizontal="center" vertical="center"/>
    </xf>
    <xf numFmtId="0" fontId="14" fillId="0" borderId="28" xfId="2" applyFont="1" applyBorder="1" applyAlignment="1">
      <alignment horizontal="left" vertical="center"/>
    </xf>
    <xf numFmtId="9" fontId="15" fillId="0" borderId="29" xfId="2" applyNumberFormat="1" applyFont="1" applyBorder="1" applyAlignment="1">
      <alignment horizontal="center" vertical="center"/>
    </xf>
    <xf numFmtId="166" fontId="15" fillId="0" borderId="4" xfId="3" applyNumberFormat="1" applyFont="1" applyBorder="1" applyAlignment="1">
      <alignment horizontal="center" vertical="center"/>
    </xf>
    <xf numFmtId="166" fontId="15" fillId="0" borderId="29" xfId="2" applyNumberFormat="1" applyFont="1" applyBorder="1" applyAlignment="1">
      <alignment horizontal="center"/>
    </xf>
    <xf numFmtId="0" fontId="21" fillId="0" borderId="28" xfId="2" applyFont="1" applyBorder="1" applyAlignment="1">
      <alignment horizontal="left" vertical="center" wrapText="1"/>
    </xf>
    <xf numFmtId="0" fontId="21" fillId="0" borderId="4" xfId="2" applyFont="1" applyAlignment="1">
      <alignment horizontal="left" vertical="center" wrapText="1"/>
    </xf>
    <xf numFmtId="0" fontId="14" fillId="3" borderId="30" xfId="2" applyFont="1" applyFill="1" applyBorder="1" applyAlignment="1">
      <alignment horizontal="left" vertical="center" wrapText="1"/>
    </xf>
    <xf numFmtId="3" fontId="15" fillId="0" borderId="31" xfId="2" applyNumberFormat="1" applyFont="1" applyBorder="1" applyAlignment="1">
      <alignment horizontal="center" vertical="center"/>
    </xf>
    <xf numFmtId="9" fontId="15" fillId="0" borderId="32" xfId="3" applyFont="1" applyBorder="1" applyAlignment="1">
      <alignment horizontal="center" vertical="center"/>
    </xf>
    <xf numFmtId="0" fontId="14" fillId="0" borderId="30" xfId="2" applyFont="1" applyBorder="1" applyAlignment="1">
      <alignment horizontal="left" vertical="center"/>
    </xf>
    <xf numFmtId="9" fontId="15" fillId="0" borderId="32" xfId="2" applyNumberFormat="1" applyFont="1" applyBorder="1" applyAlignment="1">
      <alignment horizontal="center" vertical="center"/>
    </xf>
    <xf numFmtId="166" fontId="15" fillId="0" borderId="31" xfId="3" applyNumberFormat="1" applyFont="1" applyBorder="1" applyAlignment="1">
      <alignment horizontal="center" vertical="center"/>
    </xf>
    <xf numFmtId="166" fontId="15" fillId="0" borderId="32" xfId="2" applyNumberFormat="1" applyFont="1" applyBorder="1" applyAlignment="1">
      <alignment horizontal="center"/>
    </xf>
    <xf numFmtId="0" fontId="14" fillId="3" borderId="4" xfId="2" applyFont="1" applyFill="1" applyAlignment="1">
      <alignment vertical="center" wrapText="1"/>
    </xf>
    <xf numFmtId="9" fontId="15" fillId="0" borderId="4" xfId="3" applyFont="1" applyBorder="1" applyAlignment="1">
      <alignment horizontal="center" vertical="center"/>
    </xf>
    <xf numFmtId="9" fontId="15" fillId="0" borderId="4" xfId="2" applyNumberFormat="1" applyFont="1" applyAlignment="1">
      <alignment horizontal="center" vertical="center"/>
    </xf>
    <xf numFmtId="10" fontId="17" fillId="12" borderId="4" xfId="2" applyNumberFormat="1" applyFont="1" applyFill="1" applyAlignment="1">
      <alignment horizontal="center" vertical="center" wrapText="1"/>
    </xf>
    <xf numFmtId="166" fontId="15" fillId="0" borderId="4" xfId="2" applyNumberFormat="1" applyFont="1" applyAlignment="1">
      <alignment horizontal="center"/>
    </xf>
    <xf numFmtId="0" fontId="14" fillId="13" borderId="4" xfId="2" applyFont="1" applyFill="1"/>
    <xf numFmtId="3" fontId="14" fillId="13" borderId="4" xfId="2" applyNumberFormat="1" applyFont="1" applyFill="1" applyAlignment="1">
      <alignment horizontal="center" vertical="center"/>
    </xf>
    <xf numFmtId="9" fontId="14" fillId="13" borderId="4" xfId="3" applyFont="1" applyFill="1" applyBorder="1" applyAlignment="1">
      <alignment horizontal="center" vertical="center"/>
    </xf>
    <xf numFmtId="3" fontId="14" fillId="0" borderId="4" xfId="2" applyNumberFormat="1" applyFont="1" applyAlignment="1">
      <alignment horizontal="center" vertical="center"/>
    </xf>
    <xf numFmtId="0" fontId="14" fillId="13" borderId="4" xfId="2" applyFont="1" applyFill="1" applyAlignment="1">
      <alignment horizontal="center" vertical="center"/>
    </xf>
    <xf numFmtId="166" fontId="14" fillId="13" borderId="4" xfId="2" applyNumberFormat="1" applyFont="1" applyFill="1" applyAlignment="1">
      <alignment horizontal="center" vertical="center"/>
    </xf>
    <xf numFmtId="0" fontId="14" fillId="0" borderId="33" xfId="2" applyFont="1" applyBorder="1" applyAlignment="1">
      <alignment horizontal="center" vertical="center" wrapText="1"/>
    </xf>
    <xf numFmtId="3" fontId="15" fillId="0" borderId="34" xfId="2" applyNumberFormat="1" applyFont="1" applyBorder="1" applyAlignment="1">
      <alignment horizontal="center" vertical="center"/>
    </xf>
    <xf numFmtId="9" fontId="15" fillId="0" borderId="24" xfId="3" applyFont="1" applyBorder="1" applyAlignment="1">
      <alignment horizontal="center" vertical="center"/>
    </xf>
    <xf numFmtId="10" fontId="0" fillId="0" borderId="4" xfId="3" applyNumberFormat="1" applyFont="1" applyAlignment="1">
      <alignment horizontal="center" vertical="center"/>
    </xf>
    <xf numFmtId="0" fontId="14" fillId="3" borderId="25" xfId="2" applyFont="1" applyFill="1" applyBorder="1" applyAlignment="1">
      <alignment vertical="center" wrapText="1"/>
    </xf>
    <xf numFmtId="0" fontId="14" fillId="3" borderId="28" xfId="2" applyFont="1" applyFill="1" applyBorder="1" applyAlignment="1">
      <alignment vertical="center" wrapText="1"/>
    </xf>
    <xf numFmtId="0" fontId="14" fillId="0" borderId="25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7" xfId="2" applyFont="1" applyBorder="1" applyAlignment="1">
      <alignment horizontal="center" vertical="center"/>
    </xf>
    <xf numFmtId="0" fontId="14" fillId="3" borderId="30" xfId="2" applyFont="1" applyFill="1" applyBorder="1" applyAlignment="1">
      <alignment vertical="center" wrapText="1"/>
    </xf>
    <xf numFmtId="0" fontId="14" fillId="3" borderId="28" xfId="2" applyFont="1" applyFill="1" applyBorder="1" applyAlignment="1">
      <alignment horizontal="center" vertical="center" wrapText="1"/>
    </xf>
    <xf numFmtId="3" fontId="15" fillId="0" borderId="27" xfId="2" applyNumberFormat="1" applyFont="1" applyBorder="1" applyAlignment="1">
      <alignment horizontal="center" vertical="center"/>
    </xf>
    <xf numFmtId="3" fontId="15" fillId="0" borderId="29" xfId="2" applyNumberFormat="1" applyFont="1" applyBorder="1" applyAlignment="1">
      <alignment horizontal="center" vertical="center"/>
    </xf>
    <xf numFmtId="0" fontId="14" fillId="3" borderId="4" xfId="2" applyFont="1" applyFill="1" applyAlignment="1">
      <alignment horizontal="left" vertical="center" wrapText="1"/>
    </xf>
    <xf numFmtId="0" fontId="14" fillId="3" borderId="30" xfId="2" applyFont="1" applyFill="1" applyBorder="1" applyAlignment="1">
      <alignment horizontal="center" vertical="center" wrapText="1"/>
    </xf>
    <xf numFmtId="3" fontId="15" fillId="0" borderId="32" xfId="2" applyNumberFormat="1" applyFont="1" applyBorder="1" applyAlignment="1">
      <alignment horizontal="center" vertical="center"/>
    </xf>
    <xf numFmtId="0" fontId="14" fillId="0" borderId="4" xfId="2" applyFont="1" applyAlignment="1">
      <alignment horizontal="center"/>
    </xf>
    <xf numFmtId="0" fontId="14" fillId="3" borderId="4" xfId="2" applyFont="1" applyFill="1" applyAlignment="1">
      <alignment horizontal="center" vertical="center" wrapText="1"/>
    </xf>
    <xf numFmtId="9" fontId="15" fillId="0" borderId="26" xfId="2" applyNumberFormat="1" applyFont="1" applyBorder="1" applyAlignment="1">
      <alignment horizontal="center" vertical="center"/>
    </xf>
    <xf numFmtId="3" fontId="19" fillId="0" borderId="4" xfId="2" applyNumberFormat="1" applyFont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9" fontId="15" fillId="0" borderId="31" xfId="2" applyNumberFormat="1" applyFont="1" applyBorder="1" applyAlignment="1">
      <alignment horizontal="center" vertical="center"/>
    </xf>
    <xf numFmtId="166" fontId="13" fillId="0" borderId="4" xfId="2" applyNumberFormat="1" applyAlignment="1">
      <alignment horizontal="right"/>
    </xf>
    <xf numFmtId="0" fontId="14" fillId="3" borderId="35" xfId="2" applyFont="1" applyFill="1" applyBorder="1" applyAlignment="1">
      <alignment horizontal="center" vertical="center" wrapText="1"/>
    </xf>
    <xf numFmtId="3" fontId="15" fillId="0" borderId="36" xfId="2" applyNumberFormat="1" applyFont="1" applyBorder="1" applyAlignment="1">
      <alignment horizontal="center" vertical="center"/>
    </xf>
    <xf numFmtId="10" fontId="13" fillId="0" borderId="4" xfId="2" applyNumberFormat="1"/>
    <xf numFmtId="10" fontId="0" fillId="0" borderId="4" xfId="3" applyNumberFormat="1" applyFont="1"/>
    <xf numFmtId="0" fontId="14" fillId="3" borderId="37" xfId="2" applyFont="1" applyFill="1" applyBorder="1" applyAlignment="1">
      <alignment horizontal="center" vertical="center" wrapText="1"/>
    </xf>
    <xf numFmtId="3" fontId="15" fillId="0" borderId="38" xfId="2" applyNumberFormat="1" applyFont="1" applyBorder="1" applyAlignment="1">
      <alignment horizontal="center" vertical="center"/>
    </xf>
    <xf numFmtId="0" fontId="22" fillId="0" borderId="4" xfId="2" applyFont="1"/>
    <xf numFmtId="165" fontId="23" fillId="3" borderId="4" xfId="2" applyNumberFormat="1" applyFont="1" applyFill="1" applyAlignment="1">
      <alignment horizontal="center" vertical="center"/>
    </xf>
    <xf numFmtId="0" fontId="24" fillId="0" borderId="4" xfId="2" applyFont="1" applyAlignment="1">
      <alignment horizontal="center" vertical="center"/>
    </xf>
    <xf numFmtId="0" fontId="25" fillId="0" borderId="0" xfId="0" applyFont="1"/>
    <xf numFmtId="9" fontId="14" fillId="15" borderId="4" xfId="3" applyFont="1" applyFill="1" applyBorder="1" applyAlignment="1">
      <alignment horizontal="center" vertical="center"/>
    </xf>
    <xf numFmtId="3" fontId="26" fillId="0" borderId="4" xfId="2" applyNumberFormat="1" applyFont="1" applyAlignment="1">
      <alignment horizontal="center" vertical="center" wrapText="1"/>
    </xf>
    <xf numFmtId="0" fontId="14" fillId="0" borderId="4" xfId="2" applyFont="1" applyAlignment="1">
      <alignment horizontal="left" vertical="center"/>
    </xf>
    <xf numFmtId="1" fontId="14" fillId="0" borderId="4" xfId="2" applyNumberFormat="1" applyFont="1" applyAlignment="1">
      <alignment horizontal="center" vertical="center"/>
    </xf>
    <xf numFmtId="3" fontId="27" fillId="0" borderId="4" xfId="2" applyNumberFormat="1" applyFont="1" applyAlignment="1">
      <alignment horizontal="center" vertical="center" wrapText="1"/>
    </xf>
    <xf numFmtId="0" fontId="2" fillId="3" borderId="21" xfId="2" applyFont="1" applyFill="1" applyBorder="1" applyAlignment="1">
      <alignment horizontal="center" vertical="center" wrapText="1"/>
    </xf>
    <xf numFmtId="3" fontId="3" fillId="3" borderId="20" xfId="2" applyNumberFormat="1" applyFont="1" applyFill="1" applyBorder="1" applyAlignment="1">
      <alignment horizontal="center" vertical="center" wrapText="1"/>
    </xf>
    <xf numFmtId="3" fontId="13" fillId="0" borderId="4" xfId="2" applyNumberFormat="1"/>
    <xf numFmtId="3" fontId="29" fillId="0" borderId="26" xfId="2" applyNumberFormat="1" applyFont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left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25" xfId="2" applyFont="1" applyBorder="1"/>
    <xf numFmtId="0" fontId="24" fillId="0" borderId="26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1" fillId="0" borderId="28" xfId="2" applyFont="1" applyBorder="1"/>
    <xf numFmtId="0" fontId="11" fillId="0" borderId="30" xfId="2" applyFont="1" applyBorder="1"/>
    <xf numFmtId="167" fontId="7" fillId="0" borderId="31" xfId="2" applyNumberFormat="1" applyFont="1" applyBorder="1" applyAlignment="1">
      <alignment horizontal="center" vertical="center"/>
    </xf>
    <xf numFmtId="166" fontId="7" fillId="0" borderId="31" xfId="2" applyNumberFormat="1" applyFont="1" applyBorder="1" applyAlignment="1">
      <alignment horizontal="center" vertical="center"/>
    </xf>
    <xf numFmtId="0" fontId="24" fillId="0" borderId="4" xfId="2" applyFont="1"/>
    <xf numFmtId="0" fontId="24" fillId="0" borderId="27" xfId="2" applyFont="1" applyBorder="1" applyAlignment="1">
      <alignment horizontal="center" vertical="center"/>
    </xf>
    <xf numFmtId="169" fontId="24" fillId="0" borderId="4" xfId="2" applyNumberFormat="1" applyFont="1"/>
    <xf numFmtId="0" fontId="19" fillId="0" borderId="4" xfId="2" applyFont="1"/>
    <xf numFmtId="0" fontId="18" fillId="0" borderId="4" xfId="2" applyFont="1"/>
    <xf numFmtId="166" fontId="13" fillId="0" borderId="31" xfId="2" applyNumberFormat="1" applyBorder="1" applyAlignment="1">
      <alignment horizontal="center" vertical="center"/>
    </xf>
    <xf numFmtId="167" fontId="13" fillId="0" borderId="31" xfId="2" applyNumberFormat="1" applyBorder="1" applyAlignment="1">
      <alignment horizontal="center" vertical="center"/>
    </xf>
    <xf numFmtId="169" fontId="13" fillId="0" borderId="4" xfId="4" applyNumberFormat="1" applyFont="1" applyBorder="1" applyAlignment="1">
      <alignment horizontal="center" vertical="center"/>
    </xf>
    <xf numFmtId="169" fontId="13" fillId="0" borderId="29" xfId="4" applyNumberFormat="1" applyFont="1" applyBorder="1" applyAlignment="1">
      <alignment horizontal="center" vertical="center"/>
    </xf>
    <xf numFmtId="169" fontId="13" fillId="0" borderId="31" xfId="4" applyNumberFormat="1" applyFont="1" applyBorder="1" applyAlignment="1">
      <alignment horizontal="center" vertical="center"/>
    </xf>
    <xf numFmtId="169" fontId="13" fillId="0" borderId="32" xfId="4" applyNumberFormat="1" applyFont="1" applyBorder="1" applyAlignment="1">
      <alignment horizontal="center" vertical="center"/>
    </xf>
    <xf numFmtId="10" fontId="13" fillId="0" borderId="31" xfId="2" applyNumberFormat="1" applyBorder="1" applyAlignment="1">
      <alignment horizontal="center" vertical="center"/>
    </xf>
    <xf numFmtId="10" fontId="0" fillId="0" borderId="29" xfId="3" applyNumberFormat="1" applyFont="1" applyBorder="1" applyAlignment="1">
      <alignment horizontal="center" vertical="center"/>
    </xf>
    <xf numFmtId="10" fontId="0" fillId="0" borderId="32" xfId="3" applyNumberFormat="1" applyFont="1" applyBorder="1" applyAlignment="1">
      <alignment horizontal="center" vertical="center"/>
    </xf>
    <xf numFmtId="0" fontId="13" fillId="0" borderId="31" xfId="2" applyBorder="1"/>
    <xf numFmtId="10" fontId="13" fillId="0" borderId="31" xfId="2" applyNumberFormat="1" applyBorder="1"/>
    <xf numFmtId="10" fontId="0" fillId="0" borderId="4" xfId="3" applyNumberFormat="1" applyFont="1" applyBorder="1" applyAlignment="1">
      <alignment horizontal="center" vertical="center"/>
    </xf>
    <xf numFmtId="10" fontId="0" fillId="0" borderId="31" xfId="3" applyNumberFormat="1" applyFont="1" applyBorder="1" applyAlignment="1">
      <alignment horizontal="center" vertical="center"/>
    </xf>
    <xf numFmtId="0" fontId="21" fillId="0" borderId="4" xfId="2" applyFont="1" applyAlignment="1">
      <alignment horizontal="center" vertical="center"/>
    </xf>
    <xf numFmtId="2" fontId="24" fillId="0" borderId="4" xfId="2" applyNumberFormat="1" applyFont="1" applyAlignment="1">
      <alignment horizontal="right" vertical="center"/>
    </xf>
    <xf numFmtId="166" fontId="7" fillId="0" borderId="0" xfId="0" applyNumberFormat="1" applyFont="1" applyAlignment="1">
      <alignment horizontal="center" vertical="center"/>
    </xf>
    <xf numFmtId="166" fontId="11" fillId="7" borderId="4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11" fillId="7" borderId="4" xfId="0" applyNumberFormat="1" applyFont="1" applyFill="1" applyBorder="1" applyAlignment="1">
      <alignment horizontal="center" vertical="center"/>
    </xf>
    <xf numFmtId="0" fontId="24" fillId="0" borderId="0" xfId="0" applyFont="1"/>
    <xf numFmtId="169" fontId="13" fillId="0" borderId="4" xfId="5" applyNumberFormat="1" applyFont="1" applyBorder="1" applyAlignment="1">
      <alignment horizontal="center" vertical="center"/>
    </xf>
    <xf numFmtId="169" fontId="13" fillId="0" borderId="4" xfId="5" applyNumberFormat="1" applyFont="1" applyBorder="1"/>
    <xf numFmtId="169" fontId="13" fillId="0" borderId="31" xfId="5" applyNumberFormat="1" applyFont="1" applyBorder="1"/>
    <xf numFmtId="166" fontId="13" fillId="0" borderId="4" xfId="1" applyNumberFormat="1" applyFont="1" applyBorder="1" applyAlignment="1">
      <alignment horizontal="center" vertical="center"/>
    </xf>
    <xf numFmtId="166" fontId="13" fillId="0" borderId="4" xfId="1" applyNumberFormat="1" applyFont="1" applyBorder="1" applyAlignment="1">
      <alignment horizontal="center"/>
    </xf>
    <xf numFmtId="166" fontId="13" fillId="0" borderId="31" xfId="1" applyNumberFormat="1" applyFont="1" applyBorder="1" applyAlignment="1">
      <alignment horizontal="center"/>
    </xf>
    <xf numFmtId="166" fontId="0" fillId="0" borderId="0" xfId="1" applyNumberFormat="1" applyFont="1"/>
    <xf numFmtId="169" fontId="7" fillId="0" borderId="0" xfId="0" applyNumberFormat="1" applyFont="1" applyAlignment="1">
      <alignment horizontal="center" vertical="center"/>
    </xf>
    <xf numFmtId="166" fontId="7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11" fillId="7" borderId="4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7" fontId="7" fillId="0" borderId="4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9" fontId="7" fillId="0" borderId="16" xfId="0" applyNumberFormat="1" applyFont="1" applyBorder="1" applyAlignment="1">
      <alignment horizontal="center" vertical="center"/>
    </xf>
    <xf numFmtId="166" fontId="7" fillId="0" borderId="29" xfId="0" applyNumberFormat="1" applyFont="1" applyBorder="1" applyAlignment="1">
      <alignment horizontal="center"/>
    </xf>
    <xf numFmtId="9" fontId="7" fillId="0" borderId="4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/>
    </xf>
    <xf numFmtId="166" fontId="7" fillId="0" borderId="31" xfId="0" applyNumberFormat="1" applyFont="1" applyBorder="1" applyAlignment="1">
      <alignment horizontal="center"/>
    </xf>
    <xf numFmtId="167" fontId="7" fillId="0" borderId="31" xfId="0" applyNumberFormat="1" applyFont="1" applyBorder="1" applyAlignment="1">
      <alignment horizontal="center" vertical="center"/>
    </xf>
    <xf numFmtId="10" fontId="7" fillId="0" borderId="44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9" fontId="7" fillId="0" borderId="44" xfId="0" applyNumberFormat="1" applyFont="1" applyBorder="1" applyAlignment="1">
      <alignment horizontal="center" vertical="center"/>
    </xf>
    <xf numFmtId="166" fontId="7" fillId="0" borderId="32" xfId="0" applyNumberFormat="1" applyFont="1" applyBorder="1" applyAlignment="1">
      <alignment horizontal="center"/>
    </xf>
    <xf numFmtId="9" fontId="7" fillId="0" borderId="41" xfId="0" applyNumberFormat="1" applyFont="1" applyBorder="1" applyAlignment="1">
      <alignment horizontal="center" vertical="center"/>
    </xf>
    <xf numFmtId="0" fontId="24" fillId="0" borderId="25" xfId="2" applyFont="1" applyBorder="1" applyAlignment="1">
      <alignment horizontal="center" vertical="center"/>
    </xf>
    <xf numFmtId="167" fontId="7" fillId="0" borderId="28" xfId="2" applyNumberFormat="1" applyFont="1" applyBorder="1" applyAlignment="1">
      <alignment horizontal="center" vertical="center"/>
    </xf>
    <xf numFmtId="166" fontId="7" fillId="0" borderId="4" xfId="2" applyNumberFormat="1" applyFont="1" applyAlignment="1">
      <alignment horizontal="center" vertical="center"/>
    </xf>
    <xf numFmtId="167" fontId="7" fillId="0" borderId="4" xfId="2" applyNumberFormat="1" applyFont="1" applyAlignment="1">
      <alignment horizontal="center" vertical="center"/>
    </xf>
    <xf numFmtId="166" fontId="13" fillId="0" borderId="4" xfId="2" applyNumberFormat="1" applyAlignment="1">
      <alignment horizontal="center" vertical="center"/>
    </xf>
    <xf numFmtId="167" fontId="13" fillId="0" borderId="4" xfId="2" applyNumberFormat="1" applyAlignment="1">
      <alignment horizontal="center" vertical="center"/>
    </xf>
    <xf numFmtId="10" fontId="13" fillId="0" borderId="4" xfId="2" applyNumberFormat="1" applyAlignment="1">
      <alignment horizontal="center" vertical="center"/>
    </xf>
    <xf numFmtId="2" fontId="13" fillId="0" borderId="4" xfId="2" applyNumberFormat="1"/>
    <xf numFmtId="167" fontId="7" fillId="0" borderId="30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9" fontId="24" fillId="0" borderId="0" xfId="0" applyNumberFormat="1" applyFont="1"/>
    <xf numFmtId="0" fontId="24" fillId="0" borderId="0" xfId="0" applyFont="1" applyAlignment="1">
      <alignment horizontal="center" vertical="center"/>
    </xf>
    <xf numFmtId="10" fontId="24" fillId="0" borderId="0" xfId="0" applyNumberFormat="1" applyFont="1"/>
    <xf numFmtId="166" fontId="24" fillId="0" borderId="0" xfId="1" applyNumberFormat="1" applyFont="1"/>
    <xf numFmtId="0" fontId="13" fillId="0" borderId="0" xfId="0" applyFont="1"/>
    <xf numFmtId="0" fontId="32" fillId="7" borderId="0" xfId="0" applyFont="1" applyFill="1"/>
    <xf numFmtId="0" fontId="33" fillId="7" borderId="4" xfId="0" applyFont="1" applyFill="1" applyBorder="1"/>
    <xf numFmtId="0" fontId="34" fillId="0" borderId="4" xfId="0" applyFont="1" applyBorder="1"/>
    <xf numFmtId="0" fontId="35" fillId="0" borderId="4" xfId="0" applyFont="1" applyBorder="1" applyAlignment="1">
      <alignment horizontal="center"/>
    </xf>
    <xf numFmtId="0" fontId="35" fillId="0" borderId="4" xfId="0" applyFont="1" applyBorder="1"/>
    <xf numFmtId="3" fontId="33" fillId="0" borderId="4" xfId="0" applyNumberFormat="1" applyFont="1" applyBorder="1" applyAlignment="1">
      <alignment horizontal="center" vertical="center"/>
    </xf>
    <xf numFmtId="166" fontId="33" fillId="12" borderId="4" xfId="0" applyNumberFormat="1" applyFont="1" applyFill="1" applyBorder="1" applyAlignment="1">
      <alignment horizontal="center" vertical="center"/>
    </xf>
    <xf numFmtId="166" fontId="33" fillId="0" borderId="4" xfId="0" applyNumberFormat="1" applyFont="1" applyBorder="1" applyAlignment="1">
      <alignment horizontal="center" vertical="center"/>
    </xf>
    <xf numFmtId="3" fontId="35" fillId="7" borderId="4" xfId="0" applyNumberFormat="1" applyFont="1" applyFill="1" applyBorder="1" applyAlignment="1">
      <alignment horizontal="center" vertical="center"/>
    </xf>
    <xf numFmtId="166" fontId="35" fillId="7" borderId="4" xfId="0" applyNumberFormat="1" applyFont="1" applyFill="1" applyBorder="1" applyAlignment="1">
      <alignment horizontal="center" vertical="center"/>
    </xf>
    <xf numFmtId="10" fontId="37" fillId="14" borderId="48" xfId="3" applyNumberFormat="1" applyFont="1" applyFill="1" applyBorder="1" applyAlignment="1">
      <alignment horizontal="center" vertical="center"/>
    </xf>
    <xf numFmtId="10" fontId="37" fillId="14" borderId="47" xfId="3" applyNumberFormat="1" applyFont="1" applyFill="1" applyBorder="1" applyAlignment="1">
      <alignment horizontal="center" vertical="center"/>
    </xf>
    <xf numFmtId="10" fontId="37" fillId="14" borderId="45" xfId="3" applyNumberFormat="1" applyFont="1" applyFill="1" applyBorder="1" applyAlignment="1">
      <alignment horizontal="center" vertical="center"/>
    </xf>
    <xf numFmtId="10" fontId="38" fillId="14" borderId="36" xfId="3" applyNumberFormat="1" applyFont="1" applyFill="1" applyBorder="1" applyAlignment="1">
      <alignment horizontal="center" vertical="center"/>
    </xf>
    <xf numFmtId="10" fontId="38" fillId="14" borderId="49" xfId="3" applyNumberFormat="1" applyFont="1" applyFill="1" applyBorder="1" applyAlignment="1">
      <alignment horizontal="center" vertical="center"/>
    </xf>
    <xf numFmtId="10" fontId="38" fillId="14" borderId="38" xfId="3" applyNumberFormat="1" applyFont="1" applyFill="1" applyBorder="1" applyAlignment="1">
      <alignment horizontal="center" vertical="center"/>
    </xf>
    <xf numFmtId="10" fontId="38" fillId="14" borderId="4" xfId="3" applyNumberFormat="1" applyFont="1" applyFill="1" applyBorder="1" applyAlignment="1">
      <alignment horizontal="center" vertical="center"/>
    </xf>
    <xf numFmtId="0" fontId="2" fillId="3" borderId="42" xfId="2" applyFont="1" applyFill="1" applyBorder="1" applyAlignment="1">
      <alignment horizontal="center" vertical="center" wrapText="1"/>
    </xf>
    <xf numFmtId="0" fontId="2" fillId="3" borderId="13" xfId="2" applyFont="1" applyFill="1" applyBorder="1" applyAlignment="1">
      <alignment horizontal="center" vertical="center" wrapText="1"/>
    </xf>
    <xf numFmtId="0" fontId="25" fillId="0" borderId="4" xfId="2" applyFont="1"/>
    <xf numFmtId="0" fontId="36" fillId="14" borderId="35" xfId="2" applyFont="1" applyFill="1" applyBorder="1" applyAlignment="1">
      <alignment horizontal="center" vertical="center"/>
    </xf>
    <xf numFmtId="3" fontId="37" fillId="14" borderId="45" xfId="2" applyNumberFormat="1" applyFont="1" applyFill="1" applyBorder="1" applyAlignment="1">
      <alignment horizontal="center" vertical="center"/>
    </xf>
    <xf numFmtId="3" fontId="13" fillId="0" borderId="45" xfId="2" applyNumberFormat="1" applyBorder="1" applyAlignment="1">
      <alignment horizontal="center" vertical="center"/>
    </xf>
    <xf numFmtId="0" fontId="13" fillId="0" borderId="45" xfId="2" applyBorder="1"/>
    <xf numFmtId="3" fontId="24" fillId="0" borderId="36" xfId="2" applyNumberFormat="1" applyFont="1" applyBorder="1" applyAlignment="1">
      <alignment horizontal="center" vertical="center"/>
    </xf>
    <xf numFmtId="0" fontId="36" fillId="14" borderId="46" xfId="2" applyFont="1" applyFill="1" applyBorder="1" applyAlignment="1">
      <alignment horizontal="center" vertical="center"/>
    </xf>
    <xf numFmtId="3" fontId="37" fillId="14" borderId="47" xfId="2" applyNumberFormat="1" applyFont="1" applyFill="1" applyBorder="1" applyAlignment="1">
      <alignment horizontal="center" vertical="center"/>
    </xf>
    <xf numFmtId="3" fontId="13" fillId="0" borderId="47" xfId="2" applyNumberFormat="1" applyBorder="1" applyAlignment="1">
      <alignment horizontal="center" vertical="center"/>
    </xf>
    <xf numFmtId="0" fontId="13" fillId="0" borderId="47" xfId="2" applyBorder="1"/>
    <xf numFmtId="3" fontId="24" fillId="0" borderId="49" xfId="2" applyNumberFormat="1" applyFont="1" applyBorder="1" applyAlignment="1">
      <alignment horizontal="center" vertical="center"/>
    </xf>
    <xf numFmtId="0" fontId="36" fillId="14" borderId="37" xfId="2" applyFont="1" applyFill="1" applyBorder="1" applyAlignment="1">
      <alignment horizontal="center" vertical="center"/>
    </xf>
    <xf numFmtId="3" fontId="37" fillId="14" borderId="48" xfId="2" applyNumberFormat="1" applyFont="1" applyFill="1" applyBorder="1" applyAlignment="1">
      <alignment horizontal="center" vertical="center"/>
    </xf>
    <xf numFmtId="3" fontId="13" fillId="0" borderId="48" xfId="2" applyNumberFormat="1" applyBorder="1" applyAlignment="1">
      <alignment horizontal="center" vertical="center"/>
    </xf>
    <xf numFmtId="0" fontId="13" fillId="0" borderId="48" xfId="2" applyBorder="1"/>
    <xf numFmtId="3" fontId="24" fillId="0" borderId="38" xfId="2" applyNumberFormat="1" applyFont="1" applyBorder="1" applyAlignment="1">
      <alignment horizontal="center" vertical="center"/>
    </xf>
    <xf numFmtId="0" fontId="36" fillId="14" borderId="4" xfId="2" applyFont="1" applyFill="1" applyAlignment="1">
      <alignment horizontal="center" vertical="center"/>
    </xf>
    <xf numFmtId="3" fontId="38" fillId="14" borderId="4" xfId="2" applyNumberFormat="1" applyFont="1" applyFill="1" applyAlignment="1">
      <alignment horizontal="center" vertical="center"/>
    </xf>
    <xf numFmtId="0" fontId="13" fillId="0" borderId="4" xfId="2" applyAlignment="1">
      <alignment horizontal="center" vertical="center"/>
    </xf>
    <xf numFmtId="0" fontId="3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39" fillId="0" borderId="0" xfId="1" applyNumberFormat="1" applyFont="1" applyAlignment="1">
      <alignment horizontal="center"/>
    </xf>
    <xf numFmtId="1" fontId="40" fillId="0" borderId="0" xfId="5" applyNumberFormat="1" applyFont="1" applyAlignment="1">
      <alignment horizontal="center"/>
    </xf>
    <xf numFmtId="10" fontId="0" fillId="0" borderId="0" xfId="0" applyNumberFormat="1"/>
    <xf numFmtId="9" fontId="27" fillId="3" borderId="4" xfId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vertical="center" wrapText="1"/>
    </xf>
    <xf numFmtId="0" fontId="2" fillId="3" borderId="34" xfId="2" applyFont="1" applyFill="1" applyBorder="1" applyAlignment="1">
      <alignment horizontal="center" vertical="center" wrapText="1"/>
    </xf>
    <xf numFmtId="0" fontId="15" fillId="0" borderId="4" xfId="2" applyFont="1" applyAlignment="1">
      <alignment horizontal="center" vertical="center"/>
    </xf>
    <xf numFmtId="10" fontId="15" fillId="0" borderId="4" xfId="2" applyNumberFormat="1" applyFont="1" applyAlignment="1">
      <alignment horizontal="center" vertical="center"/>
    </xf>
    <xf numFmtId="0" fontId="13" fillId="0" borderId="27" xfId="2" applyBorder="1" applyAlignment="1">
      <alignment horizontal="center" vertical="center"/>
    </xf>
    <xf numFmtId="0" fontId="13" fillId="0" borderId="29" xfId="2" applyBorder="1" applyAlignment="1">
      <alignment horizontal="center" vertical="center"/>
    </xf>
    <xf numFmtId="0" fontId="13" fillId="0" borderId="32" xfId="2" applyBorder="1" applyAlignment="1">
      <alignment horizontal="center" vertical="center"/>
    </xf>
    <xf numFmtId="169" fontId="0" fillId="0" borderId="0" xfId="5" applyNumberFormat="1" applyFont="1" applyAlignment="1">
      <alignment horizontal="center" vertical="center"/>
    </xf>
    <xf numFmtId="1" fontId="15" fillId="0" borderId="28" xfId="0" applyNumberFormat="1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170" fontId="0" fillId="0" borderId="0" xfId="0" applyNumberFormat="1"/>
    <xf numFmtId="3" fontId="2" fillId="3" borderId="50" xfId="0" applyNumberFormat="1" applyFont="1" applyFill="1" applyBorder="1" applyAlignment="1">
      <alignment horizontal="center" vertical="center" wrapText="1"/>
    </xf>
    <xf numFmtId="169" fontId="13" fillId="0" borderId="4" xfId="5" applyNumberFormat="1" applyFont="1" applyBorder="1" applyAlignment="1">
      <alignment horizontal="center"/>
    </xf>
    <xf numFmtId="169" fontId="13" fillId="0" borderId="31" xfId="5" applyNumberFormat="1" applyFont="1" applyBorder="1" applyAlignment="1">
      <alignment horizontal="center"/>
    </xf>
    <xf numFmtId="1" fontId="15" fillId="0" borderId="30" xfId="0" applyNumberFormat="1" applyFont="1" applyBorder="1" applyAlignment="1">
      <alignment horizontal="center" vertical="center"/>
    </xf>
    <xf numFmtId="0" fontId="14" fillId="0" borderId="4" xfId="2" applyFont="1" applyAlignment="1">
      <alignment horizontal="center" vertical="center" wrapText="1"/>
    </xf>
    <xf numFmtId="164" fontId="0" fillId="0" borderId="0" xfId="0" applyNumberFormat="1"/>
    <xf numFmtId="164" fontId="13" fillId="0" borderId="0" xfId="0" applyNumberFormat="1" applyFont="1"/>
    <xf numFmtId="171" fontId="41" fillId="14" borderId="0" xfId="0" applyNumberFormat="1" applyFont="1" applyFill="1"/>
    <xf numFmtId="14" fontId="41" fillId="0" borderId="4" xfId="2" applyNumberFormat="1" applyFont="1" applyAlignment="1">
      <alignment horizontal="center" vertical="center"/>
    </xf>
    <xf numFmtId="0" fontId="44" fillId="0" borderId="4" xfId="2" applyFont="1"/>
    <xf numFmtId="14" fontId="41" fillId="0" borderId="4" xfId="2" applyNumberFormat="1" applyFont="1"/>
    <xf numFmtId="0" fontId="1" fillId="2" borderId="2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0" fillId="0" borderId="4" xfId="0" applyBorder="1"/>
    <xf numFmtId="3" fontId="2" fillId="3" borderId="51" xfId="0" applyNumberFormat="1" applyFont="1" applyFill="1" applyBorder="1" applyAlignment="1">
      <alignment horizontal="center" vertical="center" wrapText="1"/>
    </xf>
    <xf numFmtId="3" fontId="3" fillId="3" borderId="28" xfId="0" applyNumberFormat="1" applyFont="1" applyFill="1" applyBorder="1" applyAlignment="1">
      <alignment horizontal="center" vertical="center" wrapText="1"/>
    </xf>
    <xf numFmtId="3" fontId="2" fillId="3" borderId="52" xfId="0" applyNumberFormat="1" applyFont="1" applyFill="1" applyBorder="1" applyAlignment="1">
      <alignment horizontal="center" vertical="center" wrapText="1"/>
    </xf>
    <xf numFmtId="3" fontId="5" fillId="3" borderId="28" xfId="0" applyNumberFormat="1" applyFont="1" applyFill="1" applyBorder="1" applyAlignment="1">
      <alignment horizontal="center" vertical="center" wrapText="1"/>
    </xf>
    <xf numFmtId="10" fontId="6" fillId="4" borderId="30" xfId="0" applyNumberFormat="1" applyFont="1" applyFill="1" applyBorder="1" applyAlignment="1">
      <alignment horizontal="center" vertical="center" wrapText="1"/>
    </xf>
    <xf numFmtId="3" fontId="2" fillId="3" borderId="39" xfId="0" applyNumberFormat="1" applyFont="1" applyFill="1" applyBorder="1" applyAlignment="1">
      <alignment horizontal="center" vertical="center" wrapText="1"/>
    </xf>
    <xf numFmtId="3" fontId="2" fillId="3" borderId="40" xfId="0" applyNumberFormat="1" applyFont="1" applyFill="1" applyBorder="1" applyAlignment="1">
      <alignment horizontal="center" vertical="center" wrapText="1"/>
    </xf>
    <xf numFmtId="0" fontId="11" fillId="0" borderId="4" xfId="2" applyFont="1" applyAlignment="1">
      <alignment horizontal="center" vertical="center"/>
    </xf>
    <xf numFmtId="4" fontId="31" fillId="0" borderId="4" xfId="6" applyNumberFormat="1" applyBorder="1"/>
    <xf numFmtId="9" fontId="0" fillId="0" borderId="0" xfId="0" applyNumberFormat="1"/>
    <xf numFmtId="169" fontId="0" fillId="0" borderId="0" xfId="5" applyNumberFormat="1" applyFont="1"/>
    <xf numFmtId="169" fontId="0" fillId="0" borderId="0" xfId="0" applyNumberFormat="1"/>
    <xf numFmtId="0" fontId="18" fillId="0" borderId="4" xfId="2" applyFont="1" applyAlignment="1">
      <alignment horizontal="center"/>
    </xf>
    <xf numFmtId="0" fontId="14" fillId="3" borderId="4" xfId="2" applyFont="1" applyFill="1" applyAlignment="1">
      <alignment horizontal="left" vertical="top" wrapText="1"/>
    </xf>
    <xf numFmtId="0" fontId="18" fillId="0" borderId="0" xfId="0" applyFont="1" applyAlignment="1">
      <alignment horizontal="center"/>
    </xf>
    <xf numFmtId="1" fontId="15" fillId="0" borderId="25" xfId="0" applyNumberFormat="1" applyFont="1" applyBorder="1" applyAlignment="1">
      <alignment horizontal="center" vertical="center"/>
    </xf>
    <xf numFmtId="1" fontId="15" fillId="0" borderId="28" xfId="0" applyNumberFormat="1" applyFont="1" applyBorder="1" applyAlignment="1">
      <alignment horizontal="center" vertical="center"/>
    </xf>
    <xf numFmtId="3" fontId="15" fillId="0" borderId="27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11" fillId="0" borderId="4" xfId="2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</cellXfs>
  <cellStyles count="7">
    <cellStyle name="Comma 2" xfId="4" xr:uid="{2BBE4302-9BFC-C344-8486-7D3C3758039D}"/>
    <cellStyle name="Hipervínculo" xfId="6" builtinId="8"/>
    <cellStyle name="Millares" xfId="5" builtinId="3"/>
    <cellStyle name="Normal" xfId="0" builtinId="0"/>
    <cellStyle name="Normal 2" xfId="2" xr:uid="{43304097-C04D-AF4C-BB2E-B4EC442E1FB9}"/>
    <cellStyle name="Percent 2" xfId="3" xr:uid="{5CDE8201-5761-5941-8E3D-421F3A23912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Procesamiento RFF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'ACUMULADO 2025'!$A$5:$B$5</c:f>
              <c:strCache>
                <c:ptCount val="2"/>
                <c:pt idx="0">
                  <c:v>Codazzi</c:v>
                </c:pt>
                <c:pt idx="1">
                  <c:v>RFF Procesada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2025'!$C$4:$K$4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2025'!$C$5:$K$5</c:f>
              <c:numCache>
                <c:formatCode>#,##0</c:formatCode>
                <c:ptCount val="9"/>
                <c:pt idx="0">
                  <c:v>23942</c:v>
                </c:pt>
                <c:pt idx="1">
                  <c:v>20911</c:v>
                </c:pt>
                <c:pt idx="2">
                  <c:v>23306</c:v>
                </c:pt>
                <c:pt idx="3">
                  <c:v>22844</c:v>
                </c:pt>
                <c:pt idx="4">
                  <c:v>19765</c:v>
                </c:pt>
                <c:pt idx="5">
                  <c:v>16856.57</c:v>
                </c:pt>
                <c:pt idx="6">
                  <c:v>20885.8</c:v>
                </c:pt>
                <c:pt idx="7">
                  <c:v>22286</c:v>
                </c:pt>
                <c:pt idx="8">
                  <c:v>21258.25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A-F749-8951-80C0ABEA0E1A}"/>
            </c:ext>
          </c:extLst>
        </c:ser>
        <c:ser>
          <c:idx val="1"/>
          <c:order val="1"/>
          <c:tx>
            <c:strRef>
              <c:f>'ACUMULADO 2025'!$A$6:$B$6</c:f>
              <c:strCache>
                <c:ptCount val="2"/>
                <c:pt idx="0">
                  <c:v>MLB</c:v>
                </c:pt>
                <c:pt idx="1">
                  <c:v>RFF Procesada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2025'!$C$4:$K$4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2025'!$C$6:$K$6</c:f>
              <c:numCache>
                <c:formatCode>#,##0</c:formatCode>
                <c:ptCount val="9"/>
                <c:pt idx="0">
                  <c:v>11997</c:v>
                </c:pt>
                <c:pt idx="1">
                  <c:v>10793</c:v>
                </c:pt>
                <c:pt idx="2">
                  <c:v>12894.880000000001</c:v>
                </c:pt>
                <c:pt idx="3">
                  <c:v>10543</c:v>
                </c:pt>
                <c:pt idx="4">
                  <c:v>9879</c:v>
                </c:pt>
                <c:pt idx="5">
                  <c:v>6822.47</c:v>
                </c:pt>
                <c:pt idx="6">
                  <c:v>7206.91</c:v>
                </c:pt>
                <c:pt idx="7">
                  <c:v>7738.57</c:v>
                </c:pt>
                <c:pt idx="8">
                  <c:v>7317.06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A-F749-8951-80C0ABEA0E1A}"/>
            </c:ext>
          </c:extLst>
        </c:ser>
        <c:ser>
          <c:idx val="2"/>
          <c:order val="2"/>
          <c:tx>
            <c:strRef>
              <c:f>'ACUMULADO 2025'!$A$7:$B$7</c:f>
              <c:strCache>
                <c:ptCount val="2"/>
                <c:pt idx="0">
                  <c:v>A&amp;G</c:v>
                </c:pt>
                <c:pt idx="1">
                  <c:v>RFF Procesada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2025'!$C$4:$K$4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2025'!$C$7:$K$7</c:f>
              <c:numCache>
                <c:formatCode>#,##0</c:formatCode>
                <c:ptCount val="9"/>
                <c:pt idx="0">
                  <c:v>16844.236999999997</c:v>
                </c:pt>
                <c:pt idx="1">
                  <c:v>18554</c:v>
                </c:pt>
                <c:pt idx="2">
                  <c:v>18827.580999999998</c:v>
                </c:pt>
                <c:pt idx="3">
                  <c:v>17972</c:v>
                </c:pt>
                <c:pt idx="4">
                  <c:v>18658.109</c:v>
                </c:pt>
                <c:pt idx="5">
                  <c:v>16956.319</c:v>
                </c:pt>
                <c:pt idx="6">
                  <c:v>21020.219000000001</c:v>
                </c:pt>
                <c:pt idx="7">
                  <c:v>19236.605</c:v>
                </c:pt>
                <c:pt idx="8">
                  <c:v>22461.803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A-F749-8951-80C0ABEA0E1A}"/>
            </c:ext>
          </c:extLst>
        </c:ser>
        <c:ser>
          <c:idx val="3"/>
          <c:order val="3"/>
          <c:tx>
            <c:strRef>
              <c:f>'ACUMULADO 2025'!$A$8:$B$8</c:f>
              <c:strCache>
                <c:ptCount val="2"/>
                <c:pt idx="0">
                  <c:v>Sinu</c:v>
                </c:pt>
                <c:pt idx="1">
                  <c:v>RFF Procesada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2025'!$C$4:$K$4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2025'!$C$8:$K$8</c:f>
              <c:numCache>
                <c:formatCode>#,##0</c:formatCode>
                <c:ptCount val="9"/>
                <c:pt idx="0">
                  <c:v>6035</c:v>
                </c:pt>
                <c:pt idx="1">
                  <c:v>7270</c:v>
                </c:pt>
                <c:pt idx="2">
                  <c:v>8455</c:v>
                </c:pt>
                <c:pt idx="3">
                  <c:v>7257</c:v>
                </c:pt>
                <c:pt idx="4">
                  <c:v>7471</c:v>
                </c:pt>
                <c:pt idx="5">
                  <c:v>6237.4</c:v>
                </c:pt>
                <c:pt idx="6">
                  <c:v>6035.2</c:v>
                </c:pt>
                <c:pt idx="7">
                  <c:v>6085.7999999999993</c:v>
                </c:pt>
                <c:pt idx="8">
                  <c:v>6505.8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3A-F749-8951-80C0ABEA0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114496"/>
        <c:axId val="739116208"/>
      </c:barChart>
      <c:catAx>
        <c:axId val="7391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16208"/>
        <c:crosses val="autoZero"/>
        <c:auto val="1"/>
        <c:lblAlgn val="ctr"/>
        <c:lblOffset val="100"/>
        <c:noMultiLvlLbl val="0"/>
      </c:catAx>
      <c:valAx>
        <c:axId val="7391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'ACUMULADO 2025'!$A$12:$B$12</c:f>
              <c:strCache>
                <c:ptCount val="2"/>
                <c:pt idx="0">
                  <c:v>Codazzi</c:v>
                </c:pt>
                <c:pt idx="1">
                  <c:v>Producción CPO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2025'!$C$11:$K$11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2025'!$C$12:$K$12</c:f>
              <c:numCache>
                <c:formatCode>#,##0</c:formatCode>
                <c:ptCount val="9"/>
                <c:pt idx="0">
                  <c:v>4796</c:v>
                </c:pt>
                <c:pt idx="1">
                  <c:v>4277.6970000000001</c:v>
                </c:pt>
                <c:pt idx="2">
                  <c:v>4811.63</c:v>
                </c:pt>
                <c:pt idx="3">
                  <c:v>4777</c:v>
                </c:pt>
                <c:pt idx="4">
                  <c:v>4282</c:v>
                </c:pt>
                <c:pt idx="5">
                  <c:v>3870.886</c:v>
                </c:pt>
                <c:pt idx="6">
                  <c:v>4752.241</c:v>
                </c:pt>
                <c:pt idx="7">
                  <c:v>4913.5239999999994</c:v>
                </c:pt>
                <c:pt idx="8">
                  <c:v>4676.2759999999998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5-D04D-9F90-5BBD66C9A258}"/>
            </c:ext>
          </c:extLst>
        </c:ser>
        <c:ser>
          <c:idx val="1"/>
          <c:order val="1"/>
          <c:tx>
            <c:strRef>
              <c:f>'ACUMULADO 2025'!$A$13:$B$13</c:f>
              <c:strCache>
                <c:ptCount val="2"/>
                <c:pt idx="0">
                  <c:v>MLB</c:v>
                </c:pt>
                <c:pt idx="1">
                  <c:v>Producción CPO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2025'!$C$11:$K$11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2025'!$C$13:$K$13</c:f>
              <c:numCache>
                <c:formatCode>#,##0</c:formatCode>
                <c:ptCount val="9"/>
                <c:pt idx="0">
                  <c:v>2121</c:v>
                </c:pt>
                <c:pt idx="1">
                  <c:v>1908</c:v>
                </c:pt>
                <c:pt idx="2">
                  <c:v>2394</c:v>
                </c:pt>
                <c:pt idx="3">
                  <c:v>1993</c:v>
                </c:pt>
                <c:pt idx="4">
                  <c:v>1960</c:v>
                </c:pt>
                <c:pt idx="5">
                  <c:v>1385.587</c:v>
                </c:pt>
                <c:pt idx="6">
                  <c:v>1471.1869999999999</c:v>
                </c:pt>
                <c:pt idx="7">
                  <c:v>1548.5239999999999</c:v>
                </c:pt>
                <c:pt idx="8">
                  <c:v>1445.8645887879936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5-D04D-9F90-5BBD66C9A258}"/>
            </c:ext>
          </c:extLst>
        </c:ser>
        <c:ser>
          <c:idx val="2"/>
          <c:order val="2"/>
          <c:tx>
            <c:strRef>
              <c:f>'ACUMULADO 2025'!$A$14:$B$14</c:f>
              <c:strCache>
                <c:ptCount val="2"/>
                <c:pt idx="0">
                  <c:v>A&amp;G</c:v>
                </c:pt>
                <c:pt idx="1">
                  <c:v>Producción CPO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2025'!$C$11:$K$11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2025'!$C$14:$K$14</c:f>
              <c:numCache>
                <c:formatCode>#,##0</c:formatCode>
                <c:ptCount val="9"/>
                <c:pt idx="0">
                  <c:v>3878.7649999999999</c:v>
                </c:pt>
                <c:pt idx="1">
                  <c:v>4216</c:v>
                </c:pt>
                <c:pt idx="2">
                  <c:v>4283</c:v>
                </c:pt>
                <c:pt idx="3">
                  <c:v>4119</c:v>
                </c:pt>
                <c:pt idx="4">
                  <c:v>4405</c:v>
                </c:pt>
                <c:pt idx="5">
                  <c:v>4021.3109999999997</c:v>
                </c:pt>
                <c:pt idx="6">
                  <c:v>5086.5159999999996</c:v>
                </c:pt>
                <c:pt idx="7">
                  <c:v>4552.9760000000006</c:v>
                </c:pt>
                <c:pt idx="8">
                  <c:v>5339.656359469961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5-D04D-9F90-5BBD66C9A258}"/>
            </c:ext>
          </c:extLst>
        </c:ser>
        <c:ser>
          <c:idx val="3"/>
          <c:order val="3"/>
          <c:tx>
            <c:strRef>
              <c:f>'ACUMULADO 2025'!$A$15:$B$15</c:f>
              <c:strCache>
                <c:ptCount val="2"/>
                <c:pt idx="0">
                  <c:v>Sinu</c:v>
                </c:pt>
                <c:pt idx="1">
                  <c:v>Producción CPO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2025'!$C$11:$K$11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2025'!$C$15:$K$15</c:f>
              <c:numCache>
                <c:formatCode>#,##0</c:formatCode>
                <c:ptCount val="9"/>
                <c:pt idx="0">
                  <c:v>1265</c:v>
                </c:pt>
                <c:pt idx="1">
                  <c:v>1462</c:v>
                </c:pt>
                <c:pt idx="2">
                  <c:v>1758</c:v>
                </c:pt>
                <c:pt idx="3">
                  <c:v>1581</c:v>
                </c:pt>
                <c:pt idx="4">
                  <c:v>1724</c:v>
                </c:pt>
                <c:pt idx="5">
                  <c:v>1465.5309999999999</c:v>
                </c:pt>
                <c:pt idx="6">
                  <c:v>1390.212</c:v>
                </c:pt>
                <c:pt idx="7">
                  <c:v>1331.0450000000001</c:v>
                </c:pt>
                <c:pt idx="8">
                  <c:v>1455.4228042895443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E5-D04D-9F90-5BBD66C9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08127584"/>
        <c:axId val="1408129296"/>
      </c:barChart>
      <c:catAx>
        <c:axId val="14081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129296"/>
        <c:crosses val="autoZero"/>
        <c:auto val="1"/>
        <c:lblAlgn val="ctr"/>
        <c:lblOffset val="100"/>
        <c:noMultiLvlLbl val="0"/>
      </c:catAx>
      <c:valAx>
        <c:axId val="14081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1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TEA%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'ACUMULADO 2025'!$A$19:$B$19</c:f>
              <c:strCache>
                <c:ptCount val="2"/>
                <c:pt idx="0">
                  <c:v>Codazzi</c:v>
                </c:pt>
                <c:pt idx="1">
                  <c:v>Extracción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2025'!$C$18:$K$18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2025'!$C$19:$K$19</c:f>
              <c:numCache>
                <c:formatCode>0.00%</c:formatCode>
                <c:ptCount val="9"/>
                <c:pt idx="0">
                  <c:v>0.20031743379834599</c:v>
                </c:pt>
                <c:pt idx="1">
                  <c:v>0.20456683085457417</c:v>
                </c:pt>
                <c:pt idx="2">
                  <c:v>0.20645456105723847</c:v>
                </c:pt>
                <c:pt idx="3">
                  <c:v>0.20911399054456312</c:v>
                </c:pt>
                <c:pt idx="4">
                  <c:v>0.2166455856311662</c:v>
                </c:pt>
                <c:pt idx="5">
                  <c:v>0.22963663426189315</c:v>
                </c:pt>
                <c:pt idx="6">
                  <c:v>0.22753454500186732</c:v>
                </c:pt>
                <c:pt idx="7">
                  <c:v>0.22047581441263572</c:v>
                </c:pt>
                <c:pt idx="8">
                  <c:v>0.21997464513777004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2-3842-B708-36028E51A818}"/>
            </c:ext>
          </c:extLst>
        </c:ser>
        <c:ser>
          <c:idx val="1"/>
          <c:order val="1"/>
          <c:tx>
            <c:strRef>
              <c:f>'ACUMULADO 2025'!$A$20:$B$20</c:f>
              <c:strCache>
                <c:ptCount val="2"/>
                <c:pt idx="0">
                  <c:v>MLB</c:v>
                </c:pt>
                <c:pt idx="1">
                  <c:v>Extracción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2025'!$C$18:$K$18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2025'!$C$20:$K$20</c:f>
              <c:numCache>
                <c:formatCode>0.00%</c:formatCode>
                <c:ptCount val="9"/>
                <c:pt idx="0">
                  <c:v>0.1767941985496374</c:v>
                </c:pt>
                <c:pt idx="1">
                  <c:v>0.17678124710460483</c:v>
                </c:pt>
                <c:pt idx="2">
                  <c:v>0.18565508170684797</c:v>
                </c:pt>
                <c:pt idx="3">
                  <c:v>0.18903537892440481</c:v>
                </c:pt>
                <c:pt idx="4">
                  <c:v>0.19840064783885009</c:v>
                </c:pt>
                <c:pt idx="5">
                  <c:v>0.20309169552962489</c:v>
                </c:pt>
                <c:pt idx="6">
                  <c:v>0.20413561429239438</c:v>
                </c:pt>
                <c:pt idx="7">
                  <c:v>0.20010467050113909</c:v>
                </c:pt>
                <c:pt idx="8">
                  <c:v>0.19760184948435486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92-3842-B708-36028E51A818}"/>
            </c:ext>
          </c:extLst>
        </c:ser>
        <c:ser>
          <c:idx val="2"/>
          <c:order val="2"/>
          <c:tx>
            <c:strRef>
              <c:f>'ACUMULADO 2025'!$A$21:$B$21</c:f>
              <c:strCache>
                <c:ptCount val="2"/>
                <c:pt idx="0">
                  <c:v>A&amp;G</c:v>
                </c:pt>
                <c:pt idx="1">
                  <c:v>Extracción 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2025'!$C$18:$K$18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2025'!$C$21:$K$21</c:f>
              <c:numCache>
                <c:formatCode>0.00%</c:formatCode>
                <c:ptCount val="9"/>
                <c:pt idx="0">
                  <c:v>0.23027252584964225</c:v>
                </c:pt>
                <c:pt idx="1">
                  <c:v>0.22722862994502532</c:v>
                </c:pt>
                <c:pt idx="2">
                  <c:v>0.22748541089797997</c:v>
                </c:pt>
                <c:pt idx="3">
                  <c:v>0.22918985087914534</c:v>
                </c:pt>
                <c:pt idx="4">
                  <c:v>0.23609037764759547</c:v>
                </c:pt>
                <c:pt idx="5">
                  <c:v>0.2371570740088105</c:v>
                </c:pt>
                <c:pt idx="6">
                  <c:v>0.24198206498229155</c:v>
                </c:pt>
                <c:pt idx="7">
                  <c:v>0.23668292819860889</c:v>
                </c:pt>
                <c:pt idx="8">
                  <c:v>0.23772162722066262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92-3842-B708-36028E51A818}"/>
            </c:ext>
          </c:extLst>
        </c:ser>
        <c:ser>
          <c:idx val="3"/>
          <c:order val="3"/>
          <c:tx>
            <c:strRef>
              <c:f>'ACUMULADO 2025'!$A$22:$B$22</c:f>
              <c:strCache>
                <c:ptCount val="2"/>
                <c:pt idx="0">
                  <c:v>Sinu</c:v>
                </c:pt>
                <c:pt idx="1">
                  <c:v>Extracción 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'ACUMULADO 2025'!$C$18:$K$18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'ACUMULADO 2025'!$C$22:$K$22</c:f>
              <c:numCache>
                <c:formatCode>0.00%</c:formatCode>
                <c:ptCount val="9"/>
                <c:pt idx="0">
                  <c:v>0.20961060480530241</c:v>
                </c:pt>
                <c:pt idx="1">
                  <c:v>0.20110041265474554</c:v>
                </c:pt>
                <c:pt idx="2">
                  <c:v>0.20792430514488469</c:v>
                </c:pt>
                <c:pt idx="3">
                  <c:v>0.21785861926415875</c:v>
                </c:pt>
                <c:pt idx="4">
                  <c:v>0.23075893454691473</c:v>
                </c:pt>
                <c:pt idx="5">
                  <c:v>0.23495863661140862</c:v>
                </c:pt>
                <c:pt idx="6">
                  <c:v>0.23035060975609756</c:v>
                </c:pt>
                <c:pt idx="7">
                  <c:v>0.21871323408590493</c:v>
                </c:pt>
                <c:pt idx="8">
                  <c:v>0.22371158109526026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92-3842-B708-36028E51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840352"/>
        <c:axId val="1394146272"/>
      </c:lineChart>
      <c:catAx>
        <c:axId val="14378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46272"/>
        <c:crosses val="autoZero"/>
        <c:auto val="1"/>
        <c:lblAlgn val="ctr"/>
        <c:lblOffset val="100"/>
        <c:noMultiLvlLbl val="0"/>
      </c:catAx>
      <c:valAx>
        <c:axId val="1394146272"/>
        <c:scaling>
          <c:orientation val="minMax"/>
          <c:max val="0.25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40352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3553" name="AutoShape 1">
          <a:extLst>
            <a:ext uri="{FF2B5EF4-FFF2-40B4-BE49-F238E27FC236}">
              <a16:creationId xmlns:a16="http://schemas.microsoft.com/office/drawing/2014/main" id="{779CE2ED-E262-E633-E95F-AA3640DF8541}"/>
            </a:ext>
          </a:extLst>
        </xdr:cNvPr>
        <xdr:cNvSpPr>
          <a:spLocks noChangeAspect="1" noChangeArrowheads="1"/>
        </xdr:cNvSpPr>
      </xdr:nvSpPr>
      <xdr:spPr bwMode="auto">
        <a:xfrm>
          <a:off x="292100" y="231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314325" cy="3143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BF03E7CB-08B0-A241-B77C-DF8F8FC1E479}"/>
            </a:ext>
          </a:extLst>
        </xdr:cNvPr>
        <xdr:cNvSpPr/>
      </xdr:nvSpPr>
      <xdr:spPr>
        <a:xfrm>
          <a:off x="292100" y="11430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24</xdr:row>
      <xdr:rowOff>0</xdr:rowOff>
    </xdr:from>
    <xdr:ext cx="304800" cy="306848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EFC6385-90D6-8242-B969-1146D8F21E38}"/>
            </a:ext>
          </a:extLst>
        </xdr:cNvPr>
        <xdr:cNvSpPr>
          <a:spLocks noChangeAspect="1" noChangeArrowheads="1"/>
        </xdr:cNvSpPr>
      </xdr:nvSpPr>
      <xdr:spPr bwMode="auto">
        <a:xfrm>
          <a:off x="290871" y="78248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314325" cy="314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C5732AA-D610-E644-A51E-2D2B8492BFC2}"/>
            </a:ext>
          </a:extLst>
        </xdr:cNvPr>
        <xdr:cNvSpPr/>
      </xdr:nvSpPr>
      <xdr:spPr>
        <a:xfrm>
          <a:off x="290871" y="78248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0</xdr:col>
      <xdr:colOff>279400</xdr:colOff>
      <xdr:row>24</xdr:row>
      <xdr:rowOff>0</xdr:rowOff>
    </xdr:from>
    <xdr:to>
      <xdr:col>1</xdr:col>
      <xdr:colOff>293914</xdr:colOff>
      <xdr:row>78</xdr:row>
      <xdr:rowOff>116348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895FFA5-245D-9D4F-AD6F-78DFAE710EF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5046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279400</xdr:colOff>
      <xdr:row>24</xdr:row>
      <xdr:rowOff>0</xdr:rowOff>
    </xdr:from>
    <xdr:to>
      <xdr:col>1</xdr:col>
      <xdr:colOff>303439</xdr:colOff>
      <xdr:row>78</xdr:row>
      <xdr:rowOff>123825</xdr:rowOff>
    </xdr:to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F18FFBA8-9022-694B-95CB-3AEF261CAE54}"/>
            </a:ext>
          </a:extLst>
        </xdr:cNvPr>
        <xdr:cNvSpPr/>
      </xdr:nvSpPr>
      <xdr:spPr>
        <a:xfrm>
          <a:off x="825500" y="12504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oneCellAnchor>
    <xdr:from>
      <xdr:col>1</xdr:col>
      <xdr:colOff>0</xdr:colOff>
      <xdr:row>35</xdr:row>
      <xdr:rowOff>0</xdr:rowOff>
    </xdr:from>
    <xdr:ext cx="304800" cy="306848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08E15B0-4E86-6F43-80FC-A1AF052ABEB6}"/>
            </a:ext>
          </a:extLst>
        </xdr:cNvPr>
        <xdr:cNvSpPr>
          <a:spLocks noChangeAspect="1" noChangeArrowheads="1"/>
        </xdr:cNvSpPr>
      </xdr:nvSpPr>
      <xdr:spPr bwMode="auto">
        <a:xfrm>
          <a:off x="290286" y="966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314325" cy="3143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A12BE5CF-7DB0-EF4B-8182-F05A6484FBD0}"/>
            </a:ext>
          </a:extLst>
        </xdr:cNvPr>
        <xdr:cNvSpPr/>
      </xdr:nvSpPr>
      <xdr:spPr>
        <a:xfrm>
          <a:off x="290286" y="966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35</xdr:row>
      <xdr:rowOff>0</xdr:rowOff>
    </xdr:from>
    <xdr:ext cx="304800" cy="306848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DF01BEE-9A55-004C-AFCF-7A29C44DE983}"/>
            </a:ext>
          </a:extLst>
        </xdr:cNvPr>
        <xdr:cNvSpPr>
          <a:spLocks noChangeAspect="1" noChangeArrowheads="1"/>
        </xdr:cNvSpPr>
      </xdr:nvSpPr>
      <xdr:spPr bwMode="auto">
        <a:xfrm>
          <a:off x="279400" y="966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35</xdr:row>
      <xdr:rowOff>0</xdr:rowOff>
    </xdr:from>
    <xdr:ext cx="314325" cy="31432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FB269079-177F-D147-B91C-C383A005E24D}"/>
            </a:ext>
          </a:extLst>
        </xdr:cNvPr>
        <xdr:cNvSpPr/>
      </xdr:nvSpPr>
      <xdr:spPr>
        <a:xfrm>
          <a:off x="279400" y="966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304800" cy="306848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2766597-A24A-7449-9046-5D87C20CDD18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446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314325" cy="31432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EAD20548-54DE-7846-8205-EB3098F8E299}"/>
            </a:ext>
          </a:extLst>
        </xdr:cNvPr>
        <xdr:cNvSpPr/>
      </xdr:nvSpPr>
      <xdr:spPr>
        <a:xfrm>
          <a:off x="825500" y="12446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28</xdr:row>
      <xdr:rowOff>0</xdr:rowOff>
    </xdr:from>
    <xdr:ext cx="304800" cy="306848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36DD3E4-CFE5-904E-AAF9-AC6EF457EB4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446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314325" cy="3143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7A0A22BF-9D8C-8E41-9C1C-1E8EA563D29B}"/>
            </a:ext>
          </a:extLst>
        </xdr:cNvPr>
        <xdr:cNvSpPr/>
      </xdr:nvSpPr>
      <xdr:spPr>
        <a:xfrm>
          <a:off x="825500" y="12446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35</xdr:row>
      <xdr:rowOff>0</xdr:rowOff>
    </xdr:from>
    <xdr:ext cx="304800" cy="306848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67D0804F-D8ED-5247-B910-1AF8988FB91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446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314325" cy="31432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FA30EF73-36A7-B24E-98F0-384380B4BF6E}"/>
            </a:ext>
          </a:extLst>
        </xdr:cNvPr>
        <xdr:cNvSpPr/>
      </xdr:nvSpPr>
      <xdr:spPr>
        <a:xfrm>
          <a:off x="825500" y="12446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35</xdr:row>
      <xdr:rowOff>0</xdr:rowOff>
    </xdr:from>
    <xdr:ext cx="304800" cy="306848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AF7E34E5-A383-3E44-A43E-4ECB077F24A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446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314325" cy="31432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746FE545-5028-104C-A6CD-CFC8DE9CF6F5}"/>
            </a:ext>
          </a:extLst>
        </xdr:cNvPr>
        <xdr:cNvSpPr/>
      </xdr:nvSpPr>
      <xdr:spPr>
        <a:xfrm>
          <a:off x="825500" y="12446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35</xdr:row>
      <xdr:rowOff>0</xdr:rowOff>
    </xdr:from>
    <xdr:ext cx="304800" cy="306848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65C35886-71C2-124D-BDDB-E10AD920E4C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446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314325" cy="314325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EDD34696-83D3-6441-BB0C-41B7CF19ABAD}"/>
            </a:ext>
          </a:extLst>
        </xdr:cNvPr>
        <xdr:cNvSpPr/>
      </xdr:nvSpPr>
      <xdr:spPr>
        <a:xfrm>
          <a:off x="825500" y="12446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304800" cy="306848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D66526C-4E08-5B43-8835-A8519A16620D}"/>
            </a:ext>
          </a:extLst>
        </xdr:cNvPr>
        <xdr:cNvSpPr>
          <a:spLocks noChangeAspect="1" noChangeArrowheads="1"/>
        </xdr:cNvSpPr>
      </xdr:nvSpPr>
      <xdr:spPr bwMode="auto">
        <a:xfrm>
          <a:off x="290286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314325" cy="314325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68EFC2DD-F21A-9D43-B3D6-CBF545F1D719}"/>
            </a:ext>
          </a:extLst>
        </xdr:cNvPr>
        <xdr:cNvSpPr/>
      </xdr:nvSpPr>
      <xdr:spPr>
        <a:xfrm>
          <a:off x="290286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45</xdr:row>
      <xdr:rowOff>0</xdr:rowOff>
    </xdr:from>
    <xdr:ext cx="304800" cy="306848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E7B6892-EEDF-4543-85DC-275F5CDD0BC7}"/>
            </a:ext>
          </a:extLst>
        </xdr:cNvPr>
        <xdr:cNvSpPr>
          <a:spLocks noChangeAspect="1" noChangeArrowheads="1"/>
        </xdr:cNvSpPr>
      </xdr:nvSpPr>
      <xdr:spPr bwMode="auto">
        <a:xfrm>
          <a:off x="279400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45</xdr:row>
      <xdr:rowOff>0</xdr:rowOff>
    </xdr:from>
    <xdr:ext cx="314325" cy="314325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40D6A4F6-6E60-9C4D-B1C7-2BFED259531C}"/>
            </a:ext>
          </a:extLst>
        </xdr:cNvPr>
        <xdr:cNvSpPr/>
      </xdr:nvSpPr>
      <xdr:spPr>
        <a:xfrm>
          <a:off x="279400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304800" cy="306848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3358BC3B-8403-6546-AED9-6135392112A7}"/>
            </a:ext>
          </a:extLst>
        </xdr:cNvPr>
        <xdr:cNvSpPr>
          <a:spLocks noChangeAspect="1" noChangeArrowheads="1"/>
        </xdr:cNvSpPr>
      </xdr:nvSpPr>
      <xdr:spPr bwMode="auto">
        <a:xfrm>
          <a:off x="290286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314325" cy="314325"/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9D9BB8E9-3551-474D-9C5D-541516AF2924}"/>
            </a:ext>
          </a:extLst>
        </xdr:cNvPr>
        <xdr:cNvSpPr/>
      </xdr:nvSpPr>
      <xdr:spPr>
        <a:xfrm>
          <a:off x="290286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304800" cy="306848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8E2E3B03-0E73-3A4E-B849-51C53F395B52}"/>
            </a:ext>
          </a:extLst>
        </xdr:cNvPr>
        <xdr:cNvSpPr>
          <a:spLocks noChangeAspect="1" noChangeArrowheads="1"/>
        </xdr:cNvSpPr>
      </xdr:nvSpPr>
      <xdr:spPr bwMode="auto">
        <a:xfrm>
          <a:off x="290286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314325" cy="314325"/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62FEAEFF-19E0-F541-85B9-61BF63639642}"/>
            </a:ext>
          </a:extLst>
        </xdr:cNvPr>
        <xdr:cNvSpPr/>
      </xdr:nvSpPr>
      <xdr:spPr>
        <a:xfrm>
          <a:off x="290286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304800" cy="306848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5CC6BB2B-34AB-534F-B9C8-4A698A21EACE}"/>
            </a:ext>
          </a:extLst>
        </xdr:cNvPr>
        <xdr:cNvSpPr>
          <a:spLocks noChangeAspect="1" noChangeArrowheads="1"/>
        </xdr:cNvSpPr>
      </xdr:nvSpPr>
      <xdr:spPr bwMode="auto">
        <a:xfrm>
          <a:off x="290286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314325" cy="314325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D5CB783F-8A22-3442-8CDD-156E8E5BAB6D}"/>
            </a:ext>
          </a:extLst>
        </xdr:cNvPr>
        <xdr:cNvSpPr/>
      </xdr:nvSpPr>
      <xdr:spPr>
        <a:xfrm>
          <a:off x="290286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304800" cy="306848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36A0DC8-E59B-6E47-B9BA-CE455EB26988}"/>
            </a:ext>
          </a:extLst>
        </xdr:cNvPr>
        <xdr:cNvSpPr>
          <a:spLocks noChangeAspect="1" noChangeArrowheads="1"/>
        </xdr:cNvSpPr>
      </xdr:nvSpPr>
      <xdr:spPr bwMode="auto">
        <a:xfrm>
          <a:off x="290286" y="30752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314325" cy="314325"/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2ABB3C43-D283-3444-AB40-353EF10B8F4E}"/>
            </a:ext>
          </a:extLst>
        </xdr:cNvPr>
        <xdr:cNvSpPr/>
      </xdr:nvSpPr>
      <xdr:spPr>
        <a:xfrm>
          <a:off x="290286" y="30752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54</xdr:row>
      <xdr:rowOff>0</xdr:rowOff>
    </xdr:from>
    <xdr:ext cx="304800" cy="306848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32CD6DD-72B8-0243-ADBB-2A7E893F497A}"/>
            </a:ext>
          </a:extLst>
        </xdr:cNvPr>
        <xdr:cNvSpPr>
          <a:spLocks noChangeAspect="1" noChangeArrowheads="1"/>
        </xdr:cNvSpPr>
      </xdr:nvSpPr>
      <xdr:spPr bwMode="auto">
        <a:xfrm>
          <a:off x="290286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314325" cy="314325"/>
    <xdr:sp macro="" textlink="">
      <xdr:nvSpPr>
        <xdr:cNvPr id="34" name="Shape 4">
          <a:extLst>
            <a:ext uri="{FF2B5EF4-FFF2-40B4-BE49-F238E27FC236}">
              <a16:creationId xmlns:a16="http://schemas.microsoft.com/office/drawing/2014/main" id="{E228EA2D-BF22-5844-AB40-A1412DBE8587}"/>
            </a:ext>
          </a:extLst>
        </xdr:cNvPr>
        <xdr:cNvSpPr/>
      </xdr:nvSpPr>
      <xdr:spPr>
        <a:xfrm>
          <a:off x="290286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54</xdr:row>
      <xdr:rowOff>0</xdr:rowOff>
    </xdr:from>
    <xdr:ext cx="304800" cy="306848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A5C667A-3EEA-9049-8078-79BE0DF836BE}"/>
            </a:ext>
          </a:extLst>
        </xdr:cNvPr>
        <xdr:cNvSpPr>
          <a:spLocks noChangeAspect="1" noChangeArrowheads="1"/>
        </xdr:cNvSpPr>
      </xdr:nvSpPr>
      <xdr:spPr bwMode="auto">
        <a:xfrm>
          <a:off x="279400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54</xdr:row>
      <xdr:rowOff>0</xdr:rowOff>
    </xdr:from>
    <xdr:ext cx="314325" cy="314325"/>
    <xdr:sp macro="" textlink="">
      <xdr:nvSpPr>
        <xdr:cNvPr id="36" name="Shape 4">
          <a:extLst>
            <a:ext uri="{FF2B5EF4-FFF2-40B4-BE49-F238E27FC236}">
              <a16:creationId xmlns:a16="http://schemas.microsoft.com/office/drawing/2014/main" id="{C5BB7693-FED7-F548-A3D7-CD49915F1922}"/>
            </a:ext>
          </a:extLst>
        </xdr:cNvPr>
        <xdr:cNvSpPr/>
      </xdr:nvSpPr>
      <xdr:spPr>
        <a:xfrm>
          <a:off x="279400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304800" cy="306848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646D2CF5-32D2-B941-8235-2CE5882A49AE}"/>
            </a:ext>
          </a:extLst>
        </xdr:cNvPr>
        <xdr:cNvSpPr>
          <a:spLocks noChangeAspect="1" noChangeArrowheads="1"/>
        </xdr:cNvSpPr>
      </xdr:nvSpPr>
      <xdr:spPr bwMode="auto">
        <a:xfrm>
          <a:off x="290286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314325" cy="314325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1BAF46D6-8C14-5B4C-8D93-878BF1053AD5}"/>
            </a:ext>
          </a:extLst>
        </xdr:cNvPr>
        <xdr:cNvSpPr/>
      </xdr:nvSpPr>
      <xdr:spPr>
        <a:xfrm>
          <a:off x="290286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54</xdr:row>
      <xdr:rowOff>0</xdr:rowOff>
    </xdr:from>
    <xdr:ext cx="304800" cy="306848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B11FB2F4-3330-8647-869D-02B193F93BAA}"/>
            </a:ext>
          </a:extLst>
        </xdr:cNvPr>
        <xdr:cNvSpPr>
          <a:spLocks noChangeAspect="1" noChangeArrowheads="1"/>
        </xdr:cNvSpPr>
      </xdr:nvSpPr>
      <xdr:spPr bwMode="auto">
        <a:xfrm>
          <a:off x="290286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314325" cy="314325"/>
    <xdr:sp macro="" textlink="">
      <xdr:nvSpPr>
        <xdr:cNvPr id="40" name="Shape 4">
          <a:extLst>
            <a:ext uri="{FF2B5EF4-FFF2-40B4-BE49-F238E27FC236}">
              <a16:creationId xmlns:a16="http://schemas.microsoft.com/office/drawing/2014/main" id="{3E7D1CC2-9D84-D04B-A427-BD7977DACA92}"/>
            </a:ext>
          </a:extLst>
        </xdr:cNvPr>
        <xdr:cNvSpPr/>
      </xdr:nvSpPr>
      <xdr:spPr>
        <a:xfrm>
          <a:off x="290286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54</xdr:row>
      <xdr:rowOff>0</xdr:rowOff>
    </xdr:from>
    <xdr:ext cx="304800" cy="306848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D0F5379-21D8-9246-AC2B-F22979351DCA}"/>
            </a:ext>
          </a:extLst>
        </xdr:cNvPr>
        <xdr:cNvSpPr>
          <a:spLocks noChangeAspect="1" noChangeArrowheads="1"/>
        </xdr:cNvSpPr>
      </xdr:nvSpPr>
      <xdr:spPr bwMode="auto">
        <a:xfrm>
          <a:off x="290286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314325" cy="314325"/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0AA0C930-73F3-B648-90F2-59A8AE28F77A}"/>
            </a:ext>
          </a:extLst>
        </xdr:cNvPr>
        <xdr:cNvSpPr/>
      </xdr:nvSpPr>
      <xdr:spPr>
        <a:xfrm>
          <a:off x="290286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54</xdr:row>
      <xdr:rowOff>0</xdr:rowOff>
    </xdr:from>
    <xdr:ext cx="304800" cy="306848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8F22A97-84B2-A549-9079-C3B4F76C3F66}"/>
            </a:ext>
          </a:extLst>
        </xdr:cNvPr>
        <xdr:cNvSpPr>
          <a:spLocks noChangeAspect="1" noChangeArrowheads="1"/>
        </xdr:cNvSpPr>
      </xdr:nvSpPr>
      <xdr:spPr bwMode="auto">
        <a:xfrm>
          <a:off x="290286" y="4993821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314325" cy="314325"/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AC6268CD-5C9C-654C-83A6-FC1939F46483}"/>
            </a:ext>
          </a:extLst>
        </xdr:cNvPr>
        <xdr:cNvSpPr/>
      </xdr:nvSpPr>
      <xdr:spPr>
        <a:xfrm>
          <a:off x="290286" y="499382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D9C8B63-C037-D74E-9C1E-39EDDB79B1B3}"/>
            </a:ext>
          </a:extLst>
        </xdr:cNvPr>
        <xdr:cNvSpPr>
          <a:spLocks noChangeAspect="1" noChangeArrowheads="1"/>
        </xdr:cNvSpPr>
      </xdr:nvSpPr>
      <xdr:spPr bwMode="auto">
        <a:xfrm>
          <a:off x="290286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46" name="Shape 4">
          <a:extLst>
            <a:ext uri="{FF2B5EF4-FFF2-40B4-BE49-F238E27FC236}">
              <a16:creationId xmlns:a16="http://schemas.microsoft.com/office/drawing/2014/main" id="{D1FABCC3-58DA-3A42-9377-5357E1718372}"/>
            </a:ext>
          </a:extLst>
        </xdr:cNvPr>
        <xdr:cNvSpPr/>
      </xdr:nvSpPr>
      <xdr:spPr>
        <a:xfrm>
          <a:off x="290286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64</xdr:row>
      <xdr:rowOff>0</xdr:rowOff>
    </xdr:from>
    <xdr:ext cx="304800" cy="306848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A7D0DCE-3BDC-4542-B930-9DFDBC9450E4}"/>
            </a:ext>
          </a:extLst>
        </xdr:cNvPr>
        <xdr:cNvSpPr>
          <a:spLocks noChangeAspect="1" noChangeArrowheads="1"/>
        </xdr:cNvSpPr>
      </xdr:nvSpPr>
      <xdr:spPr bwMode="auto">
        <a:xfrm>
          <a:off x="279400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64</xdr:row>
      <xdr:rowOff>0</xdr:rowOff>
    </xdr:from>
    <xdr:ext cx="314325" cy="314325"/>
    <xdr:sp macro="" textlink="">
      <xdr:nvSpPr>
        <xdr:cNvPr id="48" name="Shape 4">
          <a:extLst>
            <a:ext uri="{FF2B5EF4-FFF2-40B4-BE49-F238E27FC236}">
              <a16:creationId xmlns:a16="http://schemas.microsoft.com/office/drawing/2014/main" id="{25E005BA-4875-714C-8C9F-8CB4AE1AD027}"/>
            </a:ext>
          </a:extLst>
        </xdr:cNvPr>
        <xdr:cNvSpPr/>
      </xdr:nvSpPr>
      <xdr:spPr>
        <a:xfrm>
          <a:off x="279400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789B1E7-33EF-2544-85CA-515E5FB72705}"/>
            </a:ext>
          </a:extLst>
        </xdr:cNvPr>
        <xdr:cNvSpPr>
          <a:spLocks noChangeAspect="1" noChangeArrowheads="1"/>
        </xdr:cNvSpPr>
      </xdr:nvSpPr>
      <xdr:spPr bwMode="auto">
        <a:xfrm>
          <a:off x="290286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50" name="Shape 4">
          <a:extLst>
            <a:ext uri="{FF2B5EF4-FFF2-40B4-BE49-F238E27FC236}">
              <a16:creationId xmlns:a16="http://schemas.microsoft.com/office/drawing/2014/main" id="{4480C4EE-54FC-574B-9D11-2F44DC229265}"/>
            </a:ext>
          </a:extLst>
        </xdr:cNvPr>
        <xdr:cNvSpPr/>
      </xdr:nvSpPr>
      <xdr:spPr>
        <a:xfrm>
          <a:off x="290286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85D8AB9-A13C-6A43-9E0D-CE1C1DC75E9A}"/>
            </a:ext>
          </a:extLst>
        </xdr:cNvPr>
        <xdr:cNvSpPr>
          <a:spLocks noChangeAspect="1" noChangeArrowheads="1"/>
        </xdr:cNvSpPr>
      </xdr:nvSpPr>
      <xdr:spPr bwMode="auto">
        <a:xfrm>
          <a:off x="290286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52" name="Shape 4">
          <a:extLst>
            <a:ext uri="{FF2B5EF4-FFF2-40B4-BE49-F238E27FC236}">
              <a16:creationId xmlns:a16="http://schemas.microsoft.com/office/drawing/2014/main" id="{02C05150-5AC8-684F-81FE-411026A03117}"/>
            </a:ext>
          </a:extLst>
        </xdr:cNvPr>
        <xdr:cNvSpPr/>
      </xdr:nvSpPr>
      <xdr:spPr>
        <a:xfrm>
          <a:off x="290286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AC60925B-A4E6-D042-B72C-8DE095A4EA55}"/>
            </a:ext>
          </a:extLst>
        </xdr:cNvPr>
        <xdr:cNvSpPr>
          <a:spLocks noChangeAspect="1" noChangeArrowheads="1"/>
        </xdr:cNvSpPr>
      </xdr:nvSpPr>
      <xdr:spPr bwMode="auto">
        <a:xfrm>
          <a:off x="290286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69A30FA0-4BA0-1C43-AAF1-8F8819549D66}"/>
            </a:ext>
          </a:extLst>
        </xdr:cNvPr>
        <xdr:cNvSpPr/>
      </xdr:nvSpPr>
      <xdr:spPr>
        <a:xfrm>
          <a:off x="290286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23137B49-4840-024E-925D-ED64DAC34EAB}"/>
            </a:ext>
          </a:extLst>
        </xdr:cNvPr>
        <xdr:cNvSpPr>
          <a:spLocks noChangeAspect="1" noChangeArrowheads="1"/>
        </xdr:cNvSpPr>
      </xdr:nvSpPr>
      <xdr:spPr bwMode="auto">
        <a:xfrm>
          <a:off x="290286" y="6721929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C21CF2B0-CD32-F843-8442-0360CB247221}"/>
            </a:ext>
          </a:extLst>
        </xdr:cNvPr>
        <xdr:cNvSpPr/>
      </xdr:nvSpPr>
      <xdr:spPr>
        <a:xfrm>
          <a:off x="290286" y="672192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23556" name="AutoShape 1">
          <a:extLst>
            <a:ext uri="{FF2B5EF4-FFF2-40B4-BE49-F238E27FC236}">
              <a16:creationId xmlns:a16="http://schemas.microsoft.com/office/drawing/2014/main" id="{1DF7C445-C199-5043-AEEC-FB961E3F4718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908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23557" name="Shape 4">
          <a:extLst>
            <a:ext uri="{FF2B5EF4-FFF2-40B4-BE49-F238E27FC236}">
              <a16:creationId xmlns:a16="http://schemas.microsoft.com/office/drawing/2014/main" id="{1F07F50F-FC52-E24B-A001-0C5BF26634B9}"/>
            </a:ext>
          </a:extLst>
        </xdr:cNvPr>
        <xdr:cNvSpPr/>
      </xdr:nvSpPr>
      <xdr:spPr>
        <a:xfrm>
          <a:off x="825500" y="25908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23558" name="AutoShape 1">
          <a:extLst>
            <a:ext uri="{FF2B5EF4-FFF2-40B4-BE49-F238E27FC236}">
              <a16:creationId xmlns:a16="http://schemas.microsoft.com/office/drawing/2014/main" id="{21944C33-E830-AB40-B751-8EF2807DEED1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908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23559" name="Shape 4">
          <a:extLst>
            <a:ext uri="{FF2B5EF4-FFF2-40B4-BE49-F238E27FC236}">
              <a16:creationId xmlns:a16="http://schemas.microsoft.com/office/drawing/2014/main" id="{E445E602-1D7D-1F40-AB4B-F66D6810A01B}"/>
            </a:ext>
          </a:extLst>
        </xdr:cNvPr>
        <xdr:cNvSpPr/>
      </xdr:nvSpPr>
      <xdr:spPr>
        <a:xfrm>
          <a:off x="825500" y="25908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23560" name="AutoShape 1">
          <a:extLst>
            <a:ext uri="{FF2B5EF4-FFF2-40B4-BE49-F238E27FC236}">
              <a16:creationId xmlns:a16="http://schemas.microsoft.com/office/drawing/2014/main" id="{EC0C93C9-84CA-7C4B-8864-23509A2429BF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908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23561" name="Shape 4">
          <a:extLst>
            <a:ext uri="{FF2B5EF4-FFF2-40B4-BE49-F238E27FC236}">
              <a16:creationId xmlns:a16="http://schemas.microsoft.com/office/drawing/2014/main" id="{9DB3F41E-0726-FD48-8C14-43CF25A2E129}"/>
            </a:ext>
          </a:extLst>
        </xdr:cNvPr>
        <xdr:cNvSpPr/>
      </xdr:nvSpPr>
      <xdr:spPr>
        <a:xfrm>
          <a:off x="825500" y="25908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23562" name="AutoShape 1">
          <a:extLst>
            <a:ext uri="{FF2B5EF4-FFF2-40B4-BE49-F238E27FC236}">
              <a16:creationId xmlns:a16="http://schemas.microsoft.com/office/drawing/2014/main" id="{990D1AED-CC00-C84D-A6C6-DA82A97E72F6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908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23563" name="Shape 4">
          <a:extLst>
            <a:ext uri="{FF2B5EF4-FFF2-40B4-BE49-F238E27FC236}">
              <a16:creationId xmlns:a16="http://schemas.microsoft.com/office/drawing/2014/main" id="{B09CDC01-B154-7A45-BF20-54A90DA71648}"/>
            </a:ext>
          </a:extLst>
        </xdr:cNvPr>
        <xdr:cNvSpPr/>
      </xdr:nvSpPr>
      <xdr:spPr>
        <a:xfrm>
          <a:off x="825500" y="25908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304800" cy="306848"/>
    <xdr:sp macro="" textlink="">
      <xdr:nvSpPr>
        <xdr:cNvPr id="23564" name="AutoShape 1">
          <a:extLst>
            <a:ext uri="{FF2B5EF4-FFF2-40B4-BE49-F238E27FC236}">
              <a16:creationId xmlns:a16="http://schemas.microsoft.com/office/drawing/2014/main" id="{B85F9014-97E9-6247-B657-CE7DBD8F7E0A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908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14325" cy="314325"/>
    <xdr:sp macro="" textlink="">
      <xdr:nvSpPr>
        <xdr:cNvPr id="23565" name="Shape 4">
          <a:extLst>
            <a:ext uri="{FF2B5EF4-FFF2-40B4-BE49-F238E27FC236}">
              <a16:creationId xmlns:a16="http://schemas.microsoft.com/office/drawing/2014/main" id="{E8E51AEA-7D74-CE4B-AFAD-FCA27EB74C95}"/>
            </a:ext>
          </a:extLst>
        </xdr:cNvPr>
        <xdr:cNvSpPr/>
      </xdr:nvSpPr>
      <xdr:spPr>
        <a:xfrm>
          <a:off x="825500" y="25908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4455907-1FCC-374A-8FEC-14C188EEAD66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22A2B544-D51C-D74E-8C9B-AA980461A42C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73</xdr:row>
      <xdr:rowOff>0</xdr:rowOff>
    </xdr:from>
    <xdr:ext cx="304800" cy="306848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D80E495-71A5-3D4D-B782-41866D87C9F7}"/>
            </a:ext>
          </a:extLst>
        </xdr:cNvPr>
        <xdr:cNvSpPr>
          <a:spLocks noChangeAspect="1" noChangeArrowheads="1"/>
        </xdr:cNvSpPr>
      </xdr:nvSpPr>
      <xdr:spPr bwMode="auto">
        <a:xfrm>
          <a:off x="279400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73</xdr:row>
      <xdr:rowOff>0</xdr:rowOff>
    </xdr:from>
    <xdr:ext cx="314325" cy="314325"/>
    <xdr:sp macro="" textlink="">
      <xdr:nvSpPr>
        <xdr:cNvPr id="60" name="Shape 4">
          <a:extLst>
            <a:ext uri="{FF2B5EF4-FFF2-40B4-BE49-F238E27FC236}">
              <a16:creationId xmlns:a16="http://schemas.microsoft.com/office/drawing/2014/main" id="{01DBD971-4A97-5E43-AE9C-380F055458D6}"/>
            </a:ext>
          </a:extLst>
        </xdr:cNvPr>
        <xdr:cNvSpPr/>
      </xdr:nvSpPr>
      <xdr:spPr>
        <a:xfrm>
          <a:off x="279400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6F014F72-A9ED-1C4D-AC64-B35E16A3FE98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BF7422D2-5C1C-0E4E-815E-40A6DF596335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934EF63-F830-F94E-9088-E48200FBFBE6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52" name="Shape 4">
          <a:extLst>
            <a:ext uri="{FF2B5EF4-FFF2-40B4-BE49-F238E27FC236}">
              <a16:creationId xmlns:a16="http://schemas.microsoft.com/office/drawing/2014/main" id="{9075C7C5-EDFC-5149-9C24-296C1BA39784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54" name="AutoShape 1">
          <a:extLst>
            <a:ext uri="{FF2B5EF4-FFF2-40B4-BE49-F238E27FC236}">
              <a16:creationId xmlns:a16="http://schemas.microsoft.com/office/drawing/2014/main" id="{6D4E0407-1A9C-B04C-9970-084C6C4DBA9B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55" name="Shape 4">
          <a:extLst>
            <a:ext uri="{FF2B5EF4-FFF2-40B4-BE49-F238E27FC236}">
              <a16:creationId xmlns:a16="http://schemas.microsoft.com/office/drawing/2014/main" id="{48FEC158-B6A9-3E44-999B-C03D7A6B6265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66" name="AutoShape 1">
          <a:extLst>
            <a:ext uri="{FF2B5EF4-FFF2-40B4-BE49-F238E27FC236}">
              <a16:creationId xmlns:a16="http://schemas.microsoft.com/office/drawing/2014/main" id="{FAADC5CD-6ED3-8A4E-A09D-ECAC28CEF73E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67" name="Shape 4">
          <a:extLst>
            <a:ext uri="{FF2B5EF4-FFF2-40B4-BE49-F238E27FC236}">
              <a16:creationId xmlns:a16="http://schemas.microsoft.com/office/drawing/2014/main" id="{9322E237-C6E7-004F-9F38-84328F62394C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68" name="AutoShape 1">
          <a:extLst>
            <a:ext uri="{FF2B5EF4-FFF2-40B4-BE49-F238E27FC236}">
              <a16:creationId xmlns:a16="http://schemas.microsoft.com/office/drawing/2014/main" id="{7C57069F-AE7B-A94F-BDFB-0C7E3DDD8C54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69" name="Shape 4">
          <a:extLst>
            <a:ext uri="{FF2B5EF4-FFF2-40B4-BE49-F238E27FC236}">
              <a16:creationId xmlns:a16="http://schemas.microsoft.com/office/drawing/2014/main" id="{4F907637-B9E6-D64A-8AAF-374B4F40D0C8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70" name="AutoShape 1">
          <a:extLst>
            <a:ext uri="{FF2B5EF4-FFF2-40B4-BE49-F238E27FC236}">
              <a16:creationId xmlns:a16="http://schemas.microsoft.com/office/drawing/2014/main" id="{0C767EA1-F3B9-6C4C-B9E4-0286EDF4339A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71" name="Shape 4">
          <a:extLst>
            <a:ext uri="{FF2B5EF4-FFF2-40B4-BE49-F238E27FC236}">
              <a16:creationId xmlns:a16="http://schemas.microsoft.com/office/drawing/2014/main" id="{E19EF041-64D0-2048-9766-59A275A2D9DB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72" name="AutoShape 1">
          <a:extLst>
            <a:ext uri="{FF2B5EF4-FFF2-40B4-BE49-F238E27FC236}">
              <a16:creationId xmlns:a16="http://schemas.microsoft.com/office/drawing/2014/main" id="{1E3F8DF2-430A-1B46-B827-986B3849CB23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73" name="Shape 4">
          <a:extLst>
            <a:ext uri="{FF2B5EF4-FFF2-40B4-BE49-F238E27FC236}">
              <a16:creationId xmlns:a16="http://schemas.microsoft.com/office/drawing/2014/main" id="{667B3E22-7D4A-294B-8561-1E2C78595493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74" name="AutoShape 1">
          <a:extLst>
            <a:ext uri="{FF2B5EF4-FFF2-40B4-BE49-F238E27FC236}">
              <a16:creationId xmlns:a16="http://schemas.microsoft.com/office/drawing/2014/main" id="{43B7C0AE-63FF-8D4A-B012-70F5BA3AD615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75" name="Shape 4">
          <a:extLst>
            <a:ext uri="{FF2B5EF4-FFF2-40B4-BE49-F238E27FC236}">
              <a16:creationId xmlns:a16="http://schemas.microsoft.com/office/drawing/2014/main" id="{F0B868BF-6B6A-5A47-92ED-A8F7C0668DD7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73</xdr:row>
      <xdr:rowOff>0</xdr:rowOff>
    </xdr:from>
    <xdr:ext cx="304800" cy="306848"/>
    <xdr:sp macro="" textlink="">
      <xdr:nvSpPr>
        <xdr:cNvPr id="23576" name="AutoShape 1">
          <a:extLst>
            <a:ext uri="{FF2B5EF4-FFF2-40B4-BE49-F238E27FC236}">
              <a16:creationId xmlns:a16="http://schemas.microsoft.com/office/drawing/2014/main" id="{9EAD1291-6395-4443-893B-7D16EC1D4DE6}"/>
            </a:ext>
          </a:extLst>
        </xdr:cNvPr>
        <xdr:cNvSpPr>
          <a:spLocks noChangeAspect="1" noChangeArrowheads="1"/>
        </xdr:cNvSpPr>
      </xdr:nvSpPr>
      <xdr:spPr bwMode="auto">
        <a:xfrm>
          <a:off x="290286" y="11566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314325" cy="314325"/>
    <xdr:sp macro="" textlink="">
      <xdr:nvSpPr>
        <xdr:cNvPr id="23577" name="Shape 4">
          <a:extLst>
            <a:ext uri="{FF2B5EF4-FFF2-40B4-BE49-F238E27FC236}">
              <a16:creationId xmlns:a16="http://schemas.microsoft.com/office/drawing/2014/main" id="{B518018C-67EA-5A48-B081-EC939FAB0E3A}"/>
            </a:ext>
          </a:extLst>
        </xdr:cNvPr>
        <xdr:cNvSpPr/>
      </xdr:nvSpPr>
      <xdr:spPr>
        <a:xfrm>
          <a:off x="290286" y="11566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78" name="AutoShape 1">
          <a:extLst>
            <a:ext uri="{FF2B5EF4-FFF2-40B4-BE49-F238E27FC236}">
              <a16:creationId xmlns:a16="http://schemas.microsoft.com/office/drawing/2014/main" id="{2E9F3F19-1AE3-F94C-9E71-42B4CA69833D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79" name="Shape 4">
          <a:extLst>
            <a:ext uri="{FF2B5EF4-FFF2-40B4-BE49-F238E27FC236}">
              <a16:creationId xmlns:a16="http://schemas.microsoft.com/office/drawing/2014/main" id="{FB5F0BE8-625A-4A4B-B8C6-CA9E3F7500D3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83</xdr:row>
      <xdr:rowOff>0</xdr:rowOff>
    </xdr:from>
    <xdr:ext cx="304800" cy="306848"/>
    <xdr:sp macro="" textlink="">
      <xdr:nvSpPr>
        <xdr:cNvPr id="23580" name="AutoShape 1">
          <a:extLst>
            <a:ext uri="{FF2B5EF4-FFF2-40B4-BE49-F238E27FC236}">
              <a16:creationId xmlns:a16="http://schemas.microsoft.com/office/drawing/2014/main" id="{BD9C9FC9-A78F-7B47-8EB2-0FE5066A3447}"/>
            </a:ext>
          </a:extLst>
        </xdr:cNvPr>
        <xdr:cNvSpPr>
          <a:spLocks noChangeAspect="1" noChangeArrowheads="1"/>
        </xdr:cNvSpPr>
      </xdr:nvSpPr>
      <xdr:spPr bwMode="auto">
        <a:xfrm>
          <a:off x="279400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83</xdr:row>
      <xdr:rowOff>0</xdr:rowOff>
    </xdr:from>
    <xdr:ext cx="314325" cy="314325"/>
    <xdr:sp macro="" textlink="">
      <xdr:nvSpPr>
        <xdr:cNvPr id="23581" name="Shape 4">
          <a:extLst>
            <a:ext uri="{FF2B5EF4-FFF2-40B4-BE49-F238E27FC236}">
              <a16:creationId xmlns:a16="http://schemas.microsoft.com/office/drawing/2014/main" id="{9B908724-0319-374A-8E1A-7BCEBFEAEA10}"/>
            </a:ext>
          </a:extLst>
        </xdr:cNvPr>
        <xdr:cNvSpPr/>
      </xdr:nvSpPr>
      <xdr:spPr>
        <a:xfrm>
          <a:off x="279400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82" name="AutoShape 1">
          <a:extLst>
            <a:ext uri="{FF2B5EF4-FFF2-40B4-BE49-F238E27FC236}">
              <a16:creationId xmlns:a16="http://schemas.microsoft.com/office/drawing/2014/main" id="{E4A7BB6F-ACCD-EE49-B916-7F8442037230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83" name="Shape 4">
          <a:extLst>
            <a:ext uri="{FF2B5EF4-FFF2-40B4-BE49-F238E27FC236}">
              <a16:creationId xmlns:a16="http://schemas.microsoft.com/office/drawing/2014/main" id="{CE622151-90AA-5D4D-82FA-87B43445BC09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84" name="AutoShape 1">
          <a:extLst>
            <a:ext uri="{FF2B5EF4-FFF2-40B4-BE49-F238E27FC236}">
              <a16:creationId xmlns:a16="http://schemas.microsoft.com/office/drawing/2014/main" id="{2F03EF0E-6022-5745-BDC6-7AC7C76B28E1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85" name="Shape 4">
          <a:extLst>
            <a:ext uri="{FF2B5EF4-FFF2-40B4-BE49-F238E27FC236}">
              <a16:creationId xmlns:a16="http://schemas.microsoft.com/office/drawing/2014/main" id="{2E5EF256-C858-9348-8165-2A060B72247A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86" name="AutoShape 1">
          <a:extLst>
            <a:ext uri="{FF2B5EF4-FFF2-40B4-BE49-F238E27FC236}">
              <a16:creationId xmlns:a16="http://schemas.microsoft.com/office/drawing/2014/main" id="{FC7C8392-5CF3-BE45-9B7E-2163F857BDB0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87" name="Shape 4">
          <a:extLst>
            <a:ext uri="{FF2B5EF4-FFF2-40B4-BE49-F238E27FC236}">
              <a16:creationId xmlns:a16="http://schemas.microsoft.com/office/drawing/2014/main" id="{13F506D2-BEEA-5141-976A-A35A6CEBAF80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88" name="AutoShape 1">
          <a:extLst>
            <a:ext uri="{FF2B5EF4-FFF2-40B4-BE49-F238E27FC236}">
              <a16:creationId xmlns:a16="http://schemas.microsoft.com/office/drawing/2014/main" id="{568C2DFF-5747-BA4D-86B6-F53DEF7ABFE0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89" name="Shape 4">
          <a:extLst>
            <a:ext uri="{FF2B5EF4-FFF2-40B4-BE49-F238E27FC236}">
              <a16:creationId xmlns:a16="http://schemas.microsoft.com/office/drawing/2014/main" id="{465ACA28-F166-494F-9706-90477F5B3D1C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90" name="AutoShape 1">
          <a:extLst>
            <a:ext uri="{FF2B5EF4-FFF2-40B4-BE49-F238E27FC236}">
              <a16:creationId xmlns:a16="http://schemas.microsoft.com/office/drawing/2014/main" id="{9D65635C-DA8E-1D4D-8997-F975D917E73F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91" name="Shape 4">
          <a:extLst>
            <a:ext uri="{FF2B5EF4-FFF2-40B4-BE49-F238E27FC236}">
              <a16:creationId xmlns:a16="http://schemas.microsoft.com/office/drawing/2014/main" id="{98DA40CA-9D47-9241-9084-A6AF95420EBB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92" name="AutoShape 1">
          <a:extLst>
            <a:ext uri="{FF2B5EF4-FFF2-40B4-BE49-F238E27FC236}">
              <a16:creationId xmlns:a16="http://schemas.microsoft.com/office/drawing/2014/main" id="{17128F5A-773C-2E43-A4AE-E37AD271C0E9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93" name="Shape 4">
          <a:extLst>
            <a:ext uri="{FF2B5EF4-FFF2-40B4-BE49-F238E27FC236}">
              <a16:creationId xmlns:a16="http://schemas.microsoft.com/office/drawing/2014/main" id="{0742D4E2-D7B7-5D40-A642-70C44685AD0A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94" name="AutoShape 1">
          <a:extLst>
            <a:ext uri="{FF2B5EF4-FFF2-40B4-BE49-F238E27FC236}">
              <a16:creationId xmlns:a16="http://schemas.microsoft.com/office/drawing/2014/main" id="{F1BB9012-D4BB-B54C-B910-77DE1988CB3A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95" name="Shape 4">
          <a:extLst>
            <a:ext uri="{FF2B5EF4-FFF2-40B4-BE49-F238E27FC236}">
              <a16:creationId xmlns:a16="http://schemas.microsoft.com/office/drawing/2014/main" id="{00637AF0-E44D-3C4E-BB2A-29929E073BF7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96" name="AutoShape 1">
          <a:extLst>
            <a:ext uri="{FF2B5EF4-FFF2-40B4-BE49-F238E27FC236}">
              <a16:creationId xmlns:a16="http://schemas.microsoft.com/office/drawing/2014/main" id="{972D8204-6422-1F43-964B-54E50D37AB43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97" name="Shape 4">
          <a:extLst>
            <a:ext uri="{FF2B5EF4-FFF2-40B4-BE49-F238E27FC236}">
              <a16:creationId xmlns:a16="http://schemas.microsoft.com/office/drawing/2014/main" id="{78D15B4E-6C03-864A-8B68-6A23533D984F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83</xdr:row>
      <xdr:rowOff>0</xdr:rowOff>
    </xdr:from>
    <xdr:ext cx="304800" cy="306848"/>
    <xdr:sp macro="" textlink="">
      <xdr:nvSpPr>
        <xdr:cNvPr id="23598" name="AutoShape 1">
          <a:extLst>
            <a:ext uri="{FF2B5EF4-FFF2-40B4-BE49-F238E27FC236}">
              <a16:creationId xmlns:a16="http://schemas.microsoft.com/office/drawing/2014/main" id="{1E444703-BCFF-4E46-813E-658C8CB91A8C}"/>
            </a:ext>
          </a:extLst>
        </xdr:cNvPr>
        <xdr:cNvSpPr>
          <a:spLocks noChangeAspect="1" noChangeArrowheads="1"/>
        </xdr:cNvSpPr>
      </xdr:nvSpPr>
      <xdr:spPr bwMode="auto">
        <a:xfrm>
          <a:off x="291042" y="287866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83</xdr:row>
      <xdr:rowOff>0</xdr:rowOff>
    </xdr:from>
    <xdr:ext cx="314325" cy="314325"/>
    <xdr:sp macro="" textlink="">
      <xdr:nvSpPr>
        <xdr:cNvPr id="23599" name="Shape 4">
          <a:extLst>
            <a:ext uri="{FF2B5EF4-FFF2-40B4-BE49-F238E27FC236}">
              <a16:creationId xmlns:a16="http://schemas.microsoft.com/office/drawing/2014/main" id="{CC7D281A-1525-D844-9403-86ECB9788A0B}"/>
            </a:ext>
          </a:extLst>
        </xdr:cNvPr>
        <xdr:cNvSpPr/>
      </xdr:nvSpPr>
      <xdr:spPr>
        <a:xfrm>
          <a:off x="291042" y="287866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304800" cy="306428"/>
    <xdr:sp macro="" textlink="">
      <xdr:nvSpPr>
        <xdr:cNvPr id="23600" name="AutoShape 1">
          <a:extLst>
            <a:ext uri="{FF2B5EF4-FFF2-40B4-BE49-F238E27FC236}">
              <a16:creationId xmlns:a16="http://schemas.microsoft.com/office/drawing/2014/main" id="{6D750B4B-86DB-F447-BAD9-16673FDBE3D1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314325" cy="314325"/>
    <xdr:sp macro="" textlink="">
      <xdr:nvSpPr>
        <xdr:cNvPr id="23601" name="Shape 4">
          <a:extLst>
            <a:ext uri="{FF2B5EF4-FFF2-40B4-BE49-F238E27FC236}">
              <a16:creationId xmlns:a16="http://schemas.microsoft.com/office/drawing/2014/main" id="{B389E5BE-8247-C24A-8FD7-7351D561AB66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32</xdr:row>
      <xdr:rowOff>0</xdr:rowOff>
    </xdr:from>
    <xdr:ext cx="304800" cy="306848"/>
    <xdr:sp macro="" textlink="">
      <xdr:nvSpPr>
        <xdr:cNvPr id="23602" name="AutoShape 1">
          <a:extLst>
            <a:ext uri="{FF2B5EF4-FFF2-40B4-BE49-F238E27FC236}">
              <a16:creationId xmlns:a16="http://schemas.microsoft.com/office/drawing/2014/main" id="{6DF1684B-2208-D946-BE71-0C3B07C3C0A4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14325" cy="314325"/>
    <xdr:sp macro="" textlink="">
      <xdr:nvSpPr>
        <xdr:cNvPr id="23603" name="Shape 4">
          <a:extLst>
            <a:ext uri="{FF2B5EF4-FFF2-40B4-BE49-F238E27FC236}">
              <a16:creationId xmlns:a16="http://schemas.microsoft.com/office/drawing/2014/main" id="{936AB1AA-B412-5E43-8139-8F3266E0D31A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32</xdr:row>
      <xdr:rowOff>0</xdr:rowOff>
    </xdr:from>
    <xdr:ext cx="307591" cy="308476"/>
    <xdr:sp macro="" textlink="">
      <xdr:nvSpPr>
        <xdr:cNvPr id="23604" name="AutoShape 1">
          <a:extLst>
            <a:ext uri="{FF2B5EF4-FFF2-40B4-BE49-F238E27FC236}">
              <a16:creationId xmlns:a16="http://schemas.microsoft.com/office/drawing/2014/main" id="{71998910-3C73-B443-A9A9-3D82E5735CBA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7591" cy="308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32</xdr:row>
      <xdr:rowOff>0</xdr:rowOff>
    </xdr:from>
    <xdr:ext cx="317116" cy="315953"/>
    <xdr:sp macro="" textlink="">
      <xdr:nvSpPr>
        <xdr:cNvPr id="23605" name="Shape 4">
          <a:extLst>
            <a:ext uri="{FF2B5EF4-FFF2-40B4-BE49-F238E27FC236}">
              <a16:creationId xmlns:a16="http://schemas.microsoft.com/office/drawing/2014/main" id="{803EC9EF-14FB-FA42-9B56-5F333C103ADD}"/>
            </a:ext>
          </a:extLst>
        </xdr:cNvPr>
        <xdr:cNvSpPr/>
      </xdr:nvSpPr>
      <xdr:spPr>
        <a:xfrm>
          <a:off x="279400" y="0"/>
          <a:ext cx="317116" cy="31595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304800" cy="306848"/>
    <xdr:sp macro="" textlink="">
      <xdr:nvSpPr>
        <xdr:cNvPr id="23606" name="AutoShape 1">
          <a:extLst>
            <a:ext uri="{FF2B5EF4-FFF2-40B4-BE49-F238E27FC236}">
              <a16:creationId xmlns:a16="http://schemas.microsoft.com/office/drawing/2014/main" id="{F1999093-E19C-714A-8432-7F9A84FC616C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314325" cy="314325"/>
    <xdr:sp macro="" textlink="">
      <xdr:nvSpPr>
        <xdr:cNvPr id="23607" name="Shape 4">
          <a:extLst>
            <a:ext uri="{FF2B5EF4-FFF2-40B4-BE49-F238E27FC236}">
              <a16:creationId xmlns:a16="http://schemas.microsoft.com/office/drawing/2014/main" id="{F8C6465E-8B24-FE4B-B0BE-6ADA81EA445A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43</xdr:row>
      <xdr:rowOff>0</xdr:rowOff>
    </xdr:from>
    <xdr:ext cx="304800" cy="306848"/>
    <xdr:sp macro="" textlink="">
      <xdr:nvSpPr>
        <xdr:cNvPr id="23608" name="AutoShape 1">
          <a:extLst>
            <a:ext uri="{FF2B5EF4-FFF2-40B4-BE49-F238E27FC236}">
              <a16:creationId xmlns:a16="http://schemas.microsoft.com/office/drawing/2014/main" id="{2808C326-9B5D-CE4B-BB16-4FCDC8993AA5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43</xdr:row>
      <xdr:rowOff>0</xdr:rowOff>
    </xdr:from>
    <xdr:ext cx="314325" cy="314325"/>
    <xdr:sp macro="" textlink="">
      <xdr:nvSpPr>
        <xdr:cNvPr id="23609" name="Shape 4">
          <a:extLst>
            <a:ext uri="{FF2B5EF4-FFF2-40B4-BE49-F238E27FC236}">
              <a16:creationId xmlns:a16="http://schemas.microsoft.com/office/drawing/2014/main" id="{0909C857-B3F1-FF48-91C6-48B1A84CE90F}"/>
            </a:ext>
          </a:extLst>
        </xdr:cNvPr>
        <xdr:cNvSpPr/>
      </xdr:nvSpPr>
      <xdr:spPr>
        <a:xfrm>
          <a:off x="2794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304800" cy="306848"/>
    <xdr:sp macro="" textlink="">
      <xdr:nvSpPr>
        <xdr:cNvPr id="23610" name="AutoShape 1">
          <a:extLst>
            <a:ext uri="{FF2B5EF4-FFF2-40B4-BE49-F238E27FC236}">
              <a16:creationId xmlns:a16="http://schemas.microsoft.com/office/drawing/2014/main" id="{8891FDC4-482B-EB4A-A5CB-0796B5B39E72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314325" cy="314325"/>
    <xdr:sp macro="" textlink="">
      <xdr:nvSpPr>
        <xdr:cNvPr id="23611" name="Shape 4">
          <a:extLst>
            <a:ext uri="{FF2B5EF4-FFF2-40B4-BE49-F238E27FC236}">
              <a16:creationId xmlns:a16="http://schemas.microsoft.com/office/drawing/2014/main" id="{A12DDD88-1140-7049-9A50-D07CE19F2684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36</xdr:row>
      <xdr:rowOff>0</xdr:rowOff>
    </xdr:from>
    <xdr:ext cx="304800" cy="306848"/>
    <xdr:sp macro="" textlink="">
      <xdr:nvSpPr>
        <xdr:cNvPr id="23612" name="AutoShape 1">
          <a:extLst>
            <a:ext uri="{FF2B5EF4-FFF2-40B4-BE49-F238E27FC236}">
              <a16:creationId xmlns:a16="http://schemas.microsoft.com/office/drawing/2014/main" id="{F2668CE8-B845-304A-A95F-769B42638A19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314325" cy="314325"/>
    <xdr:sp macro="" textlink="">
      <xdr:nvSpPr>
        <xdr:cNvPr id="23613" name="Shape 4">
          <a:extLst>
            <a:ext uri="{FF2B5EF4-FFF2-40B4-BE49-F238E27FC236}">
              <a16:creationId xmlns:a16="http://schemas.microsoft.com/office/drawing/2014/main" id="{BACB326C-0E3E-4145-A1B7-6E1A2FB532DA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43</xdr:row>
      <xdr:rowOff>0</xdr:rowOff>
    </xdr:from>
    <xdr:ext cx="304800" cy="306848"/>
    <xdr:sp macro="" textlink="">
      <xdr:nvSpPr>
        <xdr:cNvPr id="23614" name="AutoShape 1">
          <a:extLst>
            <a:ext uri="{FF2B5EF4-FFF2-40B4-BE49-F238E27FC236}">
              <a16:creationId xmlns:a16="http://schemas.microsoft.com/office/drawing/2014/main" id="{949688C8-DB4A-D24C-A986-F58F6DF236FE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314325" cy="314325"/>
    <xdr:sp macro="" textlink="">
      <xdr:nvSpPr>
        <xdr:cNvPr id="23615" name="Shape 4">
          <a:extLst>
            <a:ext uri="{FF2B5EF4-FFF2-40B4-BE49-F238E27FC236}">
              <a16:creationId xmlns:a16="http://schemas.microsoft.com/office/drawing/2014/main" id="{3708536D-44CE-AA44-ABE4-160D6034243C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43</xdr:row>
      <xdr:rowOff>0</xdr:rowOff>
    </xdr:from>
    <xdr:ext cx="304800" cy="306848"/>
    <xdr:sp macro="" textlink="">
      <xdr:nvSpPr>
        <xdr:cNvPr id="23616" name="AutoShape 1">
          <a:extLst>
            <a:ext uri="{FF2B5EF4-FFF2-40B4-BE49-F238E27FC236}">
              <a16:creationId xmlns:a16="http://schemas.microsoft.com/office/drawing/2014/main" id="{5417D8DB-17BB-1244-95C8-44F4F5F0E4BB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314325" cy="314325"/>
    <xdr:sp macro="" textlink="">
      <xdr:nvSpPr>
        <xdr:cNvPr id="23617" name="Shape 4">
          <a:extLst>
            <a:ext uri="{FF2B5EF4-FFF2-40B4-BE49-F238E27FC236}">
              <a16:creationId xmlns:a16="http://schemas.microsoft.com/office/drawing/2014/main" id="{248EE0FC-3C28-3948-A515-1C0C4FAC7F20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43</xdr:row>
      <xdr:rowOff>0</xdr:rowOff>
    </xdr:from>
    <xdr:ext cx="304800" cy="306848"/>
    <xdr:sp macro="" textlink="">
      <xdr:nvSpPr>
        <xdr:cNvPr id="23618" name="AutoShape 1">
          <a:extLst>
            <a:ext uri="{FF2B5EF4-FFF2-40B4-BE49-F238E27FC236}">
              <a16:creationId xmlns:a16="http://schemas.microsoft.com/office/drawing/2014/main" id="{ACB791D1-9420-4742-9C3E-B9C247607FD8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314325" cy="314325"/>
    <xdr:sp macro="" textlink="">
      <xdr:nvSpPr>
        <xdr:cNvPr id="23619" name="Shape 4">
          <a:extLst>
            <a:ext uri="{FF2B5EF4-FFF2-40B4-BE49-F238E27FC236}">
              <a16:creationId xmlns:a16="http://schemas.microsoft.com/office/drawing/2014/main" id="{299F3D50-51FC-6340-88BE-BD4E9F34774D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53</xdr:row>
      <xdr:rowOff>0</xdr:rowOff>
    </xdr:from>
    <xdr:ext cx="304800" cy="306848"/>
    <xdr:sp macro="" textlink="">
      <xdr:nvSpPr>
        <xdr:cNvPr id="23620" name="AutoShape 1">
          <a:extLst>
            <a:ext uri="{FF2B5EF4-FFF2-40B4-BE49-F238E27FC236}">
              <a16:creationId xmlns:a16="http://schemas.microsoft.com/office/drawing/2014/main" id="{33F3F821-4B1A-B24A-80C2-BDD7937AF7DB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14325" cy="314325"/>
    <xdr:sp macro="" textlink="">
      <xdr:nvSpPr>
        <xdr:cNvPr id="23621" name="Shape 4">
          <a:extLst>
            <a:ext uri="{FF2B5EF4-FFF2-40B4-BE49-F238E27FC236}">
              <a16:creationId xmlns:a16="http://schemas.microsoft.com/office/drawing/2014/main" id="{2911DB9C-AFE7-AB48-95E5-72FE646FD9B5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53</xdr:row>
      <xdr:rowOff>0</xdr:rowOff>
    </xdr:from>
    <xdr:ext cx="304800" cy="306848"/>
    <xdr:sp macro="" textlink="">
      <xdr:nvSpPr>
        <xdr:cNvPr id="23622" name="AutoShape 1">
          <a:extLst>
            <a:ext uri="{FF2B5EF4-FFF2-40B4-BE49-F238E27FC236}">
              <a16:creationId xmlns:a16="http://schemas.microsoft.com/office/drawing/2014/main" id="{2B37E8CF-6AFA-5A4F-8307-016C333065E7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53</xdr:row>
      <xdr:rowOff>0</xdr:rowOff>
    </xdr:from>
    <xdr:ext cx="314325" cy="314325"/>
    <xdr:sp macro="" textlink="">
      <xdr:nvSpPr>
        <xdr:cNvPr id="23623" name="Shape 4">
          <a:extLst>
            <a:ext uri="{FF2B5EF4-FFF2-40B4-BE49-F238E27FC236}">
              <a16:creationId xmlns:a16="http://schemas.microsoft.com/office/drawing/2014/main" id="{D2AFC849-93B8-0348-92C5-670C86C94DC9}"/>
            </a:ext>
          </a:extLst>
        </xdr:cNvPr>
        <xdr:cNvSpPr/>
      </xdr:nvSpPr>
      <xdr:spPr>
        <a:xfrm>
          <a:off x="2794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304800" cy="306848"/>
    <xdr:sp macro="" textlink="">
      <xdr:nvSpPr>
        <xdr:cNvPr id="23624" name="AutoShape 1">
          <a:extLst>
            <a:ext uri="{FF2B5EF4-FFF2-40B4-BE49-F238E27FC236}">
              <a16:creationId xmlns:a16="http://schemas.microsoft.com/office/drawing/2014/main" id="{A3EC737D-911B-1C4D-9CF7-63B240F3A75C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14325" cy="314325"/>
    <xdr:sp macro="" textlink="">
      <xdr:nvSpPr>
        <xdr:cNvPr id="23625" name="Shape 4">
          <a:extLst>
            <a:ext uri="{FF2B5EF4-FFF2-40B4-BE49-F238E27FC236}">
              <a16:creationId xmlns:a16="http://schemas.microsoft.com/office/drawing/2014/main" id="{E3FC46A0-36FD-F943-BABF-3F6242B65C95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53</xdr:row>
      <xdr:rowOff>0</xdr:rowOff>
    </xdr:from>
    <xdr:ext cx="304800" cy="306848"/>
    <xdr:sp macro="" textlink="">
      <xdr:nvSpPr>
        <xdr:cNvPr id="23626" name="AutoShape 1">
          <a:extLst>
            <a:ext uri="{FF2B5EF4-FFF2-40B4-BE49-F238E27FC236}">
              <a16:creationId xmlns:a16="http://schemas.microsoft.com/office/drawing/2014/main" id="{93CE9A38-4E43-004B-BC6B-F894C35B1C37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14325" cy="314325"/>
    <xdr:sp macro="" textlink="">
      <xdr:nvSpPr>
        <xdr:cNvPr id="23627" name="Shape 4">
          <a:extLst>
            <a:ext uri="{FF2B5EF4-FFF2-40B4-BE49-F238E27FC236}">
              <a16:creationId xmlns:a16="http://schemas.microsoft.com/office/drawing/2014/main" id="{F149C662-8BFE-8D46-8181-A0BB1A2D2CE2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53</xdr:row>
      <xdr:rowOff>0</xdr:rowOff>
    </xdr:from>
    <xdr:ext cx="304800" cy="306848"/>
    <xdr:sp macro="" textlink="">
      <xdr:nvSpPr>
        <xdr:cNvPr id="23628" name="AutoShape 1">
          <a:extLst>
            <a:ext uri="{FF2B5EF4-FFF2-40B4-BE49-F238E27FC236}">
              <a16:creationId xmlns:a16="http://schemas.microsoft.com/office/drawing/2014/main" id="{BC847CEB-9ACD-2A45-8AFA-943A32A832B1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14325" cy="314325"/>
    <xdr:sp macro="" textlink="">
      <xdr:nvSpPr>
        <xdr:cNvPr id="23629" name="Shape 4">
          <a:extLst>
            <a:ext uri="{FF2B5EF4-FFF2-40B4-BE49-F238E27FC236}">
              <a16:creationId xmlns:a16="http://schemas.microsoft.com/office/drawing/2014/main" id="{21D22E7A-4509-C947-B7BD-B80737EAC0D4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53</xdr:row>
      <xdr:rowOff>0</xdr:rowOff>
    </xdr:from>
    <xdr:ext cx="304800" cy="306848"/>
    <xdr:sp macro="" textlink="">
      <xdr:nvSpPr>
        <xdr:cNvPr id="23630" name="AutoShape 1">
          <a:extLst>
            <a:ext uri="{FF2B5EF4-FFF2-40B4-BE49-F238E27FC236}">
              <a16:creationId xmlns:a16="http://schemas.microsoft.com/office/drawing/2014/main" id="{D2B86A6E-653D-C440-8483-D11A4EEB595C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14325" cy="314325"/>
    <xdr:sp macro="" textlink="">
      <xdr:nvSpPr>
        <xdr:cNvPr id="23631" name="Shape 4">
          <a:extLst>
            <a:ext uri="{FF2B5EF4-FFF2-40B4-BE49-F238E27FC236}">
              <a16:creationId xmlns:a16="http://schemas.microsoft.com/office/drawing/2014/main" id="{B3F33DC0-5360-2849-A132-CD1FACC4E82F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62</xdr:row>
      <xdr:rowOff>0</xdr:rowOff>
    </xdr:from>
    <xdr:ext cx="304800" cy="306848"/>
    <xdr:sp macro="" textlink="">
      <xdr:nvSpPr>
        <xdr:cNvPr id="23632" name="AutoShape 1">
          <a:extLst>
            <a:ext uri="{FF2B5EF4-FFF2-40B4-BE49-F238E27FC236}">
              <a16:creationId xmlns:a16="http://schemas.microsoft.com/office/drawing/2014/main" id="{13860D13-FF5C-8F40-8930-6B8A880FF0B3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314325" cy="314325"/>
    <xdr:sp macro="" textlink="">
      <xdr:nvSpPr>
        <xdr:cNvPr id="23633" name="Shape 4">
          <a:extLst>
            <a:ext uri="{FF2B5EF4-FFF2-40B4-BE49-F238E27FC236}">
              <a16:creationId xmlns:a16="http://schemas.microsoft.com/office/drawing/2014/main" id="{9B87B32E-34B6-F147-AF08-308C3B935209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62</xdr:row>
      <xdr:rowOff>0</xdr:rowOff>
    </xdr:from>
    <xdr:ext cx="304800" cy="306848"/>
    <xdr:sp macro="" textlink="">
      <xdr:nvSpPr>
        <xdr:cNvPr id="23634" name="AutoShape 1">
          <a:extLst>
            <a:ext uri="{FF2B5EF4-FFF2-40B4-BE49-F238E27FC236}">
              <a16:creationId xmlns:a16="http://schemas.microsoft.com/office/drawing/2014/main" id="{C1200318-CD21-F141-AFEA-BF1E8E594343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62</xdr:row>
      <xdr:rowOff>0</xdr:rowOff>
    </xdr:from>
    <xdr:ext cx="314325" cy="314325"/>
    <xdr:sp macro="" textlink="">
      <xdr:nvSpPr>
        <xdr:cNvPr id="23635" name="Shape 4">
          <a:extLst>
            <a:ext uri="{FF2B5EF4-FFF2-40B4-BE49-F238E27FC236}">
              <a16:creationId xmlns:a16="http://schemas.microsoft.com/office/drawing/2014/main" id="{6EB22D96-2F60-D74B-AE88-64891D91AD58}"/>
            </a:ext>
          </a:extLst>
        </xdr:cNvPr>
        <xdr:cNvSpPr/>
      </xdr:nvSpPr>
      <xdr:spPr>
        <a:xfrm>
          <a:off x="2794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304800" cy="306848"/>
    <xdr:sp macro="" textlink="">
      <xdr:nvSpPr>
        <xdr:cNvPr id="23636" name="AutoShape 1">
          <a:extLst>
            <a:ext uri="{FF2B5EF4-FFF2-40B4-BE49-F238E27FC236}">
              <a16:creationId xmlns:a16="http://schemas.microsoft.com/office/drawing/2014/main" id="{3C3F8AFC-0DB4-D047-94C3-A52CD57D9E1E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314325" cy="314325"/>
    <xdr:sp macro="" textlink="">
      <xdr:nvSpPr>
        <xdr:cNvPr id="23637" name="Shape 4">
          <a:extLst>
            <a:ext uri="{FF2B5EF4-FFF2-40B4-BE49-F238E27FC236}">
              <a16:creationId xmlns:a16="http://schemas.microsoft.com/office/drawing/2014/main" id="{ACCA60A1-4A08-3741-84AC-7F369ED36DEB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62</xdr:row>
      <xdr:rowOff>0</xdr:rowOff>
    </xdr:from>
    <xdr:ext cx="304800" cy="306848"/>
    <xdr:sp macro="" textlink="">
      <xdr:nvSpPr>
        <xdr:cNvPr id="23638" name="AutoShape 1">
          <a:extLst>
            <a:ext uri="{FF2B5EF4-FFF2-40B4-BE49-F238E27FC236}">
              <a16:creationId xmlns:a16="http://schemas.microsoft.com/office/drawing/2014/main" id="{C9B9593F-E86E-024B-BA49-9E563EBE8614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314325" cy="314325"/>
    <xdr:sp macro="" textlink="">
      <xdr:nvSpPr>
        <xdr:cNvPr id="23639" name="Shape 4">
          <a:extLst>
            <a:ext uri="{FF2B5EF4-FFF2-40B4-BE49-F238E27FC236}">
              <a16:creationId xmlns:a16="http://schemas.microsoft.com/office/drawing/2014/main" id="{8264D547-3970-944A-AEB3-F02025144722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62</xdr:row>
      <xdr:rowOff>0</xdr:rowOff>
    </xdr:from>
    <xdr:ext cx="304800" cy="306848"/>
    <xdr:sp macro="" textlink="">
      <xdr:nvSpPr>
        <xdr:cNvPr id="23640" name="AutoShape 1">
          <a:extLst>
            <a:ext uri="{FF2B5EF4-FFF2-40B4-BE49-F238E27FC236}">
              <a16:creationId xmlns:a16="http://schemas.microsoft.com/office/drawing/2014/main" id="{8E0A4A7D-2339-B842-8F48-8D4346EAB1AA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314325" cy="314325"/>
    <xdr:sp macro="" textlink="">
      <xdr:nvSpPr>
        <xdr:cNvPr id="23641" name="Shape 4">
          <a:extLst>
            <a:ext uri="{FF2B5EF4-FFF2-40B4-BE49-F238E27FC236}">
              <a16:creationId xmlns:a16="http://schemas.microsoft.com/office/drawing/2014/main" id="{1481AF5E-E80D-FB44-8309-4F369564C3A6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62</xdr:row>
      <xdr:rowOff>0</xdr:rowOff>
    </xdr:from>
    <xdr:ext cx="304800" cy="306848"/>
    <xdr:sp macro="" textlink="">
      <xdr:nvSpPr>
        <xdr:cNvPr id="23642" name="AutoShape 1">
          <a:extLst>
            <a:ext uri="{FF2B5EF4-FFF2-40B4-BE49-F238E27FC236}">
              <a16:creationId xmlns:a16="http://schemas.microsoft.com/office/drawing/2014/main" id="{C888AB13-3A6D-3942-B856-69F39F8321A2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314325" cy="314325"/>
    <xdr:sp macro="" textlink="">
      <xdr:nvSpPr>
        <xdr:cNvPr id="23643" name="Shape 4">
          <a:extLst>
            <a:ext uri="{FF2B5EF4-FFF2-40B4-BE49-F238E27FC236}">
              <a16:creationId xmlns:a16="http://schemas.microsoft.com/office/drawing/2014/main" id="{1B37D59B-28B2-4846-B390-5E2A4E4AEA89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44" name="AutoShape 1">
          <a:extLst>
            <a:ext uri="{FF2B5EF4-FFF2-40B4-BE49-F238E27FC236}">
              <a16:creationId xmlns:a16="http://schemas.microsoft.com/office/drawing/2014/main" id="{887F3834-9C07-754C-A409-541F7589A944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45" name="Shape 4">
          <a:extLst>
            <a:ext uri="{FF2B5EF4-FFF2-40B4-BE49-F238E27FC236}">
              <a16:creationId xmlns:a16="http://schemas.microsoft.com/office/drawing/2014/main" id="{4C8FEFB3-CFC2-9A49-A777-52A4945E2B2B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72</xdr:row>
      <xdr:rowOff>0</xdr:rowOff>
    </xdr:from>
    <xdr:ext cx="304800" cy="306848"/>
    <xdr:sp macro="" textlink="">
      <xdr:nvSpPr>
        <xdr:cNvPr id="23646" name="AutoShape 1">
          <a:extLst>
            <a:ext uri="{FF2B5EF4-FFF2-40B4-BE49-F238E27FC236}">
              <a16:creationId xmlns:a16="http://schemas.microsoft.com/office/drawing/2014/main" id="{05487971-F04A-1A46-9AF7-6854CC1D1357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72</xdr:row>
      <xdr:rowOff>0</xdr:rowOff>
    </xdr:from>
    <xdr:ext cx="314325" cy="314325"/>
    <xdr:sp macro="" textlink="">
      <xdr:nvSpPr>
        <xdr:cNvPr id="23647" name="Shape 4">
          <a:extLst>
            <a:ext uri="{FF2B5EF4-FFF2-40B4-BE49-F238E27FC236}">
              <a16:creationId xmlns:a16="http://schemas.microsoft.com/office/drawing/2014/main" id="{7B16CBEF-310C-C848-B3CD-9301830DE7BC}"/>
            </a:ext>
          </a:extLst>
        </xdr:cNvPr>
        <xdr:cNvSpPr/>
      </xdr:nvSpPr>
      <xdr:spPr>
        <a:xfrm>
          <a:off x="2794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48" name="AutoShape 1">
          <a:extLst>
            <a:ext uri="{FF2B5EF4-FFF2-40B4-BE49-F238E27FC236}">
              <a16:creationId xmlns:a16="http://schemas.microsoft.com/office/drawing/2014/main" id="{76B6D2EE-6838-0748-846A-3D8F14FB6A3E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49" name="Shape 4">
          <a:extLst>
            <a:ext uri="{FF2B5EF4-FFF2-40B4-BE49-F238E27FC236}">
              <a16:creationId xmlns:a16="http://schemas.microsoft.com/office/drawing/2014/main" id="{8A2C01E7-4BE2-B848-98C9-EFDDFF0199FF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50" name="AutoShape 1">
          <a:extLst>
            <a:ext uri="{FF2B5EF4-FFF2-40B4-BE49-F238E27FC236}">
              <a16:creationId xmlns:a16="http://schemas.microsoft.com/office/drawing/2014/main" id="{61DAF912-504C-8145-8916-24F66EBC320E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51" name="Shape 4">
          <a:extLst>
            <a:ext uri="{FF2B5EF4-FFF2-40B4-BE49-F238E27FC236}">
              <a16:creationId xmlns:a16="http://schemas.microsoft.com/office/drawing/2014/main" id="{8ABFA9BF-CF60-244A-89F5-A1B9E03EF9BC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52" name="AutoShape 1">
          <a:extLst>
            <a:ext uri="{FF2B5EF4-FFF2-40B4-BE49-F238E27FC236}">
              <a16:creationId xmlns:a16="http://schemas.microsoft.com/office/drawing/2014/main" id="{E431E01B-5FF2-1541-9E49-CAED5BC77D9F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53" name="Shape 4">
          <a:extLst>
            <a:ext uri="{FF2B5EF4-FFF2-40B4-BE49-F238E27FC236}">
              <a16:creationId xmlns:a16="http://schemas.microsoft.com/office/drawing/2014/main" id="{8BE3F3B3-AC01-F34A-8509-8B6E89021F24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54" name="AutoShape 1">
          <a:extLst>
            <a:ext uri="{FF2B5EF4-FFF2-40B4-BE49-F238E27FC236}">
              <a16:creationId xmlns:a16="http://schemas.microsoft.com/office/drawing/2014/main" id="{A608FBC6-B4CA-FC46-928B-7960581ABDB2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55" name="Shape 4">
          <a:extLst>
            <a:ext uri="{FF2B5EF4-FFF2-40B4-BE49-F238E27FC236}">
              <a16:creationId xmlns:a16="http://schemas.microsoft.com/office/drawing/2014/main" id="{1B44496C-D424-5A4C-9E45-E60CA5DF073A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56" name="AutoShape 1">
          <a:extLst>
            <a:ext uri="{FF2B5EF4-FFF2-40B4-BE49-F238E27FC236}">
              <a16:creationId xmlns:a16="http://schemas.microsoft.com/office/drawing/2014/main" id="{86C77A9A-FE1E-364F-8458-6BF2100EAB00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57" name="Shape 4">
          <a:extLst>
            <a:ext uri="{FF2B5EF4-FFF2-40B4-BE49-F238E27FC236}">
              <a16:creationId xmlns:a16="http://schemas.microsoft.com/office/drawing/2014/main" id="{519DA42A-80D4-E04B-B2AC-C5BF9DFF7DEF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58" name="AutoShape 1">
          <a:extLst>
            <a:ext uri="{FF2B5EF4-FFF2-40B4-BE49-F238E27FC236}">
              <a16:creationId xmlns:a16="http://schemas.microsoft.com/office/drawing/2014/main" id="{A3A6EE22-0423-8A45-BE9C-022B0613C839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59" name="Shape 4">
          <a:extLst>
            <a:ext uri="{FF2B5EF4-FFF2-40B4-BE49-F238E27FC236}">
              <a16:creationId xmlns:a16="http://schemas.microsoft.com/office/drawing/2014/main" id="{EC78AC51-3151-704F-83F3-012BFB4C8E49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60" name="AutoShape 1">
          <a:extLst>
            <a:ext uri="{FF2B5EF4-FFF2-40B4-BE49-F238E27FC236}">
              <a16:creationId xmlns:a16="http://schemas.microsoft.com/office/drawing/2014/main" id="{D80AA22D-7275-974F-BA8B-10297E5DFB49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61" name="Shape 4">
          <a:extLst>
            <a:ext uri="{FF2B5EF4-FFF2-40B4-BE49-F238E27FC236}">
              <a16:creationId xmlns:a16="http://schemas.microsoft.com/office/drawing/2014/main" id="{08C7221E-2041-F447-B571-D2823C9E71B2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62" name="AutoShape 1">
          <a:extLst>
            <a:ext uri="{FF2B5EF4-FFF2-40B4-BE49-F238E27FC236}">
              <a16:creationId xmlns:a16="http://schemas.microsoft.com/office/drawing/2014/main" id="{680A92BA-A6E5-A344-94DF-CDE06FFD141A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63" name="Shape 4">
          <a:extLst>
            <a:ext uri="{FF2B5EF4-FFF2-40B4-BE49-F238E27FC236}">
              <a16:creationId xmlns:a16="http://schemas.microsoft.com/office/drawing/2014/main" id="{84BB5FB8-3BCB-FD4A-97E9-B119854ABC6B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72</xdr:row>
      <xdr:rowOff>0</xdr:rowOff>
    </xdr:from>
    <xdr:ext cx="304800" cy="306848"/>
    <xdr:sp macro="" textlink="">
      <xdr:nvSpPr>
        <xdr:cNvPr id="23664" name="AutoShape 1">
          <a:extLst>
            <a:ext uri="{FF2B5EF4-FFF2-40B4-BE49-F238E27FC236}">
              <a16:creationId xmlns:a16="http://schemas.microsoft.com/office/drawing/2014/main" id="{27EDD6FD-76CB-9E42-9068-B1A9ED9543C3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314325" cy="314325"/>
    <xdr:sp macro="" textlink="">
      <xdr:nvSpPr>
        <xdr:cNvPr id="23665" name="Shape 4">
          <a:extLst>
            <a:ext uri="{FF2B5EF4-FFF2-40B4-BE49-F238E27FC236}">
              <a16:creationId xmlns:a16="http://schemas.microsoft.com/office/drawing/2014/main" id="{3748168C-7CA7-C34C-9817-7F4135AFCFA2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66" name="AutoShape 1">
          <a:extLst>
            <a:ext uri="{FF2B5EF4-FFF2-40B4-BE49-F238E27FC236}">
              <a16:creationId xmlns:a16="http://schemas.microsoft.com/office/drawing/2014/main" id="{5360D55A-3A94-6843-8324-849B407F4358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67" name="Shape 4">
          <a:extLst>
            <a:ext uri="{FF2B5EF4-FFF2-40B4-BE49-F238E27FC236}">
              <a16:creationId xmlns:a16="http://schemas.microsoft.com/office/drawing/2014/main" id="{74D965EB-B191-3A43-ABE3-27F2ED41E0A5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81</xdr:row>
      <xdr:rowOff>0</xdr:rowOff>
    </xdr:from>
    <xdr:ext cx="304800" cy="306848"/>
    <xdr:sp macro="" textlink="">
      <xdr:nvSpPr>
        <xdr:cNvPr id="23668" name="AutoShape 1">
          <a:extLst>
            <a:ext uri="{FF2B5EF4-FFF2-40B4-BE49-F238E27FC236}">
              <a16:creationId xmlns:a16="http://schemas.microsoft.com/office/drawing/2014/main" id="{ADD6EF25-B8FB-2744-BAA9-F8C50119EE30}"/>
            </a:ext>
          </a:extLst>
        </xdr:cNvPr>
        <xdr:cNvSpPr>
          <a:spLocks noChangeAspect="1" noChangeArrowheads="1"/>
        </xdr:cNvSpPr>
      </xdr:nvSpPr>
      <xdr:spPr bwMode="auto">
        <a:xfrm>
          <a:off x="279400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81</xdr:row>
      <xdr:rowOff>0</xdr:rowOff>
    </xdr:from>
    <xdr:ext cx="314325" cy="314325"/>
    <xdr:sp macro="" textlink="">
      <xdr:nvSpPr>
        <xdr:cNvPr id="23669" name="Shape 4">
          <a:extLst>
            <a:ext uri="{FF2B5EF4-FFF2-40B4-BE49-F238E27FC236}">
              <a16:creationId xmlns:a16="http://schemas.microsoft.com/office/drawing/2014/main" id="{C4CF7C3D-121A-0B42-9C79-FF3A0DEC8BCB}"/>
            </a:ext>
          </a:extLst>
        </xdr:cNvPr>
        <xdr:cNvSpPr/>
      </xdr:nvSpPr>
      <xdr:spPr>
        <a:xfrm>
          <a:off x="2794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70" name="AutoShape 1">
          <a:extLst>
            <a:ext uri="{FF2B5EF4-FFF2-40B4-BE49-F238E27FC236}">
              <a16:creationId xmlns:a16="http://schemas.microsoft.com/office/drawing/2014/main" id="{A7DD80D9-79F9-4B4A-BBC1-5DBEA4C7B838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71" name="Shape 4">
          <a:extLst>
            <a:ext uri="{FF2B5EF4-FFF2-40B4-BE49-F238E27FC236}">
              <a16:creationId xmlns:a16="http://schemas.microsoft.com/office/drawing/2014/main" id="{7AF51A5E-9DF2-5749-A36A-FED376D8BD82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72" name="AutoShape 1">
          <a:extLst>
            <a:ext uri="{FF2B5EF4-FFF2-40B4-BE49-F238E27FC236}">
              <a16:creationId xmlns:a16="http://schemas.microsoft.com/office/drawing/2014/main" id="{F2024638-975B-DE4C-BE56-E4836C8FE680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73" name="Shape 4">
          <a:extLst>
            <a:ext uri="{FF2B5EF4-FFF2-40B4-BE49-F238E27FC236}">
              <a16:creationId xmlns:a16="http://schemas.microsoft.com/office/drawing/2014/main" id="{0C4D7AA7-367C-E640-B5ED-08EEF02AC5A1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74" name="AutoShape 1">
          <a:extLst>
            <a:ext uri="{FF2B5EF4-FFF2-40B4-BE49-F238E27FC236}">
              <a16:creationId xmlns:a16="http://schemas.microsoft.com/office/drawing/2014/main" id="{B619967D-82FE-8B40-A00C-93F072378D96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75" name="Shape 4">
          <a:extLst>
            <a:ext uri="{FF2B5EF4-FFF2-40B4-BE49-F238E27FC236}">
              <a16:creationId xmlns:a16="http://schemas.microsoft.com/office/drawing/2014/main" id="{42C3DF74-E50A-2544-BCFE-783022767E8E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76" name="AutoShape 1">
          <a:extLst>
            <a:ext uri="{FF2B5EF4-FFF2-40B4-BE49-F238E27FC236}">
              <a16:creationId xmlns:a16="http://schemas.microsoft.com/office/drawing/2014/main" id="{C75BF406-699C-544E-A1A9-55859F9F2F29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77" name="Shape 4">
          <a:extLst>
            <a:ext uri="{FF2B5EF4-FFF2-40B4-BE49-F238E27FC236}">
              <a16:creationId xmlns:a16="http://schemas.microsoft.com/office/drawing/2014/main" id="{B600D4AD-E889-2542-9D80-D97E193C5990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78" name="AutoShape 1">
          <a:extLst>
            <a:ext uri="{FF2B5EF4-FFF2-40B4-BE49-F238E27FC236}">
              <a16:creationId xmlns:a16="http://schemas.microsoft.com/office/drawing/2014/main" id="{D3AEFDF2-D546-C849-93EB-FC054883BE92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79" name="Shape 4">
          <a:extLst>
            <a:ext uri="{FF2B5EF4-FFF2-40B4-BE49-F238E27FC236}">
              <a16:creationId xmlns:a16="http://schemas.microsoft.com/office/drawing/2014/main" id="{8EADEDC9-A2D7-3542-B852-6445C4CEEBD7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80" name="AutoShape 1">
          <a:extLst>
            <a:ext uri="{FF2B5EF4-FFF2-40B4-BE49-F238E27FC236}">
              <a16:creationId xmlns:a16="http://schemas.microsoft.com/office/drawing/2014/main" id="{346FB4D6-261D-9A46-BEAE-8A60FCACFEAF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81" name="Shape 4">
          <a:extLst>
            <a:ext uri="{FF2B5EF4-FFF2-40B4-BE49-F238E27FC236}">
              <a16:creationId xmlns:a16="http://schemas.microsoft.com/office/drawing/2014/main" id="{3E476BAD-0334-564C-918F-158BA84C1895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82" name="AutoShape 1">
          <a:extLst>
            <a:ext uri="{FF2B5EF4-FFF2-40B4-BE49-F238E27FC236}">
              <a16:creationId xmlns:a16="http://schemas.microsoft.com/office/drawing/2014/main" id="{CB7ED386-71E6-1F42-A822-5042F794605C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83" name="Shape 4">
          <a:extLst>
            <a:ext uri="{FF2B5EF4-FFF2-40B4-BE49-F238E27FC236}">
              <a16:creationId xmlns:a16="http://schemas.microsoft.com/office/drawing/2014/main" id="{A802C494-758E-9643-A7BF-8A5DC42B7867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84" name="AutoShape 1">
          <a:extLst>
            <a:ext uri="{FF2B5EF4-FFF2-40B4-BE49-F238E27FC236}">
              <a16:creationId xmlns:a16="http://schemas.microsoft.com/office/drawing/2014/main" id="{C5F31700-B16A-784D-8D34-A44268D98F8F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85" name="Shape 4">
          <a:extLst>
            <a:ext uri="{FF2B5EF4-FFF2-40B4-BE49-F238E27FC236}">
              <a16:creationId xmlns:a16="http://schemas.microsoft.com/office/drawing/2014/main" id="{7C1EF9F1-BF5D-034C-A477-45EC045ACEEB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81</xdr:row>
      <xdr:rowOff>0</xdr:rowOff>
    </xdr:from>
    <xdr:ext cx="304800" cy="306848"/>
    <xdr:sp macro="" textlink="">
      <xdr:nvSpPr>
        <xdr:cNvPr id="23686" name="AutoShape 1">
          <a:extLst>
            <a:ext uri="{FF2B5EF4-FFF2-40B4-BE49-F238E27FC236}">
              <a16:creationId xmlns:a16="http://schemas.microsoft.com/office/drawing/2014/main" id="{EA779580-E708-9B4A-938C-9A3D8826290E}"/>
            </a:ext>
          </a:extLst>
        </xdr:cNvPr>
        <xdr:cNvSpPr>
          <a:spLocks noChangeAspect="1" noChangeArrowheads="1"/>
        </xdr:cNvSpPr>
      </xdr:nvSpPr>
      <xdr:spPr bwMode="auto">
        <a:xfrm>
          <a:off x="293077" y="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81</xdr:row>
      <xdr:rowOff>0</xdr:rowOff>
    </xdr:from>
    <xdr:ext cx="314325" cy="314325"/>
    <xdr:sp macro="" textlink="">
      <xdr:nvSpPr>
        <xdr:cNvPr id="23687" name="Shape 4">
          <a:extLst>
            <a:ext uri="{FF2B5EF4-FFF2-40B4-BE49-F238E27FC236}">
              <a16:creationId xmlns:a16="http://schemas.microsoft.com/office/drawing/2014/main" id="{C0C04919-917C-D044-9D3A-E7394C8D6976}"/>
            </a:ext>
          </a:extLst>
        </xdr:cNvPr>
        <xdr:cNvSpPr/>
      </xdr:nvSpPr>
      <xdr:spPr>
        <a:xfrm>
          <a:off x="293077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688" name="AutoShape 1">
          <a:extLst>
            <a:ext uri="{FF2B5EF4-FFF2-40B4-BE49-F238E27FC236}">
              <a16:creationId xmlns:a16="http://schemas.microsoft.com/office/drawing/2014/main" id="{6B725266-DB9F-9841-840A-4A937198550D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689" name="Shape 4">
          <a:extLst>
            <a:ext uri="{FF2B5EF4-FFF2-40B4-BE49-F238E27FC236}">
              <a16:creationId xmlns:a16="http://schemas.microsoft.com/office/drawing/2014/main" id="{0C640E10-81ED-4D46-9912-69FEC0A3677C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88</xdr:row>
      <xdr:rowOff>0</xdr:rowOff>
    </xdr:from>
    <xdr:ext cx="304800" cy="306848"/>
    <xdr:sp macro="" textlink="">
      <xdr:nvSpPr>
        <xdr:cNvPr id="23690" name="AutoShape 1">
          <a:extLst>
            <a:ext uri="{FF2B5EF4-FFF2-40B4-BE49-F238E27FC236}">
              <a16:creationId xmlns:a16="http://schemas.microsoft.com/office/drawing/2014/main" id="{965B81E3-A96B-A24E-9026-79742FD1F997}"/>
            </a:ext>
          </a:extLst>
        </xdr:cNvPr>
        <xdr:cNvSpPr>
          <a:spLocks noChangeAspect="1" noChangeArrowheads="1"/>
        </xdr:cNvSpPr>
      </xdr:nvSpPr>
      <xdr:spPr bwMode="auto">
        <a:xfrm>
          <a:off x="279400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88</xdr:row>
      <xdr:rowOff>0</xdr:rowOff>
    </xdr:from>
    <xdr:ext cx="314325" cy="314325"/>
    <xdr:sp macro="" textlink="">
      <xdr:nvSpPr>
        <xdr:cNvPr id="23691" name="Shape 4">
          <a:extLst>
            <a:ext uri="{FF2B5EF4-FFF2-40B4-BE49-F238E27FC236}">
              <a16:creationId xmlns:a16="http://schemas.microsoft.com/office/drawing/2014/main" id="{8023F154-47D4-0E47-B66F-5F7811EE7101}"/>
            </a:ext>
          </a:extLst>
        </xdr:cNvPr>
        <xdr:cNvSpPr/>
      </xdr:nvSpPr>
      <xdr:spPr>
        <a:xfrm>
          <a:off x="279400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692" name="AutoShape 1">
          <a:extLst>
            <a:ext uri="{FF2B5EF4-FFF2-40B4-BE49-F238E27FC236}">
              <a16:creationId xmlns:a16="http://schemas.microsoft.com/office/drawing/2014/main" id="{C1AE308D-204B-3141-8E0B-EB83E467C82A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693" name="Shape 4">
          <a:extLst>
            <a:ext uri="{FF2B5EF4-FFF2-40B4-BE49-F238E27FC236}">
              <a16:creationId xmlns:a16="http://schemas.microsoft.com/office/drawing/2014/main" id="{6204F066-A088-8348-9DE2-A95B0215E1A9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694" name="AutoShape 1">
          <a:extLst>
            <a:ext uri="{FF2B5EF4-FFF2-40B4-BE49-F238E27FC236}">
              <a16:creationId xmlns:a16="http://schemas.microsoft.com/office/drawing/2014/main" id="{E9B3F915-6C71-8147-B587-C6DE18C08451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695" name="Shape 4">
          <a:extLst>
            <a:ext uri="{FF2B5EF4-FFF2-40B4-BE49-F238E27FC236}">
              <a16:creationId xmlns:a16="http://schemas.microsoft.com/office/drawing/2014/main" id="{191AD35B-B82B-8D4C-8D7C-9405011D9798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696" name="AutoShape 1">
          <a:extLst>
            <a:ext uri="{FF2B5EF4-FFF2-40B4-BE49-F238E27FC236}">
              <a16:creationId xmlns:a16="http://schemas.microsoft.com/office/drawing/2014/main" id="{9B6FF617-C5CC-C44E-83D5-0ADEDC350E20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697" name="Shape 4">
          <a:extLst>
            <a:ext uri="{FF2B5EF4-FFF2-40B4-BE49-F238E27FC236}">
              <a16:creationId xmlns:a16="http://schemas.microsoft.com/office/drawing/2014/main" id="{FB663FFC-C30A-6944-98FB-5F9CFD924AF6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698" name="AutoShape 1">
          <a:extLst>
            <a:ext uri="{FF2B5EF4-FFF2-40B4-BE49-F238E27FC236}">
              <a16:creationId xmlns:a16="http://schemas.microsoft.com/office/drawing/2014/main" id="{D2CF9740-5137-CC4D-BC2A-73C3068E5A95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699" name="Shape 4">
          <a:extLst>
            <a:ext uri="{FF2B5EF4-FFF2-40B4-BE49-F238E27FC236}">
              <a16:creationId xmlns:a16="http://schemas.microsoft.com/office/drawing/2014/main" id="{E913A715-B006-8443-84D3-19109CEE7843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700" name="AutoShape 1">
          <a:extLst>
            <a:ext uri="{FF2B5EF4-FFF2-40B4-BE49-F238E27FC236}">
              <a16:creationId xmlns:a16="http://schemas.microsoft.com/office/drawing/2014/main" id="{6BA69FDB-B8CB-1E4E-B088-29F0E45A124F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701" name="Shape 4">
          <a:extLst>
            <a:ext uri="{FF2B5EF4-FFF2-40B4-BE49-F238E27FC236}">
              <a16:creationId xmlns:a16="http://schemas.microsoft.com/office/drawing/2014/main" id="{8FDD13FE-62F4-F948-861D-D1F0EFEBBFC9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702" name="AutoShape 1">
          <a:extLst>
            <a:ext uri="{FF2B5EF4-FFF2-40B4-BE49-F238E27FC236}">
              <a16:creationId xmlns:a16="http://schemas.microsoft.com/office/drawing/2014/main" id="{AECE9280-F220-F649-9A43-8F7EAC49F72E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0</xdr:rowOff>
    </xdr:from>
    <xdr:ext cx="314325" cy="314325"/>
    <xdr:sp macro="" textlink="">
      <xdr:nvSpPr>
        <xdr:cNvPr id="23703" name="Shape 4">
          <a:extLst>
            <a:ext uri="{FF2B5EF4-FFF2-40B4-BE49-F238E27FC236}">
              <a16:creationId xmlns:a16="http://schemas.microsoft.com/office/drawing/2014/main" id="{0AC1B1B2-D4F2-4C40-9F9F-149021C5E8F2}"/>
            </a:ext>
          </a:extLst>
        </xdr:cNvPr>
        <xdr:cNvSpPr/>
      </xdr:nvSpPr>
      <xdr:spPr>
        <a:xfrm>
          <a:off x="293077" y="77828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88</xdr:row>
      <xdr:rowOff>0</xdr:rowOff>
    </xdr:from>
    <xdr:ext cx="304800" cy="306848"/>
    <xdr:sp macro="" textlink="">
      <xdr:nvSpPr>
        <xdr:cNvPr id="23704" name="AutoShape 1">
          <a:extLst>
            <a:ext uri="{FF2B5EF4-FFF2-40B4-BE49-F238E27FC236}">
              <a16:creationId xmlns:a16="http://schemas.microsoft.com/office/drawing/2014/main" id="{BE959170-7419-1B4C-A99C-F277EB58455C}"/>
            </a:ext>
          </a:extLst>
        </xdr:cNvPr>
        <xdr:cNvSpPr>
          <a:spLocks noChangeAspect="1" noChangeArrowheads="1"/>
        </xdr:cNvSpPr>
      </xdr:nvSpPr>
      <xdr:spPr bwMode="auto">
        <a:xfrm>
          <a:off x="293077" y="778282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04800" cy="306848"/>
    <xdr:sp macro="" textlink="">
      <xdr:nvSpPr>
        <xdr:cNvPr id="23721" name="AutoShape 1">
          <a:extLst>
            <a:ext uri="{FF2B5EF4-FFF2-40B4-BE49-F238E27FC236}">
              <a16:creationId xmlns:a16="http://schemas.microsoft.com/office/drawing/2014/main" id="{2BDF7D68-861B-DA4E-A943-C43C14DF592D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974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14325" cy="314325"/>
    <xdr:sp macro="" textlink="">
      <xdr:nvSpPr>
        <xdr:cNvPr id="23722" name="Shape 4">
          <a:extLst>
            <a:ext uri="{FF2B5EF4-FFF2-40B4-BE49-F238E27FC236}">
              <a16:creationId xmlns:a16="http://schemas.microsoft.com/office/drawing/2014/main" id="{5BA66A1F-827C-EF46-BDD7-91ED6A32FE4B}"/>
            </a:ext>
          </a:extLst>
        </xdr:cNvPr>
        <xdr:cNvSpPr/>
      </xdr:nvSpPr>
      <xdr:spPr>
        <a:xfrm>
          <a:off x="825500" y="4597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92</xdr:row>
      <xdr:rowOff>0</xdr:rowOff>
    </xdr:from>
    <xdr:ext cx="304800" cy="306848"/>
    <xdr:sp macro="" textlink="">
      <xdr:nvSpPr>
        <xdr:cNvPr id="23723" name="AutoShape 1">
          <a:extLst>
            <a:ext uri="{FF2B5EF4-FFF2-40B4-BE49-F238E27FC236}">
              <a16:creationId xmlns:a16="http://schemas.microsoft.com/office/drawing/2014/main" id="{FF37E900-B176-5C48-B1EE-41200F85FA63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974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14325" cy="314325"/>
    <xdr:sp macro="" textlink="">
      <xdr:nvSpPr>
        <xdr:cNvPr id="23724" name="Shape 4">
          <a:extLst>
            <a:ext uri="{FF2B5EF4-FFF2-40B4-BE49-F238E27FC236}">
              <a16:creationId xmlns:a16="http://schemas.microsoft.com/office/drawing/2014/main" id="{51369E63-34BD-F54B-8EF5-FCBE8A00E1A0}"/>
            </a:ext>
          </a:extLst>
        </xdr:cNvPr>
        <xdr:cNvSpPr/>
      </xdr:nvSpPr>
      <xdr:spPr>
        <a:xfrm>
          <a:off x="825500" y="4597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92</xdr:row>
      <xdr:rowOff>0</xdr:rowOff>
    </xdr:from>
    <xdr:ext cx="304800" cy="306848"/>
    <xdr:sp macro="" textlink="">
      <xdr:nvSpPr>
        <xdr:cNvPr id="23725" name="AutoShape 1">
          <a:extLst>
            <a:ext uri="{FF2B5EF4-FFF2-40B4-BE49-F238E27FC236}">
              <a16:creationId xmlns:a16="http://schemas.microsoft.com/office/drawing/2014/main" id="{7853E85E-D82A-1D41-A5AB-6CB8FB0AD638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974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14325" cy="314325"/>
    <xdr:sp macro="" textlink="">
      <xdr:nvSpPr>
        <xdr:cNvPr id="23726" name="Shape 4">
          <a:extLst>
            <a:ext uri="{FF2B5EF4-FFF2-40B4-BE49-F238E27FC236}">
              <a16:creationId xmlns:a16="http://schemas.microsoft.com/office/drawing/2014/main" id="{E331B62A-C0C9-6642-84B8-3AF7913EB61B}"/>
            </a:ext>
          </a:extLst>
        </xdr:cNvPr>
        <xdr:cNvSpPr/>
      </xdr:nvSpPr>
      <xdr:spPr>
        <a:xfrm>
          <a:off x="825500" y="4597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92</xdr:row>
      <xdr:rowOff>0</xdr:rowOff>
    </xdr:from>
    <xdr:ext cx="304800" cy="306848"/>
    <xdr:sp macro="" textlink="">
      <xdr:nvSpPr>
        <xdr:cNvPr id="23727" name="AutoShape 1">
          <a:extLst>
            <a:ext uri="{FF2B5EF4-FFF2-40B4-BE49-F238E27FC236}">
              <a16:creationId xmlns:a16="http://schemas.microsoft.com/office/drawing/2014/main" id="{77852221-52CD-944B-A802-D6D153229398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974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14325" cy="314325"/>
    <xdr:sp macro="" textlink="">
      <xdr:nvSpPr>
        <xdr:cNvPr id="23728" name="Shape 4">
          <a:extLst>
            <a:ext uri="{FF2B5EF4-FFF2-40B4-BE49-F238E27FC236}">
              <a16:creationId xmlns:a16="http://schemas.microsoft.com/office/drawing/2014/main" id="{4347C6C6-5E7E-9240-86D4-69F2CC02165A}"/>
            </a:ext>
          </a:extLst>
        </xdr:cNvPr>
        <xdr:cNvSpPr/>
      </xdr:nvSpPr>
      <xdr:spPr>
        <a:xfrm>
          <a:off x="825500" y="4597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92</xdr:row>
      <xdr:rowOff>0</xdr:rowOff>
    </xdr:from>
    <xdr:ext cx="304800" cy="306848"/>
    <xdr:sp macro="" textlink="">
      <xdr:nvSpPr>
        <xdr:cNvPr id="23729" name="AutoShape 1">
          <a:extLst>
            <a:ext uri="{FF2B5EF4-FFF2-40B4-BE49-F238E27FC236}">
              <a16:creationId xmlns:a16="http://schemas.microsoft.com/office/drawing/2014/main" id="{8E62EBD5-BBCE-6341-8E6F-37CCEC8BA700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97400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14325" cy="314325"/>
    <xdr:sp macro="" textlink="">
      <xdr:nvSpPr>
        <xdr:cNvPr id="23730" name="Shape 4">
          <a:extLst>
            <a:ext uri="{FF2B5EF4-FFF2-40B4-BE49-F238E27FC236}">
              <a16:creationId xmlns:a16="http://schemas.microsoft.com/office/drawing/2014/main" id="{B61F224F-768E-E748-A7AC-7E38789ED813}"/>
            </a:ext>
          </a:extLst>
        </xdr:cNvPr>
        <xdr:cNvSpPr/>
      </xdr:nvSpPr>
      <xdr:spPr>
        <a:xfrm>
          <a:off x="825500" y="4597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10" name="AutoShape 1">
          <a:extLst>
            <a:ext uri="{FF2B5EF4-FFF2-40B4-BE49-F238E27FC236}">
              <a16:creationId xmlns:a16="http://schemas.microsoft.com/office/drawing/2014/main" id="{A97981D5-5B97-1D45-989E-EFA170AB305A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11" name="Shape 4">
          <a:extLst>
            <a:ext uri="{FF2B5EF4-FFF2-40B4-BE49-F238E27FC236}">
              <a16:creationId xmlns:a16="http://schemas.microsoft.com/office/drawing/2014/main" id="{F9ABE6E1-6776-C349-BA14-2672B335B914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279400</xdr:colOff>
      <xdr:row>98</xdr:row>
      <xdr:rowOff>0</xdr:rowOff>
    </xdr:from>
    <xdr:ext cx="304800" cy="306848"/>
    <xdr:sp macro="" textlink="">
      <xdr:nvSpPr>
        <xdr:cNvPr id="23712" name="AutoShape 1">
          <a:extLst>
            <a:ext uri="{FF2B5EF4-FFF2-40B4-BE49-F238E27FC236}">
              <a16:creationId xmlns:a16="http://schemas.microsoft.com/office/drawing/2014/main" id="{BA7F7CE5-F4A2-2C4C-AC00-F05BCAEE54FC}"/>
            </a:ext>
          </a:extLst>
        </xdr:cNvPr>
        <xdr:cNvSpPr>
          <a:spLocks noChangeAspect="1" noChangeArrowheads="1"/>
        </xdr:cNvSpPr>
      </xdr:nvSpPr>
      <xdr:spPr bwMode="auto">
        <a:xfrm>
          <a:off x="279400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279400</xdr:colOff>
      <xdr:row>98</xdr:row>
      <xdr:rowOff>0</xdr:rowOff>
    </xdr:from>
    <xdr:ext cx="314325" cy="314325"/>
    <xdr:sp macro="" textlink="">
      <xdr:nvSpPr>
        <xdr:cNvPr id="23713" name="Shape 4">
          <a:extLst>
            <a:ext uri="{FF2B5EF4-FFF2-40B4-BE49-F238E27FC236}">
              <a16:creationId xmlns:a16="http://schemas.microsoft.com/office/drawing/2014/main" id="{FDA8FEED-8692-804F-AA4A-4E6916E87174}"/>
            </a:ext>
          </a:extLst>
        </xdr:cNvPr>
        <xdr:cNvSpPr/>
      </xdr:nvSpPr>
      <xdr:spPr>
        <a:xfrm>
          <a:off x="279400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14" name="AutoShape 1">
          <a:extLst>
            <a:ext uri="{FF2B5EF4-FFF2-40B4-BE49-F238E27FC236}">
              <a16:creationId xmlns:a16="http://schemas.microsoft.com/office/drawing/2014/main" id="{83CCE3B1-0EF8-F84D-B4FB-69D43C2C3289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15" name="Shape 4">
          <a:extLst>
            <a:ext uri="{FF2B5EF4-FFF2-40B4-BE49-F238E27FC236}">
              <a16:creationId xmlns:a16="http://schemas.microsoft.com/office/drawing/2014/main" id="{E8FBBBCA-D7C1-D74B-923F-3C3AE174CE41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16" name="AutoShape 1">
          <a:extLst>
            <a:ext uri="{FF2B5EF4-FFF2-40B4-BE49-F238E27FC236}">
              <a16:creationId xmlns:a16="http://schemas.microsoft.com/office/drawing/2014/main" id="{8872A918-31E5-D546-ADE3-9CA91F7D0DB4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17" name="Shape 4">
          <a:extLst>
            <a:ext uri="{FF2B5EF4-FFF2-40B4-BE49-F238E27FC236}">
              <a16:creationId xmlns:a16="http://schemas.microsoft.com/office/drawing/2014/main" id="{883B1747-E2E1-CF4D-B2D4-37BF419145EE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18" name="AutoShape 1">
          <a:extLst>
            <a:ext uri="{FF2B5EF4-FFF2-40B4-BE49-F238E27FC236}">
              <a16:creationId xmlns:a16="http://schemas.microsoft.com/office/drawing/2014/main" id="{35F0C8CC-E76E-3941-8384-C9AD4807AD22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19" name="Shape 4">
          <a:extLst>
            <a:ext uri="{FF2B5EF4-FFF2-40B4-BE49-F238E27FC236}">
              <a16:creationId xmlns:a16="http://schemas.microsoft.com/office/drawing/2014/main" id="{73A956C7-81EE-ED4C-8A80-DFAB7A428F73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20" name="AutoShape 1">
          <a:extLst>
            <a:ext uri="{FF2B5EF4-FFF2-40B4-BE49-F238E27FC236}">
              <a16:creationId xmlns:a16="http://schemas.microsoft.com/office/drawing/2014/main" id="{8A24937D-34AB-474A-9118-054AD9B1083E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31" name="Shape 4">
          <a:extLst>
            <a:ext uri="{FF2B5EF4-FFF2-40B4-BE49-F238E27FC236}">
              <a16:creationId xmlns:a16="http://schemas.microsoft.com/office/drawing/2014/main" id="{A5E04EFC-89F8-904D-A0B4-294E4C88C565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32" name="AutoShape 1">
          <a:extLst>
            <a:ext uri="{FF2B5EF4-FFF2-40B4-BE49-F238E27FC236}">
              <a16:creationId xmlns:a16="http://schemas.microsoft.com/office/drawing/2014/main" id="{BAA5660D-7704-B641-AE8B-4C5E00ECEEBF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33" name="Shape 4">
          <a:extLst>
            <a:ext uri="{FF2B5EF4-FFF2-40B4-BE49-F238E27FC236}">
              <a16:creationId xmlns:a16="http://schemas.microsoft.com/office/drawing/2014/main" id="{BFA32192-1D06-544B-BC48-955ECB65680F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34" name="AutoShape 1">
          <a:extLst>
            <a:ext uri="{FF2B5EF4-FFF2-40B4-BE49-F238E27FC236}">
              <a16:creationId xmlns:a16="http://schemas.microsoft.com/office/drawing/2014/main" id="{5EC89F18-57BA-C64F-9AA1-ACEA4CB3ED9F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98</xdr:row>
      <xdr:rowOff>0</xdr:rowOff>
    </xdr:from>
    <xdr:ext cx="314325" cy="314325"/>
    <xdr:sp macro="" textlink="">
      <xdr:nvSpPr>
        <xdr:cNvPr id="23735" name="Shape 4">
          <a:extLst>
            <a:ext uri="{FF2B5EF4-FFF2-40B4-BE49-F238E27FC236}">
              <a16:creationId xmlns:a16="http://schemas.microsoft.com/office/drawing/2014/main" id="{2CD1977D-882D-E448-B235-86E9B63E8D1F}"/>
            </a:ext>
          </a:extLst>
        </xdr:cNvPr>
        <xdr:cNvSpPr/>
      </xdr:nvSpPr>
      <xdr:spPr>
        <a:xfrm>
          <a:off x="290286" y="21091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98</xdr:row>
      <xdr:rowOff>0</xdr:rowOff>
    </xdr:from>
    <xdr:ext cx="304800" cy="306848"/>
    <xdr:sp macro="" textlink="">
      <xdr:nvSpPr>
        <xdr:cNvPr id="23736" name="AutoShape 1">
          <a:extLst>
            <a:ext uri="{FF2B5EF4-FFF2-40B4-BE49-F238E27FC236}">
              <a16:creationId xmlns:a16="http://schemas.microsoft.com/office/drawing/2014/main" id="{FFEC7241-FDE8-5E44-B360-8123DAE68594}"/>
            </a:ext>
          </a:extLst>
        </xdr:cNvPr>
        <xdr:cNvSpPr>
          <a:spLocks noChangeAspect="1" noChangeArrowheads="1"/>
        </xdr:cNvSpPr>
      </xdr:nvSpPr>
      <xdr:spPr bwMode="auto">
        <a:xfrm>
          <a:off x="290286" y="2109107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04800" cy="306848"/>
    <xdr:sp macro="" textlink="">
      <xdr:nvSpPr>
        <xdr:cNvPr id="23737" name="AutoShape 1">
          <a:extLst>
            <a:ext uri="{FF2B5EF4-FFF2-40B4-BE49-F238E27FC236}">
              <a16:creationId xmlns:a16="http://schemas.microsoft.com/office/drawing/2014/main" id="{B1C45B92-F2AC-CD46-973A-92732BCEC5A5}"/>
            </a:ext>
          </a:extLst>
        </xdr:cNvPr>
        <xdr:cNvSpPr>
          <a:spLocks noChangeAspect="1" noChangeArrowheads="1"/>
        </xdr:cNvSpPr>
      </xdr:nvSpPr>
      <xdr:spPr bwMode="auto">
        <a:xfrm>
          <a:off x="290286" y="28847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14325" cy="314325"/>
    <xdr:sp macro="" textlink="">
      <xdr:nvSpPr>
        <xdr:cNvPr id="23738" name="Shape 4">
          <a:extLst>
            <a:ext uri="{FF2B5EF4-FFF2-40B4-BE49-F238E27FC236}">
              <a16:creationId xmlns:a16="http://schemas.microsoft.com/office/drawing/2014/main" id="{13442A58-0AF8-DE43-9D51-50DF24673A1F}"/>
            </a:ext>
          </a:extLst>
        </xdr:cNvPr>
        <xdr:cNvSpPr/>
      </xdr:nvSpPr>
      <xdr:spPr>
        <a:xfrm>
          <a:off x="290286" y="28847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102</xdr:row>
      <xdr:rowOff>0</xdr:rowOff>
    </xdr:from>
    <xdr:ext cx="304800" cy="306848"/>
    <xdr:sp macro="" textlink="">
      <xdr:nvSpPr>
        <xdr:cNvPr id="23739" name="AutoShape 1">
          <a:extLst>
            <a:ext uri="{FF2B5EF4-FFF2-40B4-BE49-F238E27FC236}">
              <a16:creationId xmlns:a16="http://schemas.microsoft.com/office/drawing/2014/main" id="{B2763EF8-5C21-234E-9F41-66D15FFFB5A0}"/>
            </a:ext>
          </a:extLst>
        </xdr:cNvPr>
        <xdr:cNvSpPr>
          <a:spLocks noChangeAspect="1" noChangeArrowheads="1"/>
        </xdr:cNvSpPr>
      </xdr:nvSpPr>
      <xdr:spPr bwMode="auto">
        <a:xfrm>
          <a:off x="290286" y="28847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14325" cy="314325"/>
    <xdr:sp macro="" textlink="">
      <xdr:nvSpPr>
        <xdr:cNvPr id="23740" name="Shape 4">
          <a:extLst>
            <a:ext uri="{FF2B5EF4-FFF2-40B4-BE49-F238E27FC236}">
              <a16:creationId xmlns:a16="http://schemas.microsoft.com/office/drawing/2014/main" id="{74B5C881-27FA-784F-989C-CAD12B82A78F}"/>
            </a:ext>
          </a:extLst>
        </xdr:cNvPr>
        <xdr:cNvSpPr/>
      </xdr:nvSpPr>
      <xdr:spPr>
        <a:xfrm>
          <a:off x="290286" y="28847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102</xdr:row>
      <xdr:rowOff>0</xdr:rowOff>
    </xdr:from>
    <xdr:ext cx="304800" cy="306848"/>
    <xdr:sp macro="" textlink="">
      <xdr:nvSpPr>
        <xdr:cNvPr id="23741" name="AutoShape 1">
          <a:extLst>
            <a:ext uri="{FF2B5EF4-FFF2-40B4-BE49-F238E27FC236}">
              <a16:creationId xmlns:a16="http://schemas.microsoft.com/office/drawing/2014/main" id="{0489D101-92B9-0D41-826F-71DD50BEB5A2}"/>
            </a:ext>
          </a:extLst>
        </xdr:cNvPr>
        <xdr:cNvSpPr>
          <a:spLocks noChangeAspect="1" noChangeArrowheads="1"/>
        </xdr:cNvSpPr>
      </xdr:nvSpPr>
      <xdr:spPr bwMode="auto">
        <a:xfrm>
          <a:off x="290286" y="28847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14325" cy="314325"/>
    <xdr:sp macro="" textlink="">
      <xdr:nvSpPr>
        <xdr:cNvPr id="23742" name="Shape 4">
          <a:extLst>
            <a:ext uri="{FF2B5EF4-FFF2-40B4-BE49-F238E27FC236}">
              <a16:creationId xmlns:a16="http://schemas.microsoft.com/office/drawing/2014/main" id="{E2375F34-04D7-B34E-B575-7F48C6B67BF5}"/>
            </a:ext>
          </a:extLst>
        </xdr:cNvPr>
        <xdr:cNvSpPr/>
      </xdr:nvSpPr>
      <xdr:spPr>
        <a:xfrm>
          <a:off x="290286" y="28847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102</xdr:row>
      <xdr:rowOff>0</xdr:rowOff>
    </xdr:from>
    <xdr:ext cx="304800" cy="306848"/>
    <xdr:sp macro="" textlink="">
      <xdr:nvSpPr>
        <xdr:cNvPr id="23743" name="AutoShape 1">
          <a:extLst>
            <a:ext uri="{FF2B5EF4-FFF2-40B4-BE49-F238E27FC236}">
              <a16:creationId xmlns:a16="http://schemas.microsoft.com/office/drawing/2014/main" id="{1BE64018-85D1-444D-9D81-165A01998DEB}"/>
            </a:ext>
          </a:extLst>
        </xdr:cNvPr>
        <xdr:cNvSpPr>
          <a:spLocks noChangeAspect="1" noChangeArrowheads="1"/>
        </xdr:cNvSpPr>
      </xdr:nvSpPr>
      <xdr:spPr bwMode="auto">
        <a:xfrm>
          <a:off x="290286" y="28847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14325" cy="314325"/>
    <xdr:sp macro="" textlink="">
      <xdr:nvSpPr>
        <xdr:cNvPr id="23744" name="Shape 4">
          <a:extLst>
            <a:ext uri="{FF2B5EF4-FFF2-40B4-BE49-F238E27FC236}">
              <a16:creationId xmlns:a16="http://schemas.microsoft.com/office/drawing/2014/main" id="{9B55F02B-C0B2-6744-BAE1-71A17FAFB16F}"/>
            </a:ext>
          </a:extLst>
        </xdr:cNvPr>
        <xdr:cNvSpPr/>
      </xdr:nvSpPr>
      <xdr:spPr>
        <a:xfrm>
          <a:off x="290286" y="28847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102</xdr:row>
      <xdr:rowOff>0</xdr:rowOff>
    </xdr:from>
    <xdr:ext cx="304800" cy="306848"/>
    <xdr:sp macro="" textlink="">
      <xdr:nvSpPr>
        <xdr:cNvPr id="23745" name="AutoShape 1">
          <a:extLst>
            <a:ext uri="{FF2B5EF4-FFF2-40B4-BE49-F238E27FC236}">
              <a16:creationId xmlns:a16="http://schemas.microsoft.com/office/drawing/2014/main" id="{9AB09143-D63D-AC49-9166-85C4A23C9EFA}"/>
            </a:ext>
          </a:extLst>
        </xdr:cNvPr>
        <xdr:cNvSpPr>
          <a:spLocks noChangeAspect="1" noChangeArrowheads="1"/>
        </xdr:cNvSpPr>
      </xdr:nvSpPr>
      <xdr:spPr bwMode="auto">
        <a:xfrm>
          <a:off x="290286" y="2884714"/>
          <a:ext cx="304800" cy="306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102</xdr:row>
      <xdr:rowOff>0</xdr:rowOff>
    </xdr:from>
    <xdr:ext cx="314325" cy="314325"/>
    <xdr:sp macro="" textlink="">
      <xdr:nvSpPr>
        <xdr:cNvPr id="23746" name="Shape 4">
          <a:extLst>
            <a:ext uri="{FF2B5EF4-FFF2-40B4-BE49-F238E27FC236}">
              <a16:creationId xmlns:a16="http://schemas.microsoft.com/office/drawing/2014/main" id="{7B8DF28B-98C3-064C-8DDB-70C8014EBC66}"/>
            </a:ext>
          </a:extLst>
        </xdr:cNvPr>
        <xdr:cNvSpPr/>
      </xdr:nvSpPr>
      <xdr:spPr>
        <a:xfrm>
          <a:off x="290286" y="288471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24</xdr:row>
      <xdr:rowOff>88900</xdr:rowOff>
    </xdr:from>
    <xdr:to>
      <xdr:col>15</xdr:col>
      <xdr:colOff>0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08484-50BB-AD48-B332-651438048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40</xdr:row>
      <xdr:rowOff>165100</xdr:rowOff>
    </xdr:from>
    <xdr:to>
      <xdr:col>14</xdr:col>
      <xdr:colOff>812800</xdr:colOff>
      <xdr:row>55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F9CB89-313C-C34A-B97E-D2531AA0D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58</xdr:row>
      <xdr:rowOff>127000</xdr:rowOff>
    </xdr:from>
    <xdr:to>
      <xdr:col>15</xdr:col>
      <xdr:colOff>63500</xdr:colOff>
      <xdr:row>78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FA27AB-1C4C-F947-A2A3-C0FB7226E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rique Pabón" id="{DAAF4ECD-7921-864F-87B5-4E0656E9399F}" userId="S::negocios@medcann.com.co::e7ce7e8f-25fb-4743-924b-92a615e1757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10" dT="2025-02-03T14:31:42.25" personId="{DAAF4ECD-7921-864F-87B5-4E0656E9399F}" id="{96FA9E45-32C7-B648-B2B1-97BEC5AD3691}">
    <text xml:space="preserve">836 RBD PALMISTE
140 RBD PALMA
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00"/>
  <sheetViews>
    <sheetView showGridLines="0" zoomScale="210" zoomScaleNormal="2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E10" sqref="AE10"/>
    </sheetView>
  </sheetViews>
  <sheetFormatPr baseColWidth="10" defaultColWidth="14.5" defaultRowHeight="15" customHeight="1" x14ac:dyDescent="0.2"/>
  <cols>
    <col min="1" max="1" width="13.83203125" customWidth="1"/>
    <col min="2" max="3" width="8.5" customWidth="1"/>
    <col min="4" max="4" width="11.5" customWidth="1"/>
    <col min="5" max="5" width="10.33203125" customWidth="1"/>
    <col min="6" max="11" width="8.5" customWidth="1"/>
    <col min="12" max="12" width="11.5" bestFit="1" customWidth="1"/>
    <col min="13" max="13" width="11.5" customWidth="1"/>
    <col min="14" max="20" width="8.5" customWidth="1"/>
    <col min="21" max="21" width="11.5" bestFit="1" customWidth="1"/>
    <col min="22" max="22" width="11.5" customWidth="1"/>
    <col min="23" max="27" width="8.5" customWidth="1"/>
    <col min="28" max="28" width="10.5" customWidth="1"/>
    <col min="29" max="31" width="8.5" customWidth="1"/>
    <col min="32" max="32" width="7.1640625" bestFit="1" customWidth="1"/>
    <col min="33" max="35" width="8.5" customWidth="1"/>
    <col min="36" max="36" width="14.1640625" bestFit="1" customWidth="1"/>
    <col min="37" max="38" width="8.5" customWidth="1"/>
    <col min="39" max="39" width="11.5" customWidth="1"/>
    <col min="40" max="40" width="8.1640625" customWidth="1"/>
    <col min="41" max="41" width="14.6640625" customWidth="1"/>
    <col min="42" max="42" width="15.5" customWidth="1"/>
    <col min="43" max="43" width="10.5" customWidth="1"/>
    <col min="44" max="44" width="11.5" style="186" bestFit="1" customWidth="1"/>
    <col min="45" max="46" width="10.5" style="186" customWidth="1"/>
    <col min="47" max="47" width="18.83203125" style="186" customWidth="1"/>
    <col min="48" max="48" width="14.5" style="186" bestFit="1" customWidth="1"/>
    <col min="49" max="49" width="11.6640625" style="186" customWidth="1"/>
    <col min="50" max="51" width="11.6640625" customWidth="1"/>
    <col min="52" max="52" width="15" bestFit="1" customWidth="1"/>
    <col min="53" max="53" width="11" customWidth="1"/>
    <col min="54" max="54" width="11.33203125" customWidth="1"/>
    <col min="55" max="55" width="12.33203125" customWidth="1"/>
    <col min="56" max="57" width="14.33203125" customWidth="1"/>
    <col min="58" max="58" width="11.33203125" customWidth="1"/>
    <col min="59" max="59" width="16.83203125" customWidth="1"/>
    <col min="60" max="60" width="13" customWidth="1"/>
    <col min="61" max="61" width="11.5" customWidth="1"/>
    <col min="62" max="62" width="7.1640625" customWidth="1"/>
    <col min="63" max="63" width="17.5" customWidth="1"/>
    <col min="64" max="64" width="10.5" customWidth="1"/>
    <col min="65" max="65" width="11.33203125" customWidth="1"/>
    <col min="66" max="66" width="38.1640625" customWidth="1"/>
    <col min="67" max="67" width="11.5" customWidth="1"/>
    <col min="68" max="68" width="8.1640625" customWidth="1"/>
    <col min="69" max="69" width="8.5" customWidth="1"/>
    <col min="70" max="70" width="9" customWidth="1"/>
    <col min="71" max="71" width="12.5" customWidth="1"/>
    <col min="72" max="72" width="6.5" customWidth="1"/>
    <col min="73" max="73" width="6" customWidth="1"/>
    <col min="74" max="74" width="11.5" customWidth="1"/>
  </cols>
  <sheetData>
    <row r="1" spans="1:70" ht="16" thickBot="1" x14ac:dyDescent="0.25">
      <c r="A1" s="1" t="s">
        <v>0</v>
      </c>
      <c r="B1" s="2">
        <v>45962</v>
      </c>
      <c r="C1" s="2">
        <f t="shared" ref="C1:I1" si="0">+B1+1</f>
        <v>45963</v>
      </c>
      <c r="D1" s="2">
        <f t="shared" si="0"/>
        <v>45964</v>
      </c>
      <c r="E1" s="2" t="s">
        <v>99</v>
      </c>
      <c r="F1" s="2">
        <f>+D1+1</f>
        <v>45965</v>
      </c>
      <c r="G1" s="2">
        <f t="shared" si="0"/>
        <v>45966</v>
      </c>
      <c r="H1" s="2">
        <f>+G1+1</f>
        <v>45967</v>
      </c>
      <c r="I1" s="2">
        <f t="shared" si="0"/>
        <v>45968</v>
      </c>
      <c r="J1" s="2">
        <f>+I1+1</f>
        <v>45969</v>
      </c>
      <c r="K1" s="2">
        <f t="shared" ref="K1:P1" si="1">+J1+1</f>
        <v>45970</v>
      </c>
      <c r="L1" s="2" t="s">
        <v>100</v>
      </c>
      <c r="M1" s="2">
        <f>+K1+1</f>
        <v>45971</v>
      </c>
      <c r="N1" s="2">
        <f t="shared" si="1"/>
        <v>45972</v>
      </c>
      <c r="O1" s="2">
        <f t="shared" si="1"/>
        <v>45973</v>
      </c>
      <c r="P1" s="2">
        <f t="shared" si="1"/>
        <v>45974</v>
      </c>
      <c r="Q1" s="2">
        <f>+P1+1</f>
        <v>45975</v>
      </c>
      <c r="R1" s="2">
        <f>+Q1+1</f>
        <v>45976</v>
      </c>
      <c r="S1" s="2">
        <f>+R1+1</f>
        <v>45977</v>
      </c>
      <c r="T1" s="2">
        <f>+S1+1</f>
        <v>45978</v>
      </c>
      <c r="U1" s="2" t="s">
        <v>101</v>
      </c>
      <c r="V1" s="2">
        <f>+T1+1</f>
        <v>45979</v>
      </c>
      <c r="W1" s="2">
        <f>+V1+1</f>
        <v>45980</v>
      </c>
      <c r="X1" s="2">
        <f>+W1+1</f>
        <v>45981</v>
      </c>
      <c r="Y1" s="2">
        <f>+X1+1</f>
        <v>45982</v>
      </c>
      <c r="Z1" s="2">
        <f>+Y1+1</f>
        <v>45983</v>
      </c>
      <c r="AA1" s="2">
        <f>+Z1+1</f>
        <v>45984</v>
      </c>
      <c r="AB1" s="199" t="s">
        <v>102</v>
      </c>
      <c r="AC1" s="2">
        <f>+AA1+1</f>
        <v>45985</v>
      </c>
      <c r="AD1" s="2">
        <f t="shared" ref="AD1:AI1" si="2">+AC1+1</f>
        <v>45986</v>
      </c>
      <c r="AE1" s="2">
        <f t="shared" si="2"/>
        <v>45987</v>
      </c>
      <c r="AF1" s="2">
        <f t="shared" si="2"/>
        <v>45988</v>
      </c>
      <c r="AG1" s="2">
        <f t="shared" si="2"/>
        <v>45989</v>
      </c>
      <c r="AH1" s="2">
        <f t="shared" si="2"/>
        <v>45990</v>
      </c>
      <c r="AI1" s="2">
        <f t="shared" si="2"/>
        <v>45991</v>
      </c>
      <c r="AJ1" s="199" t="s">
        <v>210</v>
      </c>
      <c r="AP1" s="186"/>
      <c r="AQ1" s="186"/>
      <c r="AX1" s="186"/>
      <c r="AY1" s="186"/>
      <c r="AZ1" s="8"/>
      <c r="BA1" s="8"/>
      <c r="BB1" s="8"/>
      <c r="BD1" s="8"/>
      <c r="BE1" s="8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  <row r="2" spans="1:70" x14ac:dyDescent="0.2">
      <c r="A2" s="5" t="s">
        <v>1</v>
      </c>
      <c r="B2" s="6">
        <v>660</v>
      </c>
      <c r="C2" s="6">
        <v>400</v>
      </c>
      <c r="D2" s="6">
        <v>100</v>
      </c>
      <c r="E2" s="7">
        <f>+SUM(B2:D2)</f>
        <v>1160</v>
      </c>
      <c r="F2" s="6">
        <v>660</v>
      </c>
      <c r="G2" s="6">
        <v>766</v>
      </c>
      <c r="H2" s="6">
        <v>833</v>
      </c>
      <c r="I2" s="6">
        <v>829</v>
      </c>
      <c r="J2" s="6">
        <v>939</v>
      </c>
      <c r="K2" s="6">
        <v>505</v>
      </c>
      <c r="L2" s="7">
        <f>+E2+SUM(F2:K2)</f>
        <v>5692</v>
      </c>
      <c r="M2" s="6">
        <v>750</v>
      </c>
      <c r="N2" s="6">
        <v>786</v>
      </c>
      <c r="O2" s="6">
        <v>861</v>
      </c>
      <c r="P2" s="6">
        <v>858</v>
      </c>
      <c r="Q2" s="6">
        <v>835</v>
      </c>
      <c r="R2" s="6">
        <v>881</v>
      </c>
      <c r="S2" s="6">
        <v>522</v>
      </c>
      <c r="T2" s="6">
        <v>100</v>
      </c>
      <c r="U2" s="7">
        <f>+L2+SUM(M2:T2)</f>
        <v>11285</v>
      </c>
      <c r="V2" s="6">
        <v>660</v>
      </c>
      <c r="W2" s="6">
        <v>722</v>
      </c>
      <c r="X2" s="6">
        <v>793</v>
      </c>
      <c r="Y2" s="6">
        <v>800</v>
      </c>
      <c r="Z2" s="6">
        <v>825</v>
      </c>
      <c r="AA2" s="6">
        <v>485</v>
      </c>
      <c r="AB2" s="7">
        <f>+U2+SUM(V2:AA2)</f>
        <v>15570</v>
      </c>
      <c r="AC2" s="6">
        <v>660</v>
      </c>
      <c r="AD2" s="6">
        <v>730</v>
      </c>
      <c r="AE2" s="6">
        <v>777</v>
      </c>
      <c r="AF2" s="6">
        <v>817</v>
      </c>
      <c r="AG2" s="6">
        <v>894</v>
      </c>
      <c r="AH2" s="6">
        <v>895</v>
      </c>
      <c r="AI2" s="6">
        <v>622</v>
      </c>
      <c r="AJ2" s="7">
        <f>+AB2+SUM(AC2:AI2)</f>
        <v>20965</v>
      </c>
      <c r="AP2" s="186"/>
      <c r="AQ2" s="186"/>
      <c r="AX2" s="186"/>
      <c r="AY2" s="186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</row>
    <row r="3" spans="1:70" x14ac:dyDescent="0.2">
      <c r="A3" s="9" t="s">
        <v>2</v>
      </c>
      <c r="B3" s="10">
        <v>468.94</v>
      </c>
      <c r="C3" s="10">
        <v>199.96</v>
      </c>
      <c r="D3" s="10">
        <v>100.83</v>
      </c>
      <c r="E3" s="7">
        <f>(+SUM(B3:D3))+0</f>
        <v>769.73</v>
      </c>
      <c r="F3" s="10">
        <v>622.96</v>
      </c>
      <c r="G3" s="10">
        <v>645.09999999999991</v>
      </c>
      <c r="H3" s="10">
        <v>909.68</v>
      </c>
      <c r="I3" s="10">
        <v>822.08999999999992</v>
      </c>
      <c r="J3" s="10">
        <v>727.1</v>
      </c>
      <c r="K3" s="10">
        <v>518.48</v>
      </c>
      <c r="L3" s="7">
        <f>(+E3+SUM(F3:K3))+0</f>
        <v>5015.1399999999994</v>
      </c>
      <c r="M3" s="10">
        <v>411.46000000000004</v>
      </c>
      <c r="N3" s="10">
        <v>637.91000000000008</v>
      </c>
      <c r="O3" s="10">
        <v>812.65000000000009</v>
      </c>
      <c r="P3" s="10">
        <v>698.12</v>
      </c>
      <c r="Q3" s="10">
        <v>727.81999999999994</v>
      </c>
      <c r="R3" s="10">
        <v>751.74</v>
      </c>
      <c r="S3" s="10">
        <v>206.05</v>
      </c>
      <c r="T3" s="10">
        <v>131.71</v>
      </c>
      <c r="U3" s="7">
        <f>+L3+SUM(M3:T3)</f>
        <v>9392.5999999999985</v>
      </c>
      <c r="V3" s="10">
        <v>505.53</v>
      </c>
      <c r="W3" s="10">
        <v>598.17999999999995</v>
      </c>
      <c r="X3" s="10">
        <v>739.8</v>
      </c>
      <c r="Y3" s="10">
        <v>600.62</v>
      </c>
      <c r="Z3" s="10">
        <v>834.36</v>
      </c>
      <c r="AA3" s="10">
        <v>437.85</v>
      </c>
      <c r="AB3" s="7">
        <f>+U3+SUM(V3:AA3)</f>
        <v>13108.939999999999</v>
      </c>
      <c r="AC3" s="10">
        <v>281.57</v>
      </c>
      <c r="AD3" s="10">
        <v>768.8</v>
      </c>
      <c r="AE3" s="10">
        <v>708.92</v>
      </c>
      <c r="AF3" s="10">
        <v>798.89</v>
      </c>
      <c r="AG3" s="10">
        <v>694.12</v>
      </c>
      <c r="AH3" s="10">
        <v>743.4</v>
      </c>
      <c r="AI3" s="10">
        <v>0</v>
      </c>
      <c r="AJ3" s="7">
        <f>+AB3+SUM(AC3:AI3)</f>
        <v>17104.64</v>
      </c>
      <c r="AP3" s="186"/>
      <c r="AQ3" s="186"/>
      <c r="AX3" s="186"/>
      <c r="AY3" s="186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1:70" x14ac:dyDescent="0.2">
      <c r="A4" s="11" t="s">
        <v>3</v>
      </c>
      <c r="B4" s="12">
        <f t="shared" ref="B4:H4" si="3">IFERROR(+B3/B2,0)</f>
        <v>0.71051515151515154</v>
      </c>
      <c r="C4" s="12">
        <f t="shared" si="3"/>
        <v>0.49990000000000001</v>
      </c>
      <c r="D4" s="12">
        <f t="shared" si="3"/>
        <v>1.0083</v>
      </c>
      <c r="E4" s="13">
        <f>IFERROR(+E3/E2,0)</f>
        <v>0.66356034482758619</v>
      </c>
      <c r="F4" s="12">
        <f t="shared" si="3"/>
        <v>0.94387878787878798</v>
      </c>
      <c r="G4" s="12">
        <f t="shared" si="3"/>
        <v>0.84216710182767607</v>
      </c>
      <c r="H4" s="12">
        <f t="shared" si="3"/>
        <v>1.0920528211284513</v>
      </c>
      <c r="I4" s="12">
        <f t="shared" ref="I4:AI4" si="4">IFERROR(+I3/I2,0)</f>
        <v>0.99166465621230393</v>
      </c>
      <c r="J4" s="12">
        <f t="shared" si="4"/>
        <v>0.77433439829605966</v>
      </c>
      <c r="K4" s="12">
        <f t="shared" si="4"/>
        <v>1.0266930693069307</v>
      </c>
      <c r="L4" s="13">
        <f>IFERROR(+L3/L2,0)</f>
        <v>0.8810857343640196</v>
      </c>
      <c r="M4" s="12">
        <f t="shared" si="4"/>
        <v>0.5486133333333334</v>
      </c>
      <c r="N4" s="12">
        <f t="shared" si="4"/>
        <v>0.81159033078880416</v>
      </c>
      <c r="O4" s="12">
        <f t="shared" si="4"/>
        <v>0.94384436701509877</v>
      </c>
      <c r="P4" s="12">
        <f t="shared" si="4"/>
        <v>0.81365967365967362</v>
      </c>
      <c r="Q4" s="12">
        <f t="shared" si="4"/>
        <v>0.87164071856287417</v>
      </c>
      <c r="R4" s="12">
        <f>IFERROR(+R3/R2,0)</f>
        <v>0.85328036322360956</v>
      </c>
      <c r="S4" s="12">
        <f>IFERROR(+S3/S2,0)</f>
        <v>0.39473180076628356</v>
      </c>
      <c r="T4" s="12">
        <f>IFERROR(+T3/T2,0)</f>
        <v>1.3171000000000002</v>
      </c>
      <c r="U4" s="13">
        <f>IFERROR(+U3/U2,0)</f>
        <v>0.83230837394771806</v>
      </c>
      <c r="V4" s="12">
        <f>IFERROR(+V3/V2,0)</f>
        <v>0.76595454545454544</v>
      </c>
      <c r="W4" s="12">
        <f t="shared" si="4"/>
        <v>0.8285041551246537</v>
      </c>
      <c r="X4" s="12">
        <f t="shared" si="4"/>
        <v>0.9329129886506935</v>
      </c>
      <c r="Y4" s="12">
        <f t="shared" si="4"/>
        <v>0.75077499999999997</v>
      </c>
      <c r="Z4" s="12">
        <f t="shared" si="4"/>
        <v>1.0113454545454545</v>
      </c>
      <c r="AA4" s="12">
        <f t="shared" si="4"/>
        <v>0.90278350515463923</v>
      </c>
      <c r="AB4" s="13">
        <f>IFERROR(+AB3/AB2,0)</f>
        <v>0.84193577392421315</v>
      </c>
      <c r="AC4" s="12">
        <f t="shared" si="4"/>
        <v>0.42662121212121212</v>
      </c>
      <c r="AD4" s="12">
        <f t="shared" si="4"/>
        <v>1.0531506849315069</v>
      </c>
      <c r="AE4" s="12">
        <f t="shared" si="4"/>
        <v>0.91238095238095229</v>
      </c>
      <c r="AF4" s="12">
        <f t="shared" si="4"/>
        <v>0.97783353733170131</v>
      </c>
      <c r="AG4" s="12">
        <f t="shared" si="4"/>
        <v>0.776420581655481</v>
      </c>
      <c r="AH4" s="12">
        <f t="shared" si="4"/>
        <v>0.83061452513966483</v>
      </c>
      <c r="AI4" s="12">
        <f t="shared" si="4"/>
        <v>0</v>
      </c>
      <c r="AJ4" s="13">
        <f>IFERROR(+AJ3/AJ2,0)</f>
        <v>0.81586644407345577</v>
      </c>
      <c r="AP4" s="186"/>
      <c r="AQ4" s="186"/>
      <c r="AX4" s="186"/>
      <c r="AY4" s="186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spans="1:70" x14ac:dyDescent="0.2">
      <c r="A5" s="9" t="s">
        <v>4</v>
      </c>
      <c r="B5" s="6">
        <v>750</v>
      </c>
      <c r="C5" s="6">
        <v>600</v>
      </c>
      <c r="D5" s="6">
        <v>0</v>
      </c>
      <c r="E5" s="7">
        <f>+SUM(B5:D5)</f>
        <v>1350</v>
      </c>
      <c r="F5" s="6">
        <v>400</v>
      </c>
      <c r="G5" s="6">
        <v>800</v>
      </c>
      <c r="H5" s="6">
        <v>800</v>
      </c>
      <c r="I5" s="6">
        <v>800</v>
      </c>
      <c r="J5" s="6">
        <v>800</v>
      </c>
      <c r="K5" s="6">
        <v>800</v>
      </c>
      <c r="L5" s="7">
        <f>+E5+SUM(F5:K5)</f>
        <v>5750</v>
      </c>
      <c r="M5" s="6">
        <v>800</v>
      </c>
      <c r="N5" s="6">
        <v>800</v>
      </c>
      <c r="O5" s="6">
        <v>800</v>
      </c>
      <c r="P5" s="6">
        <v>800</v>
      </c>
      <c r="Q5" s="6">
        <v>800</v>
      </c>
      <c r="R5" s="6">
        <v>800</v>
      </c>
      <c r="S5" s="6">
        <v>800</v>
      </c>
      <c r="T5" s="6">
        <v>300</v>
      </c>
      <c r="U5" s="7">
        <f>+L5+SUM(M5:T5)</f>
        <v>11650</v>
      </c>
      <c r="V5" s="6">
        <v>400</v>
      </c>
      <c r="W5" s="6">
        <v>800</v>
      </c>
      <c r="X5" s="6">
        <v>800</v>
      </c>
      <c r="Y5" s="6">
        <v>800</v>
      </c>
      <c r="Z5" s="6">
        <v>800</v>
      </c>
      <c r="AA5" s="6">
        <v>550</v>
      </c>
      <c r="AB5" s="7">
        <f>+U5+SUM(V5:AA5)</f>
        <v>15800</v>
      </c>
      <c r="AC5" s="6">
        <v>400</v>
      </c>
      <c r="AD5" s="6">
        <v>800</v>
      </c>
      <c r="AE5" s="6">
        <v>800</v>
      </c>
      <c r="AF5" s="6">
        <v>800</v>
      </c>
      <c r="AG5" s="6">
        <v>800</v>
      </c>
      <c r="AH5" s="6">
        <v>800</v>
      </c>
      <c r="AI5" s="6">
        <v>800</v>
      </c>
      <c r="AJ5" s="7">
        <f>+AB5+SUM(AC5:AI5)</f>
        <v>21000</v>
      </c>
      <c r="AP5" s="186"/>
      <c r="AQ5" s="186"/>
      <c r="AX5" s="186"/>
      <c r="AY5" s="186"/>
      <c r="AZ5" s="8"/>
      <c r="BA5" s="8"/>
      <c r="BB5" s="8"/>
      <c r="BC5" s="8"/>
      <c r="BD5" s="8"/>
      <c r="BE5" s="8"/>
      <c r="BF5" s="8"/>
      <c r="BG5" s="8"/>
      <c r="BH5" s="8"/>
      <c r="BI5" s="6"/>
      <c r="BJ5" s="8"/>
      <c r="BK5" s="8"/>
      <c r="BL5" s="8"/>
      <c r="BM5" s="8"/>
      <c r="BN5" s="8"/>
      <c r="BO5" s="8"/>
      <c r="BP5" s="8"/>
      <c r="BQ5" s="8"/>
      <c r="BR5" s="8"/>
    </row>
    <row r="6" spans="1:70" x14ac:dyDescent="0.2">
      <c r="A6" s="9" t="s">
        <v>5</v>
      </c>
      <c r="B6" s="6">
        <v>792</v>
      </c>
      <c r="C6" s="6">
        <v>445.5</v>
      </c>
      <c r="D6" s="6">
        <v>82.5</v>
      </c>
      <c r="E6" s="7">
        <f>+SUM(B6:D6)</f>
        <v>1320</v>
      </c>
      <c r="F6" s="6">
        <v>440</v>
      </c>
      <c r="G6" s="6">
        <v>770</v>
      </c>
      <c r="H6" s="6">
        <v>748</v>
      </c>
      <c r="I6" s="6">
        <v>770</v>
      </c>
      <c r="J6" s="6">
        <v>704</v>
      </c>
      <c r="K6" s="6">
        <v>756.25</v>
      </c>
      <c r="L6" s="7">
        <f>+E6+SUM(F6:K6)</f>
        <v>5508.25</v>
      </c>
      <c r="M6" s="6">
        <v>484</v>
      </c>
      <c r="N6" s="6">
        <v>467.5</v>
      </c>
      <c r="O6" s="6">
        <v>715</v>
      </c>
      <c r="P6" s="6">
        <v>750.75</v>
      </c>
      <c r="Q6" s="6">
        <v>715</v>
      </c>
      <c r="R6" s="6">
        <v>761.75</v>
      </c>
      <c r="S6" s="6">
        <v>434.5</v>
      </c>
      <c r="T6" s="6">
        <v>66</v>
      </c>
      <c r="U6" s="7">
        <f>+L6+SUM(M6:T6)</f>
        <v>9902.75</v>
      </c>
      <c r="V6" s="6">
        <v>448.25</v>
      </c>
      <c r="W6" s="6">
        <v>748</v>
      </c>
      <c r="X6" s="6">
        <v>717.75</v>
      </c>
      <c r="Y6" s="6">
        <v>739.75</v>
      </c>
      <c r="Z6" s="6">
        <v>783.75</v>
      </c>
      <c r="AA6" s="6">
        <v>698.5</v>
      </c>
      <c r="AB6" s="7">
        <f>+U6+SUM(V6:AA6)</f>
        <v>14038.75</v>
      </c>
      <c r="AC6" s="6">
        <v>283.25</v>
      </c>
      <c r="AD6" s="6">
        <v>701.25</v>
      </c>
      <c r="AE6" s="6">
        <v>778.25</v>
      </c>
      <c r="AF6" s="6">
        <v>794.75</v>
      </c>
      <c r="AG6" s="6">
        <v>687.5</v>
      </c>
      <c r="AH6" s="6">
        <v>759</v>
      </c>
      <c r="AI6" s="6">
        <v>827.75</v>
      </c>
      <c r="AJ6" s="7">
        <f>+AB6+SUM(AC6:AI6)</f>
        <v>18870.5</v>
      </c>
      <c r="AK6" s="413">
        <f>+AB6/AB5</f>
        <v>0.88852848101265824</v>
      </c>
      <c r="AL6" s="451">
        <f>1-15%</f>
        <v>0.85</v>
      </c>
      <c r="AN6" s="369"/>
      <c r="AP6" s="186"/>
      <c r="AQ6" s="186"/>
      <c r="AX6" s="186"/>
      <c r="AY6" s="186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spans="1:70" x14ac:dyDescent="0.2">
      <c r="A7" s="9" t="s">
        <v>6</v>
      </c>
      <c r="B7" s="10">
        <v>178.404</v>
      </c>
      <c r="C7" s="10">
        <v>129.38800000000001</v>
      </c>
      <c r="D7" s="10">
        <v>15.82</v>
      </c>
      <c r="E7" s="7">
        <f>+SUM(B7:D7)</f>
        <v>323.61200000000002</v>
      </c>
      <c r="F7" s="10">
        <v>94.731999999999999</v>
      </c>
      <c r="G7" s="10">
        <v>173.18799999999999</v>
      </c>
      <c r="H7" s="10">
        <v>162.70400000000001</v>
      </c>
      <c r="I7" s="10">
        <v>167.148</v>
      </c>
      <c r="J7" s="10">
        <v>152.33600000000001</v>
      </c>
      <c r="K7" s="10">
        <v>165.82</v>
      </c>
      <c r="L7" s="7">
        <f>+E7+SUM(F7:K7)</f>
        <v>1239.54</v>
      </c>
      <c r="M7" s="10">
        <v>118.468</v>
      </c>
      <c r="N7" s="10">
        <v>102.124</v>
      </c>
      <c r="O7" s="10">
        <v>158.13200000000001</v>
      </c>
      <c r="P7" s="10">
        <v>166.36799999999999</v>
      </c>
      <c r="Q7" s="10">
        <v>158.72800000000001</v>
      </c>
      <c r="R7" s="10">
        <v>172.136</v>
      </c>
      <c r="S7" s="10">
        <v>117.828</v>
      </c>
      <c r="T7" s="10">
        <v>7.2039999999999997</v>
      </c>
      <c r="U7" s="7">
        <f>+L7+SUM(M7:T7)</f>
        <v>2240.5279999999998</v>
      </c>
      <c r="V7" s="10">
        <v>105.896</v>
      </c>
      <c r="W7" s="10">
        <v>169.50399999999999</v>
      </c>
      <c r="X7" s="10">
        <v>159.05199999999999</v>
      </c>
      <c r="Y7" s="10">
        <v>156.82</v>
      </c>
      <c r="Z7" s="10">
        <v>171.72800000000001</v>
      </c>
      <c r="AA7" s="10">
        <v>152.33199999999999</v>
      </c>
      <c r="AB7" s="7">
        <f>+U7+SUM(V7:AA7)</f>
        <v>3155.8599999999997</v>
      </c>
      <c r="AC7" s="10">
        <v>55.408000000000001</v>
      </c>
      <c r="AD7" s="10">
        <v>150.58600000000001</v>
      </c>
      <c r="AE7" s="10">
        <v>168.97</v>
      </c>
      <c r="AF7" s="10">
        <v>179.94</v>
      </c>
      <c r="AG7" s="10">
        <v>149.08799999999999</v>
      </c>
      <c r="AH7" s="10">
        <v>162.84399999999999</v>
      </c>
      <c r="AI7" s="10">
        <v>172.18799999999999</v>
      </c>
      <c r="AJ7" s="7">
        <f>+AB7+SUM(AC7:AI7)</f>
        <v>4194.884</v>
      </c>
      <c r="AP7" s="186"/>
      <c r="AQ7" s="186"/>
      <c r="AX7" s="186"/>
      <c r="AY7" s="186"/>
      <c r="AZ7" s="8"/>
      <c r="BA7" s="8"/>
      <c r="BB7" s="8"/>
      <c r="BC7" s="8"/>
      <c r="BD7" s="8"/>
      <c r="BE7" s="8"/>
      <c r="BF7" s="8"/>
      <c r="BG7" s="8"/>
      <c r="BH7" s="8"/>
      <c r="BI7" s="6"/>
      <c r="BJ7" s="8"/>
      <c r="BK7" s="8"/>
      <c r="BL7" s="8"/>
      <c r="BM7" s="8"/>
      <c r="BN7" s="8"/>
      <c r="BO7" s="8"/>
      <c r="BP7" s="8"/>
      <c r="BQ7" s="8"/>
      <c r="BR7" s="8"/>
    </row>
    <row r="8" spans="1:70" x14ac:dyDescent="0.2">
      <c r="A8" s="187" t="str">
        <f>+_xlfn.CONCAT("TEA% ", B44,"%")</f>
        <v>TEA% 21.6%</v>
      </c>
      <c r="B8" s="14">
        <f t="shared" ref="B8:H8" si="5">IFERROR(+B7/B6,0)</f>
        <v>0.22525757575757574</v>
      </c>
      <c r="C8" s="14">
        <f t="shared" si="5"/>
        <v>0.29043322109988778</v>
      </c>
      <c r="D8" s="14">
        <f t="shared" si="5"/>
        <v>0.19175757575757577</v>
      </c>
      <c r="E8" s="15">
        <f>IFERROR(+E7/E6,0)</f>
        <v>0.24516060606060608</v>
      </c>
      <c r="F8" s="14">
        <f t="shared" si="5"/>
        <v>0.21529999999999999</v>
      </c>
      <c r="G8" s="14">
        <f t="shared" si="5"/>
        <v>0.22491948051948049</v>
      </c>
      <c r="H8" s="14">
        <f t="shared" si="5"/>
        <v>0.21751871657754013</v>
      </c>
      <c r="I8" s="14">
        <f t="shared" ref="I8:AI8" si="6">IFERROR(+I7/I6,0)</f>
        <v>0.21707532467532467</v>
      </c>
      <c r="J8" s="14">
        <f t="shared" si="6"/>
        <v>0.21638636363636365</v>
      </c>
      <c r="K8" s="14">
        <f t="shared" si="6"/>
        <v>0.21926611570247934</v>
      </c>
      <c r="L8" s="15">
        <f>IFERROR(+L7/L6,0)</f>
        <v>0.2250333590523306</v>
      </c>
      <c r="M8" s="14">
        <f t="shared" si="6"/>
        <v>0.24476859504132231</v>
      </c>
      <c r="N8" s="14">
        <f t="shared" si="6"/>
        <v>0.21844705882352941</v>
      </c>
      <c r="O8" s="14">
        <f t="shared" si="6"/>
        <v>0.22116363636363637</v>
      </c>
      <c r="P8" s="14">
        <f t="shared" si="6"/>
        <v>0.22160239760239758</v>
      </c>
      <c r="Q8" s="14">
        <f t="shared" si="6"/>
        <v>0.22199720279720281</v>
      </c>
      <c r="R8" s="14">
        <f>IFERROR(+R7/R6,0)</f>
        <v>0.22597440105021332</v>
      </c>
      <c r="S8" s="14">
        <f>IFERROR(+S7/S6,0)</f>
        <v>0.27118066743383201</v>
      </c>
      <c r="T8" s="14">
        <f>IFERROR(+T7/T6,0)</f>
        <v>0.10915151515151515</v>
      </c>
      <c r="U8" s="15">
        <f>IFERROR(+U7/U6,0)</f>
        <v>0.22625311150942917</v>
      </c>
      <c r="V8" s="14">
        <f>IFERROR(+V7/V6,0)</f>
        <v>0.23624316787506972</v>
      </c>
      <c r="W8" s="14">
        <f t="shared" si="6"/>
        <v>0.22660962566844919</v>
      </c>
      <c r="X8" s="14">
        <f t="shared" si="6"/>
        <v>0.22159804946011841</v>
      </c>
      <c r="Y8" s="14">
        <f t="shared" si="6"/>
        <v>0.21199053734369719</v>
      </c>
      <c r="Z8" s="14">
        <v>0.216</v>
      </c>
      <c r="AA8" s="14">
        <v>0.216</v>
      </c>
      <c r="AB8" s="15">
        <f>IFERROR(+AB7/AB6,0)</f>
        <v>0.22479636719793428</v>
      </c>
      <c r="AC8" s="14">
        <f t="shared" si="6"/>
        <v>0.19561518093556929</v>
      </c>
      <c r="AD8" s="14">
        <f t="shared" si="6"/>
        <v>0.21473939393939395</v>
      </c>
      <c r="AE8" s="14">
        <f t="shared" si="6"/>
        <v>0.21711532283970447</v>
      </c>
      <c r="AF8" s="14">
        <f t="shared" si="6"/>
        <v>0.22641082101289714</v>
      </c>
      <c r="AG8" s="14">
        <f t="shared" si="6"/>
        <v>0.21685527272727273</v>
      </c>
      <c r="AH8" s="14">
        <f t="shared" si="6"/>
        <v>0.21455072463768116</v>
      </c>
      <c r="AI8" s="14">
        <f t="shared" si="6"/>
        <v>0.20801932950770158</v>
      </c>
      <c r="AJ8" s="15">
        <f>IFERROR(+AJ7/AJ6,0)</f>
        <v>0.22229850825362338</v>
      </c>
      <c r="AP8" s="186"/>
      <c r="AQ8" s="186"/>
      <c r="AX8" s="186"/>
      <c r="AY8" s="186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spans="1:70" x14ac:dyDescent="0.2">
      <c r="A9" s="16" t="s">
        <v>7</v>
      </c>
      <c r="B9" s="6">
        <v>94.655486641895422</v>
      </c>
      <c r="C9" s="6">
        <v>14.17343637416821</v>
      </c>
      <c r="D9" s="6">
        <v>32.637430948983493</v>
      </c>
      <c r="E9" s="7">
        <f>+SUM(B9:D9)</f>
        <v>141.46635396504712</v>
      </c>
      <c r="F9" s="6">
        <v>166.05882934685866</v>
      </c>
      <c r="G9" s="6">
        <v>169.35208601178283</v>
      </c>
      <c r="H9" s="6">
        <v>249.83405151099873</v>
      </c>
      <c r="I9" s="6">
        <v>256.49976688659387</v>
      </c>
      <c r="J9" s="6">
        <v>235.23699862957577</v>
      </c>
      <c r="K9" s="6">
        <v>54.058433760472447</v>
      </c>
      <c r="L9" s="7">
        <f>+E9+SUM(F9:K9)</f>
        <v>1272.5065201113296</v>
      </c>
      <c r="M9" s="6">
        <v>136.57775391701165</v>
      </c>
      <c r="N9" s="6">
        <v>321.81107924443006</v>
      </c>
      <c r="O9" s="6">
        <v>232.29976971221092</v>
      </c>
      <c r="P9" s="6">
        <v>338.11912801458021</v>
      </c>
      <c r="Q9" s="6">
        <v>349.59113321371558</v>
      </c>
      <c r="R9" s="6">
        <v>208.25800709229878</v>
      </c>
      <c r="S9" s="6">
        <v>51.497011909975846</v>
      </c>
      <c r="T9" s="6">
        <v>36</v>
      </c>
      <c r="U9" s="7">
        <f>+L9+SUM(M9:T9)</f>
        <v>2946.6604032155524</v>
      </c>
      <c r="V9" s="6">
        <v>218.77071530495471</v>
      </c>
      <c r="W9" s="6">
        <v>299.30221387095406</v>
      </c>
      <c r="X9" s="6">
        <v>259.20953363190688</v>
      </c>
      <c r="Y9" s="6">
        <v>263.83789435017877</v>
      </c>
      <c r="Z9" s="6">
        <v>230.56907927268617</v>
      </c>
      <c r="AA9" s="6">
        <v>52.604653791271673</v>
      </c>
      <c r="AB9" s="7">
        <f>+U9+SUM(V9:AA9)</f>
        <v>4270.9544934375044</v>
      </c>
      <c r="AC9" s="6">
        <v>93.597293058871742</v>
      </c>
      <c r="AD9" s="6">
        <v>253.12739294443429</v>
      </c>
      <c r="AE9" s="6">
        <v>290.431189160933</v>
      </c>
      <c r="AF9" s="6">
        <v>228.7394922366172</v>
      </c>
      <c r="AG9" s="6">
        <v>299.12419999717446</v>
      </c>
      <c r="AH9" s="6">
        <v>352.6767070258968</v>
      </c>
      <c r="AI9" s="6">
        <v>111.349232138568</v>
      </c>
      <c r="AJ9" s="7">
        <f>+AB9+SUM(AC9:AI9)</f>
        <v>5900</v>
      </c>
      <c r="AP9" s="186"/>
      <c r="AQ9" s="186"/>
      <c r="AX9" s="186"/>
      <c r="AY9" s="186"/>
      <c r="AZ9" s="8"/>
      <c r="BA9" s="8"/>
      <c r="BB9" s="8"/>
      <c r="BC9" s="8"/>
      <c r="BD9" s="8"/>
      <c r="BE9" s="8"/>
      <c r="BF9" s="8"/>
      <c r="BG9" s="8"/>
      <c r="BH9" s="8"/>
      <c r="BI9" s="6"/>
      <c r="BJ9" s="8"/>
      <c r="BK9" s="8"/>
      <c r="BL9" s="8"/>
      <c r="BM9" s="8"/>
      <c r="BN9" s="8"/>
      <c r="BO9" s="8"/>
      <c r="BP9" s="8"/>
      <c r="BQ9" s="8"/>
      <c r="BR9" s="8"/>
    </row>
    <row r="10" spans="1:70" x14ac:dyDescent="0.2">
      <c r="A10" s="9" t="s">
        <v>8</v>
      </c>
      <c r="B10" s="10">
        <v>145.37899999999999</v>
      </c>
      <c r="C10" s="10">
        <v>19.21</v>
      </c>
      <c r="D10" s="10">
        <v>43.35</v>
      </c>
      <c r="E10" s="7">
        <f>+SUM(B10:D10)</f>
        <v>207.93899999999999</v>
      </c>
      <c r="F10" s="10">
        <v>164.19300000000001</v>
      </c>
      <c r="G10" s="10">
        <v>164.60599999999999</v>
      </c>
      <c r="H10" s="10">
        <v>222.89400000000001</v>
      </c>
      <c r="I10" s="10">
        <v>240.75899999999999</v>
      </c>
      <c r="J10" s="10">
        <v>222.351</v>
      </c>
      <c r="K10" s="10">
        <v>21.47</v>
      </c>
      <c r="L10" s="7">
        <f>+E10+SUM(F10:K10)</f>
        <v>1244.212</v>
      </c>
      <c r="M10" s="10">
        <v>112.081</v>
      </c>
      <c r="N10" s="10">
        <v>238.41900000000001</v>
      </c>
      <c r="O10" s="10">
        <v>250.16499999999999</v>
      </c>
      <c r="P10" s="10">
        <v>219.42599999999999</v>
      </c>
      <c r="Q10" s="10">
        <v>305.84699999999998</v>
      </c>
      <c r="R10" s="10">
        <v>299.673</v>
      </c>
      <c r="S10" s="10">
        <v>41.21</v>
      </c>
      <c r="T10" s="10">
        <v>92.33</v>
      </c>
      <c r="U10" s="7">
        <f>+L10+SUM(M10:T10)</f>
        <v>2803.3629999999998</v>
      </c>
      <c r="V10" s="10">
        <v>128.446</v>
      </c>
      <c r="W10" s="10">
        <v>228.07900000000001</v>
      </c>
      <c r="X10" s="10">
        <v>217.44800000000001</v>
      </c>
      <c r="Y10" s="10">
        <v>310.47300000000001</v>
      </c>
      <c r="Z10" s="10">
        <v>301.94400000000002</v>
      </c>
      <c r="AA10" s="10">
        <v>36.65</v>
      </c>
      <c r="AB10" s="7">
        <f>+U10+SUM(V10:AA10)</f>
        <v>4026.4029999999998</v>
      </c>
      <c r="AC10" s="10">
        <v>114.74</v>
      </c>
      <c r="AD10" s="10">
        <v>187.489</v>
      </c>
      <c r="AE10" s="10">
        <v>321.125</v>
      </c>
      <c r="AF10" s="10">
        <v>300.012</v>
      </c>
      <c r="AG10" s="10">
        <v>333.916</v>
      </c>
      <c r="AH10" s="10">
        <v>345.85599999999999</v>
      </c>
      <c r="AI10" s="10">
        <v>0</v>
      </c>
      <c r="AJ10" s="7">
        <f>+AB10+SUM(AC10:AI10)</f>
        <v>5629.5409999999993</v>
      </c>
      <c r="AP10" s="186"/>
      <c r="AQ10" s="186"/>
      <c r="AX10" s="186"/>
      <c r="AY10" s="186"/>
      <c r="AZ10" s="8"/>
      <c r="BA10" s="8"/>
      <c r="BB10" s="8"/>
      <c r="BC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spans="1:70" x14ac:dyDescent="0.2">
      <c r="A11" s="11" t="s">
        <v>3</v>
      </c>
      <c r="B11" s="12">
        <f t="shared" ref="B11:H11" si="7">IFERROR(+B10/B9,0)</f>
        <v>1.5358750470535731</v>
      </c>
      <c r="C11" s="12">
        <f t="shared" si="7"/>
        <v>1.3553523290238334</v>
      </c>
      <c r="D11" s="12">
        <f t="shared" si="7"/>
        <v>1.328229543181926</v>
      </c>
      <c r="E11" s="13">
        <f>IFERROR(+E10/E9,0)</f>
        <v>1.4698830794167257</v>
      </c>
      <c r="F11" s="12">
        <f t="shared" si="7"/>
        <v>0.98876404612631974</v>
      </c>
      <c r="G11" s="12">
        <f t="shared" si="7"/>
        <v>0.97197503660242712</v>
      </c>
      <c r="H11" s="12">
        <f t="shared" si="7"/>
        <v>0.89216821586943396</v>
      </c>
      <c r="I11" s="12">
        <f t="shared" ref="I11:AI11" si="8">IFERROR(+I10/I9,0)</f>
        <v>0.93863243199923319</v>
      </c>
      <c r="J11" s="12">
        <f t="shared" si="8"/>
        <v>0.94522120795348541</v>
      </c>
      <c r="K11" s="12">
        <f t="shared" si="8"/>
        <v>0.39716282005378545</v>
      </c>
      <c r="L11" s="13">
        <f>IFERROR(+L10/L9,0)</f>
        <v>0.97776473466803604</v>
      </c>
      <c r="M11" s="12">
        <f t="shared" si="8"/>
        <v>0.82063877011847375</v>
      </c>
      <c r="N11" s="12">
        <f t="shared" si="8"/>
        <v>0.74086635102736786</v>
      </c>
      <c r="O11" s="12">
        <f t="shared" si="8"/>
        <v>1.0769059319771248</v>
      </c>
      <c r="P11" s="12">
        <f t="shared" si="8"/>
        <v>0.64896062310481883</v>
      </c>
      <c r="Q11" s="12">
        <f t="shared" si="8"/>
        <v>0.87487058721545574</v>
      </c>
      <c r="R11" s="12">
        <f>IFERROR(+R10/R9,0)</f>
        <v>1.4389506755780421</v>
      </c>
      <c r="S11" s="12">
        <f>IFERROR(+S10/S9,0)</f>
        <v>0.80024060564991584</v>
      </c>
      <c r="T11" s="12">
        <f>IFERROR(+T10/T9,0)</f>
        <v>2.5647222222222221</v>
      </c>
      <c r="U11" s="13">
        <f>IFERROR(+U10/U9,0)</f>
        <v>0.95136955617309049</v>
      </c>
      <c r="V11" s="12">
        <f>IFERROR(+V10/V9,0)</f>
        <v>0.58712611430169315</v>
      </c>
      <c r="W11" s="12">
        <f t="shared" si="8"/>
        <v>0.76203579335479832</v>
      </c>
      <c r="X11" s="12">
        <f t="shared" si="8"/>
        <v>0.83888889792452326</v>
      </c>
      <c r="Y11" s="12">
        <f t="shared" si="8"/>
        <v>1.1767566625130992</v>
      </c>
      <c r="Z11" s="12">
        <f t="shared" si="8"/>
        <v>1.3095598115430784</v>
      </c>
      <c r="AA11" s="12">
        <f t="shared" si="8"/>
        <v>0.69670641965295244</v>
      </c>
      <c r="AB11" s="13">
        <f>IFERROR(+AB10/AB9,0)</f>
        <v>0.94274078690998275</v>
      </c>
      <c r="AC11" s="12">
        <f t="shared" si="8"/>
        <v>1.22589015397945</v>
      </c>
      <c r="AD11" s="12">
        <f t="shared" si="8"/>
        <v>0.7406902817553096</v>
      </c>
      <c r="AE11" s="12">
        <f t="shared" si="8"/>
        <v>1.1056835904151432</v>
      </c>
      <c r="AF11" s="12">
        <f t="shared" si="8"/>
        <v>1.3115881174102446</v>
      </c>
      <c r="AG11" s="12">
        <f t="shared" si="8"/>
        <v>1.1163122208204959</v>
      </c>
      <c r="AH11" s="12">
        <f t="shared" si="8"/>
        <v>0.98066017151113993</v>
      </c>
      <c r="AI11" s="12">
        <f t="shared" si="8"/>
        <v>0</v>
      </c>
      <c r="AJ11" s="13">
        <f>IFERROR(+AJ10/AJ9,0)</f>
        <v>0.95415949152542356</v>
      </c>
      <c r="AP11" s="186"/>
      <c r="AQ11" s="186"/>
      <c r="AX11" s="186"/>
      <c r="AY11" s="186"/>
      <c r="AZ11" s="8"/>
      <c r="BA11" s="8"/>
      <c r="BB11" s="8"/>
      <c r="BC11" s="8"/>
      <c r="BD11" s="8"/>
      <c r="BE11" s="8"/>
      <c r="BF11" s="8"/>
      <c r="BG11" s="8"/>
      <c r="BH11" s="8"/>
      <c r="BI11" s="6"/>
      <c r="BJ11" s="8"/>
      <c r="BK11" s="8"/>
      <c r="BL11" s="8"/>
      <c r="BM11" s="8"/>
      <c r="BN11" s="8"/>
      <c r="BO11" s="8"/>
      <c r="BP11" s="8"/>
      <c r="BQ11" s="8"/>
      <c r="BR11" s="8"/>
    </row>
    <row r="12" spans="1:70" x14ac:dyDescent="0.2">
      <c r="A12" s="9" t="s">
        <v>9</v>
      </c>
      <c r="B12" s="6">
        <v>150</v>
      </c>
      <c r="C12" s="6">
        <v>50</v>
      </c>
      <c r="D12" s="6">
        <v>0</v>
      </c>
      <c r="E12" s="7">
        <f>+SUM(B12:D12)</f>
        <v>200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7">
        <f>+E12+SUM(F12:K12)</f>
        <v>200</v>
      </c>
      <c r="M12" s="6">
        <v>0</v>
      </c>
      <c r="N12" s="6">
        <v>0</v>
      </c>
      <c r="O12" s="6">
        <v>0</v>
      </c>
      <c r="P12" s="6">
        <v>200</v>
      </c>
      <c r="Q12" s="6">
        <v>350</v>
      </c>
      <c r="R12" s="6">
        <v>350</v>
      </c>
      <c r="S12" s="6">
        <v>350</v>
      </c>
      <c r="T12" s="6">
        <v>0</v>
      </c>
      <c r="U12" s="7">
        <f>+L12+SUM(M12:T12)</f>
        <v>1450</v>
      </c>
      <c r="V12" s="6">
        <v>300</v>
      </c>
      <c r="W12" s="6">
        <v>300</v>
      </c>
      <c r="X12" s="6">
        <v>300</v>
      </c>
      <c r="Y12" s="6">
        <v>350</v>
      </c>
      <c r="Z12" s="6">
        <v>350</v>
      </c>
      <c r="AA12" s="6">
        <v>0</v>
      </c>
      <c r="AB12" s="7">
        <f>+U12+SUM(V12:AA12)</f>
        <v>3050</v>
      </c>
      <c r="AC12" s="6">
        <v>100</v>
      </c>
      <c r="AD12" s="6">
        <v>300</v>
      </c>
      <c r="AE12" s="6">
        <v>300</v>
      </c>
      <c r="AF12" s="6">
        <v>300</v>
      </c>
      <c r="AG12" s="6">
        <v>300</v>
      </c>
      <c r="AH12" s="6">
        <v>300</v>
      </c>
      <c r="AI12" s="6">
        <v>250</v>
      </c>
      <c r="AJ12" s="7">
        <f>+AB12+SUM(AC12:AI12)</f>
        <v>4900</v>
      </c>
      <c r="AP12" s="186"/>
      <c r="AQ12" s="186"/>
      <c r="AX12" s="186"/>
      <c r="AY12" s="186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spans="1:70" x14ac:dyDescent="0.2">
      <c r="A13" s="9" t="s">
        <v>10</v>
      </c>
      <c r="B13" s="6">
        <v>300.89999999999998</v>
      </c>
      <c r="C13" s="6">
        <v>0</v>
      </c>
      <c r="D13" s="6">
        <v>0</v>
      </c>
      <c r="E13" s="7">
        <f>+SUM(B13:D13)</f>
        <v>300.89999999999998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7">
        <f>+E13+SUM(F13:K13)</f>
        <v>300.89999999999998</v>
      </c>
      <c r="M13" s="6">
        <v>0</v>
      </c>
      <c r="N13" s="6">
        <v>0</v>
      </c>
      <c r="O13" s="6">
        <v>0</v>
      </c>
      <c r="P13" s="6">
        <v>0</v>
      </c>
      <c r="Q13" s="6">
        <v>484.5</v>
      </c>
      <c r="R13" s="6">
        <v>402.9</v>
      </c>
      <c r="S13" s="6">
        <v>321.3</v>
      </c>
      <c r="T13" s="6">
        <v>147.9</v>
      </c>
      <c r="U13" s="7">
        <f>+L13+SUM(M13:T13)</f>
        <v>1657.5</v>
      </c>
      <c r="V13" s="6">
        <v>0</v>
      </c>
      <c r="W13" s="6">
        <v>260.10000000000002</v>
      </c>
      <c r="X13" s="6">
        <v>321.3</v>
      </c>
      <c r="Y13" s="6">
        <v>372.3</v>
      </c>
      <c r="Z13" s="6">
        <v>326.39999999999998</v>
      </c>
      <c r="AA13" s="6">
        <v>0</v>
      </c>
      <c r="AB13" s="7">
        <f>+U13+SUM(V13:AA13)</f>
        <v>2937.6</v>
      </c>
      <c r="AC13" s="6">
        <v>0</v>
      </c>
      <c r="AD13" s="6">
        <v>321.3</v>
      </c>
      <c r="AE13" s="6">
        <v>362.1</v>
      </c>
      <c r="AF13" s="6">
        <v>336.6</v>
      </c>
      <c r="AG13" s="6">
        <v>326.39999999999998</v>
      </c>
      <c r="AH13" s="6">
        <v>275.39999999999998</v>
      </c>
      <c r="AI13" s="6">
        <v>132.6</v>
      </c>
      <c r="AJ13" s="7">
        <f>+AB13+SUM(AC13:AI13)</f>
        <v>4692</v>
      </c>
      <c r="AK13" s="413">
        <f>+AB13/AB12</f>
        <v>0.96314754098360655</v>
      </c>
      <c r="AN13" s="369"/>
      <c r="AP13" s="186"/>
      <c r="AQ13" s="186"/>
      <c r="AX13" s="186"/>
      <c r="AY13" s="186"/>
      <c r="AZ13" s="8"/>
      <c r="BA13" s="8"/>
      <c r="BB13" s="8"/>
      <c r="BC13" s="8"/>
      <c r="BD13" s="8"/>
      <c r="BE13" s="8"/>
      <c r="BF13" s="8"/>
      <c r="BG13" s="8"/>
      <c r="BH13" s="8"/>
      <c r="BI13" s="6"/>
      <c r="BJ13" s="8"/>
      <c r="BK13" s="8"/>
      <c r="BL13" s="8"/>
      <c r="BM13" s="8"/>
      <c r="BN13" s="8"/>
      <c r="BO13" s="8"/>
      <c r="BP13" s="8"/>
      <c r="BQ13" s="8"/>
      <c r="BR13" s="8"/>
    </row>
    <row r="14" spans="1:70" x14ac:dyDescent="0.2">
      <c r="A14" s="9" t="s">
        <v>6</v>
      </c>
      <c r="B14" s="10">
        <v>57.125999999999998</v>
      </c>
      <c r="C14" s="10">
        <v>0</v>
      </c>
      <c r="D14" s="10">
        <v>0</v>
      </c>
      <c r="E14" s="7">
        <f>+SUM(B14:D14)</f>
        <v>57.125999999999998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7">
        <f>+E14+SUM(F14:K14)</f>
        <v>57.125999999999998</v>
      </c>
      <c r="M14" s="10">
        <v>0</v>
      </c>
      <c r="N14" s="10">
        <v>0</v>
      </c>
      <c r="O14" s="10">
        <v>0</v>
      </c>
      <c r="P14" s="10">
        <v>0</v>
      </c>
      <c r="Q14" s="10">
        <v>85.274000000000001</v>
      </c>
      <c r="R14" s="10">
        <v>71.203000000000003</v>
      </c>
      <c r="S14" s="10">
        <v>60.051000000000002</v>
      </c>
      <c r="T14" s="10">
        <v>28.189</v>
      </c>
      <c r="U14" s="7">
        <f>+L14+SUM(M14:T14)</f>
        <v>301.84300000000002</v>
      </c>
      <c r="V14" s="10">
        <v>0</v>
      </c>
      <c r="W14" s="10">
        <v>54.326000000000001</v>
      </c>
      <c r="X14" s="10">
        <v>55.140999999999998</v>
      </c>
      <c r="Y14" s="10">
        <v>78.317999999999998</v>
      </c>
      <c r="Z14" s="10">
        <v>58.250999999999998</v>
      </c>
      <c r="AA14" s="10">
        <v>0</v>
      </c>
      <c r="AB14" s="7">
        <f>+U14+SUM(V14:AA14)</f>
        <v>547.87900000000002</v>
      </c>
      <c r="AC14" s="10">
        <v>0</v>
      </c>
      <c r="AD14" s="10">
        <v>60.031999999999996</v>
      </c>
      <c r="AE14" s="10">
        <v>75.548000000000002</v>
      </c>
      <c r="AF14" s="10">
        <v>63.188000000000002</v>
      </c>
      <c r="AG14" s="10">
        <v>61.454999999999998</v>
      </c>
      <c r="AH14" s="10">
        <v>38.823999999999998</v>
      </c>
      <c r="AI14" s="10">
        <v>25.204999999999998</v>
      </c>
      <c r="AJ14" s="7">
        <f>+AB14+SUM(AC14:AI14)</f>
        <v>872.13099999999997</v>
      </c>
      <c r="AP14" s="186"/>
      <c r="AQ14" s="186"/>
      <c r="AX14" s="186"/>
      <c r="AY14" s="186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spans="1:70" x14ac:dyDescent="0.2">
      <c r="A15" s="187" t="str">
        <f>+_xlfn.CONCAT("TEA% ", B45,"%")</f>
        <v>TEA% 18.8%</v>
      </c>
      <c r="B15" s="14">
        <f t="shared" ref="B15:H15" si="9">IFERROR(+B14/B13,0)</f>
        <v>0.18985044865403788</v>
      </c>
      <c r="C15" s="14">
        <f t="shared" si="9"/>
        <v>0</v>
      </c>
      <c r="D15" s="14">
        <f t="shared" si="9"/>
        <v>0</v>
      </c>
      <c r="E15" s="15">
        <f>IFERROR(+E14/E13,0)</f>
        <v>0.18985044865403788</v>
      </c>
      <c r="F15" s="14">
        <f t="shared" si="9"/>
        <v>0</v>
      </c>
      <c r="G15" s="14">
        <f t="shared" si="9"/>
        <v>0</v>
      </c>
      <c r="H15" s="14">
        <f t="shared" si="9"/>
        <v>0</v>
      </c>
      <c r="I15" s="14">
        <f t="shared" ref="I15:AI15" si="10">IFERROR(+I14/I13,0)</f>
        <v>0</v>
      </c>
      <c r="J15" s="14">
        <f t="shared" si="10"/>
        <v>0</v>
      </c>
      <c r="K15" s="14">
        <f t="shared" si="10"/>
        <v>0</v>
      </c>
      <c r="L15" s="15">
        <f>IFERROR(+L14/L13,0)</f>
        <v>0.18985044865403788</v>
      </c>
      <c r="M15" s="14">
        <f t="shared" si="10"/>
        <v>0</v>
      </c>
      <c r="N15" s="14">
        <f t="shared" si="10"/>
        <v>0</v>
      </c>
      <c r="O15" s="14">
        <v>0.19639999999999999</v>
      </c>
      <c r="P15" s="14">
        <f t="shared" si="10"/>
        <v>0</v>
      </c>
      <c r="Q15" s="14">
        <f t="shared" si="10"/>
        <v>0.17600412796697626</v>
      </c>
      <c r="R15" s="14">
        <f>IFERROR(+R14/R13,0)</f>
        <v>0.17672623479771657</v>
      </c>
      <c r="S15" s="14">
        <f>IFERROR(+S14/S13,0)</f>
        <v>0.18690009337068161</v>
      </c>
      <c r="T15" s="14">
        <f>IFERROR(+T14/T13,0)</f>
        <v>0.19059499661933738</v>
      </c>
      <c r="U15" s="15">
        <f>IFERROR(+U14/U13,0)</f>
        <v>0.18210739064856712</v>
      </c>
      <c r="V15" s="14">
        <f>IFERROR(+V14/V13,0)</f>
        <v>0</v>
      </c>
      <c r="W15" s="14">
        <f t="shared" si="10"/>
        <v>0.20886582083813915</v>
      </c>
      <c r="X15" s="14">
        <f t="shared" si="10"/>
        <v>0.1716184251478369</v>
      </c>
      <c r="Y15" s="14">
        <f t="shared" si="10"/>
        <v>0.21036261079774374</v>
      </c>
      <c r="Z15" s="14">
        <v>0.188</v>
      </c>
      <c r="AA15" s="14">
        <f t="shared" si="10"/>
        <v>0</v>
      </c>
      <c r="AB15" s="15">
        <f>IFERROR(+AB14/AB13,0)</f>
        <v>0.1865056508714597</v>
      </c>
      <c r="AC15" s="14">
        <f t="shared" si="10"/>
        <v>0</v>
      </c>
      <c r="AD15" s="14">
        <f t="shared" si="10"/>
        <v>0.18684095860566446</v>
      </c>
      <c r="AE15" s="14">
        <f t="shared" si="10"/>
        <v>0.20863849765258216</v>
      </c>
      <c r="AF15" s="14">
        <f t="shared" si="10"/>
        <v>0.18772430184194888</v>
      </c>
      <c r="AG15" s="14">
        <f t="shared" si="10"/>
        <v>0.18828125000000001</v>
      </c>
      <c r="AH15" s="14">
        <f t="shared" si="10"/>
        <v>0.14097312999273784</v>
      </c>
      <c r="AI15" s="14">
        <f t="shared" si="10"/>
        <v>0.19008295625942684</v>
      </c>
      <c r="AJ15" s="15">
        <f>IFERROR(+AJ14/AJ13,0)</f>
        <v>0.18587617220801364</v>
      </c>
      <c r="AP15" s="186"/>
      <c r="AQ15" s="186"/>
      <c r="AX15" s="186"/>
      <c r="AY15" s="186"/>
      <c r="AZ15" s="8"/>
      <c r="BA15" s="8"/>
      <c r="BB15" s="8"/>
      <c r="BC15" s="8"/>
      <c r="BD15" s="8"/>
      <c r="BE15" s="8"/>
      <c r="BF15" s="8"/>
      <c r="BG15" s="8"/>
      <c r="BH15" s="8"/>
      <c r="BI15" s="6"/>
      <c r="BJ15" s="8"/>
      <c r="BK15" s="8"/>
      <c r="BL15" s="8"/>
      <c r="BM15" s="8"/>
      <c r="BN15" s="8"/>
      <c r="BO15" s="8"/>
      <c r="BP15" s="8"/>
      <c r="BQ15" s="8"/>
      <c r="BR15" s="8"/>
    </row>
    <row r="16" spans="1:70" x14ac:dyDescent="0.2">
      <c r="A16" s="16" t="s">
        <v>11</v>
      </c>
      <c r="B16" s="6">
        <v>150</v>
      </c>
      <c r="C16" s="6">
        <v>20</v>
      </c>
      <c r="D16" s="6">
        <v>30</v>
      </c>
      <c r="E16" s="7">
        <f>+SUM(B16:D16)</f>
        <v>200</v>
      </c>
      <c r="F16" s="6">
        <v>240</v>
      </c>
      <c r="G16" s="6">
        <v>260</v>
      </c>
      <c r="H16" s="6">
        <v>280</v>
      </c>
      <c r="I16" s="6">
        <v>280</v>
      </c>
      <c r="J16" s="6">
        <v>290</v>
      </c>
      <c r="K16" s="6">
        <v>30</v>
      </c>
      <c r="L16" s="7">
        <f>+E16+SUM(F16:K16)</f>
        <v>1580</v>
      </c>
      <c r="M16" s="6">
        <v>90</v>
      </c>
      <c r="N16" s="6">
        <v>200</v>
      </c>
      <c r="O16" s="6">
        <v>260</v>
      </c>
      <c r="P16" s="6">
        <v>97.724000000000004</v>
      </c>
      <c r="Q16" s="6">
        <v>270</v>
      </c>
      <c r="R16" s="6">
        <v>300</v>
      </c>
      <c r="S16" s="6">
        <v>30</v>
      </c>
      <c r="T16" s="6">
        <v>50</v>
      </c>
      <c r="U16" s="7">
        <f>+L16+SUM(M16:T16)</f>
        <v>2877.7240000000002</v>
      </c>
      <c r="V16" s="6">
        <v>260</v>
      </c>
      <c r="W16" s="6">
        <v>270</v>
      </c>
      <c r="X16" s="6">
        <v>280</v>
      </c>
      <c r="Y16" s="6">
        <v>290</v>
      </c>
      <c r="Z16" s="6">
        <v>300</v>
      </c>
      <c r="AA16" s="6">
        <v>40</v>
      </c>
      <c r="AB16" s="7">
        <f>+U16+SUM(V16:AA16)</f>
        <v>4317.7240000000002</v>
      </c>
      <c r="AC16" s="6">
        <v>90</v>
      </c>
      <c r="AD16" s="6">
        <v>250</v>
      </c>
      <c r="AE16" s="6">
        <v>260</v>
      </c>
      <c r="AF16" s="6">
        <v>280</v>
      </c>
      <c r="AG16" s="6">
        <v>290</v>
      </c>
      <c r="AH16" s="6">
        <v>330</v>
      </c>
      <c r="AI16" s="6">
        <v>60</v>
      </c>
      <c r="AJ16" s="7">
        <f>+AB16+SUM(AC16:AI16)</f>
        <v>5877.7240000000002</v>
      </c>
      <c r="AP16" s="186"/>
      <c r="AQ16" s="186"/>
      <c r="AX16" s="186"/>
      <c r="AY16" s="186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" x14ac:dyDescent="0.2">
      <c r="A17" s="9" t="s">
        <v>12</v>
      </c>
      <c r="B17" s="10">
        <v>229.91</v>
      </c>
      <c r="C17" s="10">
        <v>33.44</v>
      </c>
      <c r="D17" s="10">
        <v>10.210000000000001</v>
      </c>
      <c r="E17" s="7">
        <f>+SUM(B17:D17)</f>
        <v>273.56</v>
      </c>
      <c r="F17" s="10">
        <v>88.88</v>
      </c>
      <c r="G17" s="10">
        <v>206.9</v>
      </c>
      <c r="H17" s="10">
        <v>298.24</v>
      </c>
      <c r="I17" s="10">
        <v>232.48</v>
      </c>
      <c r="J17" s="10">
        <v>302.01</v>
      </c>
      <c r="K17" s="10">
        <v>32.44</v>
      </c>
      <c r="L17" s="7">
        <f>+E17+SUM(F17:K17)</f>
        <v>1434.51</v>
      </c>
      <c r="M17" s="10">
        <v>107.63</v>
      </c>
      <c r="N17" s="10">
        <v>227.73</v>
      </c>
      <c r="O17" s="10">
        <v>347.96</v>
      </c>
      <c r="P17" s="10">
        <v>266.58999999999997</v>
      </c>
      <c r="Q17" s="10">
        <v>291.67</v>
      </c>
      <c r="R17" s="10">
        <v>319.93</v>
      </c>
      <c r="S17" s="10">
        <v>64.03</v>
      </c>
      <c r="T17" s="10">
        <v>12.43</v>
      </c>
      <c r="U17" s="7">
        <f>+L17+SUM(M17:T17)</f>
        <v>3072.48</v>
      </c>
      <c r="V17" s="10">
        <v>135.35</v>
      </c>
      <c r="W17" s="10">
        <v>232.14</v>
      </c>
      <c r="X17" s="10">
        <v>315.83</v>
      </c>
      <c r="Y17" s="10">
        <v>289.95</v>
      </c>
      <c r="Z17" s="10">
        <v>356.46</v>
      </c>
      <c r="AA17" s="10">
        <v>28.5</v>
      </c>
      <c r="AB17" s="7">
        <f>+U17+SUM(V17:AA17)</f>
        <v>4430.71</v>
      </c>
      <c r="AC17" s="10">
        <v>81.84</v>
      </c>
      <c r="AD17" s="10">
        <v>307.27</v>
      </c>
      <c r="AE17" s="10">
        <v>302.04000000000002</v>
      </c>
      <c r="AF17" s="10">
        <v>270.98</v>
      </c>
      <c r="AG17" s="10">
        <v>255.17</v>
      </c>
      <c r="AH17" s="10">
        <v>320.61</v>
      </c>
      <c r="AI17" s="10">
        <v>0</v>
      </c>
      <c r="AJ17" s="7">
        <f>+AB17+SUM(AC17:AI17)</f>
        <v>5968.6200000000008</v>
      </c>
      <c r="AP17" s="186"/>
      <c r="AQ17" s="186"/>
      <c r="AX17" s="186"/>
      <c r="AY17" s="186"/>
      <c r="AZ17" s="8"/>
      <c r="BA17" s="8"/>
      <c r="BB17" s="8"/>
      <c r="BC17" s="8"/>
      <c r="BD17" s="8"/>
      <c r="BE17" s="8"/>
      <c r="BF17" s="8"/>
      <c r="BG17" s="8"/>
      <c r="BH17" s="8"/>
      <c r="BI17" s="6"/>
      <c r="BJ17" s="8"/>
      <c r="BK17" s="8"/>
      <c r="BL17" s="8"/>
      <c r="BM17" s="8"/>
      <c r="BN17" s="8"/>
      <c r="BO17" s="8"/>
      <c r="BP17" s="8"/>
      <c r="BQ17" s="8"/>
      <c r="BR17" s="8"/>
    </row>
    <row r="18" spans="1:70" x14ac:dyDescent="0.2">
      <c r="A18" s="11" t="s">
        <v>3</v>
      </c>
      <c r="B18" s="12">
        <f t="shared" ref="B18:K18" si="11">IFERROR(+B17/B16,0)</f>
        <v>1.5327333333333333</v>
      </c>
      <c r="C18" s="12">
        <f t="shared" si="11"/>
        <v>1.6719999999999999</v>
      </c>
      <c r="D18" s="12">
        <f t="shared" si="11"/>
        <v>0.34033333333333338</v>
      </c>
      <c r="E18" s="13">
        <f>IFERROR(+E17/E16,0)</f>
        <v>1.3677999999999999</v>
      </c>
      <c r="F18" s="12">
        <f t="shared" si="11"/>
        <v>0.37033333333333329</v>
      </c>
      <c r="G18" s="12">
        <f t="shared" si="11"/>
        <v>0.79576923076923078</v>
      </c>
      <c r="H18" s="12">
        <f t="shared" si="11"/>
        <v>1.0651428571428572</v>
      </c>
      <c r="I18" s="12">
        <f t="shared" si="11"/>
        <v>0.83028571428571429</v>
      </c>
      <c r="J18" s="12">
        <f t="shared" si="11"/>
        <v>1.0414137931034482</v>
      </c>
      <c r="K18" s="12">
        <f t="shared" si="11"/>
        <v>1.0813333333333333</v>
      </c>
      <c r="L18" s="13">
        <f>IFERROR(+L17/L16,0)</f>
        <v>0.90791772151898731</v>
      </c>
      <c r="M18" s="12">
        <v>0.51</v>
      </c>
      <c r="N18" s="12">
        <f t="shared" ref="N18:V18" si="12">IFERROR(+N17/N16,0)</f>
        <v>1.1386499999999999</v>
      </c>
      <c r="O18" s="12">
        <f t="shared" si="12"/>
        <v>1.3383076923076922</v>
      </c>
      <c r="P18" s="12">
        <f t="shared" si="12"/>
        <v>2.7279890303303178</v>
      </c>
      <c r="Q18" s="12">
        <f t="shared" si="12"/>
        <v>1.0802592592592593</v>
      </c>
      <c r="R18" s="12">
        <f t="shared" si="12"/>
        <v>1.0664333333333333</v>
      </c>
      <c r="S18" s="12">
        <f t="shared" si="12"/>
        <v>2.1343333333333332</v>
      </c>
      <c r="T18" s="12">
        <f t="shared" si="12"/>
        <v>0.24859999999999999</v>
      </c>
      <c r="U18" s="13">
        <f>IFERROR(+U17/U16,0)</f>
        <v>1.0676770948152081</v>
      </c>
      <c r="V18" s="12">
        <f t="shared" si="12"/>
        <v>0.52057692307692305</v>
      </c>
      <c r="W18" s="12">
        <f t="shared" ref="W18:AI18" si="13">IFERROR(+W17/W16,0)</f>
        <v>0.85977777777777775</v>
      </c>
      <c r="X18" s="12">
        <f t="shared" si="13"/>
        <v>1.1279642857142858</v>
      </c>
      <c r="Y18" s="12">
        <f t="shared" si="13"/>
        <v>0.99982758620689649</v>
      </c>
      <c r="Z18" s="12">
        <f t="shared" si="13"/>
        <v>1.1881999999999999</v>
      </c>
      <c r="AA18" s="12">
        <f t="shared" si="13"/>
        <v>0.71250000000000002</v>
      </c>
      <c r="AB18" s="13">
        <f>IFERROR(+AB17/AB16,0)</f>
        <v>1.0261679533013226</v>
      </c>
      <c r="AC18" s="12">
        <f t="shared" si="13"/>
        <v>0.90933333333333333</v>
      </c>
      <c r="AD18" s="12">
        <f t="shared" si="13"/>
        <v>1.22908</v>
      </c>
      <c r="AE18" s="12">
        <f t="shared" si="13"/>
        <v>1.1616923076923078</v>
      </c>
      <c r="AF18" s="12">
        <f t="shared" si="13"/>
        <v>0.96778571428571436</v>
      </c>
      <c r="AG18" s="12">
        <f t="shared" si="13"/>
        <v>0.87989655172413794</v>
      </c>
      <c r="AH18" s="12">
        <f t="shared" si="13"/>
        <v>0.9715454545454546</v>
      </c>
      <c r="AI18" s="12">
        <f t="shared" si="13"/>
        <v>0</v>
      </c>
      <c r="AJ18" s="13">
        <f>IFERROR(+AJ17/AJ16,0)</f>
        <v>1.0154644893159326</v>
      </c>
      <c r="AP18" s="186"/>
      <c r="AQ18" s="186"/>
      <c r="AX18" s="186"/>
      <c r="AY18" s="186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" x14ac:dyDescent="0.2">
      <c r="A19" s="9" t="s">
        <v>13</v>
      </c>
      <c r="B19" s="6">
        <v>300</v>
      </c>
      <c r="C19" s="6">
        <v>0</v>
      </c>
      <c r="D19" s="6">
        <v>0</v>
      </c>
      <c r="E19" s="7">
        <f>+SUM(B19:D19)</f>
        <v>300</v>
      </c>
      <c r="F19" s="6">
        <v>200</v>
      </c>
      <c r="G19" s="6">
        <v>340</v>
      </c>
      <c r="H19" s="6">
        <v>340</v>
      </c>
      <c r="I19" s="6">
        <v>340</v>
      </c>
      <c r="J19" s="6">
        <v>340</v>
      </c>
      <c r="K19" s="6">
        <v>0</v>
      </c>
      <c r="L19" s="7">
        <f>+E19+SUM(F19:K19)</f>
        <v>1860</v>
      </c>
      <c r="M19" s="6">
        <v>200</v>
      </c>
      <c r="N19" s="6">
        <v>320</v>
      </c>
      <c r="O19" s="6">
        <v>320</v>
      </c>
      <c r="P19" s="6">
        <v>320</v>
      </c>
      <c r="Q19" s="6">
        <v>320</v>
      </c>
      <c r="R19" s="6">
        <v>320</v>
      </c>
      <c r="S19" s="6">
        <v>140</v>
      </c>
      <c r="T19" s="6">
        <v>0</v>
      </c>
      <c r="U19" s="7">
        <f>+L19+SUM(M19:T19)</f>
        <v>3800</v>
      </c>
      <c r="V19" s="6">
        <v>100</v>
      </c>
      <c r="W19" s="6">
        <v>300</v>
      </c>
      <c r="X19" s="6">
        <v>300</v>
      </c>
      <c r="Y19" s="6">
        <v>300</v>
      </c>
      <c r="Z19" s="6">
        <v>300</v>
      </c>
      <c r="AA19" s="6">
        <v>0</v>
      </c>
      <c r="AB19" s="7">
        <f>+U19+SUM(V19:AA19)</f>
        <v>5100</v>
      </c>
      <c r="AC19" s="6">
        <v>100</v>
      </c>
      <c r="AD19" s="6">
        <v>250</v>
      </c>
      <c r="AE19" s="6">
        <v>250</v>
      </c>
      <c r="AF19" s="6">
        <v>270</v>
      </c>
      <c r="AG19" s="6">
        <v>270</v>
      </c>
      <c r="AH19" s="6">
        <v>300</v>
      </c>
      <c r="AI19" s="6">
        <v>0</v>
      </c>
      <c r="AJ19" s="7">
        <f>+AB19+SUM(AC19:AI19)</f>
        <v>6540</v>
      </c>
      <c r="AP19" s="186"/>
      <c r="AQ19" s="186"/>
      <c r="AX19" s="186"/>
      <c r="AY19" s="186"/>
      <c r="AZ19" s="8"/>
      <c r="BA19" s="8"/>
      <c r="BB19" s="8"/>
      <c r="BC19" s="8"/>
      <c r="BD19" s="8"/>
      <c r="BE19" s="8"/>
      <c r="BF19" s="8"/>
      <c r="BG19" s="8"/>
      <c r="BH19" s="8"/>
      <c r="BI19" s="6"/>
      <c r="BJ19" s="8"/>
      <c r="BK19" s="8"/>
      <c r="BL19" s="8"/>
      <c r="BM19" s="8"/>
      <c r="BN19" s="8"/>
      <c r="BO19" s="8"/>
      <c r="BP19" s="8"/>
      <c r="BQ19" s="8"/>
      <c r="BR19" s="8"/>
    </row>
    <row r="20" spans="1:70" x14ac:dyDescent="0.2">
      <c r="A20" s="9" t="s">
        <v>14</v>
      </c>
      <c r="B20" s="6">
        <v>324</v>
      </c>
      <c r="C20" s="6">
        <v>0</v>
      </c>
      <c r="D20" s="6">
        <v>0</v>
      </c>
      <c r="E20" s="7">
        <f>+SUM(B20:D20)</f>
        <v>324</v>
      </c>
      <c r="F20" s="6">
        <v>256.5</v>
      </c>
      <c r="G20" s="6">
        <v>297</v>
      </c>
      <c r="H20" s="6">
        <v>297</v>
      </c>
      <c r="I20" s="6">
        <v>324</v>
      </c>
      <c r="J20" s="6">
        <v>378</v>
      </c>
      <c r="K20" s="6">
        <v>256.5</v>
      </c>
      <c r="L20" s="7">
        <f>+E20+SUM(F20:K20)</f>
        <v>2133</v>
      </c>
      <c r="M20" s="6">
        <v>108</v>
      </c>
      <c r="N20" s="6">
        <v>256.5</v>
      </c>
      <c r="O20" s="6">
        <v>364.5</v>
      </c>
      <c r="P20" s="6">
        <v>283.5</v>
      </c>
      <c r="Q20" s="6">
        <v>270</v>
      </c>
      <c r="R20" s="6">
        <v>283.5</v>
      </c>
      <c r="S20" s="6">
        <v>0</v>
      </c>
      <c r="T20" s="6">
        <v>0</v>
      </c>
      <c r="U20" s="7">
        <f>+L20+SUM(M20:T20)</f>
        <v>3699</v>
      </c>
      <c r="V20" s="6">
        <v>189</v>
      </c>
      <c r="W20" s="6">
        <v>256.5</v>
      </c>
      <c r="X20" s="6">
        <v>270</v>
      </c>
      <c r="Y20" s="6">
        <v>297</v>
      </c>
      <c r="Z20" s="6">
        <v>324</v>
      </c>
      <c r="AA20" s="6">
        <v>0</v>
      </c>
      <c r="AB20" s="7">
        <f>+U20+SUM(V20:AA20)</f>
        <v>5035.5</v>
      </c>
      <c r="AC20" s="6">
        <v>0</v>
      </c>
      <c r="AD20" s="6">
        <v>337.5</v>
      </c>
      <c r="AE20" s="6">
        <v>283.5</v>
      </c>
      <c r="AF20" s="6">
        <v>283.5</v>
      </c>
      <c r="AG20" s="6">
        <v>270</v>
      </c>
      <c r="AH20" s="6">
        <v>310.5</v>
      </c>
      <c r="AI20" s="6">
        <v>0</v>
      </c>
      <c r="AJ20" s="7">
        <f>+AB20+SUM(AC20:AI20)</f>
        <v>6520.5</v>
      </c>
      <c r="AK20" s="413">
        <f>+AB20/AB19</f>
        <v>0.98735294117647054</v>
      </c>
      <c r="AN20" s="369"/>
      <c r="AP20" s="186"/>
      <c r="AQ20" s="186"/>
      <c r="AX20" s="186"/>
      <c r="AY20" s="186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" x14ac:dyDescent="0.2">
      <c r="A21" s="9" t="s">
        <v>6</v>
      </c>
      <c r="B21" s="10">
        <v>79.722999999999999</v>
      </c>
      <c r="C21" s="10">
        <v>0</v>
      </c>
      <c r="D21" s="10">
        <v>0</v>
      </c>
      <c r="E21" s="7">
        <f>+SUM(B21:D21)</f>
        <v>79.722999999999999</v>
      </c>
      <c r="F21" s="10">
        <v>58.423000000000002</v>
      </c>
      <c r="G21" s="10">
        <v>61.552999999999997</v>
      </c>
      <c r="H21" s="10">
        <v>62.168999999999997</v>
      </c>
      <c r="I21" s="10">
        <v>71.149000000000001</v>
      </c>
      <c r="J21" s="10">
        <v>78.271000000000001</v>
      </c>
      <c r="K21" s="10">
        <v>57.356999999999999</v>
      </c>
      <c r="L21" s="7">
        <f>+E21+SUM(F21:K21)</f>
        <v>468.64500000000004</v>
      </c>
      <c r="M21" s="10">
        <v>25.05</v>
      </c>
      <c r="N21" s="10">
        <v>50.854999999999997</v>
      </c>
      <c r="O21" s="10">
        <v>80.736999999999995</v>
      </c>
      <c r="P21" s="10">
        <v>76.180000000000007</v>
      </c>
      <c r="Q21" s="10">
        <v>64.751999999999995</v>
      </c>
      <c r="R21" s="10">
        <v>55.966000000000001</v>
      </c>
      <c r="S21" s="10">
        <v>0</v>
      </c>
      <c r="T21" s="10">
        <v>0</v>
      </c>
      <c r="U21" s="7">
        <f>+L21+SUM(M21:T21)</f>
        <v>822.18500000000006</v>
      </c>
      <c r="V21" s="10">
        <v>40.316000000000003</v>
      </c>
      <c r="W21" s="10">
        <v>56.863999999999997</v>
      </c>
      <c r="X21" s="10">
        <v>55.694000000000003</v>
      </c>
      <c r="Y21" s="10">
        <v>64.006</v>
      </c>
      <c r="Z21" s="10">
        <v>71.570999999999998</v>
      </c>
      <c r="AA21" s="10">
        <v>0</v>
      </c>
      <c r="AB21" s="7">
        <f>+U21+SUM(V21:AA21)</f>
        <v>1110.636</v>
      </c>
      <c r="AC21" s="10">
        <v>0</v>
      </c>
      <c r="AD21" s="10">
        <v>62.039000000000001</v>
      </c>
      <c r="AE21" s="10">
        <v>63.567999999999998</v>
      </c>
      <c r="AF21" s="10">
        <v>68.909000000000006</v>
      </c>
      <c r="AG21" s="10">
        <v>62.671999999999997</v>
      </c>
      <c r="AH21" s="10">
        <v>68.671000000000006</v>
      </c>
      <c r="AI21" s="10">
        <v>0</v>
      </c>
      <c r="AJ21" s="7">
        <f>+AB21+SUM(AC21:AI21)</f>
        <v>1436.4949999999999</v>
      </c>
      <c r="AP21" s="186"/>
      <c r="AQ21" s="186"/>
      <c r="AX21" s="186"/>
      <c r="AY21" s="186"/>
      <c r="AZ21" s="8"/>
      <c r="BA21" s="8"/>
      <c r="BB21" s="8"/>
      <c r="BC21" s="8"/>
      <c r="BD21" s="8"/>
      <c r="BE21" s="8"/>
      <c r="BF21" s="8"/>
      <c r="BG21" s="8"/>
      <c r="BH21" s="8"/>
      <c r="BI21" s="6"/>
      <c r="BJ21" s="8"/>
      <c r="BK21" s="8"/>
      <c r="BL21" s="8"/>
      <c r="BM21" s="8"/>
      <c r="BN21" s="8"/>
      <c r="BO21" s="8"/>
      <c r="BP21" s="8"/>
      <c r="BQ21" s="8"/>
      <c r="BR21" s="8"/>
    </row>
    <row r="22" spans="1:70" x14ac:dyDescent="0.2">
      <c r="A22" s="187" t="str">
        <f>+_xlfn.CONCAT("TEA% ", B47,"%")</f>
        <v>TEA% 22%</v>
      </c>
      <c r="B22" s="14">
        <f t="shared" ref="B22:H22" si="14">IFERROR(+B21/B20,0)</f>
        <v>0.24605864197530863</v>
      </c>
      <c r="C22" s="14">
        <f t="shared" si="14"/>
        <v>0</v>
      </c>
      <c r="D22" s="14">
        <f t="shared" si="14"/>
        <v>0</v>
      </c>
      <c r="E22" s="15">
        <f>IFERROR(+E21/E20,0)</f>
        <v>0.24605864197530863</v>
      </c>
      <c r="F22" s="14">
        <f t="shared" si="14"/>
        <v>0.22776998050682262</v>
      </c>
      <c r="G22" s="14">
        <f t="shared" si="14"/>
        <v>0.20724915824915824</v>
      </c>
      <c r="H22" s="14">
        <f t="shared" si="14"/>
        <v>0.2093232323232323</v>
      </c>
      <c r="I22" s="14">
        <f t="shared" ref="I22:AI22" si="15">IFERROR(+I21/I20,0)</f>
        <v>0.21959567901234567</v>
      </c>
      <c r="J22" s="14">
        <f t="shared" si="15"/>
        <v>0.20706613756613756</v>
      </c>
      <c r="K22" s="14">
        <f t="shared" si="15"/>
        <v>0.22361403508771929</v>
      </c>
      <c r="L22" s="15">
        <f>IFERROR(+L21/L20,0)</f>
        <v>0.21971167369901548</v>
      </c>
      <c r="M22" s="14">
        <f t="shared" si="15"/>
        <v>0.23194444444444445</v>
      </c>
      <c r="N22" s="14">
        <f t="shared" si="15"/>
        <v>0.19826510721247562</v>
      </c>
      <c r="O22" s="14">
        <f t="shared" si="15"/>
        <v>0.22150068587105623</v>
      </c>
      <c r="P22" s="14">
        <f t="shared" si="15"/>
        <v>0.26871252204585538</v>
      </c>
      <c r="Q22" s="14">
        <f t="shared" si="15"/>
        <v>0.23982222222222221</v>
      </c>
      <c r="R22" s="14">
        <f>IFERROR(+R21/R20,0)</f>
        <v>0.19741093474426807</v>
      </c>
      <c r="S22" s="14">
        <f>IFERROR(+S21/S20,0)</f>
        <v>0</v>
      </c>
      <c r="T22" s="14">
        <f>IFERROR(+T21/T20,0)</f>
        <v>0</v>
      </c>
      <c r="U22" s="15">
        <f>IFERROR(+U21/U20,0)</f>
        <v>0.22227223573938903</v>
      </c>
      <c r="V22" s="14">
        <f>IFERROR(+V21/V20,0)</f>
        <v>0.21331216931216931</v>
      </c>
      <c r="W22" s="14">
        <f t="shared" si="15"/>
        <v>0.22169200779727094</v>
      </c>
      <c r="X22" s="14">
        <f t="shared" si="15"/>
        <v>0.20627407407407408</v>
      </c>
      <c r="Y22" s="14">
        <f t="shared" si="15"/>
        <v>0.21550841750841751</v>
      </c>
      <c r="Z22" s="14">
        <f t="shared" si="15"/>
        <v>0.22089814814814815</v>
      </c>
      <c r="AA22" s="14">
        <f t="shared" si="15"/>
        <v>0</v>
      </c>
      <c r="AB22" s="15">
        <f>IFERROR(+AB21/AB20,0)</f>
        <v>0.22056121537086684</v>
      </c>
      <c r="AC22" s="14">
        <f t="shared" si="15"/>
        <v>0</v>
      </c>
      <c r="AD22" s="14">
        <f t="shared" si="15"/>
        <v>0.18381925925925927</v>
      </c>
      <c r="AE22" s="14">
        <f t="shared" si="15"/>
        <v>0.22422574955908289</v>
      </c>
      <c r="AF22" s="14">
        <f t="shared" si="15"/>
        <v>0.24306525573192242</v>
      </c>
      <c r="AG22" s="14">
        <f t="shared" si="15"/>
        <v>0.2321185185185185</v>
      </c>
      <c r="AH22" s="14">
        <f t="shared" si="15"/>
        <v>0.22116264090177135</v>
      </c>
      <c r="AI22" s="14">
        <f t="shared" si="15"/>
        <v>0</v>
      </c>
      <c r="AJ22" s="15">
        <f>IFERROR(+AJ21/AJ20,0)</f>
        <v>0.22030442450732304</v>
      </c>
      <c r="AP22" s="186"/>
      <c r="AQ22" s="186"/>
      <c r="AX22" s="186"/>
      <c r="AY22" s="186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</row>
    <row r="23" spans="1:70" x14ac:dyDescent="0.2">
      <c r="A23" s="16" t="s">
        <v>15</v>
      </c>
      <c r="B23" s="6">
        <v>620</v>
      </c>
      <c r="C23" s="6">
        <v>140</v>
      </c>
      <c r="D23" s="6">
        <v>300</v>
      </c>
      <c r="E23" s="7">
        <f>+SUM(B23:D23)</f>
        <v>1060</v>
      </c>
      <c r="F23" s="6">
        <v>680</v>
      </c>
      <c r="G23" s="6">
        <v>840</v>
      </c>
      <c r="H23" s="6">
        <v>860</v>
      </c>
      <c r="I23" s="6">
        <v>810</v>
      </c>
      <c r="J23" s="6">
        <v>770</v>
      </c>
      <c r="K23" s="6">
        <v>140</v>
      </c>
      <c r="L23" s="7">
        <f>+E23+SUM(F23:K23)</f>
        <v>5160</v>
      </c>
      <c r="M23" s="6">
        <v>270</v>
      </c>
      <c r="N23" s="6">
        <v>710</v>
      </c>
      <c r="O23" s="6">
        <v>870</v>
      </c>
      <c r="P23" s="6">
        <v>960</v>
      </c>
      <c r="Q23" s="6">
        <v>900</v>
      </c>
      <c r="R23" s="6">
        <v>910</v>
      </c>
      <c r="S23" s="6">
        <v>140</v>
      </c>
      <c r="T23" s="6">
        <v>350</v>
      </c>
      <c r="U23" s="7">
        <f>+L23+SUM(M23:T23)</f>
        <v>10270</v>
      </c>
      <c r="V23" s="6">
        <v>740</v>
      </c>
      <c r="W23" s="6">
        <v>1020</v>
      </c>
      <c r="X23" s="6">
        <v>970</v>
      </c>
      <c r="Y23" s="6">
        <v>970</v>
      </c>
      <c r="Z23" s="6">
        <v>870</v>
      </c>
      <c r="AA23" s="6">
        <v>170</v>
      </c>
      <c r="AB23" s="7">
        <f>+U23+SUM(V23:AA23)</f>
        <v>15010</v>
      </c>
      <c r="AC23" s="6">
        <v>470</v>
      </c>
      <c r="AD23" s="6">
        <v>720</v>
      </c>
      <c r="AE23" s="6">
        <v>1000</v>
      </c>
      <c r="AF23" s="6">
        <v>1020</v>
      </c>
      <c r="AG23" s="6">
        <v>1030</v>
      </c>
      <c r="AH23" s="6">
        <v>950</v>
      </c>
      <c r="AI23" s="6">
        <v>300</v>
      </c>
      <c r="AJ23" s="7">
        <f>+AB23+SUM(AC23:AI23)</f>
        <v>20500</v>
      </c>
      <c r="AP23" s="186"/>
      <c r="AQ23" s="186"/>
      <c r="AX23" s="186"/>
      <c r="AY23" s="186"/>
      <c r="AZ23" s="8"/>
      <c r="BA23" s="8"/>
      <c r="BB23" s="8"/>
      <c r="BC23" s="8"/>
      <c r="BD23" s="8"/>
      <c r="BE23" s="8"/>
      <c r="BF23" s="8"/>
      <c r="BG23" s="8"/>
      <c r="BH23" s="8"/>
      <c r="BI23" s="6"/>
      <c r="BJ23" s="8"/>
      <c r="BK23" s="8"/>
      <c r="BL23" s="8"/>
      <c r="BM23" s="8"/>
      <c r="BN23" s="8"/>
      <c r="BO23" s="8"/>
      <c r="BP23" s="8"/>
      <c r="BQ23" s="8"/>
      <c r="BR23" s="8"/>
    </row>
    <row r="24" spans="1:70" ht="12" customHeight="1" x14ac:dyDescent="0.2">
      <c r="A24" s="9" t="s">
        <v>16</v>
      </c>
      <c r="B24" s="10">
        <v>834.63</v>
      </c>
      <c r="C24" s="10">
        <v>441.4</v>
      </c>
      <c r="D24" s="10">
        <v>184.62</v>
      </c>
      <c r="E24" s="7">
        <f>+SUM(B24:D24)</f>
        <v>1460.65</v>
      </c>
      <c r="F24" s="10">
        <v>931.38</v>
      </c>
      <c r="G24" s="10">
        <v>1028.96</v>
      </c>
      <c r="H24" s="10">
        <v>988.72</v>
      </c>
      <c r="I24" s="10">
        <v>955.49</v>
      </c>
      <c r="J24" s="10">
        <v>787.16</v>
      </c>
      <c r="K24" s="10">
        <v>211.26</v>
      </c>
      <c r="L24" s="7">
        <f>+E24+SUM(F24:K24)</f>
        <v>6363.6200000000008</v>
      </c>
      <c r="M24" s="10">
        <v>534.96</v>
      </c>
      <c r="N24" s="10">
        <v>997.82</v>
      </c>
      <c r="O24" s="10">
        <v>821.3</v>
      </c>
      <c r="P24" s="10">
        <v>909.22</v>
      </c>
      <c r="Q24" s="10">
        <v>695.48</v>
      </c>
      <c r="R24" s="10">
        <v>783.92</v>
      </c>
      <c r="S24" s="10">
        <v>517.98</v>
      </c>
      <c r="T24" s="10">
        <v>190.51</v>
      </c>
      <c r="U24" s="7">
        <f>+L24+SUM(M24:T24)</f>
        <v>11814.810000000001</v>
      </c>
      <c r="V24" s="10">
        <v>833.41</v>
      </c>
      <c r="W24" s="10">
        <v>981.51</v>
      </c>
      <c r="X24" s="10">
        <v>1148.3900000000001</v>
      </c>
      <c r="Y24" s="10">
        <v>952.72</v>
      </c>
      <c r="Z24" s="10">
        <v>686.56</v>
      </c>
      <c r="AA24" s="10">
        <v>352.29</v>
      </c>
      <c r="AB24" s="7">
        <f>+U24+SUM(V24:AA24)</f>
        <v>16769.690000000002</v>
      </c>
      <c r="AC24" s="10">
        <v>586.63</v>
      </c>
      <c r="AD24" s="10">
        <v>813.66</v>
      </c>
      <c r="AE24" s="10">
        <v>577.01</v>
      </c>
      <c r="AF24" s="10">
        <v>826.88</v>
      </c>
      <c r="AG24" s="10">
        <v>820.93</v>
      </c>
      <c r="AH24" s="10">
        <v>893.84</v>
      </c>
      <c r="AI24" s="10">
        <v>0</v>
      </c>
      <c r="AJ24" s="7">
        <f>+AB24+SUM(AC24:AI24)</f>
        <v>21288.640000000003</v>
      </c>
      <c r="AP24" s="186"/>
      <c r="AQ24" s="186"/>
      <c r="AX24" s="186"/>
      <c r="AY24" s="186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</row>
    <row r="25" spans="1:70" ht="12" customHeight="1" x14ac:dyDescent="0.2">
      <c r="A25" s="11" t="s">
        <v>3</v>
      </c>
      <c r="B25" s="12">
        <f t="shared" ref="B25:H25" si="16">IFERROR(+B24/B23,0)</f>
        <v>1.3461774193548388</v>
      </c>
      <c r="C25" s="12">
        <f t="shared" si="16"/>
        <v>3.1528571428571426</v>
      </c>
      <c r="D25" s="12">
        <f t="shared" si="16"/>
        <v>0.61540000000000006</v>
      </c>
      <c r="E25" s="13">
        <f>IFERROR(+E24/E23,0)</f>
        <v>1.3779716981132077</v>
      </c>
      <c r="F25" s="12">
        <f t="shared" si="16"/>
        <v>1.3696764705882354</v>
      </c>
      <c r="G25" s="12">
        <f t="shared" si="16"/>
        <v>1.224952380952381</v>
      </c>
      <c r="H25" s="12">
        <f t="shared" si="16"/>
        <v>1.1496744186046512</v>
      </c>
      <c r="I25" s="12">
        <f t="shared" ref="I25:AI25" si="17">IFERROR(+I24/I23,0)</f>
        <v>1.1796172839506174</v>
      </c>
      <c r="J25" s="12">
        <f t="shared" si="17"/>
        <v>1.0222857142857142</v>
      </c>
      <c r="K25" s="12">
        <f t="shared" si="17"/>
        <v>1.5089999999999999</v>
      </c>
      <c r="L25" s="13">
        <f>IFERROR(+L24/L23,0)</f>
        <v>1.2332596899224808</v>
      </c>
      <c r="M25" s="12">
        <f t="shared" si="17"/>
        <v>1.9813333333333334</v>
      </c>
      <c r="N25" s="12">
        <f t="shared" si="17"/>
        <v>1.4053802816901408</v>
      </c>
      <c r="O25" s="12">
        <f t="shared" si="17"/>
        <v>0.94402298850574706</v>
      </c>
      <c r="P25" s="12">
        <f t="shared" si="17"/>
        <v>0.94710416666666675</v>
      </c>
      <c r="Q25" s="12">
        <f t="shared" si="17"/>
        <v>0.77275555555555553</v>
      </c>
      <c r="R25" s="12">
        <f t="shared" si="17"/>
        <v>0.86145054945054944</v>
      </c>
      <c r="S25" s="12">
        <f t="shared" si="17"/>
        <v>3.6998571428571432</v>
      </c>
      <c r="T25" s="12">
        <f t="shared" si="17"/>
        <v>0.54431428571428564</v>
      </c>
      <c r="U25" s="13">
        <f>IFERROR(+U24/U23,0)</f>
        <v>1.1504196689386563</v>
      </c>
      <c r="V25" s="12">
        <f t="shared" si="17"/>
        <v>1.1262297297297297</v>
      </c>
      <c r="W25" s="12">
        <f t="shared" si="17"/>
        <v>0.96226470588235291</v>
      </c>
      <c r="X25" s="12">
        <f t="shared" si="17"/>
        <v>1.1839072164948454</v>
      </c>
      <c r="Y25" s="12">
        <f t="shared" si="17"/>
        <v>0.98218556701030935</v>
      </c>
      <c r="Z25" s="12">
        <f t="shared" si="17"/>
        <v>0.78914942528735621</v>
      </c>
      <c r="AA25" s="12">
        <f t="shared" si="17"/>
        <v>2.0722941176470591</v>
      </c>
      <c r="AB25" s="13">
        <f>IFERROR(+AB24/AB23,0)</f>
        <v>1.1172345103264492</v>
      </c>
      <c r="AC25" s="12">
        <f t="shared" si="17"/>
        <v>1.2481489361702127</v>
      </c>
      <c r="AD25" s="12">
        <f t="shared" si="17"/>
        <v>1.1300833333333333</v>
      </c>
      <c r="AE25" s="12">
        <f t="shared" si="17"/>
        <v>0.57701000000000002</v>
      </c>
      <c r="AF25" s="12">
        <f t="shared" si="17"/>
        <v>0.81066666666666665</v>
      </c>
      <c r="AG25" s="12">
        <f t="shared" si="17"/>
        <v>0.79701941747572813</v>
      </c>
      <c r="AH25" s="12">
        <f t="shared" si="17"/>
        <v>0.94088421052631588</v>
      </c>
      <c r="AI25" s="12">
        <f t="shared" si="17"/>
        <v>0</v>
      </c>
      <c r="AJ25" s="13">
        <f>IFERROR(+AJ24/AJ23,0)</f>
        <v>1.0384702439024391</v>
      </c>
      <c r="AP25" s="186"/>
      <c r="AQ25" s="186"/>
      <c r="AX25" s="186"/>
      <c r="AY25" s="186"/>
      <c r="AZ25" s="8"/>
      <c r="BA25" s="8"/>
      <c r="BB25" s="8"/>
      <c r="BC25" s="8"/>
      <c r="BD25" s="8"/>
      <c r="BE25" s="8"/>
      <c r="BF25" s="8"/>
      <c r="BG25" s="8"/>
      <c r="BH25" s="8"/>
      <c r="BI25" s="6"/>
      <c r="BJ25" s="8"/>
      <c r="BK25" s="8"/>
      <c r="BL25" s="8"/>
      <c r="BM25" s="8"/>
      <c r="BN25" s="8"/>
      <c r="BO25" s="8"/>
      <c r="BP25" s="8"/>
      <c r="BQ25" s="8"/>
      <c r="BR25" s="8"/>
    </row>
    <row r="26" spans="1:70" ht="12" customHeight="1" x14ac:dyDescent="0.2">
      <c r="A26" s="9" t="s">
        <v>17</v>
      </c>
      <c r="B26" s="6">
        <v>750</v>
      </c>
      <c r="C26" s="6">
        <v>250</v>
      </c>
      <c r="D26" s="6">
        <v>0</v>
      </c>
      <c r="E26" s="7">
        <f>+SUM(B26:D26)</f>
        <v>1000</v>
      </c>
      <c r="F26" s="6">
        <v>800</v>
      </c>
      <c r="G26" s="6">
        <v>800</v>
      </c>
      <c r="H26" s="6">
        <v>800</v>
      </c>
      <c r="I26" s="6">
        <v>800</v>
      </c>
      <c r="J26" s="6">
        <v>800</v>
      </c>
      <c r="K26" s="6">
        <v>300</v>
      </c>
      <c r="L26" s="7">
        <f>+E26+SUM(F26:K26)</f>
        <v>5300</v>
      </c>
      <c r="M26" s="6">
        <v>400</v>
      </c>
      <c r="N26" s="6">
        <v>700</v>
      </c>
      <c r="O26" s="6">
        <v>800</v>
      </c>
      <c r="P26" s="6">
        <v>800</v>
      </c>
      <c r="Q26" s="6">
        <v>800</v>
      </c>
      <c r="R26" s="6">
        <v>900</v>
      </c>
      <c r="S26" s="6">
        <v>400</v>
      </c>
      <c r="T26" s="6">
        <v>400</v>
      </c>
      <c r="U26" s="7">
        <f>+L26+SUM(M26:T26)</f>
        <v>10500</v>
      </c>
      <c r="V26" s="6">
        <v>700</v>
      </c>
      <c r="W26" s="6">
        <v>900</v>
      </c>
      <c r="X26" s="6">
        <v>900</v>
      </c>
      <c r="Y26" s="6">
        <v>900</v>
      </c>
      <c r="Z26" s="6">
        <v>900</v>
      </c>
      <c r="AA26" s="6">
        <v>300</v>
      </c>
      <c r="AB26" s="7">
        <f>+U26+SUM(V26:AA26)</f>
        <v>15100</v>
      </c>
      <c r="AC26" s="6">
        <v>400</v>
      </c>
      <c r="AD26" s="6">
        <v>900</v>
      </c>
      <c r="AE26" s="6">
        <v>900</v>
      </c>
      <c r="AF26" s="6">
        <v>900</v>
      </c>
      <c r="AG26" s="6">
        <v>900</v>
      </c>
      <c r="AH26" s="6">
        <v>900</v>
      </c>
      <c r="AI26" s="6">
        <v>700</v>
      </c>
      <c r="AJ26" s="7">
        <f>+AB26+SUM(AC26:AI26)</f>
        <v>20700</v>
      </c>
      <c r="AP26" s="186"/>
      <c r="AQ26" s="186"/>
      <c r="AX26" s="186"/>
      <c r="AY26" s="186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  <row r="27" spans="1:70" ht="12" customHeight="1" x14ac:dyDescent="0.2">
      <c r="A27" s="9" t="s">
        <v>18</v>
      </c>
      <c r="B27" s="6">
        <v>761.00699999999995</v>
      </c>
      <c r="C27" s="6">
        <v>865.34400000000005</v>
      </c>
      <c r="D27" s="6">
        <v>202.5</v>
      </c>
      <c r="E27" s="7">
        <f>+SUM(B27:D27)</f>
        <v>1828.8510000000001</v>
      </c>
      <c r="F27" s="6">
        <v>814.5</v>
      </c>
      <c r="G27" s="6">
        <v>814.45</v>
      </c>
      <c r="H27" s="6">
        <v>933.57</v>
      </c>
      <c r="I27" s="6">
        <v>790.06399999999996</v>
      </c>
      <c r="J27" s="6">
        <v>852.24199999999996</v>
      </c>
      <c r="K27" s="6">
        <v>512.84799999999996</v>
      </c>
      <c r="L27" s="7">
        <f>+E27+SUM(F27:K27)</f>
        <v>6546.5249999999996</v>
      </c>
      <c r="M27" s="6">
        <v>709.48299999999995</v>
      </c>
      <c r="N27" s="6">
        <v>749.822</v>
      </c>
      <c r="O27" s="6">
        <v>889.59</v>
      </c>
      <c r="P27" s="6">
        <v>278.45999999999998</v>
      </c>
      <c r="Q27" s="6">
        <v>794.81600000000003</v>
      </c>
      <c r="R27" s="6">
        <v>830.08799999999997</v>
      </c>
      <c r="S27" s="6">
        <v>904.25599999999997</v>
      </c>
      <c r="T27" s="6">
        <v>128.072</v>
      </c>
      <c r="U27" s="7">
        <f>+L27+SUM(M27:T27)</f>
        <v>11831.112000000001</v>
      </c>
      <c r="V27" s="6">
        <v>789.399</v>
      </c>
      <c r="W27" s="6">
        <v>903.47400000000005</v>
      </c>
      <c r="X27" s="6">
        <v>890.37</v>
      </c>
      <c r="Y27" s="6">
        <v>809.06700000000001</v>
      </c>
      <c r="Z27" s="6">
        <v>842.12</v>
      </c>
      <c r="AA27" s="6">
        <v>632.31100000000004</v>
      </c>
      <c r="AB27" s="7">
        <f>+U27+SUM(V27:AA27)</f>
        <v>16697.853000000003</v>
      </c>
      <c r="AC27" s="6">
        <v>158.30500000000001</v>
      </c>
      <c r="AD27" s="6">
        <v>622.11699999999996</v>
      </c>
      <c r="AE27" s="6">
        <v>789.36</v>
      </c>
      <c r="AF27" s="6">
        <v>751.15</v>
      </c>
      <c r="AG27" s="6">
        <v>846.36199999999997</v>
      </c>
      <c r="AH27" s="6">
        <v>935.44600000000003</v>
      </c>
      <c r="AI27" s="6">
        <v>817.93899999999996</v>
      </c>
      <c r="AJ27" s="7">
        <f>+AB27+SUM(AC27:AI27)</f>
        <v>21618.532000000003</v>
      </c>
      <c r="AK27" s="413">
        <f>+AB27/AB26</f>
        <v>1.1058180794701988</v>
      </c>
      <c r="AN27" s="369"/>
      <c r="AP27" s="186"/>
      <c r="AQ27" s="186"/>
      <c r="AX27" s="186"/>
      <c r="AY27" s="186"/>
      <c r="AZ27" s="8"/>
      <c r="BA27" s="8"/>
      <c r="BB27" s="8"/>
      <c r="BC27" s="8"/>
      <c r="BD27" s="8"/>
      <c r="BE27" s="8"/>
      <c r="BF27" s="8"/>
      <c r="BG27" s="8"/>
      <c r="BH27" s="8"/>
      <c r="BI27" s="6"/>
      <c r="BJ27" s="8"/>
      <c r="BK27" s="8"/>
      <c r="BL27" s="8"/>
      <c r="BM27" s="8"/>
      <c r="BN27" s="8"/>
      <c r="BO27" s="8"/>
      <c r="BP27" s="8"/>
      <c r="BQ27" s="8"/>
      <c r="BR27" s="8"/>
    </row>
    <row r="28" spans="1:70" ht="12" customHeight="1" x14ac:dyDescent="0.2">
      <c r="A28" s="9" t="s">
        <v>6</v>
      </c>
      <c r="B28" s="10">
        <v>175.64099999999999</v>
      </c>
      <c r="C28" s="10">
        <v>211.041</v>
      </c>
      <c r="D28" s="10">
        <v>54.122999999999998</v>
      </c>
      <c r="E28" s="7">
        <f>+SUM(B28:D28)</f>
        <v>440.80500000000001</v>
      </c>
      <c r="F28" s="10">
        <v>184.80099999999999</v>
      </c>
      <c r="G28" s="10">
        <v>195.577</v>
      </c>
      <c r="H28" s="10">
        <v>208.15700000000001</v>
      </c>
      <c r="I28" s="10">
        <v>172.81299999999999</v>
      </c>
      <c r="J28" s="10">
        <v>216.767</v>
      </c>
      <c r="K28" s="10">
        <v>119.003</v>
      </c>
      <c r="L28" s="7">
        <f>+E28+SUM(F28:K28)</f>
        <v>1537.923</v>
      </c>
      <c r="M28" s="10">
        <v>164.66300000000001</v>
      </c>
      <c r="N28" s="10">
        <v>196.83</v>
      </c>
      <c r="O28" s="10">
        <v>191.90799999999999</v>
      </c>
      <c r="P28" s="10">
        <v>64.727999999999994</v>
      </c>
      <c r="Q28" s="10">
        <v>154.547</v>
      </c>
      <c r="R28" s="10">
        <v>205.935</v>
      </c>
      <c r="S28" s="10">
        <v>210.37299999999999</v>
      </c>
      <c r="T28" s="10">
        <v>58.131</v>
      </c>
      <c r="U28" s="7">
        <f>+L28+SUM(M28:T28)</f>
        <v>2785.0380000000005</v>
      </c>
      <c r="V28" s="10">
        <v>163.661</v>
      </c>
      <c r="W28" s="10">
        <v>223.703</v>
      </c>
      <c r="X28" s="10">
        <v>216.32400000000001</v>
      </c>
      <c r="Y28" s="10">
        <v>193.262</v>
      </c>
      <c r="Z28" s="10">
        <v>190.17</v>
      </c>
      <c r="AA28" s="10">
        <v>137.31700000000001</v>
      </c>
      <c r="AB28" s="7">
        <f>+U28+SUM(V28:AA28)</f>
        <v>3909.4750000000004</v>
      </c>
      <c r="AC28" s="10">
        <v>44.347000000000001</v>
      </c>
      <c r="AD28" s="10">
        <v>124.756</v>
      </c>
      <c r="AE28" s="10">
        <v>190.364</v>
      </c>
      <c r="AF28" s="10">
        <v>169.71199999999999</v>
      </c>
      <c r="AG28" s="10">
        <v>211.45400000000001</v>
      </c>
      <c r="AH28" s="10">
        <v>229.00399999999999</v>
      </c>
      <c r="AI28" s="10">
        <v>178.50299999999999</v>
      </c>
      <c r="AJ28" s="7">
        <f>+AB28+SUM(AC28:AI28)</f>
        <v>5057.6150000000007</v>
      </c>
      <c r="AP28" s="186"/>
      <c r="AQ28" s="186"/>
      <c r="AX28" s="186"/>
      <c r="AY28" s="186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</row>
    <row r="29" spans="1:70" ht="12" customHeight="1" thickBot="1" x14ac:dyDescent="0.25">
      <c r="A29" s="187" t="str">
        <f>+_xlfn.CONCAT("TEA% ", B46,"%")</f>
        <v>TEA% 23.5%</v>
      </c>
      <c r="B29" s="14">
        <f t="shared" ref="B29:H29" si="18">IFERROR(+B28/B27,0)</f>
        <v>0.23080076792986137</v>
      </c>
      <c r="C29" s="14">
        <f t="shared" si="18"/>
        <v>0.24388104615043263</v>
      </c>
      <c r="D29" s="14">
        <f t="shared" si="18"/>
        <v>0.26727407407407405</v>
      </c>
      <c r="E29" s="17">
        <f>IFERROR(+E28/E27,0)</f>
        <v>0.24102838339482002</v>
      </c>
      <c r="F29" s="14">
        <f t="shared" si="18"/>
        <v>0.22688888888888886</v>
      </c>
      <c r="G29" s="14">
        <f t="shared" si="18"/>
        <v>0.24013383264779911</v>
      </c>
      <c r="H29" s="14">
        <f t="shared" si="18"/>
        <v>0.22296881862099252</v>
      </c>
      <c r="I29" s="14">
        <f t="shared" ref="I29:AC29" si="19">IFERROR(+I28/I27,0)</f>
        <v>0.21873291277668644</v>
      </c>
      <c r="J29" s="14">
        <f t="shared" si="19"/>
        <v>0.2543491168001577</v>
      </c>
      <c r="K29" s="14">
        <f t="shared" si="19"/>
        <v>0.23204341247309146</v>
      </c>
      <c r="L29" s="17">
        <f>IFERROR(+L28/L27,0)</f>
        <v>0.23492203879157264</v>
      </c>
      <c r="M29" s="14">
        <f t="shared" si="19"/>
        <v>0.2320887181229149</v>
      </c>
      <c r="N29" s="14">
        <f t="shared" si="19"/>
        <v>0.26250230054599627</v>
      </c>
      <c r="O29" s="14">
        <f t="shared" si="19"/>
        <v>0.21572634584471495</v>
      </c>
      <c r="P29" s="14">
        <f t="shared" si="19"/>
        <v>0.23244990303813834</v>
      </c>
      <c r="Q29" s="14">
        <f t="shared" si="19"/>
        <v>0.1944437454706498</v>
      </c>
      <c r="R29" s="14">
        <f t="shared" si="19"/>
        <v>0.24808815450891955</v>
      </c>
      <c r="S29" s="14">
        <f t="shared" si="19"/>
        <v>0.23264761306532664</v>
      </c>
      <c r="T29" s="14">
        <f t="shared" si="19"/>
        <v>0.45389312261852705</v>
      </c>
      <c r="U29" s="17">
        <f>IFERROR(+U28/U27,0)</f>
        <v>0.23539951274233564</v>
      </c>
      <c r="V29" s="14">
        <f t="shared" si="19"/>
        <v>0.20732354614079826</v>
      </c>
      <c r="W29" s="18">
        <f t="shared" si="19"/>
        <v>0.24760314076553391</v>
      </c>
      <c r="X29" s="18">
        <f t="shared" si="19"/>
        <v>0.24295966845244113</v>
      </c>
      <c r="Y29" s="18">
        <f t="shared" si="19"/>
        <v>0.23887020481616478</v>
      </c>
      <c r="Z29" s="18">
        <f>+U29</f>
        <v>0.23539951274233564</v>
      </c>
      <c r="AA29" s="18">
        <f>+U29</f>
        <v>0.23539951274233564</v>
      </c>
      <c r="AB29" s="17">
        <f>IFERROR(+AB28/AB27,0)</f>
        <v>0.2341303998783556</v>
      </c>
      <c r="AC29" s="18">
        <f t="shared" si="19"/>
        <v>0.2801364454691892</v>
      </c>
      <c r="AD29" s="18">
        <f t="shared" ref="AD29:AJ29" si="20">IFERROR(+AD28/AD27,0)</f>
        <v>0.20053462612338194</v>
      </c>
      <c r="AE29" s="18">
        <f t="shared" si="20"/>
        <v>0.24116246072767811</v>
      </c>
      <c r="AF29" s="18">
        <f t="shared" si="20"/>
        <v>0.22593623111229447</v>
      </c>
      <c r="AG29" s="18">
        <f t="shared" si="20"/>
        <v>0.24983872149269462</v>
      </c>
      <c r="AH29" s="18">
        <f t="shared" si="20"/>
        <v>0.24480728978476576</v>
      </c>
      <c r="AI29" s="18">
        <f t="shared" si="20"/>
        <v>0.21823510066154075</v>
      </c>
      <c r="AJ29" s="17">
        <f t="shared" si="20"/>
        <v>0.23394812376714572</v>
      </c>
      <c r="AQ29" s="186"/>
      <c r="AX29" s="186"/>
      <c r="AY29" s="186"/>
      <c r="AZ29" s="8"/>
      <c r="BA29" s="8"/>
      <c r="BB29" s="8"/>
      <c r="BC29" s="8"/>
      <c r="BD29" s="8"/>
      <c r="BE29" s="8"/>
      <c r="BF29" s="8"/>
      <c r="BG29" s="8"/>
      <c r="BH29" s="8"/>
      <c r="BI29" s="6"/>
      <c r="BJ29" s="8"/>
      <c r="BK29" s="8"/>
      <c r="BL29" s="8"/>
      <c r="BM29" s="8"/>
      <c r="BN29" s="8"/>
      <c r="BO29" s="8"/>
      <c r="BP29" s="8"/>
      <c r="BQ29" s="8"/>
      <c r="BR29" s="8"/>
    </row>
    <row r="30" spans="1:70" ht="12" customHeight="1" x14ac:dyDescent="0.2">
      <c r="A30" s="19" t="s">
        <v>19</v>
      </c>
      <c r="B30" s="20">
        <f>B2+B9+B16+B23</f>
        <v>1524.6554866418955</v>
      </c>
      <c r="C30" s="20">
        <f>C2+C9+C16+C23</f>
        <v>574.1734363741682</v>
      </c>
      <c r="D30" s="20">
        <f t="shared" ref="D30:H31" si="21">D2+D9+D16+D23</f>
        <v>462.63743094898348</v>
      </c>
      <c r="E30" s="7">
        <f>+SUM(B30:D30)</f>
        <v>2561.4663539650469</v>
      </c>
      <c r="F30" s="20">
        <f t="shared" si="21"/>
        <v>1746.0588293468586</v>
      </c>
      <c r="G30" s="20">
        <f t="shared" si="21"/>
        <v>2035.3520860117828</v>
      </c>
      <c r="H30" s="20">
        <f t="shared" si="21"/>
        <v>2222.8340515109985</v>
      </c>
      <c r="I30" s="20">
        <f>I2+I9+I16+I23</f>
        <v>2175.499766886594</v>
      </c>
      <c r="J30" s="20">
        <f>J2+J9+J16+J23</f>
        <v>2234.2369986295757</v>
      </c>
      <c r="K30" s="20">
        <f t="shared" ref="K30:P31" si="22">K2+K9+K16+K23</f>
        <v>729.05843376047244</v>
      </c>
      <c r="L30" s="7">
        <f>+E30+SUM(F30:K30)</f>
        <v>13704.506520111328</v>
      </c>
      <c r="M30" s="20">
        <f t="shared" si="22"/>
        <v>1246.5777539170117</v>
      </c>
      <c r="N30" s="20">
        <f t="shared" si="22"/>
        <v>2017.8110792444299</v>
      </c>
      <c r="O30" s="20">
        <f t="shared" si="22"/>
        <v>2223.2997697122109</v>
      </c>
      <c r="P30" s="20">
        <f t="shared" si="22"/>
        <v>2253.8431280145801</v>
      </c>
      <c r="Q30" s="20">
        <f t="shared" ref="Q30:S31" si="23">Q2+Q9+Q16+Q23</f>
        <v>2354.5911332137157</v>
      </c>
      <c r="R30" s="20">
        <f t="shared" si="23"/>
        <v>2299.2580070922986</v>
      </c>
      <c r="S30" s="20">
        <f t="shared" si="23"/>
        <v>743.49701190997587</v>
      </c>
      <c r="T30" s="20">
        <f t="shared" ref="T30:W31" si="24">T2+T9+T16+T23</f>
        <v>536</v>
      </c>
      <c r="U30" s="7">
        <f>+L30+SUM(M30:S30)</f>
        <v>26843.384403215554</v>
      </c>
      <c r="V30" s="20">
        <f t="shared" si="24"/>
        <v>1878.7707153049546</v>
      </c>
      <c r="W30" s="21">
        <f t="shared" si="24"/>
        <v>2311.3022138709539</v>
      </c>
      <c r="X30" s="21">
        <f t="shared" ref="X30:AA31" si="25">X2+X9+X16+X23</f>
        <v>2302.2095336319071</v>
      </c>
      <c r="Y30" s="21">
        <f t="shared" si="25"/>
        <v>2323.8378943501789</v>
      </c>
      <c r="Z30" s="21">
        <f t="shared" si="25"/>
        <v>2225.5690792726864</v>
      </c>
      <c r="AA30" s="21">
        <f t="shared" si="25"/>
        <v>747.60465379127163</v>
      </c>
      <c r="AB30" s="7">
        <f>+U30+SUM(V30:AA30)</f>
        <v>38632.67849343751</v>
      </c>
      <c r="AC30" s="21">
        <f>AC2+AC9+AC16+AC23</f>
        <v>1313.5972930588719</v>
      </c>
      <c r="AD30" s="21">
        <f t="shared" ref="AD30:AI31" si="26">AD2+AD9+AD16+AD23</f>
        <v>1953.1273929444342</v>
      </c>
      <c r="AE30" s="21">
        <f t="shared" si="26"/>
        <v>2327.4311891609332</v>
      </c>
      <c r="AF30" s="21">
        <f t="shared" si="26"/>
        <v>2345.7394922366175</v>
      </c>
      <c r="AG30" s="21">
        <f>AG2+AG9+AG16+AG23</f>
        <v>2513.1241999971744</v>
      </c>
      <c r="AH30" s="21">
        <f>AH2+AH9+AH16+AH23</f>
        <v>2527.6767070258966</v>
      </c>
      <c r="AI30" s="21">
        <f>AI2+AI9+AI16+AI23</f>
        <v>1093.3492321385679</v>
      </c>
      <c r="AJ30" s="7">
        <f>+AB30+SUM(AC30:AI30)</f>
        <v>52706.724000000002</v>
      </c>
      <c r="AK30" s="21">
        <f>+AJ33-AJ19</f>
        <v>46600</v>
      </c>
      <c r="AL30" s="287" t="s">
        <v>21</v>
      </c>
      <c r="AX30" s="186"/>
      <c r="AY30" s="186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 ht="12" customHeight="1" x14ac:dyDescent="0.2">
      <c r="A31" s="22" t="s">
        <v>20</v>
      </c>
      <c r="B31" s="10">
        <f>B3+B10+B17+B24</f>
        <v>1678.8589999999999</v>
      </c>
      <c r="C31" s="10">
        <f>C3+C10+C17+C24</f>
        <v>694.01</v>
      </c>
      <c r="D31" s="10">
        <f t="shared" si="21"/>
        <v>339.01</v>
      </c>
      <c r="E31" s="7">
        <f>+SUM(B31:D31)</f>
        <v>2711.8789999999999</v>
      </c>
      <c r="F31" s="10">
        <f t="shared" si="21"/>
        <v>1807.413</v>
      </c>
      <c r="G31" s="10">
        <f t="shared" si="21"/>
        <v>2045.5659999999998</v>
      </c>
      <c r="H31" s="10">
        <f t="shared" si="21"/>
        <v>2419.5340000000001</v>
      </c>
      <c r="I31" s="10">
        <f>I3+I10+I17+I24</f>
        <v>2250.819</v>
      </c>
      <c r="J31" s="10">
        <f>J3+J10+J17+J24</f>
        <v>2038.6210000000001</v>
      </c>
      <c r="K31" s="10">
        <f t="shared" si="22"/>
        <v>783.65000000000009</v>
      </c>
      <c r="L31" s="7">
        <f>+E31+SUM(F31:K31)</f>
        <v>14057.482</v>
      </c>
      <c r="M31" s="10">
        <f t="shared" si="22"/>
        <v>1166.1310000000001</v>
      </c>
      <c r="N31" s="10">
        <f t="shared" si="22"/>
        <v>2101.8789999999999</v>
      </c>
      <c r="O31" s="10">
        <f t="shared" si="22"/>
        <v>2232.0749999999998</v>
      </c>
      <c r="P31" s="10">
        <f t="shared" si="22"/>
        <v>2093.3559999999998</v>
      </c>
      <c r="Q31" s="10">
        <f t="shared" si="23"/>
        <v>2020.817</v>
      </c>
      <c r="R31" s="10">
        <f t="shared" si="23"/>
        <v>2155.2629999999999</v>
      </c>
      <c r="S31" s="10">
        <f t="shared" si="23"/>
        <v>829.27</v>
      </c>
      <c r="T31" s="10">
        <f t="shared" si="24"/>
        <v>426.98</v>
      </c>
      <c r="U31" s="7">
        <f>+L31+SUM(M31:T31)</f>
        <v>27083.253000000001</v>
      </c>
      <c r="V31" s="10">
        <f t="shared" si="24"/>
        <v>1602.7359999999999</v>
      </c>
      <c r="W31" s="10">
        <f t="shared" si="24"/>
        <v>2039.9089999999999</v>
      </c>
      <c r="X31" s="10">
        <f t="shared" si="25"/>
        <v>2421.4679999999998</v>
      </c>
      <c r="Y31" s="10">
        <f t="shared" si="25"/>
        <v>2153.7629999999999</v>
      </c>
      <c r="Z31" s="10">
        <f t="shared" si="25"/>
        <v>2179.3240000000001</v>
      </c>
      <c r="AA31" s="10">
        <f t="shared" si="25"/>
        <v>855.29</v>
      </c>
      <c r="AB31" s="7">
        <f>+U31+SUM(V31:AA31)</f>
        <v>38335.743000000002</v>
      </c>
      <c r="AC31" s="10">
        <f>AC3+AC10+AC17+AC24</f>
        <v>1064.78</v>
      </c>
      <c r="AD31" s="10">
        <f t="shared" si="26"/>
        <v>2077.2190000000001</v>
      </c>
      <c r="AE31" s="10">
        <f t="shared" si="26"/>
        <v>1909.095</v>
      </c>
      <c r="AF31" s="10">
        <f t="shared" si="26"/>
        <v>2196.7620000000002</v>
      </c>
      <c r="AG31" s="10">
        <f t="shared" si="26"/>
        <v>2104.136</v>
      </c>
      <c r="AH31" s="10">
        <f>AH3+AH10+AH17+AH24</f>
        <v>2303.7060000000001</v>
      </c>
      <c r="AI31" s="10">
        <f t="shared" si="26"/>
        <v>0</v>
      </c>
      <c r="AJ31" s="7">
        <f>+AB31+SUM(AC31:AI31)</f>
        <v>49991.441000000006</v>
      </c>
      <c r="AK31" s="21">
        <f>+AJ34-AJ20</f>
        <v>45181.031999999999</v>
      </c>
      <c r="AL31" s="285" t="s">
        <v>23</v>
      </c>
      <c r="AX31" s="186"/>
      <c r="AY31" s="186"/>
      <c r="AZ31" s="8"/>
      <c r="BA31" s="8"/>
      <c r="BB31" s="8"/>
      <c r="BC31" s="8"/>
      <c r="BD31" s="8"/>
      <c r="BE31" s="8"/>
      <c r="BF31" s="8"/>
      <c r="BG31" s="8"/>
      <c r="BH31" s="8"/>
      <c r="BI31" s="6"/>
      <c r="BJ31" s="8"/>
      <c r="BK31" s="8"/>
      <c r="BL31" s="8"/>
      <c r="BM31" s="8"/>
      <c r="BN31" s="8"/>
      <c r="BO31" s="8"/>
      <c r="BP31" s="8"/>
      <c r="BQ31" s="8"/>
      <c r="BR31" s="8"/>
    </row>
    <row r="32" spans="1:70" ht="12" customHeight="1" thickBot="1" x14ac:dyDescent="0.25">
      <c r="A32" s="23" t="s">
        <v>3</v>
      </c>
      <c r="B32" s="12">
        <f t="shared" ref="B32:H32" si="27">IFERROR(+B31/B30,0)</f>
        <v>1.1011399064963474</v>
      </c>
      <c r="C32" s="12">
        <f t="shared" si="27"/>
        <v>1.2087114381023691</v>
      </c>
      <c r="D32" s="12">
        <f t="shared" si="27"/>
        <v>0.73277685142035931</v>
      </c>
      <c r="E32" s="17">
        <f>IFERROR(+E31/E30,0)</f>
        <v>1.0587213046160533</v>
      </c>
      <c r="F32" s="12">
        <f t="shared" si="27"/>
        <v>1.0351386617804235</v>
      </c>
      <c r="G32" s="12">
        <f t="shared" si="27"/>
        <v>1.0050182541184955</v>
      </c>
      <c r="H32" s="12">
        <f t="shared" si="27"/>
        <v>1.0884906133030006</v>
      </c>
      <c r="I32" s="12">
        <f t="shared" ref="I32:AI32" si="28">IFERROR(+I31/I30,0)</f>
        <v>1.0346215771933622</v>
      </c>
      <c r="J32" s="12">
        <f t="shared" si="28"/>
        <v>0.91244617345896539</v>
      </c>
      <c r="K32" s="12">
        <f t="shared" si="28"/>
        <v>1.0748795483483335</v>
      </c>
      <c r="L32" s="17">
        <f>IFERROR(+L31/L30,0)</f>
        <v>1.0257561612576622</v>
      </c>
      <c r="M32" s="12">
        <f t="shared" si="28"/>
        <v>0.93546591565248871</v>
      </c>
      <c r="N32" s="12">
        <f t="shared" si="28"/>
        <v>1.0416629295082716</v>
      </c>
      <c r="O32" s="12">
        <f t="shared" si="28"/>
        <v>1.0039469397727345</v>
      </c>
      <c r="P32" s="12">
        <f t="shared" si="28"/>
        <v>0.92879401142884588</v>
      </c>
      <c r="Q32" s="12">
        <f t="shared" si="28"/>
        <v>0.85824539619404894</v>
      </c>
      <c r="R32" s="12">
        <f t="shared" si="28"/>
        <v>0.93737327144316507</v>
      </c>
      <c r="S32" s="12">
        <f t="shared" si="28"/>
        <v>1.1153642673958852</v>
      </c>
      <c r="T32" s="12">
        <f t="shared" si="28"/>
        <v>0.79660447761194031</v>
      </c>
      <c r="U32" s="17">
        <f>IFERROR(+U31/U30,0)</f>
        <v>1.0089358552253087</v>
      </c>
      <c r="V32" s="12">
        <f t="shared" si="28"/>
        <v>0.85307695449141074</v>
      </c>
      <c r="W32" s="12">
        <f t="shared" si="28"/>
        <v>0.88257995330847439</v>
      </c>
      <c r="X32" s="12">
        <f t="shared" si="28"/>
        <v>1.051801742902156</v>
      </c>
      <c r="Y32" s="12">
        <f t="shared" si="28"/>
        <v>0.92681292668319382</v>
      </c>
      <c r="Z32" s="12">
        <f t="shared" si="28"/>
        <v>0.97922100926752664</v>
      </c>
      <c r="AA32" s="12">
        <f t="shared" si="28"/>
        <v>1.1440404974241822</v>
      </c>
      <c r="AB32" s="17">
        <f>IFERROR(+AB31/AB30,0)</f>
        <v>0.99231387765443324</v>
      </c>
      <c r="AC32" s="12">
        <f t="shared" si="28"/>
        <v>0.81058327816779341</v>
      </c>
      <c r="AD32" s="12">
        <f t="shared" si="28"/>
        <v>1.0635348249703731</v>
      </c>
      <c r="AE32" s="12">
        <f t="shared" si="28"/>
        <v>0.82025840716186826</v>
      </c>
      <c r="AF32" s="12">
        <f t="shared" si="28"/>
        <v>0.93649018029083442</v>
      </c>
      <c r="AG32" s="12">
        <f t="shared" si="28"/>
        <v>0.83725905787002719</v>
      </c>
      <c r="AH32" s="12">
        <f t="shared" si="28"/>
        <v>0.91139266093509885</v>
      </c>
      <c r="AI32" s="12">
        <f t="shared" si="28"/>
        <v>0</v>
      </c>
      <c r="AJ32" s="17">
        <f>IFERROR(+AJ31/AJ30,0)</f>
        <v>0.94848317645391889</v>
      </c>
      <c r="AK32" s="21">
        <f>+AK31-AK30</f>
        <v>-1418.9680000000008</v>
      </c>
      <c r="AL32" s="286" t="s">
        <v>25</v>
      </c>
      <c r="AX32" s="186"/>
      <c r="AY32" s="186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</row>
    <row r="33" spans="1:70" ht="12" customHeight="1" x14ac:dyDescent="0.2">
      <c r="A33" s="19" t="s">
        <v>19</v>
      </c>
      <c r="B33" s="20">
        <f>B5+B12+B19+B26</f>
        <v>1950</v>
      </c>
      <c r="C33" s="20">
        <f>C5+C12+C19+C26</f>
        <v>900</v>
      </c>
      <c r="D33" s="20">
        <f t="shared" ref="D33:J33" si="29">D5+D12+D19+D26</f>
        <v>0</v>
      </c>
      <c r="E33" s="7">
        <f>+SUM(B33:D33)</f>
        <v>2850</v>
      </c>
      <c r="F33" s="20">
        <f t="shared" si="29"/>
        <v>1400</v>
      </c>
      <c r="G33" s="20">
        <f t="shared" si="29"/>
        <v>1940</v>
      </c>
      <c r="H33" s="20">
        <f t="shared" si="29"/>
        <v>1940</v>
      </c>
      <c r="I33" s="20">
        <f t="shared" si="29"/>
        <v>1940</v>
      </c>
      <c r="J33" s="20">
        <f t="shared" si="29"/>
        <v>1940</v>
      </c>
      <c r="K33" s="20">
        <f t="shared" ref="K33:R33" si="30">K5+K12+K19+K26</f>
        <v>1100</v>
      </c>
      <c r="L33" s="7">
        <f>+E33+SUM(F33:K33)</f>
        <v>13110</v>
      </c>
      <c r="M33" s="20">
        <f t="shared" si="30"/>
        <v>1400</v>
      </c>
      <c r="N33" s="20">
        <f t="shared" si="30"/>
        <v>1820</v>
      </c>
      <c r="O33" s="20">
        <f t="shared" si="30"/>
        <v>1920</v>
      </c>
      <c r="P33" s="20">
        <f t="shared" si="30"/>
        <v>2120</v>
      </c>
      <c r="Q33" s="20">
        <f t="shared" si="30"/>
        <v>2270</v>
      </c>
      <c r="R33" s="20">
        <f t="shared" si="30"/>
        <v>2370</v>
      </c>
      <c r="S33" s="20">
        <f>S5+S12+S19+S26</f>
        <v>1690</v>
      </c>
      <c r="T33" s="20">
        <f t="shared" ref="T33:AA33" si="31">T5+T12+T19+T26</f>
        <v>700</v>
      </c>
      <c r="U33" s="7">
        <f>+L33+SUM(M33:T33)</f>
        <v>27400</v>
      </c>
      <c r="V33" s="20">
        <f t="shared" si="31"/>
        <v>1500</v>
      </c>
      <c r="W33" s="20">
        <f t="shared" si="31"/>
        <v>2300</v>
      </c>
      <c r="X33" s="20">
        <f t="shared" si="31"/>
        <v>2300</v>
      </c>
      <c r="Y33" s="20">
        <f t="shared" si="31"/>
        <v>2350</v>
      </c>
      <c r="Z33" s="20">
        <f t="shared" si="31"/>
        <v>2350</v>
      </c>
      <c r="AA33" s="20">
        <f t="shared" si="31"/>
        <v>850</v>
      </c>
      <c r="AB33" s="7">
        <f>+U33+SUM(V33:AA33)</f>
        <v>39050</v>
      </c>
      <c r="AC33" s="20">
        <f t="shared" ref="AC33:AI33" si="32">AC5+AC12+AC19+AC26</f>
        <v>1000</v>
      </c>
      <c r="AD33" s="20">
        <f t="shared" si="32"/>
        <v>2250</v>
      </c>
      <c r="AE33" s="20">
        <f t="shared" si="32"/>
        <v>2250</v>
      </c>
      <c r="AF33" s="20">
        <f t="shared" si="32"/>
        <v>2270</v>
      </c>
      <c r="AG33" s="20">
        <f t="shared" si="32"/>
        <v>2270</v>
      </c>
      <c r="AH33" s="20">
        <f t="shared" si="32"/>
        <v>2300</v>
      </c>
      <c r="AI33" s="20">
        <f t="shared" si="32"/>
        <v>1750</v>
      </c>
      <c r="AJ33" s="7">
        <f>+AB33+SUM(AC33:AI33)</f>
        <v>53140</v>
      </c>
      <c r="AK33" s="21">
        <f>+AJ5+AJ12+AJ19+AJ26</f>
        <v>53140</v>
      </c>
      <c r="AL33" s="186"/>
      <c r="AY33" s="186"/>
      <c r="AZ33" s="186"/>
      <c r="BA33" s="186"/>
      <c r="BB33" s="185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</row>
    <row r="34" spans="1:70" ht="12" customHeight="1" x14ac:dyDescent="0.2">
      <c r="A34" s="22" t="s">
        <v>22</v>
      </c>
      <c r="B34" s="6">
        <f>+B27+B13+B20+B6</f>
        <v>2177.9070000000002</v>
      </c>
      <c r="C34" s="6">
        <f>+C27+C13+C20+C6</f>
        <v>1310.8440000000001</v>
      </c>
      <c r="D34" s="6">
        <f t="shared" ref="D34:J34" si="33">+D27+D13+D20+D6</f>
        <v>285</v>
      </c>
      <c r="E34" s="7">
        <f>+SUM(B34:D34)</f>
        <v>3773.7510000000002</v>
      </c>
      <c r="F34" s="6">
        <f t="shared" si="33"/>
        <v>1511</v>
      </c>
      <c r="G34" s="6">
        <f t="shared" si="33"/>
        <v>1881.45</v>
      </c>
      <c r="H34" s="6">
        <f t="shared" si="33"/>
        <v>1978.5700000000002</v>
      </c>
      <c r="I34" s="6">
        <f t="shared" si="33"/>
        <v>1884.0639999999999</v>
      </c>
      <c r="J34" s="6">
        <f t="shared" si="33"/>
        <v>1934.242</v>
      </c>
      <c r="K34" s="6">
        <f t="shared" ref="K34:R34" si="34">+K27+K13+K20+K6</f>
        <v>1525.598</v>
      </c>
      <c r="L34" s="7">
        <f>+E34+SUM(F34:K34)</f>
        <v>14488.675000000001</v>
      </c>
      <c r="M34" s="6">
        <f t="shared" si="34"/>
        <v>1301.4829999999999</v>
      </c>
      <c r="N34" s="6">
        <f t="shared" si="34"/>
        <v>1473.8220000000001</v>
      </c>
      <c r="O34" s="6">
        <f t="shared" si="34"/>
        <v>1969.0900000000001</v>
      </c>
      <c r="P34" s="6">
        <f t="shared" si="34"/>
        <v>1312.71</v>
      </c>
      <c r="Q34" s="6">
        <f t="shared" si="34"/>
        <v>2264.3159999999998</v>
      </c>
      <c r="R34" s="6">
        <f t="shared" si="34"/>
        <v>2278.2379999999998</v>
      </c>
      <c r="S34" s="6">
        <f>+S27+S13+S20+S6</f>
        <v>1660.056</v>
      </c>
      <c r="T34" s="6">
        <f t="shared" ref="T34:AA34" si="35">+T27+T13+T20+T6</f>
        <v>341.97199999999998</v>
      </c>
      <c r="U34" s="7">
        <f>+L34+SUM(M34:T34)</f>
        <v>27090.362000000001</v>
      </c>
      <c r="V34" s="6">
        <f t="shared" si="35"/>
        <v>1426.6489999999999</v>
      </c>
      <c r="W34" s="6">
        <f t="shared" si="35"/>
        <v>2168.0740000000001</v>
      </c>
      <c r="X34" s="6">
        <f t="shared" si="35"/>
        <v>2199.42</v>
      </c>
      <c r="Y34" s="6">
        <f t="shared" si="35"/>
        <v>2218.1170000000002</v>
      </c>
      <c r="Z34" s="6">
        <f t="shared" si="35"/>
        <v>2276.27</v>
      </c>
      <c r="AA34" s="6">
        <f t="shared" si="35"/>
        <v>1330.8110000000001</v>
      </c>
      <c r="AB34" s="7">
        <f>+U34+SUM(V34:AA34)</f>
        <v>38709.703000000001</v>
      </c>
      <c r="AC34" s="6">
        <f>+AC27+AC13+AC20+AC6</f>
        <v>441.55500000000001</v>
      </c>
      <c r="AD34" s="6">
        <f t="shared" ref="AD34:AI34" si="36">+AD27+AD13+AD20+AD6</f>
        <v>1982.1669999999999</v>
      </c>
      <c r="AE34" s="6">
        <f t="shared" si="36"/>
        <v>2213.21</v>
      </c>
      <c r="AF34" s="6">
        <f t="shared" si="36"/>
        <v>2166</v>
      </c>
      <c r="AG34" s="6">
        <f t="shared" si="36"/>
        <v>2130.2619999999997</v>
      </c>
      <c r="AH34" s="6">
        <f t="shared" si="36"/>
        <v>2280.346</v>
      </c>
      <c r="AI34" s="6">
        <f t="shared" si="36"/>
        <v>1778.289</v>
      </c>
      <c r="AJ34" s="7">
        <f>+AB34+SUM(AC34:AI34)</f>
        <v>51701.531999999999</v>
      </c>
      <c r="AK34" s="21">
        <f>+AJ6+AJ13+AJ20+AJ27</f>
        <v>51701.532000000007</v>
      </c>
      <c r="AL34" s="186"/>
      <c r="AR34" s="21"/>
      <c r="AY34" s="186"/>
      <c r="AZ34" s="186"/>
      <c r="BA34" s="186"/>
      <c r="BB34" s="24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</row>
    <row r="35" spans="1:70" ht="12" customHeight="1" x14ac:dyDescent="0.2">
      <c r="A35" s="22" t="s">
        <v>24</v>
      </c>
      <c r="B35" s="10">
        <f>B7+B14+B21+B28</f>
        <v>490.89400000000001</v>
      </c>
      <c r="C35" s="10">
        <f>C7+C14+C21+C28</f>
        <v>340.42899999999997</v>
      </c>
      <c r="D35" s="10">
        <f t="shared" ref="D35:J35" si="37">D7+D14+D21+D28</f>
        <v>69.942999999999998</v>
      </c>
      <c r="E35" s="7">
        <f>+SUM(B35:D35)</f>
        <v>901.26599999999996</v>
      </c>
      <c r="F35" s="10">
        <f t="shared" si="37"/>
        <v>337.95600000000002</v>
      </c>
      <c r="G35" s="10">
        <f t="shared" si="37"/>
        <v>430.31799999999998</v>
      </c>
      <c r="H35" s="10">
        <f t="shared" si="37"/>
        <v>433.03</v>
      </c>
      <c r="I35" s="10">
        <f t="shared" si="37"/>
        <v>411.11</v>
      </c>
      <c r="J35" s="10">
        <f t="shared" si="37"/>
        <v>447.37400000000002</v>
      </c>
      <c r="K35" s="10">
        <f t="shared" ref="K35:R35" si="38">K7+K14+K21+K28</f>
        <v>342.18</v>
      </c>
      <c r="L35" s="7">
        <f>+E35+SUM(F35:K35)</f>
        <v>3303.2340000000004</v>
      </c>
      <c r="M35" s="10">
        <f t="shared" si="38"/>
        <v>308.18100000000004</v>
      </c>
      <c r="N35" s="10">
        <f t="shared" si="38"/>
        <v>349.80899999999997</v>
      </c>
      <c r="O35" s="10">
        <f t="shared" si="38"/>
        <v>430.77699999999999</v>
      </c>
      <c r="P35" s="10">
        <f t="shared" si="38"/>
        <v>307.27600000000001</v>
      </c>
      <c r="Q35" s="10">
        <f t="shared" si="38"/>
        <v>463.30100000000004</v>
      </c>
      <c r="R35" s="10">
        <f t="shared" si="38"/>
        <v>505.24</v>
      </c>
      <c r="S35" s="10">
        <f>S7+S14+S21+S28</f>
        <v>388.25200000000001</v>
      </c>
      <c r="T35" s="10">
        <f t="shared" ref="T35:AA35" si="39">T7+T14+T21+T28</f>
        <v>93.524000000000001</v>
      </c>
      <c r="U35" s="7">
        <f>+L35+SUM(M35:T35)</f>
        <v>6149.5940000000001</v>
      </c>
      <c r="V35" s="10">
        <f t="shared" si="39"/>
        <v>309.87299999999999</v>
      </c>
      <c r="W35" s="10">
        <f t="shared" si="39"/>
        <v>504.39699999999993</v>
      </c>
      <c r="X35" s="10">
        <f t="shared" si="39"/>
        <v>486.21100000000001</v>
      </c>
      <c r="Y35" s="10">
        <f t="shared" si="39"/>
        <v>492.40600000000001</v>
      </c>
      <c r="Z35" s="10">
        <f t="shared" si="39"/>
        <v>491.72</v>
      </c>
      <c r="AA35" s="10">
        <f t="shared" si="39"/>
        <v>289.649</v>
      </c>
      <c r="AB35" s="7">
        <f>+U35+SUM(V35:AA35)</f>
        <v>8723.85</v>
      </c>
      <c r="AC35" s="10">
        <f>AC7+AC14+AC21+AC28</f>
        <v>99.754999999999995</v>
      </c>
      <c r="AD35" s="10">
        <f t="shared" ref="AD35:AI35" si="40">AD7+AD14+AD21+AD28</f>
        <v>397.41300000000001</v>
      </c>
      <c r="AE35" s="10">
        <f t="shared" si="40"/>
        <v>498.45000000000005</v>
      </c>
      <c r="AF35" s="10">
        <f t="shared" si="40"/>
        <v>481.74899999999997</v>
      </c>
      <c r="AG35" s="10">
        <f t="shared" si="40"/>
        <v>484.66900000000004</v>
      </c>
      <c r="AH35" s="10">
        <f t="shared" si="40"/>
        <v>499.34299999999996</v>
      </c>
      <c r="AI35" s="10">
        <f t="shared" si="40"/>
        <v>375.89599999999996</v>
      </c>
      <c r="AJ35" s="7">
        <f>+AB35+SUM(AC35:AI35)</f>
        <v>11561.125</v>
      </c>
      <c r="AK35" s="21">
        <f>+AJ7+AJ14+AJ21+AJ28</f>
        <v>11561.125</v>
      </c>
      <c r="AL35" s="186"/>
      <c r="AR35" s="21"/>
      <c r="AY35" s="186"/>
      <c r="AZ35" s="186"/>
      <c r="BA35" s="186"/>
      <c r="BB35" s="24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</row>
    <row r="36" spans="1:70" ht="12" customHeight="1" thickBot="1" x14ac:dyDescent="0.25">
      <c r="A36" s="23" t="s">
        <v>26</v>
      </c>
      <c r="B36" s="14">
        <f t="shared" ref="B36:H36" si="41">IFERROR(+B35/B34,0)</f>
        <v>0.22539713587402951</v>
      </c>
      <c r="C36" s="14">
        <f t="shared" si="41"/>
        <v>0.25970214609823894</v>
      </c>
      <c r="D36" s="14">
        <f t="shared" si="41"/>
        <v>0.24541403508771928</v>
      </c>
      <c r="E36" s="15">
        <f>IFERROR(+E35/E34,0)</f>
        <v>0.23882497811858808</v>
      </c>
      <c r="F36" s="14">
        <f t="shared" si="41"/>
        <v>0.22366379880873594</v>
      </c>
      <c r="G36" s="14">
        <f t="shared" si="41"/>
        <v>0.22871614977809668</v>
      </c>
      <c r="H36" s="14">
        <f t="shared" si="41"/>
        <v>0.21886008581955652</v>
      </c>
      <c r="I36" s="14">
        <f t="shared" ref="I36:AI36" si="42">IFERROR(+I35/I34,0)</f>
        <v>0.21820384020924982</v>
      </c>
      <c r="J36" s="14">
        <f t="shared" si="42"/>
        <v>0.23129163775784004</v>
      </c>
      <c r="K36" s="14">
        <f t="shared" si="42"/>
        <v>0.2242923758421288</v>
      </c>
      <c r="L36" s="15">
        <f>IFERROR(+L35/L34,0)</f>
        <v>0.22798730732796479</v>
      </c>
      <c r="M36" s="14">
        <f t="shared" si="42"/>
        <v>0.23679218245647468</v>
      </c>
      <c r="N36" s="14">
        <f t="shared" si="42"/>
        <v>0.23734820080036798</v>
      </c>
      <c r="O36" s="14">
        <f t="shared" si="42"/>
        <v>0.21876958391947546</v>
      </c>
      <c r="P36" s="14">
        <f t="shared" si="42"/>
        <v>0.23407759520381502</v>
      </c>
      <c r="Q36" s="14">
        <f t="shared" si="42"/>
        <v>0.20460969228676568</v>
      </c>
      <c r="R36" s="14">
        <f t="shared" si="42"/>
        <v>0.22176787499813455</v>
      </c>
      <c r="S36" s="14">
        <f t="shared" si="42"/>
        <v>0.23387885709879666</v>
      </c>
      <c r="T36" s="14">
        <f t="shared" si="42"/>
        <v>0.27348437883803356</v>
      </c>
      <c r="U36" s="15">
        <f>IFERROR(+U35/U34,0)</f>
        <v>0.22700302048381635</v>
      </c>
      <c r="V36" s="14">
        <f t="shared" si="42"/>
        <v>0.21720339060273411</v>
      </c>
      <c r="W36" s="14">
        <f t="shared" si="42"/>
        <v>0.23264750188416075</v>
      </c>
      <c r="X36" s="14">
        <f t="shared" si="42"/>
        <v>0.22106328031935693</v>
      </c>
      <c r="Y36" s="14">
        <f t="shared" si="42"/>
        <v>0.22199279839611705</v>
      </c>
      <c r="Z36" s="14">
        <f t="shared" si="42"/>
        <v>0.21602006791812922</v>
      </c>
      <c r="AA36" s="14">
        <f t="shared" si="42"/>
        <v>0.21764848652438248</v>
      </c>
      <c r="AB36" s="15">
        <f>IFERROR(+AB35/AB34,0)</f>
        <v>0.22536597607065081</v>
      </c>
      <c r="AC36" s="14">
        <f t="shared" si="42"/>
        <v>0.22591749612166093</v>
      </c>
      <c r="AD36" s="14">
        <f t="shared" si="42"/>
        <v>0.20049420659308728</v>
      </c>
      <c r="AE36" s="14">
        <f t="shared" si="42"/>
        <v>0.22521586293212123</v>
      </c>
      <c r="AF36" s="14">
        <f t="shared" si="42"/>
        <v>0.22241412742382269</v>
      </c>
      <c r="AG36" s="14">
        <f t="shared" si="42"/>
        <v>0.22751614590130234</v>
      </c>
      <c r="AH36" s="14">
        <f t="shared" si="42"/>
        <v>0.21897685702082051</v>
      </c>
      <c r="AI36" s="14">
        <f t="shared" si="42"/>
        <v>0.21138071483319076</v>
      </c>
      <c r="AJ36" s="15">
        <f>IFERROR(+AJ35/AJ34,0)</f>
        <v>0.22361281286597079</v>
      </c>
      <c r="AP36" s="186"/>
      <c r="AQ36" s="186"/>
      <c r="AR36" s="21"/>
      <c r="AX36" s="186"/>
      <c r="AY36" s="186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</row>
    <row r="37" spans="1:70" ht="12" customHeight="1" thickBot="1" x14ac:dyDescent="0.25">
      <c r="A37" s="25" t="s">
        <v>27</v>
      </c>
      <c r="B37" s="26">
        <f t="shared" ref="B37:H37" si="43">+B26*$A$42+B12*$A$41+B19*$A$43+B5*$A$40</f>
        <v>432.45</v>
      </c>
      <c r="C37" s="27">
        <f t="shared" si="43"/>
        <v>197.75</v>
      </c>
      <c r="D37" s="27">
        <f t="shared" si="43"/>
        <v>0</v>
      </c>
      <c r="E37" s="28">
        <f>+E26*$A$42+E12*$A$41+E19*$A$43+E5*$A$40</f>
        <v>630.20000000000005</v>
      </c>
      <c r="F37" s="27">
        <f t="shared" si="43"/>
        <v>318.39999999999998</v>
      </c>
      <c r="G37" s="27">
        <f t="shared" si="43"/>
        <v>435.6</v>
      </c>
      <c r="H37" s="27">
        <f t="shared" si="43"/>
        <v>435.6</v>
      </c>
      <c r="I37" s="27">
        <f t="shared" ref="I37:AI37" si="44">+I26*$A$42+I12*$A$41+I19*$A$43+I5*$A$40</f>
        <v>435.6</v>
      </c>
      <c r="J37" s="28">
        <f t="shared" si="44"/>
        <v>435.6</v>
      </c>
      <c r="K37" s="27">
        <f t="shared" si="44"/>
        <v>243.3</v>
      </c>
      <c r="L37" s="28">
        <f>+L26*$A$42+L12*$A$41+L19*$A$43+L5*$A$40</f>
        <v>2934.3</v>
      </c>
      <c r="M37" s="27">
        <f t="shared" si="44"/>
        <v>310.8</v>
      </c>
      <c r="N37" s="27">
        <f t="shared" si="44"/>
        <v>407.70000000000005</v>
      </c>
      <c r="O37" s="27">
        <f t="shared" si="44"/>
        <v>431.2</v>
      </c>
      <c r="P37" s="27">
        <f t="shared" si="44"/>
        <v>468.8</v>
      </c>
      <c r="Q37" s="27">
        <f t="shared" si="44"/>
        <v>497.00000000000006</v>
      </c>
      <c r="R37" s="27">
        <f t="shared" si="44"/>
        <v>520.5</v>
      </c>
      <c r="S37" s="27">
        <f t="shared" si="44"/>
        <v>363.40000000000003</v>
      </c>
      <c r="T37" s="27">
        <f t="shared" si="44"/>
        <v>158.80000000000001</v>
      </c>
      <c r="U37" s="28">
        <f>+U26*$A$42+U12*$A$41+U19*$A$43+U5*$A$40</f>
        <v>6092.5</v>
      </c>
      <c r="V37" s="27">
        <f t="shared" si="44"/>
        <v>329.3</v>
      </c>
      <c r="W37" s="27">
        <f t="shared" si="44"/>
        <v>506.7</v>
      </c>
      <c r="X37" s="27">
        <f t="shared" si="44"/>
        <v>506.7</v>
      </c>
      <c r="Y37" s="27">
        <f t="shared" si="44"/>
        <v>516.1</v>
      </c>
      <c r="Z37" s="27">
        <f t="shared" si="44"/>
        <v>516.1</v>
      </c>
      <c r="AA37" s="27">
        <f t="shared" si="44"/>
        <v>189.3</v>
      </c>
      <c r="AB37" s="28">
        <f>+AB26*$A$42+AB12*$A$41+AB19*$A$43+AB5*$A$40</f>
        <v>8656.7000000000007</v>
      </c>
      <c r="AC37" s="27">
        <f t="shared" si="44"/>
        <v>221.20000000000002</v>
      </c>
      <c r="AD37" s="27">
        <f t="shared" si="44"/>
        <v>495.7</v>
      </c>
      <c r="AE37" s="27">
        <f t="shared" si="44"/>
        <v>495.7</v>
      </c>
      <c r="AF37" s="27">
        <f t="shared" si="44"/>
        <v>500.09999999999997</v>
      </c>
      <c r="AG37" s="27">
        <f t="shared" si="44"/>
        <v>500.09999999999997</v>
      </c>
      <c r="AH37" s="27">
        <f t="shared" si="44"/>
        <v>506.7</v>
      </c>
      <c r="AI37" s="27">
        <f t="shared" si="44"/>
        <v>384.3</v>
      </c>
      <c r="AJ37" s="28">
        <f>+AJ26*$A$42+AJ12*$A$41+AJ19*$A$43+AJ5*$A$40</f>
        <v>11760.5</v>
      </c>
      <c r="AP37" s="186"/>
      <c r="AQ37" s="186"/>
      <c r="AX37" s="186"/>
      <c r="AY37" s="186"/>
      <c r="AZ37" s="8"/>
      <c r="BA37" s="8"/>
      <c r="BB37" s="8"/>
      <c r="BC37" s="8"/>
      <c r="BD37" s="8"/>
      <c r="BE37" s="8"/>
      <c r="BF37" s="8"/>
      <c r="BG37" s="8"/>
      <c r="BH37" s="8"/>
      <c r="BI37" s="6"/>
      <c r="BJ37" s="8"/>
      <c r="BK37" s="8"/>
      <c r="BL37" s="8"/>
      <c r="BM37" s="8"/>
      <c r="BN37" s="8"/>
      <c r="BO37" s="8"/>
      <c r="BP37" s="8"/>
      <c r="BQ37" s="8"/>
      <c r="BR37" s="8"/>
    </row>
    <row r="38" spans="1:70" ht="15.75" customHeight="1" thickBot="1" x14ac:dyDescent="0.25">
      <c r="A38" s="8"/>
      <c r="B38" s="29"/>
      <c r="C38" s="30" t="s">
        <v>28</v>
      </c>
      <c r="D38" s="31" t="s">
        <v>29</v>
      </c>
      <c r="E38" s="32" t="s">
        <v>30</v>
      </c>
      <c r="F38" s="29" t="s">
        <v>31</v>
      </c>
      <c r="G38" s="29" t="s">
        <v>32</v>
      </c>
      <c r="J38" s="33" t="s">
        <v>28</v>
      </c>
      <c r="K38" s="31" t="s">
        <v>29</v>
      </c>
      <c r="L38" s="32" t="s">
        <v>30</v>
      </c>
      <c r="M38" s="29" t="s">
        <v>31</v>
      </c>
      <c r="N38" s="29" t="s">
        <v>32</v>
      </c>
      <c r="S38" s="30" t="s">
        <v>28</v>
      </c>
      <c r="T38" s="31" t="s">
        <v>29</v>
      </c>
      <c r="U38" s="32" t="s">
        <v>30</v>
      </c>
      <c r="V38" s="29" t="s">
        <v>31</v>
      </c>
      <c r="W38" s="29" t="s">
        <v>32</v>
      </c>
      <c r="Z38" s="30" t="s">
        <v>28</v>
      </c>
      <c r="AA38" s="31" t="s">
        <v>29</v>
      </c>
      <c r="AB38" s="32" t="s">
        <v>30</v>
      </c>
      <c r="AC38" s="29" t="s">
        <v>31</v>
      </c>
      <c r="AD38" s="29" t="s">
        <v>32</v>
      </c>
      <c r="AH38" s="415" t="s">
        <v>28</v>
      </c>
      <c r="AI38" s="414" t="s">
        <v>29</v>
      </c>
      <c r="AJ38" s="32" t="s">
        <v>30</v>
      </c>
      <c r="AK38" s="29" t="s">
        <v>31</v>
      </c>
      <c r="AL38" s="29" t="s">
        <v>32</v>
      </c>
      <c r="BP38" s="186"/>
    </row>
    <row r="39" spans="1:70" ht="15" customHeight="1" x14ac:dyDescent="0.2">
      <c r="A39" s="29" t="s">
        <v>33</v>
      </c>
      <c r="B39" s="34"/>
      <c r="C39" s="35" t="s">
        <v>34</v>
      </c>
      <c r="D39" s="36">
        <f>+(SUM($E5))*$A$40</f>
        <v>291.60000000000002</v>
      </c>
      <c r="E39" s="37">
        <f>E7</f>
        <v>323.61200000000002</v>
      </c>
      <c r="F39" s="34">
        <f>+E39/D39</f>
        <v>1.1097805212620027</v>
      </c>
      <c r="G39" s="6">
        <f>+E39-D39</f>
        <v>32.012</v>
      </c>
      <c r="J39" s="35" t="s">
        <v>34</v>
      </c>
      <c r="K39" s="36">
        <f>(L5)*$A$40</f>
        <v>1242</v>
      </c>
      <c r="L39" s="37">
        <f>L7</f>
        <v>1239.54</v>
      </c>
      <c r="M39" s="34">
        <f>+L39/K39</f>
        <v>0.99801932367149759</v>
      </c>
      <c r="N39" s="6">
        <f>+L39-K39</f>
        <v>-2.4600000000000364</v>
      </c>
      <c r="S39" s="35" t="s">
        <v>34</v>
      </c>
      <c r="T39" s="36">
        <f>(U5)*$A$40</f>
        <v>2516.4</v>
      </c>
      <c r="U39" s="37">
        <f>U7</f>
        <v>2240.5279999999998</v>
      </c>
      <c r="V39" s="34">
        <f>+U39/T39</f>
        <v>0.89037037037037026</v>
      </c>
      <c r="W39" s="6">
        <f>+U39-T39</f>
        <v>-275.8720000000003</v>
      </c>
      <c r="Z39" s="35" t="s">
        <v>34</v>
      </c>
      <c r="AA39" s="36">
        <f>+AB5*$A$40</f>
        <v>3412.8</v>
      </c>
      <c r="AB39" s="37">
        <f>AB7</f>
        <v>3155.8599999999997</v>
      </c>
      <c r="AC39" s="34">
        <f>+AB39/AA39</f>
        <v>0.9247128457571494</v>
      </c>
      <c r="AD39" s="6">
        <f>+AB39-AA39</f>
        <v>-256.94000000000051</v>
      </c>
      <c r="AH39" s="189" t="s">
        <v>34</v>
      </c>
      <c r="AI39" s="36">
        <f>+AJ5*$A$40</f>
        <v>4536</v>
      </c>
      <c r="AJ39" s="37">
        <f>AJ7</f>
        <v>4194.884</v>
      </c>
      <c r="AK39" s="34">
        <f>+AJ39/AI39</f>
        <v>0.92479805996472664</v>
      </c>
      <c r="AL39" s="6">
        <f>+AJ39-AI39</f>
        <v>-341.11599999999999</v>
      </c>
      <c r="BP39" s="186"/>
    </row>
    <row r="40" spans="1:70" ht="15" customHeight="1" x14ac:dyDescent="0.2">
      <c r="A40" s="72">
        <v>0.216</v>
      </c>
      <c r="B40" s="29" t="s">
        <v>34</v>
      </c>
      <c r="C40" s="38" t="s">
        <v>35</v>
      </c>
      <c r="D40" s="39">
        <f>+(SUM($E12))*$A$41</f>
        <v>37.6</v>
      </c>
      <c r="E40" s="40">
        <f>E14</f>
        <v>57.125999999999998</v>
      </c>
      <c r="F40" s="34">
        <f>+E40/D40</f>
        <v>1.5193085106382977</v>
      </c>
      <c r="G40" s="6">
        <f>+E40-D40</f>
        <v>19.525999999999996</v>
      </c>
      <c r="J40" s="38" t="s">
        <v>35</v>
      </c>
      <c r="K40" s="39">
        <f>(L12)*$A$41</f>
        <v>37.6</v>
      </c>
      <c r="L40" s="40">
        <f>L14</f>
        <v>57.125999999999998</v>
      </c>
      <c r="M40" s="34">
        <f>+L40/K40</f>
        <v>1.5193085106382977</v>
      </c>
      <c r="N40" s="6">
        <f>+L40-K40</f>
        <v>19.525999999999996</v>
      </c>
      <c r="S40" s="38" t="s">
        <v>35</v>
      </c>
      <c r="T40" s="39">
        <f>+(U12)*$A$41</f>
        <v>272.60000000000002</v>
      </c>
      <c r="U40" s="40">
        <f>U14</f>
        <v>301.84300000000002</v>
      </c>
      <c r="V40" s="34">
        <f>+U40/T40</f>
        <v>1.1072743947175347</v>
      </c>
      <c r="W40" s="6">
        <f>+U40-T40</f>
        <v>29.242999999999995</v>
      </c>
      <c r="Z40" s="38" t="s">
        <v>35</v>
      </c>
      <c r="AA40" s="39">
        <f>+AB12*$A$41</f>
        <v>573.4</v>
      </c>
      <c r="AB40" s="40">
        <f>AB14</f>
        <v>547.87900000000002</v>
      </c>
      <c r="AC40" s="34">
        <f>+AB40/AA40</f>
        <v>0.95549180327868855</v>
      </c>
      <c r="AD40" s="6">
        <f>+AB40-AA40</f>
        <v>-25.520999999999958</v>
      </c>
      <c r="AH40" s="190" t="s">
        <v>35</v>
      </c>
      <c r="AI40" s="39">
        <f>+AJ12*$A$41</f>
        <v>921.2</v>
      </c>
      <c r="AJ40" s="40">
        <f>AJ14</f>
        <v>872.13099999999997</v>
      </c>
      <c r="AK40" s="34">
        <f>+AJ40/AI40</f>
        <v>0.94673360833695175</v>
      </c>
      <c r="AL40" s="6">
        <f>+AJ40-AI40</f>
        <v>-49.069000000000074</v>
      </c>
      <c r="BP40" s="186"/>
    </row>
    <row r="41" spans="1:70" ht="15" customHeight="1" x14ac:dyDescent="0.2">
      <c r="A41" s="72">
        <v>0.188</v>
      </c>
      <c r="B41" s="29" t="s">
        <v>35</v>
      </c>
      <c r="C41" s="38" t="s">
        <v>36</v>
      </c>
      <c r="D41" s="39">
        <f>+(SUM($E26))*$A$42</f>
        <v>235</v>
      </c>
      <c r="E41" s="40">
        <f>E28</f>
        <v>440.80500000000001</v>
      </c>
      <c r="F41" s="34">
        <f>+E41/D41</f>
        <v>1.8757659574468086</v>
      </c>
      <c r="G41" s="6">
        <f>+E41-D41</f>
        <v>205.80500000000001</v>
      </c>
      <c r="J41" s="38" t="s">
        <v>36</v>
      </c>
      <c r="K41" s="39">
        <f>(L26)*$A$42</f>
        <v>1245.5</v>
      </c>
      <c r="L41" s="40">
        <f>L28</f>
        <v>1537.923</v>
      </c>
      <c r="M41" s="34">
        <f>IFERROR(+L41/K41,0)</f>
        <v>1.2347836210357286</v>
      </c>
      <c r="N41" s="6">
        <f>+L41-K41</f>
        <v>292.423</v>
      </c>
      <c r="S41" s="38" t="s">
        <v>36</v>
      </c>
      <c r="T41" s="39">
        <f>+(U26)*$A$42</f>
        <v>2467.5</v>
      </c>
      <c r="U41" s="40">
        <f>U28</f>
        <v>2785.0380000000005</v>
      </c>
      <c r="V41" s="34">
        <f>IFERROR(+U41/T41,0)</f>
        <v>1.1286881458966567</v>
      </c>
      <c r="W41" s="6">
        <f>+U41-T41</f>
        <v>317.53800000000047</v>
      </c>
      <c r="Z41" s="38" t="s">
        <v>36</v>
      </c>
      <c r="AA41" s="39">
        <f>+AB26*$A$42</f>
        <v>3548.5</v>
      </c>
      <c r="AB41" s="40">
        <f>AB28</f>
        <v>3909.4750000000004</v>
      </c>
      <c r="AC41" s="34">
        <f>IFERROR(+AB41/AA41,0)</f>
        <v>1.1017260814428633</v>
      </c>
      <c r="AD41" s="6">
        <f>+AB41-AA41</f>
        <v>360.97500000000036</v>
      </c>
      <c r="AH41" s="190" t="s">
        <v>36</v>
      </c>
      <c r="AI41" s="39">
        <f>+AJ26*$A$42</f>
        <v>4864.5</v>
      </c>
      <c r="AJ41" s="40">
        <f>AJ28</f>
        <v>5057.6150000000007</v>
      </c>
      <c r="AK41" s="34">
        <f>IFERROR(+AJ41/AI41,0)</f>
        <v>1.0396988385240005</v>
      </c>
      <c r="AL41" s="6">
        <f>+AJ41-AI41</f>
        <v>193.11500000000069</v>
      </c>
      <c r="BP41" s="186"/>
    </row>
    <row r="42" spans="1:70" ht="15.75" customHeight="1" thickBot="1" x14ac:dyDescent="0.25">
      <c r="A42" s="72">
        <v>0.23499999999999999</v>
      </c>
      <c r="B42" s="29" t="s">
        <v>36</v>
      </c>
      <c r="C42" s="41" t="s">
        <v>37</v>
      </c>
      <c r="D42" s="42">
        <f>+(SUM($E19))*$A$43</f>
        <v>66</v>
      </c>
      <c r="E42" s="43">
        <f>E21</f>
        <v>79.722999999999999</v>
      </c>
      <c r="F42" s="34">
        <f>IFERROR(+E42/D42,0)</f>
        <v>1.2079242424242425</v>
      </c>
      <c r="G42" s="6">
        <f>+E42-D42</f>
        <v>13.722999999999999</v>
      </c>
      <c r="J42" s="41" t="s">
        <v>37</v>
      </c>
      <c r="K42" s="42">
        <f>+(L19)*$A$43</f>
        <v>409.2</v>
      </c>
      <c r="L42" s="43">
        <f>L21</f>
        <v>468.64500000000004</v>
      </c>
      <c r="M42" s="34">
        <f>IFERROR(+L42/K42,0)</f>
        <v>1.1452712609970677</v>
      </c>
      <c r="N42" s="6">
        <f>+L42-K42</f>
        <v>59.44500000000005</v>
      </c>
      <c r="S42" s="41" t="s">
        <v>37</v>
      </c>
      <c r="T42" s="42">
        <f>+(U19)*$A$43</f>
        <v>836</v>
      </c>
      <c r="U42" s="43">
        <f>U21</f>
        <v>822.18500000000006</v>
      </c>
      <c r="V42" s="34">
        <f>IFERROR(+U42/T42,0)</f>
        <v>0.9834748803827752</v>
      </c>
      <c r="W42" s="6">
        <f>+U42-T42</f>
        <v>-13.814999999999941</v>
      </c>
      <c r="Z42" s="41" t="s">
        <v>37</v>
      </c>
      <c r="AA42" s="42">
        <f>+AB19*$A$43</f>
        <v>1122</v>
      </c>
      <c r="AB42" s="43">
        <f>AB21</f>
        <v>1110.636</v>
      </c>
      <c r="AC42" s="34">
        <f>IFERROR(+AB42/AA42,0)</f>
        <v>0.98987165775401065</v>
      </c>
      <c r="AD42" s="6">
        <f>+AB42-AA42</f>
        <v>-11.364000000000033</v>
      </c>
      <c r="AH42" s="191" t="s">
        <v>37</v>
      </c>
      <c r="AI42" s="42">
        <f>+AJ19*$A$43</f>
        <v>1438.8</v>
      </c>
      <c r="AJ42" s="43">
        <f>AJ21</f>
        <v>1436.4949999999999</v>
      </c>
      <c r="AK42" s="34">
        <f>IFERROR(+AJ42/AI42,0)</f>
        <v>0.99839797053099799</v>
      </c>
      <c r="AL42" s="6">
        <f>+AJ42-AI42</f>
        <v>-2.3050000000000637</v>
      </c>
      <c r="BP42" s="186"/>
    </row>
    <row r="43" spans="1:70" ht="15.75" customHeight="1" thickBot="1" x14ac:dyDescent="0.25">
      <c r="A43" s="72">
        <v>0.22</v>
      </c>
      <c r="B43" s="29" t="s">
        <v>37</v>
      </c>
      <c r="C43" s="44" t="s">
        <v>38</v>
      </c>
      <c r="D43" s="45">
        <f>SUM(D39:D42)</f>
        <v>630.20000000000005</v>
      </c>
      <c r="E43" s="46">
        <f>SUM(E39:E42)</f>
        <v>901.26599999999996</v>
      </c>
      <c r="F43" s="47">
        <f>+E43/D43</f>
        <v>1.4301269438273563</v>
      </c>
      <c r="G43" s="48">
        <f>+E43-D43</f>
        <v>271.06599999999992</v>
      </c>
      <c r="J43" s="44" t="s">
        <v>38</v>
      </c>
      <c r="K43" s="45">
        <f>SUM(K39:K42)</f>
        <v>2934.2999999999997</v>
      </c>
      <c r="L43" s="46">
        <f>SUM(L39:L42)</f>
        <v>3303.2339999999999</v>
      </c>
      <c r="M43" s="47">
        <f>+L43/K43</f>
        <v>1.1257315202944485</v>
      </c>
      <c r="N43" s="48">
        <f>+L43-K43</f>
        <v>368.9340000000002</v>
      </c>
      <c r="S43" s="44" t="s">
        <v>38</v>
      </c>
      <c r="T43" s="45">
        <f>SUM(T39:T42)</f>
        <v>6092.5</v>
      </c>
      <c r="U43" s="46">
        <f>SUM(U39:U42)</f>
        <v>6149.5940000000001</v>
      </c>
      <c r="V43" s="47">
        <f>+U43/T43</f>
        <v>1.0093711940910957</v>
      </c>
      <c r="W43" s="48">
        <f>+U43-T43</f>
        <v>57.094000000000051</v>
      </c>
      <c r="Z43" s="44" t="s">
        <v>38</v>
      </c>
      <c r="AA43" s="45">
        <f>SUM(AA39:AA42)</f>
        <v>8656.7000000000007</v>
      </c>
      <c r="AB43" s="46">
        <f>SUM(AB39:AB42)</f>
        <v>8723.85</v>
      </c>
      <c r="AC43" s="47">
        <f>+AB43/AA43</f>
        <v>1.0077569974701677</v>
      </c>
      <c r="AD43" s="48">
        <f>+AB43-AA43</f>
        <v>67.149999999999636</v>
      </c>
      <c r="AH43" s="188" t="s">
        <v>38</v>
      </c>
      <c r="AI43" s="45">
        <f>SUM(AI39:AI42)</f>
        <v>11760.5</v>
      </c>
      <c r="AJ43" s="46">
        <f>SUM(AJ39:AJ42)</f>
        <v>11561.125</v>
      </c>
      <c r="AK43" s="47">
        <f>+AJ43/AI43</f>
        <v>0.98304706432549638</v>
      </c>
      <c r="AL43" s="48">
        <f>+AJ43-AI43</f>
        <v>-199.375</v>
      </c>
      <c r="BP43" s="186"/>
    </row>
    <row r="44" spans="1:70" ht="18.75" customHeight="1" thickBot="1" x14ac:dyDescent="0.25">
      <c r="A44" s="284">
        <f>+AJ37/AJ33</f>
        <v>0.22131162965750847</v>
      </c>
      <c r="B44" s="66">
        <f>+A40*100</f>
        <v>21.6</v>
      </c>
      <c r="C44" s="8"/>
      <c r="D44" s="8"/>
      <c r="E44" s="8"/>
      <c r="F44" s="8"/>
      <c r="G44" s="8"/>
      <c r="J44" s="8"/>
      <c r="K44" s="8"/>
      <c r="L44" s="8"/>
      <c r="M44" s="8"/>
      <c r="N44" s="8"/>
      <c r="S44" s="8"/>
      <c r="T44" s="8"/>
      <c r="U44" s="8"/>
      <c r="V44" s="8"/>
      <c r="W44" s="8"/>
      <c r="Z44" s="8"/>
      <c r="AA44" s="8"/>
      <c r="AB44" s="8"/>
      <c r="AC44" s="8"/>
      <c r="AD44" s="8"/>
      <c r="AH44" s="8"/>
      <c r="AI44" s="8"/>
      <c r="AJ44" s="8"/>
      <c r="AK44" s="8"/>
      <c r="AL44" s="186"/>
      <c r="BP44" s="186"/>
    </row>
    <row r="45" spans="1:70" ht="12" customHeight="1" x14ac:dyDescent="0.2">
      <c r="A45" s="49"/>
      <c r="B45" s="66">
        <f>+A41*100</f>
        <v>18.8</v>
      </c>
      <c r="C45" s="50" t="s">
        <v>39</v>
      </c>
      <c r="D45" s="36">
        <f>+D39+D40+D41</f>
        <v>564.20000000000005</v>
      </c>
      <c r="E45" s="37">
        <f>+E39+E40+E41</f>
        <v>821.54300000000001</v>
      </c>
      <c r="F45" s="34">
        <f>+E45/D45</f>
        <v>1.456120170152428</v>
      </c>
      <c r="G45" s="6">
        <f>+E45-D45</f>
        <v>257.34299999999996</v>
      </c>
      <c r="J45" s="50" t="s">
        <v>39</v>
      </c>
      <c r="K45" s="51">
        <f>+K39+K40+K41</f>
        <v>2525.1</v>
      </c>
      <c r="L45" s="37">
        <f>+L39+L40+L41</f>
        <v>2834.5889999999999</v>
      </c>
      <c r="M45" s="34">
        <f>+L45/K45</f>
        <v>1.1225650469288344</v>
      </c>
      <c r="N45" s="6">
        <f>+L45-K45</f>
        <v>309.48900000000003</v>
      </c>
      <c r="S45" s="50" t="s">
        <v>39</v>
      </c>
      <c r="T45" s="51">
        <f>+T39+T40+T41</f>
        <v>5256.5</v>
      </c>
      <c r="U45" s="37">
        <f>+U39+U40+U41</f>
        <v>5327.4089999999997</v>
      </c>
      <c r="V45" s="34">
        <f>+U45/T45</f>
        <v>1.0134897745648244</v>
      </c>
      <c r="W45" s="6">
        <f>+U45-T45</f>
        <v>70.908999999999651</v>
      </c>
      <c r="Z45" s="50" t="s">
        <v>39</v>
      </c>
      <c r="AA45" s="51">
        <f>+AA39+AA40+AA41</f>
        <v>7534.7000000000007</v>
      </c>
      <c r="AB45" s="37">
        <f>+AB39+AB40+AB41</f>
        <v>7613.2139999999999</v>
      </c>
      <c r="AC45" s="34">
        <f>+AB45/AA45</f>
        <v>1.0104203219769863</v>
      </c>
      <c r="AD45" s="6">
        <f>+AB45-AA45</f>
        <v>78.513999999999214</v>
      </c>
      <c r="AH45" s="50" t="s">
        <v>39</v>
      </c>
      <c r="AI45" s="51">
        <f>+AI39+AI40+AI41</f>
        <v>10321.700000000001</v>
      </c>
      <c r="AJ45" s="37">
        <f>+AJ39+AJ40+AJ41</f>
        <v>10124.630000000001</v>
      </c>
      <c r="AK45" s="34">
        <f>IFERROR(+AJ45/AI45,0)</f>
        <v>0.98090721489677091</v>
      </c>
      <c r="AL45" s="6">
        <f>+AJ45-AI45</f>
        <v>-197.06999999999971</v>
      </c>
      <c r="BP45" s="186"/>
    </row>
    <row r="46" spans="1:70" ht="35.25" customHeight="1" thickBot="1" x14ac:dyDescent="0.25">
      <c r="A46" s="49"/>
      <c r="B46" s="66">
        <f>+A42*100</f>
        <v>23.5</v>
      </c>
      <c r="C46" s="52" t="s">
        <v>40</v>
      </c>
      <c r="D46" s="42">
        <v>0</v>
      </c>
      <c r="E46" s="53">
        <v>0</v>
      </c>
      <c r="F46" s="34">
        <f>+IFERROR(E46/D46,0)</f>
        <v>0</v>
      </c>
      <c r="G46" s="6">
        <f>+E46-D46</f>
        <v>0</v>
      </c>
      <c r="J46" s="52" t="s">
        <v>40</v>
      </c>
      <c r="K46" s="54">
        <v>0</v>
      </c>
      <c r="L46" s="55">
        <v>0</v>
      </c>
      <c r="M46" s="34">
        <f>IFERROR(+L46/K46,0)</f>
        <v>0</v>
      </c>
      <c r="N46" s="6">
        <f>+L46-K46</f>
        <v>0</v>
      </c>
      <c r="S46" s="52" t="s">
        <v>40</v>
      </c>
      <c r="T46" s="54">
        <v>0</v>
      </c>
      <c r="U46" s="55">
        <v>0</v>
      </c>
      <c r="V46" s="34">
        <f>IFERROR(+U46/T46,0)</f>
        <v>0</v>
      </c>
      <c r="W46" s="6">
        <f>+U46-T46</f>
        <v>0</v>
      </c>
      <c r="Z46" s="52" t="s">
        <v>40</v>
      </c>
      <c r="AA46" s="54">
        <v>0</v>
      </c>
      <c r="AB46" s="55">
        <v>0</v>
      </c>
      <c r="AC46" s="34">
        <f>IFERROR(+AB46/AA46,0)</f>
        <v>0</v>
      </c>
      <c r="AD46" s="6">
        <f>+AB46-AA46</f>
        <v>0</v>
      </c>
      <c r="AH46" s="52" t="s">
        <v>40</v>
      </c>
      <c r="AI46" s="54">
        <v>0</v>
      </c>
      <c r="AJ46" s="55"/>
      <c r="AK46" s="34"/>
      <c r="AL46" s="186"/>
      <c r="BP46" s="186"/>
    </row>
    <row r="47" spans="1:70" ht="12" customHeight="1" thickBot="1" x14ac:dyDescent="0.25">
      <c r="A47" s="49"/>
      <c r="B47" s="66">
        <f>+A43*100</f>
        <v>22</v>
      </c>
      <c r="C47" s="44" t="s">
        <v>41</v>
      </c>
      <c r="D47" s="45">
        <f>+D46+D45</f>
        <v>564.20000000000005</v>
      </c>
      <c r="E47" s="46">
        <f>+E46+E45</f>
        <v>821.54300000000001</v>
      </c>
      <c r="F47" s="47">
        <f>+E47/D47</f>
        <v>1.456120170152428</v>
      </c>
      <c r="G47" s="48">
        <f>+E47-D47</f>
        <v>257.34299999999996</v>
      </c>
      <c r="J47" s="44" t="s">
        <v>42</v>
      </c>
      <c r="K47" s="45">
        <f>+K46+K45</f>
        <v>2525.1</v>
      </c>
      <c r="L47" s="46">
        <f>+L46+L45</f>
        <v>2834.5889999999999</v>
      </c>
      <c r="M47" s="47">
        <f>+L47/K47</f>
        <v>1.1225650469288344</v>
      </c>
      <c r="N47" s="48">
        <f>+L47-K47</f>
        <v>309.48900000000003</v>
      </c>
      <c r="S47" s="44" t="s">
        <v>42</v>
      </c>
      <c r="T47" s="45">
        <f>+T46+T45</f>
        <v>5256.5</v>
      </c>
      <c r="U47" s="46">
        <f>+U46+U45</f>
        <v>5327.4089999999997</v>
      </c>
      <c r="V47" s="47">
        <f>+U47/T47</f>
        <v>1.0134897745648244</v>
      </c>
      <c r="W47" s="48">
        <f>+U47-T47</f>
        <v>70.908999999999651</v>
      </c>
      <c r="Z47" s="44" t="s">
        <v>42</v>
      </c>
      <c r="AA47" s="45">
        <f>+AA46+AA45</f>
        <v>7534.7000000000007</v>
      </c>
      <c r="AB47" s="46">
        <f>+AB46+AB45</f>
        <v>7613.2139999999999</v>
      </c>
      <c r="AC47" s="47">
        <f>+AB47/AA47</f>
        <v>1.0104203219769863</v>
      </c>
      <c r="AD47" s="48">
        <f>+AB47-AA47</f>
        <v>78.513999999999214</v>
      </c>
      <c r="AH47" s="44" t="s">
        <v>42</v>
      </c>
      <c r="AI47" s="45">
        <f>+AI46+AI45</f>
        <v>10321.700000000001</v>
      </c>
      <c r="AJ47" s="46">
        <f>+AJ46+AJ45</f>
        <v>10124.630000000001</v>
      </c>
      <c r="AK47" s="47">
        <f>+AJ47/AI47</f>
        <v>0.98090721489677091</v>
      </c>
      <c r="AL47" s="48">
        <f>+AJ47-AI47</f>
        <v>-197.06999999999971</v>
      </c>
      <c r="BP47" s="186"/>
    </row>
    <row r="48" spans="1:70" ht="12" customHeight="1" thickBot="1" x14ac:dyDescent="0.25">
      <c r="A48" s="49"/>
      <c r="B48" s="34"/>
      <c r="C48" s="8"/>
      <c r="D48" s="8"/>
      <c r="E48" s="8"/>
      <c r="F48" s="8"/>
      <c r="G48" s="8"/>
      <c r="I48" s="8"/>
      <c r="J48" s="8"/>
      <c r="K48" s="8"/>
      <c r="L48" s="8"/>
      <c r="M48" s="8"/>
      <c r="S48" s="8"/>
      <c r="T48" s="8"/>
      <c r="U48" s="6"/>
      <c r="V48" s="6"/>
      <c r="W48" s="6"/>
      <c r="Z48" s="8"/>
      <c r="AA48" s="8"/>
      <c r="AB48" s="6"/>
      <c r="AC48" s="6"/>
      <c r="AD48" s="6"/>
      <c r="AH48" s="8"/>
      <c r="AI48" s="8"/>
      <c r="AJ48" s="6"/>
      <c r="AK48" s="6"/>
      <c r="AL48" s="186"/>
      <c r="BP48" s="186"/>
    </row>
    <row r="49" spans="1:74" ht="12" customHeight="1" x14ac:dyDescent="0.2">
      <c r="A49" s="49"/>
      <c r="B49" s="34"/>
      <c r="C49" s="56" t="s">
        <v>43</v>
      </c>
      <c r="D49" s="36">
        <f>+E53</f>
        <v>270</v>
      </c>
      <c r="E49" s="57">
        <f>+E54</f>
        <v>272.30899999999997</v>
      </c>
      <c r="F49" s="34">
        <f>+E49/D49</f>
        <v>1.0085518518518517</v>
      </c>
      <c r="G49" s="6">
        <f>+E49-D49</f>
        <v>2.3089999999999691</v>
      </c>
      <c r="I49" s="56" t="s">
        <v>43</v>
      </c>
      <c r="J49" s="36">
        <f>+L53</f>
        <v>810</v>
      </c>
      <c r="K49" s="57">
        <f>+L54</f>
        <v>830.69200000000001</v>
      </c>
      <c r="L49" s="34">
        <f>+K49/J49</f>
        <v>1.0255456790123456</v>
      </c>
      <c r="M49" s="6">
        <f>+K49-J49</f>
        <v>20.692000000000007</v>
      </c>
      <c r="S49" s="56" t="s">
        <v>43</v>
      </c>
      <c r="T49" s="36">
        <f>+U53</f>
        <v>1550</v>
      </c>
      <c r="U49" s="57">
        <f>+U54</f>
        <v>1633.5940000000001</v>
      </c>
      <c r="V49" s="34">
        <f>+U49/T49</f>
        <v>1.0539316129032259</v>
      </c>
      <c r="W49" s="6">
        <f>+U49-T49</f>
        <v>83.594000000000051</v>
      </c>
      <c r="Z49" s="192" t="s">
        <v>43</v>
      </c>
      <c r="AA49" s="196">
        <f>+AB53</f>
        <v>2150</v>
      </c>
      <c r="AB49" s="197">
        <f>+AB54</f>
        <v>2110.75</v>
      </c>
      <c r="AC49" s="34">
        <f>+AB49/AA49</f>
        <v>0.98174418604651159</v>
      </c>
      <c r="AD49" s="6">
        <f>+AB49-AA49</f>
        <v>-39.25</v>
      </c>
      <c r="AH49" s="56" t="s">
        <v>43</v>
      </c>
      <c r="AI49" s="196">
        <f>+AJ53</f>
        <v>2850</v>
      </c>
      <c r="AJ49" s="57">
        <f>+AJ54</f>
        <v>2742.951</v>
      </c>
      <c r="AK49" s="34">
        <f>IFERROR(+AJ49/AI49,0)</f>
        <v>0.96243894736842106</v>
      </c>
      <c r="AL49" s="6">
        <f>+AJ49-AI49</f>
        <v>-107.04899999999998</v>
      </c>
      <c r="BP49" s="186"/>
    </row>
    <row r="50" spans="1:74" ht="12" customHeight="1" thickBot="1" x14ac:dyDescent="0.25">
      <c r="A50" s="49"/>
      <c r="B50" s="59"/>
      <c r="C50" s="60" t="s">
        <v>44</v>
      </c>
      <c r="D50" s="61">
        <f>+D49*0.41</f>
        <v>110.69999999999999</v>
      </c>
      <c r="E50" s="55">
        <f>+E55</f>
        <v>112.078</v>
      </c>
      <c r="F50" s="34">
        <f>+E50/D50</f>
        <v>1.0124480578139117</v>
      </c>
      <c r="G50" s="6">
        <f>+E50-D50</f>
        <v>1.3780000000000143</v>
      </c>
      <c r="I50" s="60" t="s">
        <v>44</v>
      </c>
      <c r="J50" s="61">
        <f>+J49*0.41</f>
        <v>332.09999999999997</v>
      </c>
      <c r="K50" s="55">
        <f>+L55</f>
        <v>342.92099999999999</v>
      </c>
      <c r="L50" s="34">
        <f>+K50/J50</f>
        <v>1.0325835591689252</v>
      </c>
      <c r="M50" s="6">
        <f>+K50-J50</f>
        <v>10.821000000000026</v>
      </c>
      <c r="S50" s="60" t="s">
        <v>44</v>
      </c>
      <c r="T50" s="61">
        <f>+T49*0.41</f>
        <v>635.5</v>
      </c>
      <c r="U50" s="55">
        <f>+U55</f>
        <v>674.18000000000006</v>
      </c>
      <c r="V50" s="34">
        <f>+U50/T50</f>
        <v>1.0608654602675061</v>
      </c>
      <c r="W50" s="6">
        <f>+U50-T50</f>
        <v>38.680000000000064</v>
      </c>
      <c r="Z50" s="193" t="s">
        <v>44</v>
      </c>
      <c r="AA50" s="61">
        <f>+AA49*0.41</f>
        <v>881.5</v>
      </c>
      <c r="AB50" s="198">
        <f>+AB55</f>
        <v>871.33900000000006</v>
      </c>
      <c r="AC50" s="34">
        <f>+AB50/AA50</f>
        <v>0.98847305728871249</v>
      </c>
      <c r="AD50" s="6">
        <f>+AB50-AA50</f>
        <v>-10.160999999999945</v>
      </c>
      <c r="AH50" s="60" t="s">
        <v>44</v>
      </c>
      <c r="AI50" s="61">
        <f>+AI49*0.405</f>
        <v>1154.25</v>
      </c>
      <c r="AJ50" s="55">
        <f>+AJ55</f>
        <v>1132.077</v>
      </c>
      <c r="AK50" s="34"/>
      <c r="AL50" s="186"/>
      <c r="BP50" s="186"/>
    </row>
    <row r="51" spans="1:74" ht="12" customHeight="1" thickBot="1" x14ac:dyDescent="0.25">
      <c r="A51" s="49"/>
      <c r="B51" s="34"/>
      <c r="C51" s="58" t="s">
        <v>45</v>
      </c>
      <c r="D51" s="63">
        <f>+D50/D49</f>
        <v>0.41</v>
      </c>
      <c r="E51" s="64">
        <f>IFERROR(+E50/E49,0)</f>
        <v>0.41158389917336563</v>
      </c>
      <c r="F51" s="34">
        <f>+E51/D51</f>
        <v>1.0038631687155259</v>
      </c>
      <c r="G51" s="62">
        <f>+E51-D51</f>
        <v>1.5838991733656549E-3</v>
      </c>
      <c r="I51" s="58" t="s">
        <v>45</v>
      </c>
      <c r="J51" s="63">
        <f>+J50/J49</f>
        <v>0.41</v>
      </c>
      <c r="K51" s="64">
        <f>IFERROR(+K50/K49,0)</f>
        <v>0.41281365415821986</v>
      </c>
      <c r="L51" s="34">
        <f>+K51/J51</f>
        <v>1.0068625711176096</v>
      </c>
      <c r="M51" s="62">
        <f>+K51-J51</f>
        <v>2.8136541582198804E-3</v>
      </c>
      <c r="S51" s="58" t="s">
        <v>45</v>
      </c>
      <c r="T51" s="63">
        <f>+T50/T49</f>
        <v>0.41</v>
      </c>
      <c r="U51" s="64">
        <f>IFERROR(+U50/U49,0)</f>
        <v>0.41269740216969458</v>
      </c>
      <c r="V51" s="34">
        <f>+U51/T51</f>
        <v>1.0065790296821819</v>
      </c>
      <c r="W51" s="62">
        <f>+U51-T51</f>
        <v>2.6974021696946071E-3</v>
      </c>
      <c r="Z51" s="58" t="s">
        <v>45</v>
      </c>
      <c r="AA51" s="194">
        <f>+AA50/AA49</f>
        <v>0.41</v>
      </c>
      <c r="AB51" s="195">
        <f>IFERROR(+AB50/AB49,0)</f>
        <v>0.41281013857633547</v>
      </c>
      <c r="AC51" s="34">
        <f>+AB51/AA51</f>
        <v>1.0068539965276475</v>
      </c>
      <c r="AD51" s="62">
        <f>+AB51-AA51</f>
        <v>2.8101385763354969E-3</v>
      </c>
      <c r="AH51" s="58" t="s">
        <v>45</v>
      </c>
      <c r="AI51" s="194">
        <v>0.41</v>
      </c>
      <c r="AJ51" s="195">
        <f>IFERROR(+AJ50/AJ49,0)</f>
        <v>0.41272228340936457</v>
      </c>
      <c r="AK51" s="47">
        <f>+AJ51/AI51</f>
        <v>1.0066397156325966</v>
      </c>
      <c r="AL51" s="48">
        <f>+AJ51-AI51</f>
        <v>2.7222834093645898E-3</v>
      </c>
      <c r="BP51" s="186"/>
    </row>
    <row r="52" spans="1:74" ht="12" customHeight="1" thickBot="1" x14ac:dyDescent="0.25">
      <c r="A52" s="4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41"/>
      <c r="AJ52" s="441"/>
      <c r="AK52" s="8"/>
      <c r="AN52" s="8"/>
      <c r="AO52" s="8"/>
      <c r="AP52" s="8"/>
      <c r="AQ52" s="8"/>
      <c r="AS52" s="8"/>
      <c r="AT52" s="8"/>
      <c r="AW52" s="8"/>
      <c r="AX52" s="8"/>
      <c r="AY52" s="186"/>
      <c r="AZ52" s="8"/>
      <c r="BA52" s="8"/>
      <c r="BB52" s="8"/>
      <c r="BC52" s="8"/>
      <c r="BD52" s="8"/>
      <c r="BE52" s="29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</row>
    <row r="53" spans="1:74" ht="12" customHeight="1" x14ac:dyDescent="0.2">
      <c r="A53" s="438" t="s">
        <v>46</v>
      </c>
      <c r="B53" s="196">
        <v>90</v>
      </c>
      <c r="C53" s="183">
        <v>90</v>
      </c>
      <c r="D53" s="183">
        <v>90</v>
      </c>
      <c r="E53" s="427">
        <f>+SUM(B53:D53)</f>
        <v>270</v>
      </c>
      <c r="F53" s="183">
        <v>90</v>
      </c>
      <c r="G53" s="183">
        <v>90</v>
      </c>
      <c r="H53" s="183">
        <v>90</v>
      </c>
      <c r="I53" s="183">
        <v>90</v>
      </c>
      <c r="J53" s="183">
        <v>90</v>
      </c>
      <c r="K53" s="183">
        <v>90</v>
      </c>
      <c r="L53" s="427">
        <f>+E53+SUM(F53:K53)</f>
        <v>810</v>
      </c>
      <c r="M53" s="183">
        <v>100</v>
      </c>
      <c r="N53" s="183">
        <v>100</v>
      </c>
      <c r="O53" s="183">
        <v>100</v>
      </c>
      <c r="P53" s="183">
        <v>100</v>
      </c>
      <c r="Q53" s="183">
        <v>100</v>
      </c>
      <c r="R53" s="183">
        <v>100</v>
      </c>
      <c r="S53" s="183">
        <v>40</v>
      </c>
      <c r="T53" s="183">
        <v>100</v>
      </c>
      <c r="U53" s="447">
        <f>+L53+SUM(M53:T53)</f>
        <v>1550</v>
      </c>
      <c r="V53" s="183">
        <v>100</v>
      </c>
      <c r="W53" s="183">
        <v>100</v>
      </c>
      <c r="X53" s="183">
        <v>100</v>
      </c>
      <c r="Y53" s="183">
        <v>100</v>
      </c>
      <c r="Z53" s="183">
        <v>100</v>
      </c>
      <c r="AA53" s="183">
        <v>100</v>
      </c>
      <c r="AB53" s="447">
        <f>+U53+SUM(V53:AA53)</f>
        <v>2150</v>
      </c>
      <c r="AC53" s="183">
        <v>100</v>
      </c>
      <c r="AD53" s="183">
        <v>100</v>
      </c>
      <c r="AE53" s="183">
        <v>100</v>
      </c>
      <c r="AF53" s="183">
        <v>100</v>
      </c>
      <c r="AG53" s="183">
        <v>100</v>
      </c>
      <c r="AH53" s="183">
        <v>100</v>
      </c>
      <c r="AI53" s="183">
        <v>100</v>
      </c>
      <c r="AJ53" s="442">
        <f>+AB53+SUM(AC53:AI53)</f>
        <v>2850</v>
      </c>
      <c r="AK53" s="8"/>
      <c r="AQ53" s="186"/>
      <c r="AW53" s="8"/>
      <c r="AX53" s="8"/>
      <c r="AY53" s="186"/>
      <c r="AZ53" s="8"/>
      <c r="BA53" s="8"/>
      <c r="BB53" s="8"/>
      <c r="BC53" s="8"/>
      <c r="BD53" s="8"/>
      <c r="BE53" s="29"/>
      <c r="BF53" s="8"/>
      <c r="BG53" s="8"/>
      <c r="BH53" s="8"/>
      <c r="BI53" s="6"/>
      <c r="BJ53" s="8"/>
      <c r="BK53" s="8"/>
      <c r="BL53" s="8"/>
      <c r="BM53" s="8"/>
      <c r="BN53" s="8"/>
      <c r="BO53" s="8"/>
      <c r="BP53" s="8"/>
      <c r="BQ53" s="8"/>
      <c r="BR53" s="8"/>
    </row>
    <row r="54" spans="1:74" ht="12" customHeight="1" x14ac:dyDescent="0.2">
      <c r="A54" s="439" t="s">
        <v>47</v>
      </c>
      <c r="B54" s="443">
        <v>94.918000000000006</v>
      </c>
      <c r="C54" s="6">
        <v>88.659000000000006</v>
      </c>
      <c r="D54" s="6">
        <v>88.731999999999999</v>
      </c>
      <c r="E54" s="7">
        <f>+SUM(B54:D54)</f>
        <v>272.30899999999997</v>
      </c>
      <c r="F54" s="6">
        <v>86.128</v>
      </c>
      <c r="G54" s="6">
        <v>82.221999999999994</v>
      </c>
      <c r="H54" s="6">
        <v>80.224999999999994</v>
      </c>
      <c r="I54" s="6">
        <v>90.28</v>
      </c>
      <c r="J54" s="6">
        <v>111.32899999999999</v>
      </c>
      <c r="K54" s="6">
        <v>108.199</v>
      </c>
      <c r="L54" s="7">
        <f>+E54+SUM(F54:K54)</f>
        <v>830.69200000000001</v>
      </c>
      <c r="M54" s="6">
        <v>109.506</v>
      </c>
      <c r="N54" s="6">
        <v>105.364</v>
      </c>
      <c r="O54" s="6">
        <v>88.710999999999999</v>
      </c>
      <c r="P54" s="6">
        <v>102.792</v>
      </c>
      <c r="Q54" s="6">
        <v>86.183000000000007</v>
      </c>
      <c r="R54" s="6">
        <v>103.852</v>
      </c>
      <c r="S54" s="6">
        <v>104.24</v>
      </c>
      <c r="T54" s="6">
        <v>102.254</v>
      </c>
      <c r="U54" s="448">
        <f>+L54+SUM(M54:T54)</f>
        <v>1633.5940000000001</v>
      </c>
      <c r="V54" s="6">
        <v>94.17</v>
      </c>
      <c r="W54" s="6">
        <v>44.668999999999997</v>
      </c>
      <c r="X54" s="6">
        <v>76.707999999999998</v>
      </c>
      <c r="Y54" s="6">
        <v>85.009</v>
      </c>
      <c r="Z54" s="6">
        <v>79.899000000000001</v>
      </c>
      <c r="AA54" s="6">
        <v>96.700999999999993</v>
      </c>
      <c r="AB54" s="448">
        <f>+U54+SUM(V54:AA54)</f>
        <v>2110.75</v>
      </c>
      <c r="AC54" s="6">
        <v>92.787000000000006</v>
      </c>
      <c r="AD54" s="6">
        <v>98.638999999999996</v>
      </c>
      <c r="AE54" s="6">
        <v>99.67</v>
      </c>
      <c r="AF54" s="6">
        <v>94.036000000000001</v>
      </c>
      <c r="AG54" s="6">
        <v>80.161000000000001</v>
      </c>
      <c r="AH54" s="6">
        <v>69.959999999999994</v>
      </c>
      <c r="AI54" s="6">
        <v>96.947999999999993</v>
      </c>
      <c r="AJ54" s="444">
        <f>+AB54+SUM(AC54:AI54)</f>
        <v>2742.951</v>
      </c>
      <c r="AK54" s="8"/>
      <c r="AQ54" s="186"/>
      <c r="AW54" s="8"/>
      <c r="AX54" s="8"/>
      <c r="AY54" s="186"/>
      <c r="AZ54" s="8"/>
      <c r="BA54" s="8"/>
      <c r="BB54" s="8"/>
      <c r="BC54" s="8"/>
      <c r="BD54" s="8"/>
      <c r="BE54" s="29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</row>
    <row r="55" spans="1:74" ht="12" customHeight="1" x14ac:dyDescent="0.2">
      <c r="A55" s="439" t="s">
        <v>44</v>
      </c>
      <c r="B55" s="445">
        <v>39.097999999999999</v>
      </c>
      <c r="C55" s="10">
        <v>36.459000000000003</v>
      </c>
      <c r="D55" s="10">
        <v>36.521000000000001</v>
      </c>
      <c r="E55" s="7">
        <f>+SUM(B55:D55)</f>
        <v>112.078</v>
      </c>
      <c r="F55" s="10">
        <v>35.350999999999999</v>
      </c>
      <c r="G55" s="10">
        <v>33.613</v>
      </c>
      <c r="H55" s="10">
        <v>32.908000000000001</v>
      </c>
      <c r="I55" s="10">
        <v>37.109000000000002</v>
      </c>
      <c r="J55" s="10">
        <v>46.435000000000002</v>
      </c>
      <c r="K55" s="10">
        <v>45.427</v>
      </c>
      <c r="L55" s="7">
        <f>+E55+SUM(F55:K55)</f>
        <v>342.92099999999999</v>
      </c>
      <c r="M55" s="10">
        <v>45.377000000000002</v>
      </c>
      <c r="N55" s="10">
        <v>43.703000000000003</v>
      </c>
      <c r="O55" s="10">
        <v>36.585000000000001</v>
      </c>
      <c r="P55" s="10">
        <v>42.418999999999997</v>
      </c>
      <c r="Q55" s="10">
        <v>35.552999999999997</v>
      </c>
      <c r="R55" s="10">
        <v>42.856999999999999</v>
      </c>
      <c r="S55" s="10">
        <v>42.822000000000003</v>
      </c>
      <c r="T55" s="10">
        <v>41.942999999999998</v>
      </c>
      <c r="U55" s="448">
        <f>+L55+SUM(M55:T55)</f>
        <v>674.18000000000006</v>
      </c>
      <c r="V55" s="10">
        <v>38.796999999999997</v>
      </c>
      <c r="W55" s="10">
        <v>18.542000000000002</v>
      </c>
      <c r="X55" s="10">
        <v>31.948</v>
      </c>
      <c r="Y55" s="10">
        <v>35.161999999999999</v>
      </c>
      <c r="Z55" s="10">
        <v>32.811</v>
      </c>
      <c r="AA55" s="10">
        <v>39.899000000000001</v>
      </c>
      <c r="AB55" s="448">
        <f>+U55+SUM(V55:AA55)</f>
        <v>871.33900000000006</v>
      </c>
      <c r="AC55" s="10">
        <v>38.371000000000002</v>
      </c>
      <c r="AD55" s="10">
        <v>40.697000000000003</v>
      </c>
      <c r="AE55" s="10">
        <v>41.031999999999996</v>
      </c>
      <c r="AF55" s="10">
        <v>38.945999999999998</v>
      </c>
      <c r="AG55" s="10">
        <v>32.893999999999998</v>
      </c>
      <c r="AH55" s="10">
        <v>28.763999999999999</v>
      </c>
      <c r="AI55" s="10">
        <v>40.033999999999999</v>
      </c>
      <c r="AJ55" s="444">
        <f>+AB55+SUM(AC55:AI55)</f>
        <v>1132.077</v>
      </c>
      <c r="AK55" s="8"/>
      <c r="AQ55" s="186"/>
      <c r="AW55" s="8"/>
      <c r="AX55" s="8"/>
      <c r="AY55" s="186"/>
      <c r="AZ55" s="8"/>
      <c r="BA55" s="8"/>
      <c r="BB55" s="8"/>
      <c r="BC55" s="8"/>
      <c r="BD55" s="8"/>
      <c r="BE55" s="29"/>
      <c r="BF55" s="8"/>
      <c r="BG55" s="8"/>
      <c r="BH55" s="8"/>
      <c r="BI55" s="6"/>
      <c r="BJ55" s="8"/>
      <c r="BK55" s="8"/>
      <c r="BL55" s="8"/>
      <c r="BM55" s="8"/>
      <c r="BN55" s="8"/>
      <c r="BO55" s="8"/>
      <c r="BP55" s="8"/>
      <c r="BQ55" s="8"/>
      <c r="BR55" s="8"/>
    </row>
    <row r="56" spans="1:74" ht="12" customHeight="1" thickBot="1" x14ac:dyDescent="0.25">
      <c r="A56" s="440" t="s">
        <v>48</v>
      </c>
      <c r="B56" s="446">
        <f>IFERROR(+B55/B54,0)</f>
        <v>0.41191344107545458</v>
      </c>
      <c r="C56" s="184">
        <f>IFERROR(+C55/C54,0)</f>
        <v>0.41122728656989138</v>
      </c>
      <c r="D56" s="184">
        <f t="shared" ref="D56:N56" si="45">IFERROR(+D55/D54,0)</f>
        <v>0.41158770229454988</v>
      </c>
      <c r="E56" s="182">
        <f>IFERROR(+E55/E54,0)</f>
        <v>0.41158389917336563</v>
      </c>
      <c r="F56" s="184">
        <f t="shared" si="45"/>
        <v>0.41044724131525173</v>
      </c>
      <c r="G56" s="184">
        <f t="shared" si="45"/>
        <v>0.40880786164286931</v>
      </c>
      <c r="H56" s="184">
        <f t="shared" si="45"/>
        <v>0.41019632284200691</v>
      </c>
      <c r="I56" s="184">
        <f t="shared" si="45"/>
        <v>0.41104342046964998</v>
      </c>
      <c r="J56" s="184">
        <f t="shared" si="45"/>
        <v>0.4170970726405519</v>
      </c>
      <c r="K56" s="184">
        <f t="shared" si="45"/>
        <v>0.41984676383330716</v>
      </c>
      <c r="L56" s="182">
        <f>IFERROR(+L55/L54,0)</f>
        <v>0.41281365415821986</v>
      </c>
      <c r="M56" s="184">
        <f t="shared" si="45"/>
        <v>0.41437912077877015</v>
      </c>
      <c r="N56" s="184">
        <f t="shared" si="45"/>
        <v>0.41478113966819785</v>
      </c>
      <c r="O56" s="184">
        <f t="shared" ref="O56:T56" si="46">IFERROR(+O55/O54,0)</f>
        <v>0.41240657866555447</v>
      </c>
      <c r="P56" s="184">
        <f t="shared" si="46"/>
        <v>0.41266830103509999</v>
      </c>
      <c r="Q56" s="184">
        <f t="shared" si="46"/>
        <v>0.41252915308123406</v>
      </c>
      <c r="R56" s="184">
        <f t="shared" si="46"/>
        <v>0.41267380503023532</v>
      </c>
      <c r="S56" s="184">
        <f t="shared" si="46"/>
        <v>0.41080199539524181</v>
      </c>
      <c r="T56" s="184">
        <f t="shared" si="46"/>
        <v>0.41018444266238968</v>
      </c>
      <c r="U56" s="182">
        <f>IFERROR(+U55/U54,0)</f>
        <v>0.41269740216969458</v>
      </c>
      <c r="V56" s="184">
        <f t="shared" ref="V56:AD56" si="47">IFERROR(+V55/V54,0)</f>
        <v>0.41198895614314535</v>
      </c>
      <c r="W56" s="184">
        <f t="shared" si="47"/>
        <v>0.41509771877588492</v>
      </c>
      <c r="X56" s="184">
        <f t="shared" si="47"/>
        <v>0.41648850185117592</v>
      </c>
      <c r="Y56" s="184">
        <f t="shared" si="47"/>
        <v>0.41362679245726924</v>
      </c>
      <c r="Z56" s="184">
        <f t="shared" si="47"/>
        <v>0.4106559531408403</v>
      </c>
      <c r="AA56" s="184">
        <f t="shared" si="47"/>
        <v>0.41260173110929571</v>
      </c>
      <c r="AB56" s="182">
        <f t="shared" si="47"/>
        <v>0.41281013857633547</v>
      </c>
      <c r="AC56" s="184">
        <f t="shared" si="47"/>
        <v>0.41353853449297856</v>
      </c>
      <c r="AD56" s="184">
        <f t="shared" si="47"/>
        <v>0.41258528573890657</v>
      </c>
      <c r="AE56" s="184">
        <f t="shared" ref="AE56:AJ56" si="48">IFERROR(+AE55/AE54,0)</f>
        <v>0.41167853917929165</v>
      </c>
      <c r="AF56" s="184">
        <f t="shared" si="48"/>
        <v>0.41416053426347355</v>
      </c>
      <c r="AG56" s="184">
        <f t="shared" si="48"/>
        <v>0.41034917229076479</v>
      </c>
      <c r="AH56" s="184">
        <f t="shared" si="48"/>
        <v>0.41114922813036026</v>
      </c>
      <c r="AI56" s="184">
        <f t="shared" si="48"/>
        <v>0.41294302100094898</v>
      </c>
      <c r="AJ56" s="182">
        <f t="shared" si="48"/>
        <v>0.41272228340936457</v>
      </c>
      <c r="AK56" s="8"/>
      <c r="AQ56" s="186"/>
      <c r="AW56" s="8"/>
      <c r="AX56" s="8"/>
      <c r="AY56" s="8"/>
      <c r="AZ56" s="8"/>
      <c r="BA56" s="8"/>
      <c r="BB56" s="8"/>
      <c r="BC56" s="8"/>
      <c r="BD56" s="8"/>
      <c r="BE56" s="29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</row>
    <row r="57" spans="1:74" ht="12" customHeight="1" x14ac:dyDescent="0.2">
      <c r="A57" s="4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V57" s="8"/>
      <c r="AW57" s="8"/>
      <c r="AX57" s="8"/>
      <c r="AY57" s="8"/>
      <c r="AZ57" s="8"/>
      <c r="BA57" s="8"/>
      <c r="BB57" s="8"/>
      <c r="BC57" s="8"/>
      <c r="BD57" s="8"/>
      <c r="BE57" s="29"/>
      <c r="BF57" s="8"/>
      <c r="BG57" s="8"/>
      <c r="BH57" s="8"/>
      <c r="BI57" s="6"/>
      <c r="BJ57" s="8"/>
      <c r="BK57" s="8"/>
      <c r="BL57" s="8"/>
      <c r="BM57" s="6"/>
      <c r="BN57" s="8"/>
      <c r="BO57" s="8"/>
      <c r="BP57" s="8"/>
      <c r="BQ57" s="8"/>
      <c r="BR57" s="8"/>
      <c r="BS57" s="8"/>
      <c r="BT57" s="8"/>
      <c r="BU57" s="8"/>
      <c r="BV57" s="8"/>
    </row>
    <row r="58" spans="1:74" ht="12" customHeight="1" x14ac:dyDescent="0.2">
      <c r="A58" s="4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V58" s="8"/>
      <c r="AW58" s="8"/>
      <c r="AX58" s="8"/>
      <c r="AY58" s="8"/>
      <c r="AZ58" s="8"/>
      <c r="BA58" s="8"/>
      <c r="BB58" s="8"/>
      <c r="BC58" s="8"/>
      <c r="BD58" s="8"/>
      <c r="BE58" s="29"/>
      <c r="BF58" s="29"/>
      <c r="BG58" s="29"/>
      <c r="BH58" s="8"/>
      <c r="BI58" s="8"/>
      <c r="BJ58" s="8"/>
      <c r="BK58" s="8"/>
      <c r="BL58" s="6"/>
      <c r="BM58" s="8"/>
      <c r="BN58" s="8"/>
      <c r="BO58" s="8"/>
      <c r="BP58" s="8"/>
      <c r="BQ58" s="8"/>
      <c r="BR58" s="8"/>
      <c r="BS58" s="8"/>
      <c r="BT58" s="8"/>
      <c r="BU58" s="8"/>
      <c r="BV58" s="8"/>
    </row>
    <row r="59" spans="1:74" ht="12" customHeight="1" x14ac:dyDescent="0.2">
      <c r="A59" s="4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6"/>
      <c r="AA59" s="6"/>
      <c r="AB59" s="8"/>
      <c r="AC59" s="8"/>
      <c r="AD59" s="8"/>
      <c r="AE59" s="8"/>
      <c r="AF59" s="8"/>
      <c r="AG59" s="8"/>
      <c r="AH59" s="8"/>
      <c r="AI59" s="8"/>
      <c r="AJ59" s="6"/>
      <c r="AK59" s="8"/>
      <c r="AL59" s="8"/>
      <c r="AM59" s="8"/>
      <c r="AN59" s="8"/>
      <c r="AO59" s="8"/>
      <c r="AP59" s="6"/>
      <c r="AQ59" s="6"/>
      <c r="AR59" s="6"/>
      <c r="AS59" s="6"/>
      <c r="AT59" s="6"/>
      <c r="AV59" s="6"/>
      <c r="AW59" s="6"/>
      <c r="AX59" s="6"/>
      <c r="AY59" s="6"/>
      <c r="AZ59" s="6"/>
      <c r="BA59" s="6"/>
      <c r="BB59" s="6"/>
      <c r="BC59" s="6"/>
      <c r="BD59" s="8"/>
      <c r="BE59" s="29"/>
      <c r="BF59" s="29"/>
      <c r="BG59" s="29"/>
      <c r="BH59" s="6"/>
      <c r="BI59" s="6"/>
      <c r="BJ59" s="6"/>
      <c r="BK59" s="6"/>
      <c r="BL59" s="8"/>
      <c r="BM59" s="6"/>
      <c r="BN59" s="8"/>
      <c r="BO59" s="8"/>
      <c r="BP59" s="8"/>
      <c r="BQ59" s="8"/>
      <c r="BR59" s="8"/>
      <c r="BS59" s="8"/>
      <c r="BT59" s="8"/>
      <c r="BU59" s="8"/>
      <c r="BV59" s="8"/>
    </row>
    <row r="60" spans="1:74" ht="12" customHeight="1" x14ac:dyDescent="0.2">
      <c r="A60" s="4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67"/>
      <c r="T60" s="8"/>
      <c r="U60" s="8"/>
      <c r="V60" s="8"/>
      <c r="W60" s="8"/>
      <c r="X60" s="8"/>
      <c r="Y60" s="8"/>
      <c r="Z60" s="10"/>
      <c r="AA60" s="10"/>
      <c r="AB60" s="8"/>
      <c r="AC60" s="8"/>
      <c r="AD60" s="8"/>
      <c r="AE60" s="8"/>
      <c r="AF60" s="8"/>
      <c r="AG60" s="10"/>
      <c r="AH60" s="10"/>
      <c r="AI60" s="10"/>
      <c r="AJ60" s="10"/>
      <c r="AK60" s="10"/>
      <c r="AL60" s="10"/>
      <c r="AM60" s="8"/>
      <c r="AN60" s="8"/>
      <c r="AO60" s="8"/>
      <c r="AP60" s="8"/>
      <c r="AQ60" s="8"/>
      <c r="AR60" s="8"/>
      <c r="AS60" s="8"/>
      <c r="AT60" s="8"/>
      <c r="AV60" s="8"/>
      <c r="AW60" s="8"/>
      <c r="AX60" s="8"/>
      <c r="AY60" s="8"/>
      <c r="AZ60" s="8"/>
      <c r="BA60" s="8"/>
      <c r="BB60" s="8"/>
      <c r="BC60" s="8"/>
      <c r="BD60" s="8"/>
      <c r="BE60" s="29"/>
      <c r="BF60" s="29"/>
      <c r="BG60" s="29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</row>
    <row r="61" spans="1:74" ht="12" customHeight="1" x14ac:dyDescent="0.2">
      <c r="A61" s="4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67"/>
      <c r="T61" s="8"/>
      <c r="U61" s="8"/>
      <c r="V61" s="8"/>
      <c r="W61" s="6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6"/>
      <c r="BN61" s="8"/>
      <c r="BO61" s="8"/>
      <c r="BP61" s="8"/>
      <c r="BQ61" s="8"/>
      <c r="BR61" s="8"/>
      <c r="BS61" s="8"/>
      <c r="BT61" s="8"/>
      <c r="BU61" s="8"/>
      <c r="BV61" s="8"/>
    </row>
    <row r="62" spans="1:74" ht="12" customHeight="1" x14ac:dyDescent="0.2">
      <c r="A62" s="4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67"/>
      <c r="T62" s="8"/>
      <c r="U62" s="8"/>
      <c r="V62" s="8"/>
      <c r="W62" s="10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</row>
    <row r="63" spans="1:74" ht="12" customHeight="1" x14ac:dyDescent="0.2">
      <c r="A63" s="49"/>
      <c r="B63" s="8"/>
      <c r="C63" s="8"/>
      <c r="D63" s="8"/>
      <c r="F63" s="8"/>
      <c r="G63" s="8"/>
      <c r="H63" s="8"/>
      <c r="I63" s="8"/>
      <c r="J63" s="8"/>
      <c r="K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6"/>
      <c r="BN63" s="8"/>
      <c r="BO63" s="8"/>
      <c r="BP63" s="8"/>
      <c r="BQ63" s="8"/>
      <c r="BR63" s="8"/>
      <c r="BS63" s="8"/>
      <c r="BT63" s="8"/>
      <c r="BU63" s="8"/>
      <c r="BV63" s="8"/>
    </row>
    <row r="64" spans="1:74" ht="12" customHeight="1" x14ac:dyDescent="0.2">
      <c r="A64" s="4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</row>
    <row r="65" spans="1:74" ht="12" customHeight="1" x14ac:dyDescent="0.2">
      <c r="A65" s="4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65">
        <f>+SUM(F35:N35)</f>
        <v>6363.1920000000018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6"/>
      <c r="BN65" s="8"/>
      <c r="BO65" s="8"/>
      <c r="BP65" s="8"/>
      <c r="BQ65" s="8"/>
      <c r="BR65" s="8"/>
      <c r="BS65" s="8"/>
      <c r="BT65" s="8"/>
      <c r="BU65" s="8"/>
      <c r="BV65" s="8"/>
    </row>
    <row r="66" spans="1:74" ht="12" customHeight="1" x14ac:dyDescent="0.2">
      <c r="A66" s="4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65">
        <f>+SUM(F36:N36)</f>
        <v>2.0471555788004152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</row>
    <row r="67" spans="1:74" ht="12" customHeight="1" x14ac:dyDescent="0.2">
      <c r="A67" s="4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65">
        <f>+SUM(F37:N37)</f>
        <v>5956.9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</row>
    <row r="68" spans="1:74" ht="12" customHeight="1" x14ac:dyDescent="0.2">
      <c r="A68" s="4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66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</row>
    <row r="69" spans="1:74" ht="12" customHeight="1" x14ac:dyDescent="0.2">
      <c r="A69" s="4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66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</row>
    <row r="70" spans="1:74" ht="12" customHeight="1" x14ac:dyDescent="0.2">
      <c r="A70" s="4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65">
        <f>+T67-T65</f>
        <v>-406.29200000000219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</row>
    <row r="71" spans="1:74" ht="12" customHeight="1" x14ac:dyDescent="0.2">
      <c r="A71" s="4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</row>
    <row r="72" spans="1:74" ht="12" customHeight="1" x14ac:dyDescent="0.2">
      <c r="A72" s="49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</row>
    <row r="73" spans="1:74" ht="12" customHeight="1" x14ac:dyDescent="0.2">
      <c r="A73" s="49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</row>
    <row r="74" spans="1:74" ht="12" customHeight="1" x14ac:dyDescent="0.2">
      <c r="A74" s="4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</row>
    <row r="75" spans="1:74" ht="12" customHeight="1" x14ac:dyDescent="0.2">
      <c r="A75" s="4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</row>
    <row r="76" spans="1:74" ht="12" customHeight="1" x14ac:dyDescent="0.2">
      <c r="A76" s="4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</row>
    <row r="77" spans="1:74" ht="12" customHeight="1" x14ac:dyDescent="0.2">
      <c r="A77" s="4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</row>
    <row r="78" spans="1:74" ht="12" customHeight="1" x14ac:dyDescent="0.2">
      <c r="A78" s="4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</row>
    <row r="79" spans="1:74" ht="12" customHeight="1" x14ac:dyDescent="0.2">
      <c r="A79" s="4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</row>
    <row r="80" spans="1:74" ht="12" customHeight="1" x14ac:dyDescent="0.2">
      <c r="A80" s="4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</row>
    <row r="81" spans="1:74" ht="12" customHeight="1" x14ac:dyDescent="0.2">
      <c r="A81" s="4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</row>
    <row r="82" spans="1:74" ht="12" customHeight="1" x14ac:dyDescent="0.2">
      <c r="A82" s="49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</row>
    <row r="83" spans="1:74" ht="12" customHeight="1" x14ac:dyDescent="0.2">
      <c r="A83" s="4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</row>
    <row r="84" spans="1:74" ht="12" customHeight="1" x14ac:dyDescent="0.2">
      <c r="A84" s="49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</row>
    <row r="85" spans="1:74" ht="12" customHeight="1" x14ac:dyDescent="0.2">
      <c r="A85" s="4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</row>
    <row r="86" spans="1:74" ht="12" customHeight="1" x14ac:dyDescent="0.2">
      <c r="A86" s="4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</row>
    <row r="87" spans="1:74" ht="12" customHeight="1" x14ac:dyDescent="0.2">
      <c r="A87" s="4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</row>
    <row r="88" spans="1:74" ht="12" customHeight="1" x14ac:dyDescent="0.2">
      <c r="A88" s="49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</row>
    <row r="89" spans="1:74" ht="12" customHeight="1" x14ac:dyDescent="0.2">
      <c r="A89" s="4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</row>
    <row r="90" spans="1:74" ht="12" customHeight="1" x14ac:dyDescent="0.2">
      <c r="A90" s="4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</row>
    <row r="91" spans="1:74" ht="12" customHeight="1" x14ac:dyDescent="0.2">
      <c r="A91" s="4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</row>
    <row r="92" spans="1:74" ht="12" customHeight="1" x14ac:dyDescent="0.2">
      <c r="A92" s="49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</row>
    <row r="93" spans="1:74" ht="12" customHeight="1" x14ac:dyDescent="0.2">
      <c r="A93" s="4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</row>
    <row r="94" spans="1:74" ht="12" customHeight="1" x14ac:dyDescent="0.2">
      <c r="A94" s="4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</row>
    <row r="95" spans="1:74" ht="12" customHeight="1" x14ac:dyDescent="0.2">
      <c r="A95" s="4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</row>
    <row r="96" spans="1:74" ht="12" customHeight="1" x14ac:dyDescent="0.2">
      <c r="A96" s="4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</row>
    <row r="97" spans="1:74" ht="12" customHeight="1" x14ac:dyDescent="0.2">
      <c r="A97" s="49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</row>
    <row r="98" spans="1:74" ht="12" customHeight="1" x14ac:dyDescent="0.2">
      <c r="A98" s="49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</row>
    <row r="99" spans="1:74" ht="12" customHeight="1" x14ac:dyDescent="0.2">
      <c r="A99" s="4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</row>
    <row r="100" spans="1:74" ht="12" customHeight="1" x14ac:dyDescent="0.2">
      <c r="A100" s="4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</row>
    <row r="101" spans="1:74" ht="12" customHeight="1" x14ac:dyDescent="0.2">
      <c r="A101" s="4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</row>
    <row r="102" spans="1:74" ht="12" customHeight="1" x14ac:dyDescent="0.2">
      <c r="A102" s="4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</row>
    <row r="103" spans="1:74" ht="12" customHeight="1" x14ac:dyDescent="0.2">
      <c r="A103" s="4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</row>
    <row r="104" spans="1:74" ht="12" customHeight="1" x14ac:dyDescent="0.2">
      <c r="A104" s="4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</row>
    <row r="105" spans="1:74" ht="12" customHeight="1" x14ac:dyDescent="0.2">
      <c r="A105" s="4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</row>
    <row r="106" spans="1:74" ht="12" customHeight="1" x14ac:dyDescent="0.2">
      <c r="A106" s="4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</row>
    <row r="107" spans="1:74" ht="12" customHeight="1" x14ac:dyDescent="0.2">
      <c r="A107" s="4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</row>
    <row r="108" spans="1:74" ht="12" customHeight="1" x14ac:dyDescent="0.2">
      <c r="A108" s="4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</row>
    <row r="109" spans="1:74" ht="12" customHeight="1" x14ac:dyDescent="0.2">
      <c r="A109" s="4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</row>
    <row r="110" spans="1:74" ht="12" customHeight="1" x14ac:dyDescent="0.2">
      <c r="A110" s="4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</row>
    <row r="111" spans="1:74" ht="12" customHeight="1" x14ac:dyDescent="0.2">
      <c r="A111" s="4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</row>
    <row r="112" spans="1:74" ht="12" customHeight="1" x14ac:dyDescent="0.2">
      <c r="A112" s="4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</row>
    <row r="113" spans="1:74" ht="12" customHeight="1" x14ac:dyDescent="0.2">
      <c r="A113" s="4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</row>
    <row r="114" spans="1:74" ht="12" customHeight="1" x14ac:dyDescent="0.2">
      <c r="A114" s="4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</row>
    <row r="115" spans="1:74" ht="12" customHeight="1" x14ac:dyDescent="0.2">
      <c r="A115" s="4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</row>
    <row r="116" spans="1:74" ht="12" customHeight="1" x14ac:dyDescent="0.2">
      <c r="A116" s="4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</row>
    <row r="117" spans="1:74" ht="12" customHeight="1" x14ac:dyDescent="0.2">
      <c r="A117" s="4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</row>
    <row r="118" spans="1:74" ht="12" customHeight="1" x14ac:dyDescent="0.2">
      <c r="A118" s="4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</row>
    <row r="119" spans="1:74" ht="12" customHeight="1" x14ac:dyDescent="0.2">
      <c r="A119" s="4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</row>
    <row r="120" spans="1:74" ht="12" customHeight="1" x14ac:dyDescent="0.2">
      <c r="A120" s="4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</row>
    <row r="121" spans="1:74" ht="12" customHeight="1" x14ac:dyDescent="0.2">
      <c r="A121" s="4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</row>
    <row r="122" spans="1:74" ht="12" customHeight="1" x14ac:dyDescent="0.2">
      <c r="A122" s="4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</row>
    <row r="123" spans="1:74" ht="12" customHeight="1" x14ac:dyDescent="0.2">
      <c r="A123" s="4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</row>
    <row r="124" spans="1:74" ht="12" customHeight="1" x14ac:dyDescent="0.2">
      <c r="A124" s="4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</row>
    <row r="125" spans="1:74" ht="12" customHeight="1" x14ac:dyDescent="0.2">
      <c r="A125" s="4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</row>
    <row r="126" spans="1:74" ht="12" customHeight="1" x14ac:dyDescent="0.2">
      <c r="A126" s="4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</row>
    <row r="127" spans="1:74" ht="12" customHeight="1" x14ac:dyDescent="0.2">
      <c r="A127" s="4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</row>
    <row r="128" spans="1:74" ht="12" customHeight="1" x14ac:dyDescent="0.2">
      <c r="A128" s="4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</row>
    <row r="129" spans="1:74" ht="12" customHeight="1" x14ac:dyDescent="0.2">
      <c r="A129" s="4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</row>
    <row r="130" spans="1:74" ht="12" customHeight="1" x14ac:dyDescent="0.2">
      <c r="A130" s="4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</row>
    <row r="131" spans="1:74" ht="12" customHeight="1" x14ac:dyDescent="0.2">
      <c r="A131" s="4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</row>
    <row r="132" spans="1:74" ht="12" customHeight="1" x14ac:dyDescent="0.2">
      <c r="A132" s="4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</row>
    <row r="133" spans="1:74" ht="12" customHeight="1" x14ac:dyDescent="0.2">
      <c r="A133" s="4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</row>
    <row r="134" spans="1:74" ht="12" customHeight="1" x14ac:dyDescent="0.2">
      <c r="A134" s="4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</row>
    <row r="135" spans="1:74" ht="12" customHeight="1" x14ac:dyDescent="0.2">
      <c r="A135" s="4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</row>
    <row r="136" spans="1:74" ht="12" customHeight="1" x14ac:dyDescent="0.2">
      <c r="A136" s="4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</row>
    <row r="137" spans="1:74" ht="12" customHeight="1" x14ac:dyDescent="0.2">
      <c r="A137" s="4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</row>
    <row r="138" spans="1:74" ht="12" customHeight="1" x14ac:dyDescent="0.2">
      <c r="A138" s="4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</row>
    <row r="139" spans="1:74" ht="12" customHeight="1" x14ac:dyDescent="0.2">
      <c r="A139" s="4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</row>
    <row r="140" spans="1:74" ht="12" customHeight="1" x14ac:dyDescent="0.2">
      <c r="A140" s="4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</row>
    <row r="141" spans="1:74" ht="12" customHeight="1" x14ac:dyDescent="0.2">
      <c r="A141" s="4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</row>
    <row r="142" spans="1:74" ht="12" customHeight="1" x14ac:dyDescent="0.2">
      <c r="A142" s="4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</row>
    <row r="143" spans="1:74" ht="12" customHeight="1" x14ac:dyDescent="0.2">
      <c r="A143" s="4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</row>
    <row r="144" spans="1:74" ht="12" customHeight="1" x14ac:dyDescent="0.2">
      <c r="A144" s="4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</row>
    <row r="145" spans="1:74" ht="12" customHeight="1" x14ac:dyDescent="0.2">
      <c r="A145" s="4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</row>
    <row r="146" spans="1:74" ht="12" customHeight="1" x14ac:dyDescent="0.2">
      <c r="A146" s="4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</row>
    <row r="147" spans="1:74" ht="12" customHeight="1" x14ac:dyDescent="0.2">
      <c r="A147" s="4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</row>
    <row r="148" spans="1:74" ht="12" customHeight="1" x14ac:dyDescent="0.2">
      <c r="A148" s="4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</row>
    <row r="149" spans="1:74" ht="12" customHeight="1" x14ac:dyDescent="0.2">
      <c r="A149" s="4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</row>
    <row r="150" spans="1:74" ht="12" customHeight="1" x14ac:dyDescent="0.2">
      <c r="A150" s="4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</row>
    <row r="151" spans="1:74" ht="12" customHeight="1" x14ac:dyDescent="0.2">
      <c r="A151" s="4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</row>
    <row r="152" spans="1:74" ht="12" customHeight="1" x14ac:dyDescent="0.2">
      <c r="A152" s="4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</row>
    <row r="153" spans="1:74" ht="12" customHeight="1" x14ac:dyDescent="0.2">
      <c r="A153" s="4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</row>
    <row r="154" spans="1:74" ht="12" customHeight="1" x14ac:dyDescent="0.2">
      <c r="A154" s="4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</row>
    <row r="155" spans="1:74" ht="12" customHeight="1" x14ac:dyDescent="0.2">
      <c r="A155" s="4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</row>
    <row r="156" spans="1:74" ht="12" customHeight="1" x14ac:dyDescent="0.2">
      <c r="A156" s="4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</row>
    <row r="157" spans="1:74" ht="12" customHeight="1" x14ac:dyDescent="0.2">
      <c r="A157" s="4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</row>
    <row r="158" spans="1:74" ht="12" customHeight="1" x14ac:dyDescent="0.2">
      <c r="A158" s="4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</row>
    <row r="159" spans="1:74" ht="12" customHeight="1" x14ac:dyDescent="0.2">
      <c r="A159" s="4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</row>
    <row r="160" spans="1:74" ht="12" customHeight="1" x14ac:dyDescent="0.2">
      <c r="A160" s="4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</row>
    <row r="161" spans="1:74" ht="12" customHeight="1" x14ac:dyDescent="0.2">
      <c r="A161" s="4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</row>
    <row r="162" spans="1:74" ht="12" customHeight="1" x14ac:dyDescent="0.2">
      <c r="A162" s="4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</row>
    <row r="163" spans="1:74" ht="12" customHeight="1" x14ac:dyDescent="0.2">
      <c r="A163" s="4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</row>
    <row r="164" spans="1:74" ht="12" customHeight="1" x14ac:dyDescent="0.2">
      <c r="A164" s="4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</row>
    <row r="165" spans="1:74" ht="12" customHeight="1" x14ac:dyDescent="0.2">
      <c r="A165" s="4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</row>
    <row r="166" spans="1:74" ht="12" customHeight="1" x14ac:dyDescent="0.2">
      <c r="A166" s="4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</row>
    <row r="167" spans="1:74" ht="12" customHeight="1" x14ac:dyDescent="0.2">
      <c r="A167" s="4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</row>
    <row r="168" spans="1:74" ht="12" customHeight="1" x14ac:dyDescent="0.2">
      <c r="A168" s="4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</row>
    <row r="169" spans="1:74" ht="12" customHeight="1" x14ac:dyDescent="0.2">
      <c r="A169" s="4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</row>
    <row r="170" spans="1:74" ht="12" customHeight="1" x14ac:dyDescent="0.2">
      <c r="A170" s="4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</row>
    <row r="171" spans="1:74" ht="12" customHeight="1" x14ac:dyDescent="0.2">
      <c r="A171" s="4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</row>
    <row r="172" spans="1:74" ht="12" customHeight="1" x14ac:dyDescent="0.2">
      <c r="A172" s="4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</row>
    <row r="173" spans="1:74" ht="12" customHeight="1" x14ac:dyDescent="0.2">
      <c r="A173" s="4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</row>
    <row r="174" spans="1:74" ht="12" customHeight="1" x14ac:dyDescent="0.2">
      <c r="A174" s="4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</row>
    <row r="175" spans="1:74" ht="12" customHeight="1" x14ac:dyDescent="0.2">
      <c r="A175" s="4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</row>
    <row r="176" spans="1:74" ht="12" customHeight="1" x14ac:dyDescent="0.2">
      <c r="A176" s="4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</row>
    <row r="177" spans="1:74" ht="12" customHeight="1" x14ac:dyDescent="0.2">
      <c r="A177" s="4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</row>
    <row r="178" spans="1:74" ht="12" customHeight="1" x14ac:dyDescent="0.2">
      <c r="A178" s="4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</row>
    <row r="179" spans="1:74" ht="12" customHeight="1" x14ac:dyDescent="0.2">
      <c r="A179" s="4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</row>
    <row r="180" spans="1:74" ht="12" customHeight="1" x14ac:dyDescent="0.2">
      <c r="A180" s="4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</row>
    <row r="181" spans="1:74" ht="12" customHeight="1" x14ac:dyDescent="0.2">
      <c r="A181" s="4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</row>
    <row r="182" spans="1:74" ht="12" customHeight="1" x14ac:dyDescent="0.2">
      <c r="A182" s="4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</row>
    <row r="183" spans="1:74" ht="12" customHeight="1" x14ac:dyDescent="0.2">
      <c r="A183" s="4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</row>
    <row r="184" spans="1:74" ht="12" customHeight="1" x14ac:dyDescent="0.2">
      <c r="A184" s="4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</row>
    <row r="185" spans="1:74" ht="12" customHeight="1" x14ac:dyDescent="0.2">
      <c r="A185" s="4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</row>
    <row r="186" spans="1:74" ht="12" customHeight="1" x14ac:dyDescent="0.2">
      <c r="A186" s="4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</row>
    <row r="187" spans="1:74" ht="12" customHeight="1" x14ac:dyDescent="0.2">
      <c r="A187" s="4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</row>
    <row r="188" spans="1:74" ht="12" customHeight="1" x14ac:dyDescent="0.2">
      <c r="A188" s="4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</row>
    <row r="189" spans="1:74" ht="12" customHeight="1" x14ac:dyDescent="0.2">
      <c r="A189" s="4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</row>
    <row r="190" spans="1:74" ht="12" customHeight="1" x14ac:dyDescent="0.2">
      <c r="A190" s="4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</row>
    <row r="191" spans="1:74" ht="12" customHeight="1" x14ac:dyDescent="0.2">
      <c r="A191" s="4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</row>
    <row r="192" spans="1:74" ht="12" customHeight="1" x14ac:dyDescent="0.2">
      <c r="A192" s="4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</row>
    <row r="193" spans="1:74" ht="12" customHeight="1" x14ac:dyDescent="0.2">
      <c r="A193" s="4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</row>
    <row r="194" spans="1:74" ht="12" customHeight="1" x14ac:dyDescent="0.2">
      <c r="A194" s="4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</row>
    <row r="195" spans="1:74" ht="12" customHeight="1" x14ac:dyDescent="0.2">
      <c r="A195" s="4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</row>
    <row r="196" spans="1:74" ht="12" customHeight="1" x14ac:dyDescent="0.2">
      <c r="A196" s="4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</row>
    <row r="197" spans="1:74" ht="12" customHeight="1" x14ac:dyDescent="0.2">
      <c r="A197" s="4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</row>
    <row r="198" spans="1:74" ht="12" customHeight="1" x14ac:dyDescent="0.2">
      <c r="A198" s="4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</row>
    <row r="199" spans="1:74" ht="12" customHeight="1" x14ac:dyDescent="0.2">
      <c r="A199" s="4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</row>
    <row r="200" spans="1:74" ht="12" customHeight="1" x14ac:dyDescent="0.2">
      <c r="A200" s="4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</row>
    <row r="201" spans="1:74" ht="12" customHeight="1" x14ac:dyDescent="0.2">
      <c r="A201" s="49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</row>
    <row r="202" spans="1:74" ht="12" customHeight="1" x14ac:dyDescent="0.2">
      <c r="A202" s="49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</row>
    <row r="203" spans="1:74" ht="12" customHeight="1" x14ac:dyDescent="0.2">
      <c r="A203" s="49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</row>
    <row r="204" spans="1:74" ht="12" customHeight="1" x14ac:dyDescent="0.2">
      <c r="A204" s="49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</row>
    <row r="205" spans="1:74" ht="12" customHeight="1" x14ac:dyDescent="0.2">
      <c r="A205" s="49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</row>
    <row r="206" spans="1:74" ht="12" customHeight="1" x14ac:dyDescent="0.2">
      <c r="A206" s="4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</row>
    <row r="207" spans="1:74" ht="12" customHeight="1" x14ac:dyDescent="0.2">
      <c r="A207" s="49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</row>
    <row r="208" spans="1:74" ht="12" customHeight="1" x14ac:dyDescent="0.2">
      <c r="A208" s="49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</row>
    <row r="209" spans="1:74" ht="12" customHeight="1" x14ac:dyDescent="0.2">
      <c r="A209" s="49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</row>
    <row r="210" spans="1:74" ht="12" customHeight="1" x14ac:dyDescent="0.2">
      <c r="A210" s="4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</row>
    <row r="211" spans="1:74" ht="12" customHeight="1" x14ac:dyDescent="0.2">
      <c r="A211" s="49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</row>
    <row r="212" spans="1:74" ht="12" customHeight="1" x14ac:dyDescent="0.2">
      <c r="A212" s="49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</row>
    <row r="213" spans="1:74" ht="12" customHeight="1" x14ac:dyDescent="0.2">
      <c r="A213" s="49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</row>
    <row r="214" spans="1:74" ht="12" customHeight="1" x14ac:dyDescent="0.2">
      <c r="A214" s="49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</row>
    <row r="215" spans="1:74" ht="12" customHeight="1" x14ac:dyDescent="0.2">
      <c r="A215" s="49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</row>
    <row r="216" spans="1:74" ht="12" customHeight="1" x14ac:dyDescent="0.2">
      <c r="A216" s="49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</row>
    <row r="217" spans="1:74" ht="12" customHeight="1" x14ac:dyDescent="0.2">
      <c r="A217" s="49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</row>
    <row r="218" spans="1:74" ht="12" customHeight="1" x14ac:dyDescent="0.2">
      <c r="A218" s="49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</row>
    <row r="219" spans="1:74" ht="12" customHeight="1" x14ac:dyDescent="0.2">
      <c r="A219" s="4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</row>
    <row r="220" spans="1:74" ht="12" customHeight="1" x14ac:dyDescent="0.2">
      <c r="A220" s="4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</row>
    <row r="221" spans="1:74" ht="12" customHeight="1" x14ac:dyDescent="0.2">
      <c r="A221" s="4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</row>
    <row r="222" spans="1:74" ht="12" customHeight="1" x14ac:dyDescent="0.2">
      <c r="A222" s="49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</row>
    <row r="223" spans="1:74" ht="12" customHeight="1" x14ac:dyDescent="0.2">
      <c r="A223" s="4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</row>
    <row r="224" spans="1:74" ht="12" customHeight="1" x14ac:dyDescent="0.2">
      <c r="A224" s="4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</row>
    <row r="225" spans="1:74" ht="12" customHeight="1" x14ac:dyDescent="0.2">
      <c r="A225" s="4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</row>
    <row r="226" spans="1:74" ht="12" customHeight="1" x14ac:dyDescent="0.2">
      <c r="A226" s="49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</row>
    <row r="227" spans="1:74" ht="12" customHeight="1" x14ac:dyDescent="0.2">
      <c r="A227" s="49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</row>
    <row r="228" spans="1:74" ht="12" customHeight="1" x14ac:dyDescent="0.2">
      <c r="A228" s="4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</row>
    <row r="229" spans="1:74" ht="12" customHeight="1" x14ac:dyDescent="0.2">
      <c r="A229" s="4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</row>
    <row r="230" spans="1:74" ht="12" customHeight="1" x14ac:dyDescent="0.2">
      <c r="A230" s="4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</row>
    <row r="231" spans="1:74" ht="12" customHeight="1" x14ac:dyDescent="0.2">
      <c r="A231" s="4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</row>
    <row r="232" spans="1:74" ht="12" customHeight="1" x14ac:dyDescent="0.2">
      <c r="A232" s="4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</row>
    <row r="233" spans="1:74" ht="12" customHeight="1" x14ac:dyDescent="0.2">
      <c r="A233" s="49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</row>
    <row r="234" spans="1:74" ht="12" customHeight="1" x14ac:dyDescent="0.2">
      <c r="A234" s="4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</row>
    <row r="235" spans="1:74" ht="12" customHeight="1" x14ac:dyDescent="0.2">
      <c r="A235" s="4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</row>
    <row r="236" spans="1:74" ht="12" customHeight="1" x14ac:dyDescent="0.2">
      <c r="A236" s="49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</row>
    <row r="237" spans="1:74" ht="12" customHeight="1" x14ac:dyDescent="0.2">
      <c r="A237" s="4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</row>
    <row r="238" spans="1:74" ht="12" customHeight="1" x14ac:dyDescent="0.2">
      <c r="A238" s="4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</row>
    <row r="239" spans="1:74" ht="12" customHeight="1" x14ac:dyDescent="0.2">
      <c r="A239" s="4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</row>
    <row r="240" spans="1:74" ht="12" customHeight="1" x14ac:dyDescent="0.2">
      <c r="A240" s="49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</row>
    <row r="241" spans="1:74" ht="12" customHeight="1" x14ac:dyDescent="0.2">
      <c r="A241" s="4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</row>
    <row r="242" spans="1:74" ht="12" customHeight="1" x14ac:dyDescent="0.2">
      <c r="A242" s="4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</row>
    <row r="243" spans="1:74" ht="12" customHeight="1" x14ac:dyDescent="0.2">
      <c r="A243" s="49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</row>
    <row r="244" spans="1:74" ht="12" customHeight="1" x14ac:dyDescent="0.2">
      <c r="A244" s="4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</row>
    <row r="245" spans="1:74" ht="12" customHeight="1" x14ac:dyDescent="0.2">
      <c r="A245" s="4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</row>
    <row r="246" spans="1:74" ht="12" customHeight="1" x14ac:dyDescent="0.2">
      <c r="A246" s="4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</row>
    <row r="247" spans="1:74" ht="12" customHeight="1" x14ac:dyDescent="0.2">
      <c r="A247" s="4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</row>
    <row r="248" spans="1:74" ht="12" customHeight="1" x14ac:dyDescent="0.2">
      <c r="A248" s="4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</row>
    <row r="249" spans="1:74" ht="12" customHeight="1" x14ac:dyDescent="0.2">
      <c r="A249" s="49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</row>
    <row r="250" spans="1:74" ht="12" customHeight="1" x14ac:dyDescent="0.2">
      <c r="A250" s="4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</row>
    <row r="251" spans="1:74" ht="12" customHeight="1" x14ac:dyDescent="0.2">
      <c r="A251" s="4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</row>
    <row r="252" spans="1:74" ht="12" customHeight="1" x14ac:dyDescent="0.2">
      <c r="A252" s="4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</row>
    <row r="253" spans="1:74" ht="12" customHeight="1" x14ac:dyDescent="0.2">
      <c r="A253" s="49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</row>
    <row r="254" spans="1:74" ht="12" customHeight="1" x14ac:dyDescent="0.2">
      <c r="A254" s="4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</row>
    <row r="255" spans="1:74" ht="12" customHeight="1" x14ac:dyDescent="0.2">
      <c r="A255" s="4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</row>
    <row r="256" spans="1:74" ht="12" customHeight="1" x14ac:dyDescent="0.2">
      <c r="A256" s="4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</row>
    <row r="257" spans="1:74" ht="12" customHeight="1" x14ac:dyDescent="0.2">
      <c r="A257" s="4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</row>
    <row r="258" spans="1:74" ht="12" customHeight="1" x14ac:dyDescent="0.2">
      <c r="A258" s="4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</row>
    <row r="259" spans="1:74" ht="12" customHeight="1" x14ac:dyDescent="0.2">
      <c r="A259" s="49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</row>
    <row r="260" spans="1:74" ht="12" customHeight="1" x14ac:dyDescent="0.2">
      <c r="A260" s="49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</row>
    <row r="261" spans="1:74" ht="12" customHeight="1" x14ac:dyDescent="0.2">
      <c r="A261" s="49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</row>
    <row r="262" spans="1:74" ht="12" customHeight="1" x14ac:dyDescent="0.2">
      <c r="A262" s="4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</row>
    <row r="263" spans="1:74" ht="12" customHeight="1" x14ac:dyDescent="0.2">
      <c r="A263" s="4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</row>
    <row r="264" spans="1:74" ht="12" customHeight="1" x14ac:dyDescent="0.2">
      <c r="A264" s="49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</row>
    <row r="265" spans="1:74" ht="12" customHeight="1" x14ac:dyDescent="0.2">
      <c r="A265" s="4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</row>
    <row r="266" spans="1:74" ht="12" customHeight="1" x14ac:dyDescent="0.2">
      <c r="A266" s="4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</row>
    <row r="267" spans="1:74" ht="12" customHeight="1" x14ac:dyDescent="0.2">
      <c r="A267" s="4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</row>
    <row r="268" spans="1:74" ht="12" customHeight="1" x14ac:dyDescent="0.2">
      <c r="A268" s="4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</row>
    <row r="269" spans="1:74" ht="12" customHeight="1" x14ac:dyDescent="0.2">
      <c r="A269" s="49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</row>
    <row r="270" spans="1:74" ht="12" customHeight="1" x14ac:dyDescent="0.2">
      <c r="A270" s="4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</row>
    <row r="271" spans="1:74" ht="12" customHeight="1" x14ac:dyDescent="0.2">
      <c r="A271" s="49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</row>
    <row r="272" spans="1:74" ht="12" customHeight="1" x14ac:dyDescent="0.2">
      <c r="A272" s="4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</row>
    <row r="273" spans="1:74" ht="12" customHeight="1" x14ac:dyDescent="0.2">
      <c r="A273" s="4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</row>
    <row r="274" spans="1:74" ht="12" customHeight="1" x14ac:dyDescent="0.2">
      <c r="A274" s="4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</row>
    <row r="275" spans="1:74" ht="12" customHeight="1" x14ac:dyDescent="0.2">
      <c r="A275" s="4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</row>
    <row r="276" spans="1:74" ht="12" customHeight="1" x14ac:dyDescent="0.2">
      <c r="A276" s="4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</row>
    <row r="277" spans="1:74" ht="12" customHeight="1" x14ac:dyDescent="0.2">
      <c r="A277" s="49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</row>
    <row r="278" spans="1:74" ht="12" customHeight="1" x14ac:dyDescent="0.2">
      <c r="A278" s="4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</row>
    <row r="279" spans="1:74" ht="12" customHeight="1" x14ac:dyDescent="0.2">
      <c r="A279" s="4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</row>
    <row r="280" spans="1:74" ht="12" customHeight="1" x14ac:dyDescent="0.2">
      <c r="A280" s="4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</row>
    <row r="281" spans="1:74" ht="12" customHeight="1" x14ac:dyDescent="0.2">
      <c r="A281" s="49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</row>
    <row r="282" spans="1:74" ht="12" customHeight="1" x14ac:dyDescent="0.2">
      <c r="A282" s="4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</row>
    <row r="283" spans="1:74" ht="12" customHeight="1" x14ac:dyDescent="0.2">
      <c r="A283" s="4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</row>
    <row r="284" spans="1:74" ht="12" customHeight="1" x14ac:dyDescent="0.2">
      <c r="A284" s="4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</row>
    <row r="285" spans="1:74" ht="12" customHeight="1" x14ac:dyDescent="0.2">
      <c r="A285" s="4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</row>
    <row r="286" spans="1:74" ht="12" customHeight="1" x14ac:dyDescent="0.2">
      <c r="A286" s="4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</row>
    <row r="287" spans="1:74" ht="12" customHeight="1" x14ac:dyDescent="0.2">
      <c r="A287" s="4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</row>
    <row r="288" spans="1:74" ht="12" customHeight="1" x14ac:dyDescent="0.2">
      <c r="A288" s="4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</row>
    <row r="289" spans="1:74" ht="12" customHeight="1" x14ac:dyDescent="0.2">
      <c r="A289" s="4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</row>
    <row r="290" spans="1:74" ht="12" customHeight="1" x14ac:dyDescent="0.2">
      <c r="A290" s="49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</row>
    <row r="291" spans="1:74" ht="12" customHeight="1" x14ac:dyDescent="0.2">
      <c r="A291" s="49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</row>
    <row r="292" spans="1:74" ht="12" customHeight="1" x14ac:dyDescent="0.2">
      <c r="A292" s="49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</row>
    <row r="293" spans="1:74" ht="12" customHeight="1" x14ac:dyDescent="0.2">
      <c r="A293" s="49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</row>
    <row r="294" spans="1:74" ht="12" customHeight="1" x14ac:dyDescent="0.2">
      <c r="A294" s="49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</row>
    <row r="295" spans="1:74" ht="12" customHeight="1" x14ac:dyDescent="0.2">
      <c r="A295" s="49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</row>
    <row r="296" spans="1:74" ht="12" customHeight="1" x14ac:dyDescent="0.2">
      <c r="A296" s="49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</row>
    <row r="297" spans="1:74" ht="12" customHeight="1" x14ac:dyDescent="0.2">
      <c r="A297" s="49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</row>
    <row r="298" spans="1:74" ht="12" customHeight="1" x14ac:dyDescent="0.2">
      <c r="A298" s="49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</row>
    <row r="299" spans="1:74" ht="12" customHeight="1" x14ac:dyDescent="0.2">
      <c r="A299" s="49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</row>
    <row r="300" spans="1:74" ht="12" customHeight="1" x14ac:dyDescent="0.2">
      <c r="A300" s="49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</row>
    <row r="301" spans="1:74" ht="12" customHeight="1" x14ac:dyDescent="0.2">
      <c r="A301" s="49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</row>
    <row r="302" spans="1:74" ht="12" customHeight="1" x14ac:dyDescent="0.2">
      <c r="A302" s="4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</row>
    <row r="303" spans="1:74" ht="12" customHeight="1" x14ac:dyDescent="0.2">
      <c r="A303" s="49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</row>
    <row r="304" spans="1:74" ht="12" customHeight="1" x14ac:dyDescent="0.2">
      <c r="A304" s="49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</row>
    <row r="305" spans="1:74" ht="12" customHeight="1" x14ac:dyDescent="0.2">
      <c r="A305" s="4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</row>
    <row r="306" spans="1:74" ht="12" customHeight="1" x14ac:dyDescent="0.2">
      <c r="A306" s="4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</row>
    <row r="307" spans="1:74" ht="12" customHeight="1" x14ac:dyDescent="0.2">
      <c r="A307" s="4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</row>
    <row r="308" spans="1:74" ht="12" customHeight="1" x14ac:dyDescent="0.2">
      <c r="A308" s="4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</row>
    <row r="309" spans="1:74" ht="12" customHeight="1" x14ac:dyDescent="0.2">
      <c r="A309" s="4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</row>
    <row r="310" spans="1:74" ht="12" customHeight="1" x14ac:dyDescent="0.2">
      <c r="A310" s="4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</row>
    <row r="311" spans="1:74" ht="12" customHeight="1" x14ac:dyDescent="0.2">
      <c r="A311" s="4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</row>
    <row r="312" spans="1:74" ht="12" customHeight="1" x14ac:dyDescent="0.2">
      <c r="A312" s="4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</row>
    <row r="313" spans="1:74" ht="12" customHeight="1" x14ac:dyDescent="0.2">
      <c r="A313" s="4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</row>
    <row r="314" spans="1:74" ht="12" customHeight="1" x14ac:dyDescent="0.2">
      <c r="A314" s="4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</row>
    <row r="315" spans="1:74" ht="12" customHeight="1" x14ac:dyDescent="0.2">
      <c r="A315" s="4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</row>
    <row r="316" spans="1:74" ht="12" customHeight="1" x14ac:dyDescent="0.2">
      <c r="A316" s="4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</row>
    <row r="317" spans="1:74" ht="12" customHeight="1" x14ac:dyDescent="0.2">
      <c r="A317" s="4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</row>
    <row r="318" spans="1:74" ht="12" customHeight="1" x14ac:dyDescent="0.2">
      <c r="A318" s="4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</row>
    <row r="319" spans="1:74" ht="12" customHeight="1" x14ac:dyDescent="0.2">
      <c r="A319" s="4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</row>
    <row r="320" spans="1:74" ht="12" customHeight="1" x14ac:dyDescent="0.2">
      <c r="A320" s="4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</row>
    <row r="321" spans="1:74" ht="12" customHeight="1" x14ac:dyDescent="0.2">
      <c r="A321" s="4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</row>
    <row r="322" spans="1:74" ht="12" customHeight="1" x14ac:dyDescent="0.2">
      <c r="A322" s="4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</row>
    <row r="323" spans="1:74" ht="12" customHeight="1" x14ac:dyDescent="0.2">
      <c r="A323" s="4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</row>
    <row r="324" spans="1:74" ht="12" customHeight="1" x14ac:dyDescent="0.2">
      <c r="A324" s="4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</row>
    <row r="325" spans="1:74" ht="12" customHeight="1" x14ac:dyDescent="0.2">
      <c r="A325" s="4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</row>
    <row r="326" spans="1:74" ht="12" customHeight="1" x14ac:dyDescent="0.2">
      <c r="A326" s="4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</row>
    <row r="327" spans="1:74" ht="12" customHeight="1" x14ac:dyDescent="0.2">
      <c r="A327" s="4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</row>
    <row r="328" spans="1:74" ht="12" customHeight="1" x14ac:dyDescent="0.2">
      <c r="A328" s="4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</row>
    <row r="329" spans="1:74" ht="12" customHeight="1" x14ac:dyDescent="0.2">
      <c r="A329" s="4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</row>
    <row r="330" spans="1:74" ht="12" customHeight="1" x14ac:dyDescent="0.2">
      <c r="A330" s="4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</row>
    <row r="331" spans="1:74" ht="12" customHeight="1" x14ac:dyDescent="0.2">
      <c r="A331" s="4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</row>
    <row r="332" spans="1:74" ht="12" customHeight="1" x14ac:dyDescent="0.2">
      <c r="A332" s="4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</row>
    <row r="333" spans="1:74" ht="12" customHeight="1" x14ac:dyDescent="0.2">
      <c r="A333" s="4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</row>
    <row r="334" spans="1:74" ht="12" customHeight="1" x14ac:dyDescent="0.2">
      <c r="A334" s="4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</row>
    <row r="335" spans="1:74" ht="12" customHeight="1" x14ac:dyDescent="0.2">
      <c r="A335" s="4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</row>
    <row r="336" spans="1:74" ht="12" customHeight="1" x14ac:dyDescent="0.2">
      <c r="A336" s="4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</row>
    <row r="337" spans="1:74" ht="12" customHeight="1" x14ac:dyDescent="0.2">
      <c r="A337" s="4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</row>
    <row r="338" spans="1:74" ht="12" customHeight="1" x14ac:dyDescent="0.2">
      <c r="A338" s="4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</row>
    <row r="339" spans="1:74" ht="12" customHeight="1" x14ac:dyDescent="0.2">
      <c r="A339" s="4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</row>
    <row r="340" spans="1:74" ht="12" customHeight="1" x14ac:dyDescent="0.2">
      <c r="A340" s="4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</row>
    <row r="341" spans="1:74" ht="12" customHeight="1" x14ac:dyDescent="0.2">
      <c r="A341" s="4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</row>
    <row r="342" spans="1:74" ht="12" customHeight="1" x14ac:dyDescent="0.2">
      <c r="A342" s="4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</row>
    <row r="343" spans="1:74" ht="12" customHeight="1" x14ac:dyDescent="0.2">
      <c r="A343" s="4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</row>
    <row r="344" spans="1:74" ht="12" customHeight="1" x14ac:dyDescent="0.2">
      <c r="A344" s="4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</row>
    <row r="345" spans="1:74" ht="12" customHeight="1" x14ac:dyDescent="0.2">
      <c r="A345" s="4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</row>
    <row r="346" spans="1:74" ht="12" customHeight="1" x14ac:dyDescent="0.2">
      <c r="A346" s="4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</row>
    <row r="347" spans="1:74" ht="12" customHeight="1" x14ac:dyDescent="0.2">
      <c r="A347" s="4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</row>
    <row r="348" spans="1:74" ht="12" customHeight="1" x14ac:dyDescent="0.2">
      <c r="A348" s="4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</row>
    <row r="349" spans="1:74" ht="12" customHeight="1" x14ac:dyDescent="0.2">
      <c r="A349" s="4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</row>
    <row r="350" spans="1:74" ht="12" customHeight="1" x14ac:dyDescent="0.2">
      <c r="A350" s="4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</row>
    <row r="351" spans="1:74" ht="12" customHeight="1" x14ac:dyDescent="0.2">
      <c r="A351" s="4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</row>
    <row r="352" spans="1:74" ht="12" customHeight="1" x14ac:dyDescent="0.2">
      <c r="A352" s="4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</row>
    <row r="353" spans="1:74" ht="12" customHeight="1" x14ac:dyDescent="0.2">
      <c r="A353" s="4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</row>
    <row r="354" spans="1:74" ht="12" customHeight="1" x14ac:dyDescent="0.2">
      <c r="A354" s="4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</row>
    <row r="355" spans="1:74" ht="12" customHeight="1" x14ac:dyDescent="0.2">
      <c r="A355" s="4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</row>
    <row r="356" spans="1:74" ht="12" customHeight="1" x14ac:dyDescent="0.2">
      <c r="A356" s="4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</row>
    <row r="357" spans="1:74" ht="12" customHeight="1" x14ac:dyDescent="0.2">
      <c r="A357" s="4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</row>
    <row r="358" spans="1:74" ht="12" customHeight="1" x14ac:dyDescent="0.2">
      <c r="A358" s="4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</row>
    <row r="359" spans="1:74" ht="12" customHeight="1" x14ac:dyDescent="0.2">
      <c r="A359" s="4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</row>
    <row r="360" spans="1:74" ht="12" customHeight="1" x14ac:dyDescent="0.2">
      <c r="A360" s="4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</row>
    <row r="361" spans="1:74" ht="12" customHeight="1" x14ac:dyDescent="0.2">
      <c r="A361" s="49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</row>
    <row r="362" spans="1:74" ht="12" customHeight="1" x14ac:dyDescent="0.2">
      <c r="A362" s="4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</row>
    <row r="363" spans="1:74" ht="12" customHeight="1" x14ac:dyDescent="0.2">
      <c r="A363" s="4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</row>
    <row r="364" spans="1:74" ht="12" customHeight="1" x14ac:dyDescent="0.2">
      <c r="A364" s="4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</row>
    <row r="365" spans="1:74" ht="12" customHeight="1" x14ac:dyDescent="0.2">
      <c r="A365" s="4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</row>
    <row r="366" spans="1:74" ht="12" customHeight="1" x14ac:dyDescent="0.2">
      <c r="A366" s="4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</row>
    <row r="367" spans="1:74" ht="12" customHeight="1" x14ac:dyDescent="0.2">
      <c r="A367" s="49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</row>
    <row r="368" spans="1:74" ht="12" customHeight="1" x14ac:dyDescent="0.2">
      <c r="A368" s="4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</row>
    <row r="369" spans="1:74" ht="12" customHeight="1" x14ac:dyDescent="0.2">
      <c r="A369" s="4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</row>
    <row r="370" spans="1:74" ht="12" customHeight="1" x14ac:dyDescent="0.2">
      <c r="A370" s="4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</row>
    <row r="371" spans="1:74" ht="12" customHeight="1" x14ac:dyDescent="0.2">
      <c r="A371" s="4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</row>
    <row r="372" spans="1:74" ht="12" customHeight="1" x14ac:dyDescent="0.2">
      <c r="A372" s="4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</row>
    <row r="373" spans="1:74" ht="12" customHeight="1" x14ac:dyDescent="0.2">
      <c r="A373" s="4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</row>
    <row r="374" spans="1:74" ht="12" customHeight="1" x14ac:dyDescent="0.2">
      <c r="A374" s="49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</row>
    <row r="375" spans="1:74" ht="12" customHeight="1" x14ac:dyDescent="0.2">
      <c r="A375" s="49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</row>
    <row r="376" spans="1:74" ht="12" customHeight="1" x14ac:dyDescent="0.2">
      <c r="A376" s="4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</row>
    <row r="377" spans="1:74" ht="12" customHeight="1" x14ac:dyDescent="0.2">
      <c r="A377" s="4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</row>
    <row r="378" spans="1:74" ht="12" customHeight="1" x14ac:dyDescent="0.2">
      <c r="A378" s="4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</row>
    <row r="379" spans="1:74" ht="12" customHeight="1" x14ac:dyDescent="0.2">
      <c r="A379" s="4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</row>
    <row r="380" spans="1:74" ht="12" customHeight="1" x14ac:dyDescent="0.2">
      <c r="A380" s="4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</row>
    <row r="381" spans="1:74" ht="12" customHeight="1" x14ac:dyDescent="0.2">
      <c r="A381" s="4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</row>
    <row r="382" spans="1:74" ht="12" customHeight="1" x14ac:dyDescent="0.2">
      <c r="A382" s="4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</row>
    <row r="383" spans="1:74" ht="12" customHeight="1" x14ac:dyDescent="0.2">
      <c r="A383" s="4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</row>
    <row r="384" spans="1:74" ht="12" customHeight="1" x14ac:dyDescent="0.2">
      <c r="A384" s="4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</row>
    <row r="385" spans="1:74" ht="12" customHeight="1" x14ac:dyDescent="0.2">
      <c r="A385" s="4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</row>
    <row r="386" spans="1:74" ht="12" customHeight="1" x14ac:dyDescent="0.2">
      <c r="A386" s="4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</row>
    <row r="387" spans="1:74" ht="12" customHeight="1" x14ac:dyDescent="0.2">
      <c r="A387" s="4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</row>
    <row r="388" spans="1:74" ht="12" customHeight="1" x14ac:dyDescent="0.2">
      <c r="A388" s="4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</row>
    <row r="389" spans="1:74" ht="12" customHeight="1" x14ac:dyDescent="0.2">
      <c r="A389" s="4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</row>
    <row r="390" spans="1:74" ht="12" customHeight="1" x14ac:dyDescent="0.2">
      <c r="A390" s="4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</row>
    <row r="391" spans="1:74" ht="12" customHeight="1" x14ac:dyDescent="0.2">
      <c r="A391" s="4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</row>
    <row r="392" spans="1:74" ht="12" customHeight="1" x14ac:dyDescent="0.2">
      <c r="A392" s="4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</row>
    <row r="393" spans="1:74" ht="12" customHeight="1" x14ac:dyDescent="0.2">
      <c r="A393" s="4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</row>
    <row r="394" spans="1:74" ht="12" customHeight="1" x14ac:dyDescent="0.2">
      <c r="A394" s="4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</row>
    <row r="395" spans="1:74" ht="12" customHeight="1" x14ac:dyDescent="0.2">
      <c r="A395" s="4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</row>
    <row r="396" spans="1:74" ht="12" customHeight="1" x14ac:dyDescent="0.2">
      <c r="A396" s="4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</row>
    <row r="397" spans="1:74" ht="12" customHeight="1" x14ac:dyDescent="0.2">
      <c r="A397" s="4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</row>
    <row r="398" spans="1:74" ht="12" customHeight="1" x14ac:dyDescent="0.2">
      <c r="A398" s="4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</row>
    <row r="399" spans="1:74" ht="12" customHeight="1" x14ac:dyDescent="0.2">
      <c r="A399" s="4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</row>
    <row r="400" spans="1:74" ht="12" customHeight="1" x14ac:dyDescent="0.2">
      <c r="A400" s="4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</row>
    <row r="401" spans="1:74" ht="12" customHeight="1" x14ac:dyDescent="0.2">
      <c r="A401" s="4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</row>
    <row r="402" spans="1:74" ht="12" customHeight="1" x14ac:dyDescent="0.2">
      <c r="A402" s="4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</row>
    <row r="403" spans="1:74" ht="12" customHeight="1" x14ac:dyDescent="0.2">
      <c r="A403" s="4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</row>
    <row r="404" spans="1:74" ht="12" customHeight="1" x14ac:dyDescent="0.2">
      <c r="A404" s="4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</row>
    <row r="405" spans="1:74" ht="12" customHeight="1" x14ac:dyDescent="0.2">
      <c r="A405" s="4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</row>
    <row r="406" spans="1:74" ht="12" customHeight="1" x14ac:dyDescent="0.2">
      <c r="A406" s="4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</row>
    <row r="407" spans="1:74" ht="12" customHeight="1" x14ac:dyDescent="0.2">
      <c r="A407" s="4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</row>
    <row r="408" spans="1:74" ht="12" customHeight="1" x14ac:dyDescent="0.2">
      <c r="A408" s="49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</row>
    <row r="409" spans="1:74" ht="12" customHeight="1" x14ac:dyDescent="0.2">
      <c r="A409" s="4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</row>
    <row r="410" spans="1:74" ht="12" customHeight="1" x14ac:dyDescent="0.2">
      <c r="A410" s="4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</row>
    <row r="411" spans="1:74" ht="12" customHeight="1" x14ac:dyDescent="0.2">
      <c r="A411" s="49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</row>
    <row r="412" spans="1:74" ht="12" customHeight="1" x14ac:dyDescent="0.2">
      <c r="A412" s="49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</row>
    <row r="413" spans="1:74" ht="12" customHeight="1" x14ac:dyDescent="0.2">
      <c r="A413" s="49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</row>
    <row r="414" spans="1:74" ht="12" customHeight="1" x14ac:dyDescent="0.2">
      <c r="A414" s="49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</row>
    <row r="415" spans="1:74" ht="12" customHeight="1" x14ac:dyDescent="0.2">
      <c r="A415" s="49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</row>
    <row r="416" spans="1:74" ht="12" customHeight="1" x14ac:dyDescent="0.2">
      <c r="A416" s="49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</row>
    <row r="417" spans="1:74" ht="12" customHeight="1" x14ac:dyDescent="0.2">
      <c r="A417" s="49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</row>
    <row r="418" spans="1:74" ht="12" customHeight="1" x14ac:dyDescent="0.2">
      <c r="A418" s="49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</row>
    <row r="419" spans="1:74" ht="12" customHeight="1" x14ac:dyDescent="0.2">
      <c r="A419" s="49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</row>
    <row r="420" spans="1:74" ht="12" customHeight="1" x14ac:dyDescent="0.2">
      <c r="A420" s="49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</row>
    <row r="421" spans="1:74" ht="12" customHeight="1" x14ac:dyDescent="0.2">
      <c r="A421" s="49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</row>
    <row r="422" spans="1:74" ht="12" customHeight="1" x14ac:dyDescent="0.2">
      <c r="A422" s="49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</row>
    <row r="423" spans="1:74" ht="12" customHeight="1" x14ac:dyDescent="0.2">
      <c r="A423" s="49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</row>
    <row r="424" spans="1:74" ht="12" customHeight="1" x14ac:dyDescent="0.2">
      <c r="A424" s="49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</row>
    <row r="425" spans="1:74" ht="12" customHeight="1" x14ac:dyDescent="0.2">
      <c r="A425" s="49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</row>
    <row r="426" spans="1:74" ht="12" customHeight="1" x14ac:dyDescent="0.2">
      <c r="A426" s="49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</row>
    <row r="427" spans="1:74" ht="12" customHeight="1" x14ac:dyDescent="0.2">
      <c r="A427" s="49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</row>
    <row r="428" spans="1:74" ht="12" customHeight="1" x14ac:dyDescent="0.2">
      <c r="A428" s="49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</row>
    <row r="429" spans="1:74" ht="12" customHeight="1" x14ac:dyDescent="0.2">
      <c r="A429" s="49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</row>
    <row r="430" spans="1:74" ht="12" customHeight="1" x14ac:dyDescent="0.2">
      <c r="A430" s="49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</row>
    <row r="431" spans="1:74" ht="12" customHeight="1" x14ac:dyDescent="0.2">
      <c r="A431" s="49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</row>
    <row r="432" spans="1:74" ht="12" customHeight="1" x14ac:dyDescent="0.2">
      <c r="A432" s="49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</row>
    <row r="433" spans="1:74" ht="12" customHeight="1" x14ac:dyDescent="0.2">
      <c r="A433" s="49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</row>
    <row r="434" spans="1:74" ht="12" customHeight="1" x14ac:dyDescent="0.2">
      <c r="A434" s="49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</row>
    <row r="435" spans="1:74" ht="12" customHeight="1" x14ac:dyDescent="0.2">
      <c r="A435" s="49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</row>
    <row r="436" spans="1:74" ht="12" customHeight="1" x14ac:dyDescent="0.2">
      <c r="A436" s="49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</row>
    <row r="437" spans="1:74" ht="12" customHeight="1" x14ac:dyDescent="0.2">
      <c r="A437" s="49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</row>
    <row r="438" spans="1:74" ht="12" customHeight="1" x14ac:dyDescent="0.2">
      <c r="A438" s="49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</row>
    <row r="439" spans="1:74" ht="12" customHeight="1" x14ac:dyDescent="0.2">
      <c r="A439" s="49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</row>
    <row r="440" spans="1:74" ht="12" customHeight="1" x14ac:dyDescent="0.2">
      <c r="A440" s="49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</row>
    <row r="441" spans="1:74" ht="12" customHeight="1" x14ac:dyDescent="0.2">
      <c r="A441" s="49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</row>
    <row r="442" spans="1:74" ht="12" customHeight="1" x14ac:dyDescent="0.2">
      <c r="A442" s="49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</row>
    <row r="443" spans="1:74" ht="12" customHeight="1" x14ac:dyDescent="0.2">
      <c r="A443" s="49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</row>
    <row r="444" spans="1:74" ht="12" customHeight="1" x14ac:dyDescent="0.2">
      <c r="A444" s="49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</row>
    <row r="445" spans="1:74" ht="12" customHeight="1" x14ac:dyDescent="0.2">
      <c r="A445" s="49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</row>
    <row r="446" spans="1:74" ht="12" customHeight="1" x14ac:dyDescent="0.2">
      <c r="A446" s="49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</row>
    <row r="447" spans="1:74" ht="12" customHeight="1" x14ac:dyDescent="0.2">
      <c r="A447" s="49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</row>
    <row r="448" spans="1:74" ht="12" customHeight="1" x14ac:dyDescent="0.2">
      <c r="A448" s="49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</row>
    <row r="449" spans="1:74" ht="12" customHeight="1" x14ac:dyDescent="0.2">
      <c r="A449" s="49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</row>
    <row r="450" spans="1:74" ht="12" customHeight="1" x14ac:dyDescent="0.2">
      <c r="A450" s="49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</row>
    <row r="451" spans="1:74" ht="12" customHeight="1" x14ac:dyDescent="0.2">
      <c r="A451" s="49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</row>
    <row r="452" spans="1:74" ht="12" customHeight="1" x14ac:dyDescent="0.2">
      <c r="A452" s="49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</row>
    <row r="453" spans="1:74" ht="12" customHeight="1" x14ac:dyDescent="0.2">
      <c r="A453" s="49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</row>
    <row r="454" spans="1:74" ht="12" customHeight="1" x14ac:dyDescent="0.2">
      <c r="A454" s="49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</row>
    <row r="455" spans="1:74" ht="12" customHeight="1" x14ac:dyDescent="0.2">
      <c r="A455" s="49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</row>
    <row r="456" spans="1:74" ht="12" customHeight="1" x14ac:dyDescent="0.2">
      <c r="A456" s="49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</row>
    <row r="457" spans="1:74" ht="12" customHeight="1" x14ac:dyDescent="0.2">
      <c r="A457" s="49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</row>
    <row r="458" spans="1:74" ht="12" customHeight="1" x14ac:dyDescent="0.2">
      <c r="A458" s="49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</row>
    <row r="459" spans="1:74" ht="12" customHeight="1" x14ac:dyDescent="0.2">
      <c r="A459" s="49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</row>
    <row r="460" spans="1:74" ht="12" customHeight="1" x14ac:dyDescent="0.2">
      <c r="A460" s="49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</row>
    <row r="461" spans="1:74" ht="12" customHeight="1" x14ac:dyDescent="0.2">
      <c r="A461" s="49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</row>
    <row r="462" spans="1:74" ht="12" customHeight="1" x14ac:dyDescent="0.2">
      <c r="A462" s="49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</row>
    <row r="463" spans="1:74" ht="12" customHeight="1" x14ac:dyDescent="0.2">
      <c r="A463" s="49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</row>
    <row r="464" spans="1:74" ht="12" customHeight="1" x14ac:dyDescent="0.2">
      <c r="A464" s="49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</row>
    <row r="465" spans="1:74" ht="12" customHeight="1" x14ac:dyDescent="0.2">
      <c r="A465" s="49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</row>
    <row r="466" spans="1:74" ht="12" customHeight="1" x14ac:dyDescent="0.2">
      <c r="A466" s="49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</row>
    <row r="467" spans="1:74" ht="12" customHeight="1" x14ac:dyDescent="0.2">
      <c r="A467" s="49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</row>
    <row r="468" spans="1:74" ht="12" customHeight="1" x14ac:dyDescent="0.2">
      <c r="A468" s="49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</row>
    <row r="469" spans="1:74" ht="12" customHeight="1" x14ac:dyDescent="0.2">
      <c r="A469" s="49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</row>
    <row r="470" spans="1:74" ht="12" customHeight="1" x14ac:dyDescent="0.2">
      <c r="A470" s="49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</row>
    <row r="471" spans="1:74" ht="12" customHeight="1" x14ac:dyDescent="0.2">
      <c r="A471" s="49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</row>
    <row r="472" spans="1:74" ht="12" customHeight="1" x14ac:dyDescent="0.2">
      <c r="A472" s="49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</row>
    <row r="473" spans="1:74" ht="12" customHeight="1" x14ac:dyDescent="0.2">
      <c r="A473" s="49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</row>
    <row r="474" spans="1:74" ht="12" customHeight="1" x14ac:dyDescent="0.2">
      <c r="A474" s="49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</row>
    <row r="475" spans="1:74" ht="12" customHeight="1" x14ac:dyDescent="0.2">
      <c r="A475" s="49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</row>
    <row r="476" spans="1:74" ht="12" customHeight="1" x14ac:dyDescent="0.2">
      <c r="A476" s="49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</row>
    <row r="477" spans="1:74" ht="12" customHeight="1" x14ac:dyDescent="0.2">
      <c r="A477" s="49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</row>
    <row r="478" spans="1:74" ht="12" customHeight="1" x14ac:dyDescent="0.2">
      <c r="A478" s="49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</row>
    <row r="479" spans="1:74" ht="12" customHeight="1" x14ac:dyDescent="0.2">
      <c r="A479" s="49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</row>
    <row r="480" spans="1:74" ht="12" customHeight="1" x14ac:dyDescent="0.2">
      <c r="A480" s="49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</row>
    <row r="481" spans="1:74" ht="12" customHeight="1" x14ac:dyDescent="0.2">
      <c r="A481" s="49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</row>
    <row r="482" spans="1:74" ht="12" customHeight="1" x14ac:dyDescent="0.2">
      <c r="A482" s="49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</row>
    <row r="483" spans="1:74" ht="12" customHeight="1" x14ac:dyDescent="0.2">
      <c r="A483" s="49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</row>
    <row r="484" spans="1:74" ht="12" customHeight="1" x14ac:dyDescent="0.2">
      <c r="A484" s="49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</row>
    <row r="485" spans="1:74" ht="12" customHeight="1" x14ac:dyDescent="0.2">
      <c r="A485" s="49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</row>
    <row r="486" spans="1:74" ht="12" customHeight="1" x14ac:dyDescent="0.2">
      <c r="A486" s="49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</row>
    <row r="487" spans="1:74" ht="12" customHeight="1" x14ac:dyDescent="0.2">
      <c r="A487" s="49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</row>
    <row r="488" spans="1:74" ht="12" customHeight="1" x14ac:dyDescent="0.2">
      <c r="A488" s="49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</row>
    <row r="489" spans="1:74" ht="12" customHeight="1" x14ac:dyDescent="0.2">
      <c r="A489" s="49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</row>
    <row r="490" spans="1:74" ht="12" customHeight="1" x14ac:dyDescent="0.2">
      <c r="A490" s="49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</row>
    <row r="491" spans="1:74" ht="12" customHeight="1" x14ac:dyDescent="0.2">
      <c r="A491" s="49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</row>
    <row r="492" spans="1:74" ht="12" customHeight="1" x14ac:dyDescent="0.2">
      <c r="A492" s="49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</row>
    <row r="493" spans="1:74" ht="12" customHeight="1" x14ac:dyDescent="0.2">
      <c r="A493" s="49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</row>
    <row r="494" spans="1:74" ht="12" customHeight="1" x14ac:dyDescent="0.2">
      <c r="A494" s="49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</row>
    <row r="495" spans="1:74" ht="12" customHeight="1" x14ac:dyDescent="0.2">
      <c r="A495" s="49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</row>
    <row r="496" spans="1:74" ht="12" customHeight="1" x14ac:dyDescent="0.2">
      <c r="A496" s="49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</row>
    <row r="497" spans="1:74" ht="12" customHeight="1" x14ac:dyDescent="0.2">
      <c r="A497" s="49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</row>
    <row r="498" spans="1:74" ht="12" customHeight="1" x14ac:dyDescent="0.2">
      <c r="A498" s="49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</row>
    <row r="499" spans="1:74" ht="12" customHeight="1" x14ac:dyDescent="0.2">
      <c r="A499" s="49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</row>
    <row r="500" spans="1:74" ht="12" customHeight="1" x14ac:dyDescent="0.2">
      <c r="A500" s="49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</row>
    <row r="501" spans="1:74" ht="12" customHeight="1" x14ac:dyDescent="0.2">
      <c r="A501" s="49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</row>
    <row r="502" spans="1:74" ht="12" customHeight="1" x14ac:dyDescent="0.2">
      <c r="A502" s="49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</row>
    <row r="503" spans="1:74" ht="12" customHeight="1" x14ac:dyDescent="0.2">
      <c r="A503" s="49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</row>
    <row r="504" spans="1:74" ht="12" customHeight="1" x14ac:dyDescent="0.2">
      <c r="A504" s="49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</row>
    <row r="505" spans="1:74" ht="12" customHeight="1" x14ac:dyDescent="0.2">
      <c r="A505" s="49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</row>
    <row r="506" spans="1:74" ht="12" customHeight="1" x14ac:dyDescent="0.2">
      <c r="A506" s="49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</row>
    <row r="507" spans="1:74" ht="12" customHeight="1" x14ac:dyDescent="0.2">
      <c r="A507" s="49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</row>
    <row r="508" spans="1:74" ht="12" customHeight="1" x14ac:dyDescent="0.2">
      <c r="A508" s="49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</row>
    <row r="509" spans="1:74" ht="12" customHeight="1" x14ac:dyDescent="0.2">
      <c r="A509" s="49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</row>
    <row r="510" spans="1:74" ht="12" customHeight="1" x14ac:dyDescent="0.2">
      <c r="A510" s="49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</row>
    <row r="511" spans="1:74" ht="12" customHeight="1" x14ac:dyDescent="0.2">
      <c r="A511" s="49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</row>
    <row r="512" spans="1:74" ht="12" customHeight="1" x14ac:dyDescent="0.2">
      <c r="A512" s="49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</row>
    <row r="513" spans="1:74" ht="12" customHeight="1" x14ac:dyDescent="0.2">
      <c r="A513" s="49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</row>
    <row r="514" spans="1:74" ht="12" customHeight="1" x14ac:dyDescent="0.2">
      <c r="A514" s="49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</row>
    <row r="515" spans="1:74" ht="12" customHeight="1" x14ac:dyDescent="0.2">
      <c r="A515" s="49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</row>
    <row r="516" spans="1:74" ht="12" customHeight="1" x14ac:dyDescent="0.2">
      <c r="A516" s="49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</row>
    <row r="517" spans="1:74" ht="12" customHeight="1" x14ac:dyDescent="0.2">
      <c r="A517" s="49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</row>
    <row r="518" spans="1:74" ht="12" customHeight="1" x14ac:dyDescent="0.2">
      <c r="A518" s="49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</row>
    <row r="519" spans="1:74" ht="12" customHeight="1" x14ac:dyDescent="0.2">
      <c r="A519" s="49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</row>
    <row r="520" spans="1:74" ht="12" customHeight="1" x14ac:dyDescent="0.2">
      <c r="A520" s="49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</row>
    <row r="521" spans="1:74" ht="12" customHeight="1" x14ac:dyDescent="0.2">
      <c r="A521" s="49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</row>
    <row r="522" spans="1:74" ht="12" customHeight="1" x14ac:dyDescent="0.2">
      <c r="A522" s="49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</row>
    <row r="523" spans="1:74" ht="12" customHeight="1" x14ac:dyDescent="0.2">
      <c r="A523" s="49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</row>
    <row r="524" spans="1:74" ht="12" customHeight="1" x14ac:dyDescent="0.2">
      <c r="A524" s="49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</row>
    <row r="525" spans="1:74" ht="12" customHeight="1" x14ac:dyDescent="0.2">
      <c r="A525" s="49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</row>
    <row r="526" spans="1:74" ht="12" customHeight="1" x14ac:dyDescent="0.2">
      <c r="A526" s="49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</row>
    <row r="527" spans="1:74" ht="12" customHeight="1" x14ac:dyDescent="0.2">
      <c r="A527" s="49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</row>
    <row r="528" spans="1:74" ht="12" customHeight="1" x14ac:dyDescent="0.2">
      <c r="A528" s="49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</row>
    <row r="529" spans="1:74" ht="12" customHeight="1" x14ac:dyDescent="0.2">
      <c r="A529" s="49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</row>
    <row r="530" spans="1:74" ht="12" customHeight="1" x14ac:dyDescent="0.2">
      <c r="A530" s="49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</row>
    <row r="531" spans="1:74" ht="12" customHeight="1" x14ac:dyDescent="0.2">
      <c r="A531" s="49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</row>
    <row r="532" spans="1:74" ht="12" customHeight="1" x14ac:dyDescent="0.2">
      <c r="A532" s="49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</row>
    <row r="533" spans="1:74" ht="12" customHeight="1" x14ac:dyDescent="0.2">
      <c r="A533" s="49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</row>
    <row r="534" spans="1:74" ht="12" customHeight="1" x14ac:dyDescent="0.2">
      <c r="A534" s="49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</row>
    <row r="535" spans="1:74" ht="12" customHeight="1" x14ac:dyDescent="0.2">
      <c r="A535" s="49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</row>
    <row r="536" spans="1:74" ht="12" customHeight="1" x14ac:dyDescent="0.2">
      <c r="A536" s="49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</row>
    <row r="537" spans="1:74" ht="12" customHeight="1" x14ac:dyDescent="0.2">
      <c r="A537" s="49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</row>
    <row r="538" spans="1:74" ht="12" customHeight="1" x14ac:dyDescent="0.2">
      <c r="A538" s="49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</row>
    <row r="539" spans="1:74" ht="12" customHeight="1" x14ac:dyDescent="0.2">
      <c r="A539" s="49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</row>
    <row r="540" spans="1:74" ht="12" customHeight="1" x14ac:dyDescent="0.2">
      <c r="A540" s="49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</row>
    <row r="541" spans="1:74" ht="12" customHeight="1" x14ac:dyDescent="0.2">
      <c r="A541" s="49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</row>
    <row r="542" spans="1:74" ht="12" customHeight="1" x14ac:dyDescent="0.2">
      <c r="A542" s="49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</row>
    <row r="543" spans="1:74" ht="12" customHeight="1" x14ac:dyDescent="0.2">
      <c r="A543" s="49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</row>
    <row r="544" spans="1:74" ht="12" customHeight="1" x14ac:dyDescent="0.2">
      <c r="A544" s="49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</row>
    <row r="545" spans="1:74" ht="12" customHeight="1" x14ac:dyDescent="0.2">
      <c r="A545" s="49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</row>
    <row r="546" spans="1:74" ht="12" customHeight="1" x14ac:dyDescent="0.2">
      <c r="A546" s="49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</row>
    <row r="547" spans="1:74" ht="12" customHeight="1" x14ac:dyDescent="0.2">
      <c r="A547" s="49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</row>
    <row r="548" spans="1:74" ht="12" customHeight="1" x14ac:dyDescent="0.2">
      <c r="A548" s="49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</row>
    <row r="549" spans="1:74" ht="12" customHeight="1" x14ac:dyDescent="0.2">
      <c r="A549" s="49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</row>
    <row r="550" spans="1:74" ht="12" customHeight="1" x14ac:dyDescent="0.2">
      <c r="A550" s="49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</row>
    <row r="551" spans="1:74" ht="12" customHeight="1" x14ac:dyDescent="0.2">
      <c r="A551" s="49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</row>
    <row r="552" spans="1:74" ht="12" customHeight="1" x14ac:dyDescent="0.2">
      <c r="A552" s="49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</row>
    <row r="553" spans="1:74" ht="12" customHeight="1" x14ac:dyDescent="0.2">
      <c r="A553" s="49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</row>
    <row r="554" spans="1:74" ht="12" customHeight="1" x14ac:dyDescent="0.2">
      <c r="A554" s="49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</row>
    <row r="555" spans="1:74" ht="12" customHeight="1" x14ac:dyDescent="0.2">
      <c r="A555" s="49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</row>
    <row r="556" spans="1:74" ht="12" customHeight="1" x14ac:dyDescent="0.2">
      <c r="A556" s="49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</row>
    <row r="557" spans="1:74" ht="12" customHeight="1" x14ac:dyDescent="0.2">
      <c r="A557" s="49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</row>
    <row r="558" spans="1:74" ht="12" customHeight="1" x14ac:dyDescent="0.2">
      <c r="A558" s="49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</row>
    <row r="559" spans="1:74" ht="12" customHeight="1" x14ac:dyDescent="0.2">
      <c r="A559" s="49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</row>
    <row r="560" spans="1:74" ht="12" customHeight="1" x14ac:dyDescent="0.2">
      <c r="A560" s="49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</row>
    <row r="561" spans="1:74" ht="12" customHeight="1" x14ac:dyDescent="0.2">
      <c r="A561" s="49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</row>
    <row r="562" spans="1:74" ht="12" customHeight="1" x14ac:dyDescent="0.2">
      <c r="A562" s="49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</row>
    <row r="563" spans="1:74" ht="12" customHeight="1" x14ac:dyDescent="0.2">
      <c r="A563" s="49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</row>
    <row r="564" spans="1:74" ht="12" customHeight="1" x14ac:dyDescent="0.2">
      <c r="A564" s="49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</row>
    <row r="565" spans="1:74" ht="12" customHeight="1" x14ac:dyDescent="0.2">
      <c r="A565" s="49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</row>
    <row r="566" spans="1:74" ht="12" customHeight="1" x14ac:dyDescent="0.2">
      <c r="A566" s="49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</row>
    <row r="567" spans="1:74" ht="12" customHeight="1" x14ac:dyDescent="0.2">
      <c r="A567" s="49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</row>
    <row r="568" spans="1:74" ht="12" customHeight="1" x14ac:dyDescent="0.2">
      <c r="A568" s="49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</row>
    <row r="569" spans="1:74" ht="12" customHeight="1" x14ac:dyDescent="0.2">
      <c r="A569" s="49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</row>
    <row r="570" spans="1:74" ht="12" customHeight="1" x14ac:dyDescent="0.2">
      <c r="A570" s="49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</row>
    <row r="571" spans="1:74" ht="12" customHeight="1" x14ac:dyDescent="0.2">
      <c r="A571" s="49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</row>
    <row r="572" spans="1:74" ht="12" customHeight="1" x14ac:dyDescent="0.2">
      <c r="A572" s="49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</row>
    <row r="573" spans="1:74" ht="12" customHeight="1" x14ac:dyDescent="0.2">
      <c r="A573" s="49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</row>
    <row r="574" spans="1:74" ht="12" customHeight="1" x14ac:dyDescent="0.2">
      <c r="A574" s="49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</row>
    <row r="575" spans="1:74" ht="12" customHeight="1" x14ac:dyDescent="0.2">
      <c r="A575" s="49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</row>
    <row r="576" spans="1:74" ht="12" customHeight="1" x14ac:dyDescent="0.2">
      <c r="A576" s="49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</row>
    <row r="577" spans="1:74" ht="12" customHeight="1" x14ac:dyDescent="0.2">
      <c r="A577" s="49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</row>
    <row r="578" spans="1:74" ht="12" customHeight="1" x14ac:dyDescent="0.2">
      <c r="A578" s="49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</row>
    <row r="579" spans="1:74" ht="12" customHeight="1" x14ac:dyDescent="0.2">
      <c r="A579" s="49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</row>
    <row r="580" spans="1:74" ht="12" customHeight="1" x14ac:dyDescent="0.2">
      <c r="A580" s="49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</row>
    <row r="581" spans="1:74" ht="12" customHeight="1" x14ac:dyDescent="0.2">
      <c r="A581" s="49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</row>
    <row r="582" spans="1:74" ht="12" customHeight="1" x14ac:dyDescent="0.2">
      <c r="A582" s="49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</row>
    <row r="583" spans="1:74" ht="12" customHeight="1" x14ac:dyDescent="0.2">
      <c r="A583" s="49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</row>
    <row r="584" spans="1:74" ht="12" customHeight="1" x14ac:dyDescent="0.2">
      <c r="A584" s="49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</row>
    <row r="585" spans="1:74" ht="12" customHeight="1" x14ac:dyDescent="0.2">
      <c r="A585" s="49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</row>
    <row r="586" spans="1:74" ht="12" customHeight="1" x14ac:dyDescent="0.2">
      <c r="A586" s="49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</row>
    <row r="587" spans="1:74" ht="12" customHeight="1" x14ac:dyDescent="0.2">
      <c r="A587" s="49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</row>
    <row r="588" spans="1:74" ht="12" customHeight="1" x14ac:dyDescent="0.2">
      <c r="A588" s="49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</row>
    <row r="589" spans="1:74" ht="12" customHeight="1" x14ac:dyDescent="0.2">
      <c r="A589" s="49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</row>
    <row r="590" spans="1:74" ht="12" customHeight="1" x14ac:dyDescent="0.2">
      <c r="A590" s="49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</row>
    <row r="591" spans="1:74" ht="12" customHeight="1" x14ac:dyDescent="0.2">
      <c r="A591" s="49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</row>
    <row r="592" spans="1:74" ht="12" customHeight="1" x14ac:dyDescent="0.2">
      <c r="A592" s="49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</row>
    <row r="593" spans="1:74" ht="12" customHeight="1" x14ac:dyDescent="0.2">
      <c r="A593" s="49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</row>
    <row r="594" spans="1:74" ht="12" customHeight="1" x14ac:dyDescent="0.2">
      <c r="A594" s="49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</row>
    <row r="595" spans="1:74" ht="12" customHeight="1" x14ac:dyDescent="0.2">
      <c r="A595" s="49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</row>
    <row r="596" spans="1:74" ht="12" customHeight="1" x14ac:dyDescent="0.2">
      <c r="A596" s="49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</row>
    <row r="597" spans="1:74" ht="12" customHeight="1" x14ac:dyDescent="0.2">
      <c r="A597" s="49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</row>
    <row r="598" spans="1:74" ht="12" customHeight="1" x14ac:dyDescent="0.2">
      <c r="A598" s="49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</row>
    <row r="599" spans="1:74" ht="12" customHeight="1" x14ac:dyDescent="0.2">
      <c r="A599" s="49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</row>
    <row r="600" spans="1:74" ht="12" customHeight="1" x14ac:dyDescent="0.2">
      <c r="A600" s="49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</row>
    <row r="601" spans="1:74" ht="12" customHeight="1" x14ac:dyDescent="0.2">
      <c r="A601" s="49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</row>
    <row r="602" spans="1:74" ht="12" customHeight="1" x14ac:dyDescent="0.2">
      <c r="A602" s="49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</row>
    <row r="603" spans="1:74" ht="12" customHeight="1" x14ac:dyDescent="0.2">
      <c r="A603" s="49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</row>
    <row r="604" spans="1:74" ht="12" customHeight="1" x14ac:dyDescent="0.2">
      <c r="A604" s="49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</row>
    <row r="605" spans="1:74" ht="12" customHeight="1" x14ac:dyDescent="0.2">
      <c r="A605" s="49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</row>
    <row r="606" spans="1:74" ht="12" customHeight="1" x14ac:dyDescent="0.2">
      <c r="A606" s="49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</row>
    <row r="607" spans="1:74" ht="12" customHeight="1" x14ac:dyDescent="0.2">
      <c r="A607" s="49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</row>
    <row r="608" spans="1:74" ht="12" customHeight="1" x14ac:dyDescent="0.2">
      <c r="A608" s="49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</row>
    <row r="609" spans="1:74" ht="12" customHeight="1" x14ac:dyDescent="0.2">
      <c r="A609" s="49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</row>
    <row r="610" spans="1:74" ht="12" customHeight="1" x14ac:dyDescent="0.2">
      <c r="A610" s="49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</row>
    <row r="611" spans="1:74" ht="12" customHeight="1" x14ac:dyDescent="0.2">
      <c r="A611" s="49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</row>
    <row r="612" spans="1:74" ht="12" customHeight="1" x14ac:dyDescent="0.2">
      <c r="A612" s="49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</row>
    <row r="613" spans="1:74" ht="12" customHeight="1" x14ac:dyDescent="0.2">
      <c r="A613" s="49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</row>
    <row r="614" spans="1:74" ht="12" customHeight="1" x14ac:dyDescent="0.2">
      <c r="A614" s="49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</row>
    <row r="615" spans="1:74" ht="12" customHeight="1" x14ac:dyDescent="0.2">
      <c r="A615" s="49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</row>
    <row r="616" spans="1:74" ht="12" customHeight="1" x14ac:dyDescent="0.2">
      <c r="A616" s="49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</row>
    <row r="617" spans="1:74" ht="12" customHeight="1" x14ac:dyDescent="0.2">
      <c r="A617" s="49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</row>
    <row r="618" spans="1:74" ht="12" customHeight="1" x14ac:dyDescent="0.2">
      <c r="A618" s="49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</row>
    <row r="619" spans="1:74" ht="12" customHeight="1" x14ac:dyDescent="0.2">
      <c r="A619" s="49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</row>
    <row r="620" spans="1:74" ht="12" customHeight="1" x14ac:dyDescent="0.2">
      <c r="A620" s="49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</row>
    <row r="621" spans="1:74" ht="12" customHeight="1" x14ac:dyDescent="0.2">
      <c r="A621" s="49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</row>
    <row r="622" spans="1:74" ht="12" customHeight="1" x14ac:dyDescent="0.2">
      <c r="A622" s="49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</row>
    <row r="623" spans="1:74" ht="12" customHeight="1" x14ac:dyDescent="0.2">
      <c r="A623" s="49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</row>
    <row r="624" spans="1:74" ht="12" customHeight="1" x14ac:dyDescent="0.2">
      <c r="A624" s="49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</row>
    <row r="625" spans="1:74" ht="12" customHeight="1" x14ac:dyDescent="0.2">
      <c r="A625" s="49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</row>
    <row r="626" spans="1:74" ht="12" customHeight="1" x14ac:dyDescent="0.2">
      <c r="A626" s="49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</row>
    <row r="627" spans="1:74" ht="12" customHeight="1" x14ac:dyDescent="0.2">
      <c r="A627" s="49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</row>
    <row r="628" spans="1:74" ht="12" customHeight="1" x14ac:dyDescent="0.2">
      <c r="A628" s="49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</row>
    <row r="629" spans="1:74" ht="12" customHeight="1" x14ac:dyDescent="0.2">
      <c r="A629" s="49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</row>
    <row r="630" spans="1:74" ht="12" customHeight="1" x14ac:dyDescent="0.2">
      <c r="A630" s="49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</row>
    <row r="631" spans="1:74" ht="12" customHeight="1" x14ac:dyDescent="0.2">
      <c r="A631" s="49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</row>
    <row r="632" spans="1:74" ht="12" customHeight="1" x14ac:dyDescent="0.2">
      <c r="A632" s="49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</row>
    <row r="633" spans="1:74" ht="12" customHeight="1" x14ac:dyDescent="0.2">
      <c r="A633" s="49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</row>
    <row r="634" spans="1:74" ht="12" customHeight="1" x14ac:dyDescent="0.2">
      <c r="A634" s="49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</row>
    <row r="635" spans="1:74" ht="12" customHeight="1" x14ac:dyDescent="0.2">
      <c r="A635" s="49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</row>
    <row r="636" spans="1:74" ht="12" customHeight="1" x14ac:dyDescent="0.2">
      <c r="A636" s="49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</row>
    <row r="637" spans="1:74" ht="12" customHeight="1" x14ac:dyDescent="0.2">
      <c r="A637" s="49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</row>
    <row r="638" spans="1:74" ht="12" customHeight="1" x14ac:dyDescent="0.2">
      <c r="A638" s="49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</row>
    <row r="639" spans="1:74" ht="12" customHeight="1" x14ac:dyDescent="0.2">
      <c r="A639" s="49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</row>
    <row r="640" spans="1:74" ht="12" customHeight="1" x14ac:dyDescent="0.2">
      <c r="A640" s="49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</row>
    <row r="641" spans="1:74" ht="12" customHeight="1" x14ac:dyDescent="0.2">
      <c r="A641" s="49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</row>
    <row r="642" spans="1:74" ht="12" customHeight="1" x14ac:dyDescent="0.2">
      <c r="A642" s="49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</row>
    <row r="643" spans="1:74" ht="12" customHeight="1" x14ac:dyDescent="0.2">
      <c r="A643" s="49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</row>
    <row r="644" spans="1:74" ht="12" customHeight="1" x14ac:dyDescent="0.2">
      <c r="A644" s="49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</row>
    <row r="645" spans="1:74" ht="12" customHeight="1" x14ac:dyDescent="0.2">
      <c r="A645" s="49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</row>
    <row r="646" spans="1:74" ht="12" customHeight="1" x14ac:dyDescent="0.2">
      <c r="A646" s="49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</row>
    <row r="647" spans="1:74" ht="12" customHeight="1" x14ac:dyDescent="0.2">
      <c r="A647" s="49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</row>
    <row r="648" spans="1:74" ht="12" customHeight="1" x14ac:dyDescent="0.2">
      <c r="A648" s="49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</row>
    <row r="649" spans="1:74" ht="12" customHeight="1" x14ac:dyDescent="0.2">
      <c r="A649" s="49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</row>
    <row r="650" spans="1:74" ht="12" customHeight="1" x14ac:dyDescent="0.2">
      <c r="A650" s="49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</row>
    <row r="651" spans="1:74" ht="12" customHeight="1" x14ac:dyDescent="0.2">
      <c r="A651" s="49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</row>
    <row r="652" spans="1:74" ht="12" customHeight="1" x14ac:dyDescent="0.2">
      <c r="A652" s="49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</row>
    <row r="653" spans="1:74" ht="12" customHeight="1" x14ac:dyDescent="0.2">
      <c r="A653" s="49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</row>
    <row r="654" spans="1:74" ht="12" customHeight="1" x14ac:dyDescent="0.2">
      <c r="A654" s="49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</row>
    <row r="655" spans="1:74" ht="12" customHeight="1" x14ac:dyDescent="0.2">
      <c r="A655" s="49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</row>
    <row r="656" spans="1:74" ht="12" customHeight="1" x14ac:dyDescent="0.2">
      <c r="A656" s="49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</row>
    <row r="657" spans="1:74" ht="12" customHeight="1" x14ac:dyDescent="0.2">
      <c r="A657" s="49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</row>
    <row r="658" spans="1:74" ht="12" customHeight="1" x14ac:dyDescent="0.2">
      <c r="A658" s="49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</row>
    <row r="659" spans="1:74" ht="12" customHeight="1" x14ac:dyDescent="0.2">
      <c r="A659" s="49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</row>
    <row r="660" spans="1:74" ht="12" customHeight="1" x14ac:dyDescent="0.2">
      <c r="A660" s="49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</row>
    <row r="661" spans="1:74" ht="12" customHeight="1" x14ac:dyDescent="0.2">
      <c r="A661" s="49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</row>
    <row r="662" spans="1:74" ht="12" customHeight="1" x14ac:dyDescent="0.2">
      <c r="A662" s="49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</row>
    <row r="663" spans="1:74" ht="12" customHeight="1" x14ac:dyDescent="0.2">
      <c r="A663" s="49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</row>
    <row r="664" spans="1:74" ht="12" customHeight="1" x14ac:dyDescent="0.2">
      <c r="A664" s="49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</row>
    <row r="665" spans="1:74" ht="12" customHeight="1" x14ac:dyDescent="0.2">
      <c r="A665" s="49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</row>
    <row r="666" spans="1:74" ht="12" customHeight="1" x14ac:dyDescent="0.2">
      <c r="A666" s="49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</row>
    <row r="667" spans="1:74" ht="12" customHeight="1" x14ac:dyDescent="0.2">
      <c r="A667" s="49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</row>
    <row r="668" spans="1:74" ht="12" customHeight="1" x14ac:dyDescent="0.2">
      <c r="A668" s="49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</row>
    <row r="669" spans="1:74" ht="12" customHeight="1" x14ac:dyDescent="0.2">
      <c r="A669" s="49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</row>
    <row r="670" spans="1:74" ht="12" customHeight="1" x14ac:dyDescent="0.2">
      <c r="A670" s="49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</row>
    <row r="671" spans="1:74" ht="12" customHeight="1" x14ac:dyDescent="0.2">
      <c r="A671" s="49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</row>
    <row r="672" spans="1:74" ht="12" customHeight="1" x14ac:dyDescent="0.2">
      <c r="A672" s="49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</row>
    <row r="673" spans="1:74" ht="12" customHeight="1" x14ac:dyDescent="0.2">
      <c r="A673" s="49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</row>
    <row r="674" spans="1:74" ht="12" customHeight="1" x14ac:dyDescent="0.2">
      <c r="A674" s="49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</row>
    <row r="675" spans="1:74" ht="12" customHeight="1" x14ac:dyDescent="0.2">
      <c r="A675" s="49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</row>
    <row r="676" spans="1:74" ht="12" customHeight="1" x14ac:dyDescent="0.2">
      <c r="A676" s="49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</row>
    <row r="677" spans="1:74" ht="12" customHeight="1" x14ac:dyDescent="0.2">
      <c r="A677" s="49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</row>
    <row r="678" spans="1:74" ht="12" customHeight="1" x14ac:dyDescent="0.2">
      <c r="A678" s="49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</row>
    <row r="679" spans="1:74" ht="12" customHeight="1" x14ac:dyDescent="0.2">
      <c r="A679" s="49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</row>
    <row r="680" spans="1:74" ht="12" customHeight="1" x14ac:dyDescent="0.2">
      <c r="A680" s="49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</row>
    <row r="681" spans="1:74" ht="12" customHeight="1" x14ac:dyDescent="0.2">
      <c r="A681" s="49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</row>
    <row r="682" spans="1:74" ht="12" customHeight="1" x14ac:dyDescent="0.2">
      <c r="A682" s="49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</row>
    <row r="683" spans="1:74" ht="12" customHeight="1" x14ac:dyDescent="0.2">
      <c r="A683" s="49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</row>
    <row r="684" spans="1:74" ht="12" customHeight="1" x14ac:dyDescent="0.2">
      <c r="A684" s="49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</row>
    <row r="685" spans="1:74" ht="12" customHeight="1" x14ac:dyDescent="0.2">
      <c r="A685" s="49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</row>
    <row r="686" spans="1:74" ht="12" customHeight="1" x14ac:dyDescent="0.2">
      <c r="A686" s="49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</row>
    <row r="687" spans="1:74" ht="12" customHeight="1" x14ac:dyDescent="0.2">
      <c r="A687" s="49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</row>
    <row r="688" spans="1:74" ht="12" customHeight="1" x14ac:dyDescent="0.2">
      <c r="A688" s="49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</row>
    <row r="689" spans="1:74" ht="12" customHeight="1" x14ac:dyDescent="0.2">
      <c r="A689" s="49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</row>
    <row r="690" spans="1:74" ht="12" customHeight="1" x14ac:dyDescent="0.2">
      <c r="A690" s="49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</row>
    <row r="691" spans="1:74" ht="12" customHeight="1" x14ac:dyDescent="0.2">
      <c r="A691" s="49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</row>
    <row r="692" spans="1:74" ht="12" customHeight="1" x14ac:dyDescent="0.2">
      <c r="A692" s="49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</row>
    <row r="693" spans="1:74" ht="12" customHeight="1" x14ac:dyDescent="0.2">
      <c r="A693" s="49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</row>
    <row r="694" spans="1:74" ht="12" customHeight="1" x14ac:dyDescent="0.2">
      <c r="A694" s="49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</row>
    <row r="695" spans="1:74" ht="12" customHeight="1" x14ac:dyDescent="0.2">
      <c r="A695" s="49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</row>
    <row r="696" spans="1:74" ht="12" customHeight="1" x14ac:dyDescent="0.2">
      <c r="A696" s="49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</row>
    <row r="697" spans="1:74" ht="12" customHeight="1" x14ac:dyDescent="0.2">
      <c r="A697" s="49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</row>
    <row r="698" spans="1:74" ht="12" customHeight="1" x14ac:dyDescent="0.2">
      <c r="A698" s="49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</row>
    <row r="699" spans="1:74" ht="12" customHeight="1" x14ac:dyDescent="0.2">
      <c r="A699" s="49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</row>
    <row r="700" spans="1:74" ht="12" customHeight="1" x14ac:dyDescent="0.2">
      <c r="A700" s="49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</row>
    <row r="701" spans="1:74" ht="12" customHeight="1" x14ac:dyDescent="0.2">
      <c r="A701" s="49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</row>
    <row r="702" spans="1:74" ht="12" customHeight="1" x14ac:dyDescent="0.2">
      <c r="A702" s="49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</row>
    <row r="703" spans="1:74" ht="12" customHeight="1" x14ac:dyDescent="0.2">
      <c r="A703" s="49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</row>
    <row r="704" spans="1:74" ht="12" customHeight="1" x14ac:dyDescent="0.2">
      <c r="A704" s="49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</row>
    <row r="705" spans="1:74" ht="12" customHeight="1" x14ac:dyDescent="0.2">
      <c r="A705" s="49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</row>
    <row r="706" spans="1:74" ht="12" customHeight="1" x14ac:dyDescent="0.2">
      <c r="A706" s="49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</row>
    <row r="707" spans="1:74" ht="12" customHeight="1" x14ac:dyDescent="0.2">
      <c r="A707" s="49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</row>
    <row r="708" spans="1:74" ht="12" customHeight="1" x14ac:dyDescent="0.2">
      <c r="A708" s="49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</row>
    <row r="709" spans="1:74" ht="12" customHeight="1" x14ac:dyDescent="0.2">
      <c r="A709" s="49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</row>
    <row r="710" spans="1:74" ht="12" customHeight="1" x14ac:dyDescent="0.2">
      <c r="A710" s="49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</row>
    <row r="711" spans="1:74" ht="12" customHeight="1" x14ac:dyDescent="0.2">
      <c r="A711" s="49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</row>
    <row r="712" spans="1:74" ht="12" customHeight="1" x14ac:dyDescent="0.2">
      <c r="A712" s="49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</row>
    <row r="713" spans="1:74" ht="12" customHeight="1" x14ac:dyDescent="0.2">
      <c r="A713" s="49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</row>
    <row r="714" spans="1:74" ht="12" customHeight="1" x14ac:dyDescent="0.2">
      <c r="A714" s="49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</row>
    <row r="715" spans="1:74" ht="12" customHeight="1" x14ac:dyDescent="0.2">
      <c r="A715" s="49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</row>
    <row r="716" spans="1:74" ht="12" customHeight="1" x14ac:dyDescent="0.2">
      <c r="A716" s="49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</row>
    <row r="717" spans="1:74" ht="12" customHeight="1" x14ac:dyDescent="0.2">
      <c r="A717" s="49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</row>
    <row r="718" spans="1:74" ht="12" customHeight="1" x14ac:dyDescent="0.2">
      <c r="A718" s="49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</row>
    <row r="719" spans="1:74" ht="12" customHeight="1" x14ac:dyDescent="0.2">
      <c r="A719" s="49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</row>
    <row r="720" spans="1:74" ht="12" customHeight="1" x14ac:dyDescent="0.2">
      <c r="A720" s="49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</row>
    <row r="721" spans="1:74" ht="12" customHeight="1" x14ac:dyDescent="0.2">
      <c r="A721" s="49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</row>
    <row r="722" spans="1:74" ht="12" customHeight="1" x14ac:dyDescent="0.2">
      <c r="A722" s="49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</row>
    <row r="723" spans="1:74" ht="12" customHeight="1" x14ac:dyDescent="0.2">
      <c r="A723" s="49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</row>
    <row r="724" spans="1:74" ht="12" customHeight="1" x14ac:dyDescent="0.2">
      <c r="A724" s="49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</row>
    <row r="725" spans="1:74" ht="12" customHeight="1" x14ac:dyDescent="0.2">
      <c r="A725" s="49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</row>
    <row r="726" spans="1:74" ht="12" customHeight="1" x14ac:dyDescent="0.2">
      <c r="A726" s="49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</row>
    <row r="727" spans="1:74" ht="12" customHeight="1" x14ac:dyDescent="0.2">
      <c r="A727" s="49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</row>
    <row r="728" spans="1:74" ht="12" customHeight="1" x14ac:dyDescent="0.2">
      <c r="A728" s="49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</row>
    <row r="729" spans="1:74" ht="12" customHeight="1" x14ac:dyDescent="0.2">
      <c r="A729" s="49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</row>
    <row r="730" spans="1:74" ht="12" customHeight="1" x14ac:dyDescent="0.2">
      <c r="A730" s="49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</row>
    <row r="731" spans="1:74" ht="12" customHeight="1" x14ac:dyDescent="0.2">
      <c r="A731" s="49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</row>
    <row r="732" spans="1:74" ht="12" customHeight="1" x14ac:dyDescent="0.2">
      <c r="A732" s="49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</row>
    <row r="733" spans="1:74" ht="12" customHeight="1" x14ac:dyDescent="0.2">
      <c r="A733" s="49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</row>
    <row r="734" spans="1:74" ht="12" customHeight="1" x14ac:dyDescent="0.2">
      <c r="A734" s="49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</row>
    <row r="735" spans="1:74" ht="12" customHeight="1" x14ac:dyDescent="0.2">
      <c r="A735" s="49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</row>
    <row r="736" spans="1:74" ht="12" customHeight="1" x14ac:dyDescent="0.2">
      <c r="A736" s="49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</row>
    <row r="737" spans="1:74" ht="12" customHeight="1" x14ac:dyDescent="0.2">
      <c r="A737" s="49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</row>
    <row r="738" spans="1:74" ht="12" customHeight="1" x14ac:dyDescent="0.2">
      <c r="A738" s="49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</row>
    <row r="739" spans="1:74" ht="12" customHeight="1" x14ac:dyDescent="0.2">
      <c r="A739" s="49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</row>
    <row r="740" spans="1:74" ht="12" customHeight="1" x14ac:dyDescent="0.2">
      <c r="A740" s="49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</row>
    <row r="741" spans="1:74" ht="12" customHeight="1" x14ac:dyDescent="0.2">
      <c r="A741" s="49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</row>
    <row r="742" spans="1:74" ht="12" customHeight="1" x14ac:dyDescent="0.2">
      <c r="A742" s="49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</row>
    <row r="743" spans="1:74" ht="12" customHeight="1" x14ac:dyDescent="0.2">
      <c r="A743" s="49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</row>
    <row r="744" spans="1:74" ht="12" customHeight="1" x14ac:dyDescent="0.2">
      <c r="A744" s="49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</row>
    <row r="745" spans="1:74" ht="12" customHeight="1" x14ac:dyDescent="0.2">
      <c r="A745" s="49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</row>
    <row r="746" spans="1:74" ht="12" customHeight="1" x14ac:dyDescent="0.2">
      <c r="A746" s="49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</row>
    <row r="747" spans="1:74" ht="12" customHeight="1" x14ac:dyDescent="0.2">
      <c r="A747" s="49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</row>
    <row r="748" spans="1:74" ht="12" customHeight="1" x14ac:dyDescent="0.2">
      <c r="A748" s="49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</row>
    <row r="749" spans="1:74" ht="12" customHeight="1" x14ac:dyDescent="0.2">
      <c r="A749" s="49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</row>
    <row r="750" spans="1:74" ht="12" customHeight="1" x14ac:dyDescent="0.2">
      <c r="A750" s="49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</row>
    <row r="751" spans="1:74" ht="12" customHeight="1" x14ac:dyDescent="0.2">
      <c r="A751" s="49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</row>
    <row r="752" spans="1:74" ht="12" customHeight="1" x14ac:dyDescent="0.2">
      <c r="A752" s="49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</row>
    <row r="753" spans="1:74" ht="12" customHeight="1" x14ac:dyDescent="0.2">
      <c r="A753" s="49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</row>
    <row r="754" spans="1:74" ht="12" customHeight="1" x14ac:dyDescent="0.2">
      <c r="A754" s="49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</row>
    <row r="755" spans="1:74" ht="12" customHeight="1" x14ac:dyDescent="0.2">
      <c r="A755" s="49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</row>
    <row r="756" spans="1:74" ht="12" customHeight="1" x14ac:dyDescent="0.2">
      <c r="A756" s="49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</row>
    <row r="757" spans="1:74" ht="12" customHeight="1" x14ac:dyDescent="0.2">
      <c r="A757" s="49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</row>
    <row r="758" spans="1:74" ht="12" customHeight="1" x14ac:dyDescent="0.2">
      <c r="A758" s="49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</row>
    <row r="759" spans="1:74" ht="12" customHeight="1" x14ac:dyDescent="0.2">
      <c r="A759" s="49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</row>
    <row r="760" spans="1:74" ht="12" customHeight="1" x14ac:dyDescent="0.2">
      <c r="A760" s="49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</row>
    <row r="761" spans="1:74" ht="12" customHeight="1" x14ac:dyDescent="0.2">
      <c r="A761" s="49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</row>
    <row r="762" spans="1:74" ht="12" customHeight="1" x14ac:dyDescent="0.2">
      <c r="A762" s="49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</row>
    <row r="763" spans="1:74" ht="12" customHeight="1" x14ac:dyDescent="0.2">
      <c r="A763" s="49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</row>
    <row r="764" spans="1:74" ht="12" customHeight="1" x14ac:dyDescent="0.2">
      <c r="A764" s="49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</row>
    <row r="765" spans="1:74" ht="12" customHeight="1" x14ac:dyDescent="0.2">
      <c r="A765" s="49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</row>
    <row r="766" spans="1:74" ht="12" customHeight="1" x14ac:dyDescent="0.2">
      <c r="A766" s="49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</row>
    <row r="767" spans="1:74" ht="12" customHeight="1" x14ac:dyDescent="0.2">
      <c r="A767" s="49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</row>
    <row r="768" spans="1:74" ht="12" customHeight="1" x14ac:dyDescent="0.2">
      <c r="A768" s="49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</row>
    <row r="769" spans="1:74" ht="12" customHeight="1" x14ac:dyDescent="0.2">
      <c r="A769" s="49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</row>
    <row r="770" spans="1:74" ht="12" customHeight="1" x14ac:dyDescent="0.2">
      <c r="A770" s="49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</row>
    <row r="771" spans="1:74" ht="12" customHeight="1" x14ac:dyDescent="0.2">
      <c r="A771" s="49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</row>
    <row r="772" spans="1:74" ht="12" customHeight="1" x14ac:dyDescent="0.2">
      <c r="A772" s="49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</row>
    <row r="773" spans="1:74" ht="12" customHeight="1" x14ac:dyDescent="0.2">
      <c r="A773" s="49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</row>
    <row r="774" spans="1:74" ht="12" customHeight="1" x14ac:dyDescent="0.2">
      <c r="A774" s="49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</row>
    <row r="775" spans="1:74" ht="12" customHeight="1" x14ac:dyDescent="0.2">
      <c r="A775" s="49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</row>
    <row r="776" spans="1:74" ht="12" customHeight="1" x14ac:dyDescent="0.2">
      <c r="A776" s="49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</row>
    <row r="777" spans="1:74" ht="12" customHeight="1" x14ac:dyDescent="0.2">
      <c r="A777" s="49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</row>
    <row r="778" spans="1:74" ht="12" customHeight="1" x14ac:dyDescent="0.2">
      <c r="A778" s="49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</row>
    <row r="779" spans="1:74" ht="12" customHeight="1" x14ac:dyDescent="0.2">
      <c r="A779" s="49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</row>
    <row r="780" spans="1:74" ht="12" customHeight="1" x14ac:dyDescent="0.2">
      <c r="A780" s="49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</row>
    <row r="781" spans="1:74" ht="12" customHeight="1" x14ac:dyDescent="0.2">
      <c r="A781" s="49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</row>
    <row r="782" spans="1:74" ht="12" customHeight="1" x14ac:dyDescent="0.2">
      <c r="A782" s="49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</row>
    <row r="783" spans="1:74" ht="12" customHeight="1" x14ac:dyDescent="0.2">
      <c r="A783" s="49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</row>
    <row r="784" spans="1:74" ht="12" customHeight="1" x14ac:dyDescent="0.2">
      <c r="A784" s="49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</row>
    <row r="785" spans="1:74" ht="12" customHeight="1" x14ac:dyDescent="0.2">
      <c r="A785" s="49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</row>
    <row r="786" spans="1:74" ht="12" customHeight="1" x14ac:dyDescent="0.2">
      <c r="A786" s="49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</row>
    <row r="787" spans="1:74" ht="12" customHeight="1" x14ac:dyDescent="0.2">
      <c r="A787" s="49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</row>
    <row r="788" spans="1:74" ht="12" customHeight="1" x14ac:dyDescent="0.2">
      <c r="A788" s="49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</row>
    <row r="789" spans="1:74" ht="12" customHeight="1" x14ac:dyDescent="0.2">
      <c r="A789" s="49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</row>
    <row r="790" spans="1:74" ht="12" customHeight="1" x14ac:dyDescent="0.2">
      <c r="A790" s="49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</row>
    <row r="791" spans="1:74" ht="12" customHeight="1" x14ac:dyDescent="0.2">
      <c r="A791" s="49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</row>
    <row r="792" spans="1:74" ht="12" customHeight="1" x14ac:dyDescent="0.2">
      <c r="A792" s="49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</row>
    <row r="793" spans="1:74" ht="12" customHeight="1" x14ac:dyDescent="0.2">
      <c r="A793" s="49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</row>
    <row r="794" spans="1:74" ht="12" customHeight="1" x14ac:dyDescent="0.2">
      <c r="A794" s="49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</row>
    <row r="795" spans="1:74" ht="12" customHeight="1" x14ac:dyDescent="0.2">
      <c r="A795" s="49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</row>
    <row r="796" spans="1:74" ht="12" customHeight="1" x14ac:dyDescent="0.2">
      <c r="A796" s="49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</row>
    <row r="797" spans="1:74" ht="12" customHeight="1" x14ac:dyDescent="0.2">
      <c r="A797" s="49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</row>
    <row r="798" spans="1:74" ht="12" customHeight="1" x14ac:dyDescent="0.2">
      <c r="A798" s="49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</row>
    <row r="799" spans="1:74" ht="12" customHeight="1" x14ac:dyDescent="0.2">
      <c r="A799" s="49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</row>
    <row r="800" spans="1:74" ht="12" customHeight="1" x14ac:dyDescent="0.2">
      <c r="A800" s="49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</row>
    <row r="801" spans="1:74" ht="12" customHeight="1" x14ac:dyDescent="0.2">
      <c r="A801" s="49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</row>
    <row r="802" spans="1:74" ht="12" customHeight="1" x14ac:dyDescent="0.2">
      <c r="A802" s="49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</row>
    <row r="803" spans="1:74" ht="12" customHeight="1" x14ac:dyDescent="0.2">
      <c r="A803" s="49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</row>
    <row r="804" spans="1:74" ht="12" customHeight="1" x14ac:dyDescent="0.2">
      <c r="A804" s="49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</row>
    <row r="805" spans="1:74" ht="12" customHeight="1" x14ac:dyDescent="0.2">
      <c r="A805" s="49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</row>
    <row r="806" spans="1:74" ht="12" customHeight="1" x14ac:dyDescent="0.2">
      <c r="A806" s="49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</row>
    <row r="807" spans="1:74" ht="12" customHeight="1" x14ac:dyDescent="0.2">
      <c r="A807" s="49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</row>
    <row r="808" spans="1:74" ht="12" customHeight="1" x14ac:dyDescent="0.2">
      <c r="A808" s="49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</row>
    <row r="809" spans="1:74" ht="12" customHeight="1" x14ac:dyDescent="0.2">
      <c r="A809" s="49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</row>
    <row r="810" spans="1:74" ht="12" customHeight="1" x14ac:dyDescent="0.2">
      <c r="A810" s="49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</row>
    <row r="811" spans="1:74" ht="12" customHeight="1" x14ac:dyDescent="0.2">
      <c r="A811" s="49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</row>
    <row r="812" spans="1:74" ht="12" customHeight="1" x14ac:dyDescent="0.2">
      <c r="A812" s="49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</row>
    <row r="813" spans="1:74" ht="12" customHeight="1" x14ac:dyDescent="0.2">
      <c r="A813" s="49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</row>
    <row r="814" spans="1:74" ht="12" customHeight="1" x14ac:dyDescent="0.2">
      <c r="A814" s="49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</row>
    <row r="815" spans="1:74" ht="12" customHeight="1" x14ac:dyDescent="0.2">
      <c r="A815" s="49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</row>
    <row r="816" spans="1:74" ht="12" customHeight="1" x14ac:dyDescent="0.2">
      <c r="A816" s="49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</row>
    <row r="817" spans="1:74" ht="12" customHeight="1" x14ac:dyDescent="0.2">
      <c r="A817" s="49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</row>
    <row r="818" spans="1:74" ht="12" customHeight="1" x14ac:dyDescent="0.2">
      <c r="A818" s="49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</row>
    <row r="819" spans="1:74" ht="12" customHeight="1" x14ac:dyDescent="0.2">
      <c r="A819" s="49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</row>
    <row r="820" spans="1:74" ht="12" customHeight="1" x14ac:dyDescent="0.2">
      <c r="A820" s="49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</row>
    <row r="821" spans="1:74" ht="12" customHeight="1" x14ac:dyDescent="0.2">
      <c r="A821" s="49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</row>
    <row r="822" spans="1:74" ht="12" customHeight="1" x14ac:dyDescent="0.2">
      <c r="A822" s="49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</row>
    <row r="823" spans="1:74" ht="12" customHeight="1" x14ac:dyDescent="0.2">
      <c r="A823" s="49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</row>
    <row r="824" spans="1:74" ht="12" customHeight="1" x14ac:dyDescent="0.2">
      <c r="A824" s="49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</row>
    <row r="825" spans="1:74" ht="12" customHeight="1" x14ac:dyDescent="0.2">
      <c r="A825" s="49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</row>
    <row r="826" spans="1:74" ht="12" customHeight="1" x14ac:dyDescent="0.2">
      <c r="A826" s="49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</row>
    <row r="827" spans="1:74" ht="12" customHeight="1" x14ac:dyDescent="0.2">
      <c r="A827" s="49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</row>
    <row r="828" spans="1:74" ht="12" customHeight="1" x14ac:dyDescent="0.2">
      <c r="A828" s="49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</row>
    <row r="829" spans="1:74" ht="12" customHeight="1" x14ac:dyDescent="0.2">
      <c r="A829" s="49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</row>
    <row r="830" spans="1:74" ht="12" customHeight="1" x14ac:dyDescent="0.2">
      <c r="A830" s="49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</row>
    <row r="831" spans="1:74" ht="12" customHeight="1" x14ac:dyDescent="0.2">
      <c r="A831" s="49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</row>
    <row r="832" spans="1:74" ht="12" customHeight="1" x14ac:dyDescent="0.2">
      <c r="A832" s="49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</row>
    <row r="833" spans="1:74" ht="12" customHeight="1" x14ac:dyDescent="0.2">
      <c r="A833" s="49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</row>
    <row r="834" spans="1:74" ht="12" customHeight="1" x14ac:dyDescent="0.2">
      <c r="A834" s="49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</row>
    <row r="835" spans="1:74" ht="12" customHeight="1" x14ac:dyDescent="0.2">
      <c r="A835" s="49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</row>
    <row r="836" spans="1:74" ht="12" customHeight="1" x14ac:dyDescent="0.2">
      <c r="A836" s="49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</row>
    <row r="837" spans="1:74" ht="12" customHeight="1" x14ac:dyDescent="0.2">
      <c r="A837" s="49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</row>
    <row r="838" spans="1:74" ht="12" customHeight="1" x14ac:dyDescent="0.2">
      <c r="A838" s="49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</row>
    <row r="839" spans="1:74" ht="12" customHeight="1" x14ac:dyDescent="0.2">
      <c r="A839" s="49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</row>
    <row r="840" spans="1:74" ht="12" customHeight="1" x14ac:dyDescent="0.2">
      <c r="A840" s="49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</row>
    <row r="841" spans="1:74" ht="12" customHeight="1" x14ac:dyDescent="0.2">
      <c r="A841" s="49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</row>
    <row r="842" spans="1:74" ht="12" customHeight="1" x14ac:dyDescent="0.2">
      <c r="A842" s="49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</row>
    <row r="843" spans="1:74" ht="12" customHeight="1" x14ac:dyDescent="0.2">
      <c r="A843" s="49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</row>
    <row r="844" spans="1:74" ht="12" customHeight="1" x14ac:dyDescent="0.2">
      <c r="A844" s="49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</row>
    <row r="845" spans="1:74" ht="12" customHeight="1" x14ac:dyDescent="0.2">
      <c r="A845" s="49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</row>
    <row r="846" spans="1:74" ht="12" customHeight="1" x14ac:dyDescent="0.2">
      <c r="A846" s="49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</row>
    <row r="847" spans="1:74" ht="12" customHeight="1" x14ac:dyDescent="0.2">
      <c r="A847" s="49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</row>
    <row r="848" spans="1:74" ht="12" customHeight="1" x14ac:dyDescent="0.2">
      <c r="A848" s="49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</row>
    <row r="849" spans="1:74" ht="12" customHeight="1" x14ac:dyDescent="0.2">
      <c r="A849" s="49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</row>
    <row r="850" spans="1:74" ht="12" customHeight="1" x14ac:dyDescent="0.2">
      <c r="A850" s="49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</row>
    <row r="851" spans="1:74" ht="12" customHeight="1" x14ac:dyDescent="0.2">
      <c r="A851" s="49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</row>
    <row r="852" spans="1:74" ht="12" customHeight="1" x14ac:dyDescent="0.2">
      <c r="A852" s="49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</row>
    <row r="853" spans="1:74" ht="12" customHeight="1" x14ac:dyDescent="0.2">
      <c r="A853" s="49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</row>
    <row r="854" spans="1:74" ht="12" customHeight="1" x14ac:dyDescent="0.2">
      <c r="A854" s="49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</row>
    <row r="855" spans="1:74" ht="12" customHeight="1" x14ac:dyDescent="0.2">
      <c r="A855" s="49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</row>
    <row r="856" spans="1:74" ht="12" customHeight="1" x14ac:dyDescent="0.2">
      <c r="A856" s="49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</row>
    <row r="857" spans="1:74" ht="12" customHeight="1" x14ac:dyDescent="0.2">
      <c r="A857" s="49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</row>
    <row r="858" spans="1:74" ht="12" customHeight="1" x14ac:dyDescent="0.2">
      <c r="A858" s="49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</row>
    <row r="859" spans="1:74" ht="12" customHeight="1" x14ac:dyDescent="0.2">
      <c r="A859" s="49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</row>
    <row r="860" spans="1:74" ht="12" customHeight="1" x14ac:dyDescent="0.2">
      <c r="A860" s="49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</row>
    <row r="861" spans="1:74" ht="12" customHeight="1" x14ac:dyDescent="0.2">
      <c r="A861" s="49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</row>
    <row r="862" spans="1:74" ht="12" customHeight="1" x14ac:dyDescent="0.2">
      <c r="A862" s="49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</row>
    <row r="863" spans="1:74" ht="12" customHeight="1" x14ac:dyDescent="0.2">
      <c r="A863" s="49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</row>
    <row r="864" spans="1:74" ht="12" customHeight="1" x14ac:dyDescent="0.2">
      <c r="A864" s="49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</row>
    <row r="865" spans="1:74" ht="12" customHeight="1" x14ac:dyDescent="0.2">
      <c r="A865" s="49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</row>
    <row r="866" spans="1:74" ht="12" customHeight="1" x14ac:dyDescent="0.2">
      <c r="A866" s="49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</row>
    <row r="867" spans="1:74" ht="12" customHeight="1" x14ac:dyDescent="0.2">
      <c r="A867" s="49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</row>
    <row r="868" spans="1:74" ht="12" customHeight="1" x14ac:dyDescent="0.2">
      <c r="A868" s="49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</row>
    <row r="869" spans="1:74" ht="12" customHeight="1" x14ac:dyDescent="0.2">
      <c r="A869" s="49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</row>
    <row r="870" spans="1:74" ht="12" customHeight="1" x14ac:dyDescent="0.2">
      <c r="A870" s="49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</row>
    <row r="871" spans="1:74" ht="12" customHeight="1" x14ac:dyDescent="0.2">
      <c r="A871" s="49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</row>
    <row r="872" spans="1:74" ht="12" customHeight="1" x14ac:dyDescent="0.2">
      <c r="A872" s="49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</row>
    <row r="873" spans="1:74" ht="12" customHeight="1" x14ac:dyDescent="0.2">
      <c r="A873" s="49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</row>
    <row r="874" spans="1:74" ht="12" customHeight="1" x14ac:dyDescent="0.2">
      <c r="A874" s="49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</row>
    <row r="875" spans="1:74" ht="12" customHeight="1" x14ac:dyDescent="0.2">
      <c r="A875" s="49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</row>
    <row r="876" spans="1:74" ht="12" customHeight="1" x14ac:dyDescent="0.2">
      <c r="A876" s="49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</row>
    <row r="877" spans="1:74" ht="12" customHeight="1" x14ac:dyDescent="0.2">
      <c r="A877" s="49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</row>
    <row r="878" spans="1:74" ht="12" customHeight="1" x14ac:dyDescent="0.2">
      <c r="A878" s="49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</row>
    <row r="879" spans="1:74" ht="12" customHeight="1" x14ac:dyDescent="0.2">
      <c r="A879" s="49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</row>
    <row r="880" spans="1:74" ht="12" customHeight="1" x14ac:dyDescent="0.2">
      <c r="A880" s="49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</row>
    <row r="881" spans="1:74" ht="12" customHeight="1" x14ac:dyDescent="0.2">
      <c r="A881" s="49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</row>
    <row r="882" spans="1:74" ht="12" customHeight="1" x14ac:dyDescent="0.2">
      <c r="A882" s="49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</row>
    <row r="883" spans="1:74" ht="12" customHeight="1" x14ac:dyDescent="0.2">
      <c r="A883" s="49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</row>
    <row r="884" spans="1:74" ht="12" customHeight="1" x14ac:dyDescent="0.2">
      <c r="A884" s="49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</row>
    <row r="885" spans="1:74" ht="12" customHeight="1" x14ac:dyDescent="0.2">
      <c r="A885" s="49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</row>
    <row r="886" spans="1:74" ht="12" customHeight="1" x14ac:dyDescent="0.2">
      <c r="A886" s="49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</row>
    <row r="887" spans="1:74" ht="12" customHeight="1" x14ac:dyDescent="0.2">
      <c r="A887" s="49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</row>
    <row r="888" spans="1:74" ht="12" customHeight="1" x14ac:dyDescent="0.2">
      <c r="A888" s="49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</row>
    <row r="889" spans="1:74" ht="12" customHeight="1" x14ac:dyDescent="0.2">
      <c r="A889" s="49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</row>
    <row r="890" spans="1:74" ht="12" customHeight="1" x14ac:dyDescent="0.2">
      <c r="A890" s="49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</row>
    <row r="891" spans="1:74" ht="12" customHeight="1" x14ac:dyDescent="0.2">
      <c r="A891" s="49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</row>
    <row r="892" spans="1:74" ht="12" customHeight="1" x14ac:dyDescent="0.2">
      <c r="A892" s="49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</row>
    <row r="893" spans="1:74" ht="12" customHeight="1" x14ac:dyDescent="0.2">
      <c r="A893" s="49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</row>
    <row r="894" spans="1:74" ht="12" customHeight="1" x14ac:dyDescent="0.2">
      <c r="A894" s="49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</row>
    <row r="895" spans="1:74" ht="12" customHeight="1" x14ac:dyDescent="0.2">
      <c r="A895" s="49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</row>
    <row r="896" spans="1:74" ht="12" customHeight="1" x14ac:dyDescent="0.2">
      <c r="A896" s="49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</row>
    <row r="897" spans="1:74" ht="12" customHeight="1" x14ac:dyDescent="0.2">
      <c r="A897" s="49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</row>
    <row r="898" spans="1:74" ht="12" customHeight="1" x14ac:dyDescent="0.2">
      <c r="A898" s="49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</row>
    <row r="899" spans="1:74" ht="12" customHeight="1" x14ac:dyDescent="0.2">
      <c r="A899" s="49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</row>
    <row r="900" spans="1:74" ht="12" customHeight="1" x14ac:dyDescent="0.2">
      <c r="A900" s="49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</row>
    <row r="901" spans="1:74" ht="12" customHeight="1" x14ac:dyDescent="0.2">
      <c r="A901" s="49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</row>
    <row r="902" spans="1:74" ht="12" customHeight="1" x14ac:dyDescent="0.2">
      <c r="A902" s="49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</row>
    <row r="903" spans="1:74" ht="12" customHeight="1" x14ac:dyDescent="0.2">
      <c r="A903" s="49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</row>
    <row r="904" spans="1:74" ht="12" customHeight="1" x14ac:dyDescent="0.2">
      <c r="A904" s="49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</row>
    <row r="905" spans="1:74" ht="12" customHeight="1" x14ac:dyDescent="0.2">
      <c r="A905" s="49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</row>
    <row r="906" spans="1:74" ht="12" customHeight="1" x14ac:dyDescent="0.2">
      <c r="A906" s="49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</row>
    <row r="907" spans="1:74" ht="12" customHeight="1" x14ac:dyDescent="0.2">
      <c r="A907" s="49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</row>
    <row r="908" spans="1:74" ht="12" customHeight="1" x14ac:dyDescent="0.2">
      <c r="A908" s="49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</row>
    <row r="909" spans="1:74" ht="12" customHeight="1" x14ac:dyDescent="0.2">
      <c r="A909" s="49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</row>
    <row r="910" spans="1:74" ht="12" customHeight="1" x14ac:dyDescent="0.2">
      <c r="A910" s="49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</row>
    <row r="911" spans="1:74" ht="12" customHeight="1" x14ac:dyDescent="0.2">
      <c r="A911" s="49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</row>
    <row r="912" spans="1:74" ht="12" customHeight="1" x14ac:dyDescent="0.2">
      <c r="A912" s="49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</row>
    <row r="913" spans="1:74" ht="12" customHeight="1" x14ac:dyDescent="0.2">
      <c r="A913" s="49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</row>
    <row r="914" spans="1:74" ht="12" customHeight="1" x14ac:dyDescent="0.2">
      <c r="A914" s="49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</row>
    <row r="915" spans="1:74" ht="12" customHeight="1" x14ac:dyDescent="0.2">
      <c r="A915" s="49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</row>
    <row r="916" spans="1:74" ht="12" customHeight="1" x14ac:dyDescent="0.2">
      <c r="A916" s="49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</row>
    <row r="917" spans="1:74" ht="12" customHeight="1" x14ac:dyDescent="0.2">
      <c r="A917" s="49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</row>
    <row r="918" spans="1:74" ht="12" customHeight="1" x14ac:dyDescent="0.2">
      <c r="A918" s="49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</row>
    <row r="919" spans="1:74" ht="12" customHeight="1" x14ac:dyDescent="0.2">
      <c r="A919" s="49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</row>
    <row r="920" spans="1:74" ht="12" customHeight="1" x14ac:dyDescent="0.2">
      <c r="A920" s="49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</row>
    <row r="921" spans="1:74" ht="12" customHeight="1" x14ac:dyDescent="0.2">
      <c r="A921" s="49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</row>
    <row r="922" spans="1:74" ht="12" customHeight="1" x14ac:dyDescent="0.2">
      <c r="A922" s="49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</row>
    <row r="923" spans="1:74" ht="12" customHeight="1" x14ac:dyDescent="0.2">
      <c r="A923" s="49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</row>
    <row r="924" spans="1:74" ht="12" customHeight="1" x14ac:dyDescent="0.2">
      <c r="A924" s="49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</row>
    <row r="925" spans="1:74" ht="12" customHeight="1" x14ac:dyDescent="0.2">
      <c r="A925" s="49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</row>
    <row r="926" spans="1:74" ht="12" customHeight="1" x14ac:dyDescent="0.2">
      <c r="A926" s="49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</row>
    <row r="927" spans="1:74" ht="12" customHeight="1" x14ac:dyDescent="0.2">
      <c r="A927" s="49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</row>
    <row r="928" spans="1:74" ht="12" customHeight="1" x14ac:dyDescent="0.2">
      <c r="A928" s="49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</row>
    <row r="929" spans="1:74" ht="12" customHeight="1" x14ac:dyDescent="0.2">
      <c r="A929" s="49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</row>
    <row r="930" spans="1:74" ht="12" customHeight="1" x14ac:dyDescent="0.2">
      <c r="A930" s="49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</row>
    <row r="931" spans="1:74" ht="12" customHeight="1" x14ac:dyDescent="0.2">
      <c r="A931" s="49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</row>
    <row r="932" spans="1:74" ht="12" customHeight="1" x14ac:dyDescent="0.2">
      <c r="A932" s="49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</row>
    <row r="933" spans="1:74" ht="12" customHeight="1" x14ac:dyDescent="0.2">
      <c r="A933" s="49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</row>
    <row r="934" spans="1:74" ht="12" customHeight="1" x14ac:dyDescent="0.2">
      <c r="A934" s="49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</row>
    <row r="935" spans="1:74" ht="12" customHeight="1" x14ac:dyDescent="0.2">
      <c r="A935" s="49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</row>
    <row r="936" spans="1:74" ht="12" customHeight="1" x14ac:dyDescent="0.2">
      <c r="A936" s="49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</row>
    <row r="937" spans="1:74" ht="12" customHeight="1" x14ac:dyDescent="0.2">
      <c r="A937" s="49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</row>
    <row r="938" spans="1:74" ht="12" customHeight="1" x14ac:dyDescent="0.2">
      <c r="A938" s="49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</row>
    <row r="939" spans="1:74" ht="12" customHeight="1" x14ac:dyDescent="0.2">
      <c r="A939" s="49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</row>
    <row r="940" spans="1:74" ht="12" customHeight="1" x14ac:dyDescent="0.2">
      <c r="A940" s="49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</row>
    <row r="941" spans="1:74" ht="12" customHeight="1" x14ac:dyDescent="0.2">
      <c r="A941" s="49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</row>
    <row r="942" spans="1:74" ht="12" customHeight="1" x14ac:dyDescent="0.2">
      <c r="A942" s="49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</row>
    <row r="943" spans="1:74" ht="12" customHeight="1" x14ac:dyDescent="0.2">
      <c r="A943" s="49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</row>
    <row r="944" spans="1:74" ht="12" customHeight="1" x14ac:dyDescent="0.2">
      <c r="A944" s="49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</row>
    <row r="945" spans="1:74" ht="12" customHeight="1" x14ac:dyDescent="0.2">
      <c r="A945" s="49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</row>
    <row r="946" spans="1:74" ht="12" customHeight="1" x14ac:dyDescent="0.2">
      <c r="A946" s="49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</row>
    <row r="947" spans="1:74" ht="12" customHeight="1" x14ac:dyDescent="0.2">
      <c r="A947" s="49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</row>
    <row r="948" spans="1:74" ht="12" customHeight="1" x14ac:dyDescent="0.2">
      <c r="A948" s="49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</row>
    <row r="949" spans="1:74" ht="12" customHeight="1" x14ac:dyDescent="0.2">
      <c r="A949" s="49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</row>
    <row r="950" spans="1:74" ht="12" customHeight="1" x14ac:dyDescent="0.2">
      <c r="A950" s="49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</row>
    <row r="951" spans="1:74" ht="12" customHeight="1" x14ac:dyDescent="0.2">
      <c r="A951" s="49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</row>
    <row r="952" spans="1:74" ht="12" customHeight="1" x14ac:dyDescent="0.2">
      <c r="A952" s="49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</row>
    <row r="953" spans="1:74" ht="12" customHeight="1" x14ac:dyDescent="0.2">
      <c r="A953" s="49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</row>
    <row r="954" spans="1:74" ht="12" customHeight="1" x14ac:dyDescent="0.2">
      <c r="A954" s="49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</row>
    <row r="955" spans="1:74" ht="12" customHeight="1" x14ac:dyDescent="0.2">
      <c r="A955" s="49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</row>
    <row r="956" spans="1:74" ht="12" customHeight="1" x14ac:dyDescent="0.2">
      <c r="A956" s="49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</row>
    <row r="957" spans="1:74" ht="12" customHeight="1" x14ac:dyDescent="0.2">
      <c r="A957" s="49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</row>
    <row r="958" spans="1:74" ht="12" customHeight="1" x14ac:dyDescent="0.2">
      <c r="A958" s="49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</row>
    <row r="959" spans="1:74" ht="12" customHeight="1" x14ac:dyDescent="0.2">
      <c r="A959" s="49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</row>
    <row r="960" spans="1:74" ht="12" customHeight="1" x14ac:dyDescent="0.2">
      <c r="A960" s="49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</row>
    <row r="961" spans="1:74" ht="12" customHeight="1" x14ac:dyDescent="0.2">
      <c r="A961" s="49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</row>
    <row r="962" spans="1:74" ht="12" customHeight="1" x14ac:dyDescent="0.2">
      <c r="A962" s="49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</row>
    <row r="963" spans="1:74" ht="12" customHeight="1" x14ac:dyDescent="0.2">
      <c r="A963" s="49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</row>
    <row r="964" spans="1:74" ht="12" customHeight="1" x14ac:dyDescent="0.2">
      <c r="A964" s="49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</row>
    <row r="965" spans="1:74" ht="12" customHeight="1" x14ac:dyDescent="0.2">
      <c r="A965" s="49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</row>
    <row r="966" spans="1:74" ht="12" customHeight="1" x14ac:dyDescent="0.2">
      <c r="A966" s="49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</row>
    <row r="967" spans="1:74" ht="12" customHeight="1" x14ac:dyDescent="0.2">
      <c r="A967" s="49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</row>
    <row r="968" spans="1:74" ht="12" customHeight="1" x14ac:dyDescent="0.2">
      <c r="A968" s="49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</row>
    <row r="969" spans="1:74" ht="12" customHeight="1" x14ac:dyDescent="0.2">
      <c r="A969" s="49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</row>
    <row r="970" spans="1:74" ht="12" customHeight="1" x14ac:dyDescent="0.2">
      <c r="A970" s="49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</row>
    <row r="971" spans="1:74" ht="12" customHeight="1" x14ac:dyDescent="0.2">
      <c r="A971" s="49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</row>
    <row r="972" spans="1:74" ht="12" customHeight="1" x14ac:dyDescent="0.2">
      <c r="A972" s="49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</row>
    <row r="973" spans="1:74" ht="12" customHeight="1" x14ac:dyDescent="0.2">
      <c r="A973" s="49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</row>
    <row r="974" spans="1:74" ht="12" customHeight="1" x14ac:dyDescent="0.2">
      <c r="A974" s="49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</row>
    <row r="975" spans="1:74" ht="12" customHeight="1" x14ac:dyDescent="0.2">
      <c r="A975" s="49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</row>
    <row r="976" spans="1:74" ht="12" customHeight="1" x14ac:dyDescent="0.2">
      <c r="A976" s="49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</row>
    <row r="977" spans="1:74" ht="12" customHeight="1" x14ac:dyDescent="0.2">
      <c r="A977" s="49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</row>
    <row r="978" spans="1:74" ht="12" customHeight="1" x14ac:dyDescent="0.2">
      <c r="A978" s="49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</row>
    <row r="979" spans="1:74" ht="12" customHeight="1" x14ac:dyDescent="0.2">
      <c r="A979" s="49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</row>
    <row r="980" spans="1:74" ht="12" customHeight="1" x14ac:dyDescent="0.2">
      <c r="A980" s="49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</row>
    <row r="981" spans="1:74" ht="12" customHeight="1" x14ac:dyDescent="0.2">
      <c r="A981" s="49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</row>
    <row r="982" spans="1:74" ht="12" customHeight="1" x14ac:dyDescent="0.2">
      <c r="A982" s="49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</row>
    <row r="983" spans="1:74" ht="12" customHeight="1" x14ac:dyDescent="0.2">
      <c r="A983" s="49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</row>
    <row r="984" spans="1:74" ht="12" customHeight="1" x14ac:dyDescent="0.2">
      <c r="A984" s="49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</row>
    <row r="985" spans="1:74" ht="12" customHeight="1" x14ac:dyDescent="0.2">
      <c r="A985" s="49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</row>
    <row r="986" spans="1:74" ht="12" customHeight="1" x14ac:dyDescent="0.2">
      <c r="A986" s="49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</row>
    <row r="987" spans="1:74" ht="12" customHeight="1" x14ac:dyDescent="0.2">
      <c r="A987" s="49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</row>
    <row r="988" spans="1:74" ht="12" customHeight="1" x14ac:dyDescent="0.2">
      <c r="A988" s="49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</row>
    <row r="989" spans="1:74" ht="12" customHeight="1" x14ac:dyDescent="0.2">
      <c r="A989" s="49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</row>
    <row r="990" spans="1:74" ht="12" customHeight="1" x14ac:dyDescent="0.2">
      <c r="A990" s="49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</row>
    <row r="991" spans="1:74" ht="12" customHeight="1" x14ac:dyDescent="0.2">
      <c r="A991" s="49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</row>
    <row r="992" spans="1:74" ht="12" customHeight="1" x14ac:dyDescent="0.2">
      <c r="A992" s="49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</row>
    <row r="993" spans="1:74" ht="12" customHeight="1" x14ac:dyDescent="0.2">
      <c r="A993" s="49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</row>
    <row r="994" spans="1:74" ht="12" customHeight="1" x14ac:dyDescent="0.2">
      <c r="A994" s="49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</row>
    <row r="995" spans="1:74" ht="12" customHeight="1" x14ac:dyDescent="0.2">
      <c r="A995" s="49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</row>
    <row r="996" spans="1:74" ht="12" customHeight="1" x14ac:dyDescent="0.2">
      <c r="A996" s="49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</row>
    <row r="997" spans="1:74" ht="12" customHeight="1" x14ac:dyDescent="0.2">
      <c r="A997" s="49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</row>
    <row r="998" spans="1:74" ht="12" customHeight="1" x14ac:dyDescent="0.2">
      <c r="A998" s="49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</row>
    <row r="999" spans="1:74" ht="12" customHeight="1" x14ac:dyDescent="0.2">
      <c r="A999" s="49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</row>
    <row r="1000" spans="1:74" ht="12" customHeight="1" x14ac:dyDescent="0.2">
      <c r="A1000" s="49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</row>
  </sheetData>
  <pageMargins left="0.7" right="0.7" top="0.75" bottom="0.75" header="0" footer="0"/>
  <pageSetup paperSize="9" orientation="portrait"/>
  <ignoredErrors>
    <ignoredError sqref="AQ36:AW36 AR30:AW35 AN28:AW29 AN2:AW5 AN21:AW26 AO27:AW27 AP6:AW20 AK32:AP36 AG31 AI31 V25 V22 V18 V15 V11 V8 V4 R29 Q4:S4 Q8:S8 Q11:S11 Q15:S15 Q18:S18 Q22:S22 Q25:S25 E53:E55 E2 L5:L35 L55 AJ55 L54 T4 T8 T11 T15 T18 T22 T25 AB36 AJ54 U55 U54 AB53:AB54 AB32 AB29 AB25 AB22 AB18 AB15 AB11 AB8 AB4 AB2:AB3 AB5:AB7 AB9:AB10 AB12:AB14 AB16:AB17 AB19:AB21 AB23:AB24 AB26:AB28 AB30:AB31 AB33:AB34 U2:U36 L53 E4:E35 AB55 AJ53" formula="1"/>
    <ignoredError sqref="B32:C34 AJ29 AJ32 AJ36:AJ37 H32:I36 AG32:AI37 AG29:AI30 M25:P25 M22:P22 M18:P18 M15:N15 M11:P11 M8:P8 M4:P4 P15 F32:G36 M29:P37 AF4:AJ4 AF8:AJ8 AF11:AJ11 AF15:AJ15 AF18:AJ18 AF22:AJ22 AF25:AJ25 AC29:AE37 AC25:AE25 AC22:AE22 AC18:AE18 AC15:AE15 AC11:AE11 AC8:AE8 AC4:AE4 W25 W22 W18 W15 W11 W8 W4 W29:W37 V30:V37 V29 AF29:AF37 Q29:Q37 D32:D36 J29:K37 J4:K4 J8:K8 J11:K11 J15:K15 J18:K18 J22:K22 J25:K25 S29 R30:S37 X4:AA4 X8 X11:AA11 X15:Y15 X18:AA18 X22:AA22 X25:AA25 X30:AA37 T29 T30:T37 AA15 X29:Y29" evalError="1" formula="1"/>
    <ignoredError sqref="B35:C36 H37:I37 H4:I4 H8:I8 H11:I11 H15:I15 H18:I18 H22:I22 H25:I25 H29:I31 F29:G31 F25:G25 F22:G22 F18:G18 F15:G15 F11:G11 F8:G8 F4:G4 F37:G37 B37:D37 B4:D4 B8:D8 B11:D11 B15:D15 B18:D18 B22:D22 B25:D25 B29:D31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932E-DB9B-944D-AC0B-B847258F7757}">
  <sheetPr>
    <tabColor rgb="FF92D050"/>
  </sheetPr>
  <dimension ref="A3:AD92"/>
  <sheetViews>
    <sheetView showGridLines="0" zoomScale="132" zoomScaleNormal="132" workbookViewId="0">
      <selection activeCell="D16" sqref="D16"/>
    </sheetView>
  </sheetViews>
  <sheetFormatPr baseColWidth="10" defaultRowHeight="15" x14ac:dyDescent="0.2"/>
  <cols>
    <col min="1" max="1" width="9.1640625" style="99" customWidth="1"/>
    <col min="2" max="2" width="20.83203125" style="99" customWidth="1"/>
    <col min="3" max="5" width="13.5" style="99" customWidth="1"/>
    <col min="6" max="6" width="15.83203125" style="99" customWidth="1"/>
    <col min="7" max="9" width="13.5" style="99" customWidth="1"/>
    <col min="10" max="10" width="19.33203125" style="99" customWidth="1"/>
    <col min="11" max="16" width="13.5" style="99" customWidth="1"/>
    <col min="17" max="17" width="10.83203125" style="99"/>
    <col min="18" max="18" width="17.1640625" style="99" customWidth="1"/>
    <col min="19" max="19" width="13.33203125" style="99" customWidth="1"/>
    <col min="20" max="20" width="16.5" style="99" customWidth="1"/>
    <col min="21" max="21" width="13.83203125" style="99" customWidth="1"/>
    <col min="22" max="22" width="13.83203125" style="201" customWidth="1"/>
    <col min="23" max="23" width="10.83203125" style="99"/>
    <col min="24" max="24" width="17.83203125" style="99" bestFit="1" customWidth="1"/>
    <col min="25" max="25" width="15" style="99" customWidth="1"/>
    <col min="26" max="26" width="10.83203125" style="99"/>
    <col min="27" max="27" width="13.6640625" style="99" bestFit="1" customWidth="1"/>
    <col min="28" max="28" width="14.33203125" style="99" customWidth="1"/>
    <col min="29" max="29" width="6.6640625" style="99" bestFit="1" customWidth="1"/>
    <col min="30" max="16384" width="10.83203125" style="99"/>
  </cols>
  <sheetData>
    <row r="3" spans="2:30" ht="31" customHeight="1" x14ac:dyDescent="0.35">
      <c r="B3" s="200" t="s">
        <v>22</v>
      </c>
      <c r="D3" s="454" t="s">
        <v>210</v>
      </c>
      <c r="E3" s="454"/>
      <c r="F3" s="454"/>
      <c r="J3" s="200" t="s">
        <v>6</v>
      </c>
      <c r="R3" s="200" t="s">
        <v>96</v>
      </c>
      <c r="X3" s="200" t="s">
        <v>95</v>
      </c>
      <c r="Y3" s="254"/>
      <c r="Z3" s="254"/>
      <c r="AA3" s="254"/>
      <c r="AC3" s="203"/>
    </row>
    <row r="4" spans="2:30" x14ac:dyDescent="0.2">
      <c r="C4" s="434">
        <v>1</v>
      </c>
    </row>
    <row r="5" spans="2:30" s="203" customFormat="1" ht="25" thickBot="1" x14ac:dyDescent="0.35">
      <c r="B5" s="202" t="s">
        <v>28</v>
      </c>
      <c r="C5" s="202" t="s">
        <v>77</v>
      </c>
      <c r="D5" s="202" t="s">
        <v>91</v>
      </c>
      <c r="E5" s="202" t="s">
        <v>86</v>
      </c>
      <c r="F5" s="202" t="s">
        <v>92</v>
      </c>
      <c r="J5" s="202" t="s">
        <v>28</v>
      </c>
      <c r="K5" s="204" t="s">
        <v>29</v>
      </c>
      <c r="L5" s="204" t="s">
        <v>30</v>
      </c>
      <c r="M5" s="204" t="s">
        <v>32</v>
      </c>
      <c r="N5" s="204" t="s">
        <v>31</v>
      </c>
      <c r="P5" s="205"/>
      <c r="R5" s="202" t="s">
        <v>28</v>
      </c>
      <c r="S5" s="202" t="s">
        <v>33</v>
      </c>
      <c r="T5" s="202" t="s">
        <v>97</v>
      </c>
      <c r="U5" s="202" t="s">
        <v>98</v>
      </c>
      <c r="V5" s="206"/>
      <c r="X5" s="204"/>
      <c r="Y5" s="202" t="s">
        <v>77</v>
      </c>
      <c r="Z5" s="202" t="s">
        <v>91</v>
      </c>
      <c r="AA5" s="202" t="s">
        <v>86</v>
      </c>
      <c r="AB5" s="202" t="s">
        <v>92</v>
      </c>
      <c r="AC5" s="436">
        <f ca="1">+DAY(TODAY()-1)</f>
        <v>2</v>
      </c>
    </row>
    <row r="6" spans="2:30" s="203" customFormat="1" ht="25" x14ac:dyDescent="0.3">
      <c r="B6" s="207" t="s">
        <v>34</v>
      </c>
      <c r="C6" s="80">
        <f>+HLOOKUP($D$3,UPSTREAM!$A$1:$AJ$37,5,0)*$C$4</f>
        <v>21000</v>
      </c>
      <c r="D6" s="80">
        <f>+HLOOKUP($D$3,UPSTREAM!$A$1:$AJ$37,6,0)</f>
        <v>18870.5</v>
      </c>
      <c r="E6" s="208">
        <f>+D6-C6</f>
        <v>-2129.5</v>
      </c>
      <c r="F6" s="209">
        <f>+D6/C6</f>
        <v>0.89859523809523811</v>
      </c>
      <c r="J6" s="211" t="s">
        <v>34</v>
      </c>
      <c r="K6" s="80">
        <f>+HLOOKUP($D$3,UPSTREAM!$A$1:$AJ$37,5,0)*UPSTREAM!$A$40*C4</f>
        <v>4536</v>
      </c>
      <c r="L6" s="80">
        <f>+HLOOKUP($D$3,UPSTREAM!$A$1:$AJ$37,7,0)</f>
        <v>4194.884</v>
      </c>
      <c r="M6" s="208">
        <f>+L6-K6</f>
        <v>-341.11599999999999</v>
      </c>
      <c r="N6" s="212">
        <f>+L6/K6</f>
        <v>0.92479805996472664</v>
      </c>
      <c r="P6" s="210"/>
      <c r="R6" s="211" t="s">
        <v>34</v>
      </c>
      <c r="S6" s="93">
        <f>+UPSTREAM!A40</f>
        <v>0.216</v>
      </c>
      <c r="T6" s="84">
        <f>+HLOOKUP($D$3,UPSTREAM!$A$1:$AJ$37,8,0)</f>
        <v>0.22229850825362338</v>
      </c>
      <c r="U6" s="214">
        <f>+T6-S6</f>
        <v>6.2985082536233805E-3</v>
      </c>
      <c r="V6" s="206"/>
      <c r="X6" s="245" t="s">
        <v>43</v>
      </c>
      <c r="Y6" s="80">
        <f>+HLOOKUP($D$3,UPSTREAM!$A$1:$BC$60,53,0)</f>
        <v>2850</v>
      </c>
      <c r="Z6" s="80">
        <f>+HLOOKUP($D$3,UPSTREAM!$A$1:$BC$60,54,0)</f>
        <v>2742.951</v>
      </c>
      <c r="AA6" s="208">
        <f>+Z6-Y6</f>
        <v>-107.04899999999998</v>
      </c>
      <c r="AB6" s="209">
        <f>+Z6/Y6</f>
        <v>0.96243894736842106</v>
      </c>
      <c r="AC6" s="317">
        <f ca="1">+Z6/AC5</f>
        <v>1371.4755</v>
      </c>
      <c r="AD6" s="316" t="s">
        <v>159</v>
      </c>
    </row>
    <row r="7" spans="2:30" s="203" customFormat="1" ht="25" x14ac:dyDescent="0.3">
      <c r="B7" s="215" t="s">
        <v>35</v>
      </c>
      <c r="C7" s="79">
        <f>+HLOOKUP($D$3,UPSTREAM!$A$1:$AJ$37,12,0)*C4</f>
        <v>4900</v>
      </c>
      <c r="D7" s="79">
        <f>+HLOOKUP($D$3,UPSTREAM!$A$1:$AJ$37,13,0)</f>
        <v>4692</v>
      </c>
      <c r="E7" s="210">
        <f>+D7-C7</f>
        <v>-208</v>
      </c>
      <c r="F7" s="216">
        <f>+D7/C7</f>
        <v>0.95755102040816331</v>
      </c>
      <c r="J7" s="217" t="s">
        <v>35</v>
      </c>
      <c r="K7" s="79">
        <f>+HLOOKUP($D$3,UPSTREAM!$A$1:$AJ$37,12,0)*UPSTREAM!$A$41*C4</f>
        <v>921.2</v>
      </c>
      <c r="L7" s="79">
        <f>+HLOOKUP($D$3,UPSTREAM!$A$1:$AJ$37,14,0)</f>
        <v>872.13099999999997</v>
      </c>
      <c r="M7" s="210">
        <f>+L7-K7</f>
        <v>-49.069000000000074</v>
      </c>
      <c r="N7" s="218">
        <f>+L7/K7</f>
        <v>0.94673360833695175</v>
      </c>
      <c r="P7" s="210"/>
      <c r="R7" s="217" t="s">
        <v>35</v>
      </c>
      <c r="S7" s="94">
        <f>+UPSTREAM!A41</f>
        <v>0.188</v>
      </c>
      <c r="T7" s="83">
        <f>+HLOOKUP($D$3,UPSTREAM!$A$1:$AJ$37,15,0)</f>
        <v>0.18587617220801364</v>
      </c>
      <c r="U7" s="220">
        <f>+T7-S7</f>
        <v>-2.1238277919863602E-3</v>
      </c>
      <c r="V7" s="206"/>
      <c r="X7" s="246" t="s">
        <v>44</v>
      </c>
      <c r="Y7" s="79">
        <f>+Y6*Y8</f>
        <v>1168.5</v>
      </c>
      <c r="Z7" s="79">
        <f>+HLOOKUP($D$3,UPSTREAM!$A$1:$BC$60,55,0)</f>
        <v>1132.077</v>
      </c>
      <c r="AA7" s="210">
        <f>+Z7-Y7</f>
        <v>-36.423000000000002</v>
      </c>
      <c r="AB7" s="216">
        <f>+Z7/Y7</f>
        <v>0.9688292682926829</v>
      </c>
      <c r="AC7" s="99"/>
    </row>
    <row r="8" spans="2:30" s="203" customFormat="1" ht="27" customHeight="1" thickBot="1" x14ac:dyDescent="0.35">
      <c r="B8" s="215" t="s">
        <v>36</v>
      </c>
      <c r="C8" s="79">
        <f>+HLOOKUP($D$3,UPSTREAM!$A$1:$AJ$37,26,0)*C4</f>
        <v>20700</v>
      </c>
      <c r="D8" s="79">
        <f>+HLOOKUP($D$3,UPSTREAM!$A$1:$AJ$37,27,0)</f>
        <v>21618.532000000003</v>
      </c>
      <c r="E8" s="210">
        <f>+D8-C8</f>
        <v>918.53200000000288</v>
      </c>
      <c r="F8" s="216">
        <f>+D8/C8</f>
        <v>1.0443735265700484</v>
      </c>
      <c r="J8" s="217" t="s">
        <v>36</v>
      </c>
      <c r="K8" s="79">
        <f>+HLOOKUP($D$3,UPSTREAM!$A$1:$AJ$37,26,0)*UPSTREAM!$A$42*C4</f>
        <v>4864.5</v>
      </c>
      <c r="L8" s="79">
        <f>+HLOOKUP($D$3,UPSTREAM!$A$1:$AJ$37,28,0)</f>
        <v>5057.6150000000007</v>
      </c>
      <c r="M8" s="210">
        <f>+L8-K8</f>
        <v>193.11500000000069</v>
      </c>
      <c r="N8" s="218">
        <f>+L8/K8</f>
        <v>1.0396988385240005</v>
      </c>
      <c r="P8" s="210"/>
      <c r="R8" s="217" t="s">
        <v>36</v>
      </c>
      <c r="S8" s="94">
        <f>+UPSTREAM!A42</f>
        <v>0.23499999999999999</v>
      </c>
      <c r="T8" s="83">
        <f>+HLOOKUP($D$3,UPSTREAM!$A$1:$AJ$37,29,0)</f>
        <v>0.23394812376714572</v>
      </c>
      <c r="U8" s="220">
        <f>+T8-S8</f>
        <v>-1.0518762328542708E-3</v>
      </c>
      <c r="V8" s="221"/>
      <c r="W8" s="222"/>
      <c r="X8" s="250" t="s">
        <v>45</v>
      </c>
      <c r="Y8" s="87">
        <f>+UPSTREAM!AI51</f>
        <v>0.41</v>
      </c>
      <c r="Z8" s="87">
        <f>+Z7/Z6</f>
        <v>0.41272228340936457</v>
      </c>
      <c r="AA8" s="228">
        <f>+Z8-Y8</f>
        <v>2.7222834093645898E-3</v>
      </c>
      <c r="AB8" s="225">
        <f>+Z8/Y8</f>
        <v>1.0066397156325966</v>
      </c>
      <c r="AC8" s="99"/>
    </row>
    <row r="9" spans="2:30" s="203" customFormat="1" ht="26" thickBot="1" x14ac:dyDescent="0.35">
      <c r="B9" s="223" t="s">
        <v>37</v>
      </c>
      <c r="C9" s="81">
        <f>+HLOOKUP($D$3,UPSTREAM!$A$1:$AJ$37,19,0)*C4</f>
        <v>6540</v>
      </c>
      <c r="D9" s="81">
        <f>+HLOOKUP($D$3,UPSTREAM!$A$1:$AJ$37,20,0)</f>
        <v>6520.5</v>
      </c>
      <c r="E9" s="224">
        <f>+D9-C9</f>
        <v>-19.5</v>
      </c>
      <c r="F9" s="225">
        <f>+IFERROR(D9/C9,0)</f>
        <v>0.99701834862385319</v>
      </c>
      <c r="H9" s="210"/>
      <c r="J9" s="226" t="s">
        <v>37</v>
      </c>
      <c r="K9" s="81">
        <f>+HLOOKUP($D$3,UPSTREAM!$A$1:$AJ$37,19,0)*UPSTREAM!$A$43*C4</f>
        <v>1438.8</v>
      </c>
      <c r="L9" s="81">
        <f>+HLOOKUP($D$3,UPSTREAM!$A$1:$AJ$37,21,0)</f>
        <v>1436.4949999999999</v>
      </c>
      <c r="M9" s="224">
        <f>+L9-K9</f>
        <v>-2.3050000000000637</v>
      </c>
      <c r="N9" s="227">
        <f>+L9/K9</f>
        <v>0.99839797053099799</v>
      </c>
      <c r="P9" s="210"/>
      <c r="R9" s="226" t="s">
        <v>37</v>
      </c>
      <c r="S9" s="95">
        <f>+UPSTREAM!A43</f>
        <v>0.22</v>
      </c>
      <c r="T9" s="85">
        <f>+HLOOKUP($D$3,UPSTREAM!$A$1:$AJ$37,22,0)</f>
        <v>0.22030442450732304</v>
      </c>
      <c r="U9" s="229">
        <f>+T9-S9</f>
        <v>3.0442450732304227E-4</v>
      </c>
      <c r="V9" s="206"/>
      <c r="X9" s="99"/>
      <c r="Y9" s="99"/>
      <c r="Z9" s="99"/>
      <c r="AA9" s="99"/>
      <c r="AB9" s="201"/>
      <c r="AC9" s="99"/>
    </row>
    <row r="10" spans="2:30" s="203" customFormat="1" ht="10" customHeight="1" x14ac:dyDescent="0.3">
      <c r="B10" s="230"/>
      <c r="C10" s="210"/>
      <c r="D10" s="210"/>
      <c r="E10" s="210"/>
      <c r="F10" s="231"/>
      <c r="H10" s="210"/>
      <c r="J10" s="202"/>
      <c r="K10" s="210"/>
      <c r="L10" s="210"/>
      <c r="M10" s="210"/>
      <c r="N10" s="232"/>
      <c r="P10" s="210"/>
      <c r="R10" s="202"/>
      <c r="S10" s="233"/>
      <c r="T10" s="219"/>
      <c r="U10" s="234"/>
      <c r="V10" s="206"/>
      <c r="Z10" s="254"/>
      <c r="AA10" s="254"/>
      <c r="AB10" s="201"/>
      <c r="AC10" s="99"/>
    </row>
    <row r="11" spans="2:30" s="203" customFormat="1" ht="24" x14ac:dyDescent="0.3">
      <c r="B11" s="235" t="s">
        <v>38</v>
      </c>
      <c r="C11" s="236">
        <f>+SUM(C6:C9)</f>
        <v>53140</v>
      </c>
      <c r="D11" s="236">
        <f>+SUM(D6:D9)</f>
        <v>51701.532000000007</v>
      </c>
      <c r="E11" s="236">
        <f>+D11-C11</f>
        <v>-1438.4679999999935</v>
      </c>
      <c r="F11" s="237">
        <f>+D11/C11</f>
        <v>0.97293059841926999</v>
      </c>
      <c r="H11" s="238"/>
      <c r="J11" s="239" t="s">
        <v>38</v>
      </c>
      <c r="K11" s="236">
        <f>+SUM(K6:K9)</f>
        <v>11760.5</v>
      </c>
      <c r="L11" s="236">
        <f>+SUM(L6:L9)</f>
        <v>11561.125</v>
      </c>
      <c r="M11" s="236">
        <f>+L11-K11</f>
        <v>-199.375</v>
      </c>
      <c r="N11" s="237">
        <f>+L11/K11</f>
        <v>0.98304706432549638</v>
      </c>
      <c r="P11" s="238"/>
      <c r="R11" s="239" t="s">
        <v>38</v>
      </c>
      <c r="S11" s="240">
        <f>+K11/C11</f>
        <v>0.22131162965750847</v>
      </c>
      <c r="T11" s="240">
        <f>+L11/D11</f>
        <v>0.22361281286597076</v>
      </c>
      <c r="U11" s="240">
        <f>+T11-S11</f>
        <v>2.3011832084622874E-3</v>
      </c>
      <c r="V11" s="206"/>
      <c r="AC11" s="99"/>
    </row>
    <row r="12" spans="2:30" s="203" customFormat="1" ht="24" x14ac:dyDescent="0.3">
      <c r="R12" s="417"/>
      <c r="S12" s="417"/>
      <c r="T12" s="418"/>
      <c r="V12" s="206"/>
      <c r="AC12" s="99"/>
    </row>
    <row r="13" spans="2:30" s="203" customFormat="1" ht="25" hidden="1" thickBot="1" x14ac:dyDescent="0.35">
      <c r="B13" s="202" t="s">
        <v>28</v>
      </c>
      <c r="C13" s="202" t="s">
        <v>77</v>
      </c>
      <c r="D13" s="202" t="s">
        <v>91</v>
      </c>
      <c r="E13" s="202" t="s">
        <v>86</v>
      </c>
      <c r="F13" s="202" t="s">
        <v>92</v>
      </c>
      <c r="H13" s="202"/>
      <c r="J13" s="204" t="s">
        <v>28</v>
      </c>
      <c r="K13" s="202" t="s">
        <v>77</v>
      </c>
      <c r="L13" s="202" t="s">
        <v>91</v>
      </c>
      <c r="M13" s="202" t="s">
        <v>86</v>
      </c>
      <c r="N13" s="202" t="s">
        <v>92</v>
      </c>
      <c r="P13" s="202"/>
      <c r="S13" s="99"/>
      <c r="T13" s="99"/>
      <c r="U13" s="99"/>
      <c r="V13" s="201"/>
      <c r="AC13" s="99"/>
    </row>
    <row r="14" spans="2:30" s="203" customFormat="1" ht="51" hidden="1" thickBot="1" x14ac:dyDescent="0.35">
      <c r="B14" s="241" t="s">
        <v>93</v>
      </c>
      <c r="C14" s="242">
        <f>+C6+C7+C8</f>
        <v>46600</v>
      </c>
      <c r="D14" s="242">
        <f>+D6+D7+D8</f>
        <v>45181.032000000007</v>
      </c>
      <c r="E14" s="242">
        <f>+D14-C14</f>
        <v>-1418.9679999999935</v>
      </c>
      <c r="F14" s="243">
        <f>+D14/C14</f>
        <v>0.96955004291845504</v>
      </c>
      <c r="H14" s="210"/>
      <c r="J14" s="241" t="s">
        <v>94</v>
      </c>
      <c r="K14" s="242">
        <f>+K6+K7+K8</f>
        <v>10321.700000000001</v>
      </c>
      <c r="L14" s="242">
        <f>+L6+L7+L8</f>
        <v>10124.630000000001</v>
      </c>
      <c r="M14" s="242">
        <f>+L14-K14</f>
        <v>-197.06999999999971</v>
      </c>
      <c r="N14" s="243">
        <f>+L14/K14</f>
        <v>0.98090721489677091</v>
      </c>
      <c r="P14" s="210"/>
      <c r="S14" s="99"/>
      <c r="T14" s="99"/>
      <c r="U14" s="99"/>
      <c r="V14" s="201"/>
      <c r="AC14" s="99"/>
    </row>
    <row r="15" spans="2:30" s="203" customFormat="1" ht="24" x14ac:dyDescent="0.3">
      <c r="B15" s="431"/>
      <c r="C15" s="210"/>
      <c r="D15" s="210"/>
      <c r="E15" s="210"/>
      <c r="F15" s="231"/>
      <c r="H15" s="210"/>
      <c r="J15" s="431"/>
      <c r="K15" s="210"/>
      <c r="L15" s="210"/>
      <c r="M15" s="210"/>
      <c r="N15" s="231"/>
      <c r="P15" s="210"/>
      <c r="S15" s="99"/>
      <c r="T15" s="99"/>
      <c r="U15" s="99"/>
      <c r="V15" s="201"/>
      <c r="AC15" s="99"/>
    </row>
    <row r="16" spans="2:30" s="203" customFormat="1" ht="24" x14ac:dyDescent="0.3">
      <c r="B16" s="431"/>
      <c r="C16" s="210"/>
      <c r="D16" s="210"/>
      <c r="E16" s="210"/>
      <c r="F16" s="231"/>
      <c r="H16" s="210"/>
      <c r="J16" s="431"/>
      <c r="K16" s="210"/>
      <c r="L16" s="210"/>
      <c r="M16" s="210"/>
      <c r="N16" s="231"/>
      <c r="P16" s="210"/>
      <c r="S16" s="99"/>
      <c r="T16" s="99"/>
      <c r="U16" s="99"/>
      <c r="V16" s="201"/>
      <c r="AC16" s="99"/>
    </row>
    <row r="17" spans="2:28" x14ac:dyDescent="0.2">
      <c r="C17" s="450"/>
      <c r="E17" s="282"/>
      <c r="L17" s="244"/>
    </row>
    <row r="18" spans="2:28" ht="21" customHeight="1" x14ac:dyDescent="0.2">
      <c r="X18" s="455" t="s">
        <v>113</v>
      </c>
      <c r="Y18" s="455"/>
      <c r="Z18" s="455"/>
      <c r="AA18" s="455"/>
      <c r="AB18" s="201"/>
    </row>
    <row r="19" spans="2:28" ht="26" customHeight="1" thickBot="1" x14ac:dyDescent="0.4">
      <c r="C19" s="298" t="s">
        <v>202</v>
      </c>
      <c r="E19" s="282"/>
      <c r="J19" s="200" t="s">
        <v>109</v>
      </c>
      <c r="X19" s="203"/>
      <c r="Y19" s="203"/>
      <c r="Z19" s="203"/>
      <c r="AA19" s="203"/>
      <c r="AB19" s="203"/>
    </row>
    <row r="20" spans="2:28" ht="22" customHeight="1" thickBot="1" x14ac:dyDescent="0.35">
      <c r="B20" s="207" t="s">
        <v>34</v>
      </c>
      <c r="C20" s="419">
        <v>0</v>
      </c>
      <c r="K20" s="435">
        <f ca="1">+TODAY()-1</f>
        <v>45993</v>
      </c>
      <c r="L20" s="437"/>
      <c r="X20" s="257" t="s">
        <v>28</v>
      </c>
      <c r="Y20" s="257" t="s">
        <v>104</v>
      </c>
      <c r="Z20" s="257" t="s">
        <v>105</v>
      </c>
      <c r="AA20" s="257" t="s">
        <v>31</v>
      </c>
      <c r="AB20" s="257" t="s">
        <v>32</v>
      </c>
    </row>
    <row r="21" spans="2:28" ht="24" customHeight="1" thickBot="1" x14ac:dyDescent="0.35">
      <c r="B21" s="215" t="s">
        <v>35</v>
      </c>
      <c r="C21" s="420">
        <v>0</v>
      </c>
      <c r="J21" s="202" t="s">
        <v>28</v>
      </c>
      <c r="K21" s="202" t="s">
        <v>83</v>
      </c>
      <c r="X21" s="247" t="s">
        <v>34</v>
      </c>
      <c r="Y21" s="213">
        <v>5.5E-2</v>
      </c>
      <c r="Z21" s="213">
        <v>6.1400000000000003E-2</v>
      </c>
      <c r="AA21" s="259">
        <f>+Z21/Y21</f>
        <v>1.1163636363636364</v>
      </c>
      <c r="AB21" s="214">
        <f>+Z21-Y21</f>
        <v>6.4000000000000029E-3</v>
      </c>
    </row>
    <row r="22" spans="2:28" ht="24" customHeight="1" x14ac:dyDescent="0.3">
      <c r="B22" s="215" t="s">
        <v>36</v>
      </c>
      <c r="C22" s="420">
        <v>0</v>
      </c>
      <c r="J22" s="211" t="s">
        <v>34</v>
      </c>
      <c r="K22" s="252">
        <v>480.63099999999997</v>
      </c>
      <c r="X22" s="261" t="s">
        <v>35</v>
      </c>
      <c r="Y22" s="219">
        <v>0.05</v>
      </c>
      <c r="Z22" s="219">
        <v>6.0999999999999999E-2</v>
      </c>
      <c r="AA22" s="232">
        <f>+Z22/Y22</f>
        <v>1.22</v>
      </c>
      <c r="AB22" s="220">
        <f>+Z22-Y22</f>
        <v>1.0999999999999996E-2</v>
      </c>
    </row>
    <row r="23" spans="2:28" ht="24" customHeight="1" thickBot="1" x14ac:dyDescent="0.35">
      <c r="B23" s="223" t="s">
        <v>37</v>
      </c>
      <c r="C23" s="421">
        <v>0</v>
      </c>
      <c r="J23" s="217" t="s">
        <v>35</v>
      </c>
      <c r="K23" s="253">
        <v>169.12799999999999</v>
      </c>
      <c r="X23" s="262" t="s">
        <v>36</v>
      </c>
      <c r="Y23" s="228">
        <v>0.05</v>
      </c>
      <c r="Z23" s="228">
        <v>4.3799999999999999E-2</v>
      </c>
      <c r="AA23" s="263">
        <f>+Z23/Y23</f>
        <v>0.87599999999999989</v>
      </c>
      <c r="AB23" s="229">
        <f>+Z23-Y23</f>
        <v>-6.2000000000000041E-3</v>
      </c>
    </row>
    <row r="24" spans="2:28" ht="24" customHeight="1" x14ac:dyDescent="0.2">
      <c r="J24" s="217" t="s">
        <v>36</v>
      </c>
      <c r="K24" s="253">
        <v>280.52199999999999</v>
      </c>
    </row>
    <row r="25" spans="2:28" ht="24" customHeight="1" thickBot="1" x14ac:dyDescent="0.25">
      <c r="J25" s="226" t="s">
        <v>37</v>
      </c>
      <c r="K25" s="256">
        <v>50.378999999999998</v>
      </c>
      <c r="Y25" s="254"/>
      <c r="Z25" s="254"/>
      <c r="AA25" s="254"/>
      <c r="AB25" s="264"/>
    </row>
    <row r="26" spans="2:28" ht="8" customHeight="1" x14ac:dyDescent="0.2">
      <c r="K26" s="210"/>
      <c r="X26" s="254"/>
      <c r="Y26" s="254"/>
      <c r="Z26" s="254"/>
      <c r="AA26" s="254"/>
      <c r="AB26" s="264"/>
    </row>
    <row r="27" spans="2:28" ht="24" x14ac:dyDescent="0.2">
      <c r="J27" s="277" t="s">
        <v>38</v>
      </c>
      <c r="K27" s="278">
        <f>+SUM(K22:K25)</f>
        <v>980.66</v>
      </c>
      <c r="X27" s="455" t="s">
        <v>114</v>
      </c>
      <c r="Y27" s="455"/>
      <c r="Z27" s="267"/>
      <c r="AA27" s="268"/>
      <c r="AB27" s="201"/>
    </row>
    <row r="28" spans="2:28" ht="8" customHeight="1" x14ac:dyDescent="0.2">
      <c r="G28" s="202"/>
      <c r="H28" s="202"/>
      <c r="AB28" s="201"/>
    </row>
    <row r="29" spans="2:28" ht="32" thickBot="1" x14ac:dyDescent="0.4">
      <c r="G29" s="210"/>
      <c r="H29" s="210"/>
      <c r="J29" s="200" t="s">
        <v>110</v>
      </c>
      <c r="X29" s="257" t="s">
        <v>28</v>
      </c>
      <c r="Y29" s="257" t="s">
        <v>83</v>
      </c>
      <c r="AB29" s="201"/>
    </row>
    <row r="30" spans="2:28" ht="25" thickBot="1" x14ac:dyDescent="0.25">
      <c r="X30" s="211" t="s">
        <v>34</v>
      </c>
      <c r="Y30" s="252">
        <v>235</v>
      </c>
      <c r="AB30" s="201"/>
    </row>
    <row r="31" spans="2:28" ht="24" x14ac:dyDescent="0.2">
      <c r="J31" s="247" t="s">
        <v>111</v>
      </c>
      <c r="K31" s="248" t="s">
        <v>112</v>
      </c>
      <c r="L31" s="248" t="s">
        <v>91</v>
      </c>
      <c r="M31" s="248" t="s">
        <v>86</v>
      </c>
      <c r="N31" s="249" t="s">
        <v>92</v>
      </c>
      <c r="X31" s="217" t="s">
        <v>35</v>
      </c>
      <c r="Y31" s="253">
        <v>0.5</v>
      </c>
      <c r="AB31" s="201"/>
    </row>
    <row r="32" spans="2:28" ht="26" thickBot="1" x14ac:dyDescent="0.25">
      <c r="J32" s="251" t="s">
        <v>208</v>
      </c>
      <c r="K32" s="210">
        <v>0</v>
      </c>
      <c r="L32" s="210">
        <v>0</v>
      </c>
      <c r="M32" s="210">
        <f>+K32-L32</f>
        <v>0</v>
      </c>
      <c r="N32" s="216" t="str">
        <f t="shared" ref="N32:N37" si="0">+IFERROR(L32/K32,"")</f>
        <v/>
      </c>
      <c r="X32" s="217" t="s">
        <v>36</v>
      </c>
      <c r="Y32" s="253">
        <v>60</v>
      </c>
      <c r="AB32" s="201"/>
    </row>
    <row r="33" spans="1:28" ht="50" x14ac:dyDescent="0.2">
      <c r="J33" s="251" t="s">
        <v>220</v>
      </c>
      <c r="K33" s="210">
        <v>166</v>
      </c>
      <c r="L33" s="210">
        <v>171</v>
      </c>
      <c r="M33" s="210">
        <f>+K33-L33</f>
        <v>-5</v>
      </c>
      <c r="N33" s="216">
        <f t="shared" si="0"/>
        <v>1.0301204819277108</v>
      </c>
      <c r="X33" s="211" t="s">
        <v>108</v>
      </c>
      <c r="Y33" s="252">
        <v>400</v>
      </c>
      <c r="AB33" s="201"/>
    </row>
    <row r="34" spans="1:28" ht="25" x14ac:dyDescent="0.2">
      <c r="J34" s="251" t="s">
        <v>128</v>
      </c>
      <c r="K34" s="210">
        <v>0</v>
      </c>
      <c r="L34" s="210">
        <v>0</v>
      </c>
      <c r="M34" s="210">
        <f>+K34-L34</f>
        <v>0</v>
      </c>
      <c r="N34" s="216" t="str">
        <f t="shared" si="0"/>
        <v/>
      </c>
      <c r="X34" s="217" t="s">
        <v>125</v>
      </c>
      <c r="Y34" s="253">
        <v>83</v>
      </c>
      <c r="AB34" s="201"/>
    </row>
    <row r="35" spans="1:28" ht="51" thickBot="1" x14ac:dyDescent="0.25">
      <c r="A35" s="271"/>
      <c r="B35" s="271"/>
      <c r="C35" s="271"/>
      <c r="J35" s="255" t="s">
        <v>129</v>
      </c>
      <c r="K35" s="224">
        <v>0</v>
      </c>
      <c r="L35" s="224">
        <v>0</v>
      </c>
      <c r="M35" s="224">
        <f>+K35-L35</f>
        <v>0</v>
      </c>
      <c r="N35" s="225" t="str">
        <f t="shared" si="0"/>
        <v/>
      </c>
      <c r="X35" s="226" t="s">
        <v>126</v>
      </c>
      <c r="Y35" s="256">
        <v>157</v>
      </c>
    </row>
    <row r="36" spans="1:28" ht="19" customHeight="1" x14ac:dyDescent="0.2">
      <c r="A36" s="271"/>
      <c r="C36" s="271"/>
      <c r="J36" s="258"/>
      <c r="K36" s="210"/>
      <c r="L36" s="210"/>
      <c r="M36" s="210"/>
      <c r="N36" s="231" t="str">
        <f t="shared" si="0"/>
        <v/>
      </c>
      <c r="X36" s="99" t="s">
        <v>127</v>
      </c>
    </row>
    <row r="37" spans="1:28" ht="25" x14ac:dyDescent="0.2">
      <c r="A37" s="271"/>
      <c r="C37" s="271"/>
      <c r="J37" s="258" t="s">
        <v>38</v>
      </c>
      <c r="K37" s="260">
        <f>+SUM(K32:K35)</f>
        <v>166</v>
      </c>
      <c r="L37" s="260">
        <f>+SUM(L32:L35)</f>
        <v>171</v>
      </c>
      <c r="M37" s="260">
        <f>+SUM(M32:M35)</f>
        <v>-5</v>
      </c>
      <c r="N37" s="231">
        <f t="shared" si="0"/>
        <v>1.0301204819277108</v>
      </c>
    </row>
    <row r="38" spans="1:28" x14ac:dyDescent="0.2">
      <c r="A38" s="271"/>
      <c r="C38" s="271"/>
    </row>
    <row r="39" spans="1:28" x14ac:dyDescent="0.2">
      <c r="A39" s="271"/>
      <c r="C39" s="271"/>
    </row>
    <row r="40" spans="1:28" x14ac:dyDescent="0.2">
      <c r="A40" s="271"/>
      <c r="C40" s="271"/>
    </row>
    <row r="41" spans="1:28" x14ac:dyDescent="0.2">
      <c r="A41" s="271"/>
      <c r="B41" s="271"/>
      <c r="C41" s="271"/>
    </row>
    <row r="42" spans="1:28" ht="31" hidden="1" x14ac:dyDescent="0.35">
      <c r="A42" s="271"/>
      <c r="B42" s="271"/>
      <c r="C42" s="271"/>
      <c r="J42" s="200" t="s">
        <v>119</v>
      </c>
    </row>
    <row r="43" spans="1:28" ht="32" hidden="1" thickBot="1" x14ac:dyDescent="0.4">
      <c r="A43" s="271"/>
      <c r="B43" s="271"/>
      <c r="C43" s="271"/>
      <c r="J43" s="200"/>
      <c r="K43" s="273" t="s">
        <v>77</v>
      </c>
      <c r="L43" s="273" t="s">
        <v>78</v>
      </c>
    </row>
    <row r="44" spans="1:28" ht="25" hidden="1" x14ac:dyDescent="0.2">
      <c r="A44" s="271"/>
      <c r="B44" s="271"/>
      <c r="C44" s="271"/>
      <c r="J44" s="265" t="s">
        <v>106</v>
      </c>
      <c r="K44" s="266">
        <v>0</v>
      </c>
      <c r="L44" s="266">
        <v>0</v>
      </c>
    </row>
    <row r="45" spans="1:28" ht="51" hidden="1" thickBot="1" x14ac:dyDescent="0.25">
      <c r="A45" s="271"/>
      <c r="B45" s="271"/>
      <c r="C45" s="271"/>
      <c r="J45" s="269" t="s">
        <v>107</v>
      </c>
      <c r="K45" s="270">
        <v>700</v>
      </c>
      <c r="L45" s="270">
        <v>0</v>
      </c>
    </row>
    <row r="46" spans="1:28" x14ac:dyDescent="0.2">
      <c r="A46" s="271"/>
      <c r="B46" s="271"/>
      <c r="C46" s="271"/>
    </row>
    <row r="47" spans="1:28" x14ac:dyDescent="0.2">
      <c r="A47" s="271"/>
      <c r="B47" s="271"/>
      <c r="C47" s="271"/>
    </row>
    <row r="48" spans="1:28" x14ac:dyDescent="0.2">
      <c r="A48" s="271"/>
      <c r="B48" s="271"/>
      <c r="C48" s="271"/>
    </row>
    <row r="49" spans="1:3" x14ac:dyDescent="0.2">
      <c r="A49" s="271"/>
      <c r="B49" s="271"/>
      <c r="C49" s="271"/>
    </row>
    <row r="50" spans="1:3" x14ac:dyDescent="0.2">
      <c r="A50" s="271"/>
      <c r="B50" s="271"/>
      <c r="C50" s="271"/>
    </row>
    <row r="51" spans="1:3" x14ac:dyDescent="0.2">
      <c r="A51" s="271"/>
      <c r="B51" s="271"/>
      <c r="C51" s="271"/>
    </row>
    <row r="52" spans="1:3" x14ac:dyDescent="0.2">
      <c r="A52" s="271"/>
      <c r="B52" s="271"/>
      <c r="C52" s="271"/>
    </row>
    <row r="53" spans="1:3" x14ac:dyDescent="0.2">
      <c r="A53" s="271"/>
      <c r="B53" s="271"/>
      <c r="C53" s="271"/>
    </row>
    <row r="54" spans="1:3" x14ac:dyDescent="0.2">
      <c r="A54" s="271"/>
      <c r="B54" s="271"/>
      <c r="C54" s="271"/>
    </row>
    <row r="55" spans="1:3" x14ac:dyDescent="0.2">
      <c r="A55" s="271"/>
      <c r="B55" s="271"/>
      <c r="C55" s="271"/>
    </row>
    <row r="56" spans="1:3" x14ac:dyDescent="0.2">
      <c r="A56" s="271"/>
      <c r="B56" s="271"/>
      <c r="C56" s="271"/>
    </row>
    <row r="57" spans="1:3" x14ac:dyDescent="0.2">
      <c r="A57" s="271"/>
      <c r="B57" s="271"/>
      <c r="C57" s="271"/>
    </row>
    <row r="58" spans="1:3" x14ac:dyDescent="0.2">
      <c r="A58" s="271"/>
      <c r="B58" s="271"/>
      <c r="C58" s="271"/>
    </row>
    <row r="59" spans="1:3" x14ac:dyDescent="0.2">
      <c r="A59" s="271"/>
      <c r="B59" s="271"/>
      <c r="C59" s="271"/>
    </row>
    <row r="60" spans="1:3" x14ac:dyDescent="0.2">
      <c r="A60" s="271"/>
      <c r="B60" s="271"/>
      <c r="C60" s="271"/>
    </row>
    <row r="61" spans="1:3" x14ac:dyDescent="0.2">
      <c r="A61" s="271"/>
      <c r="B61" s="271"/>
      <c r="C61" s="271"/>
    </row>
    <row r="62" spans="1:3" x14ac:dyDescent="0.2">
      <c r="A62" s="271"/>
      <c r="B62" s="271"/>
      <c r="C62" s="271"/>
    </row>
    <row r="63" spans="1:3" x14ac:dyDescent="0.2">
      <c r="A63" s="271"/>
      <c r="B63" s="271"/>
      <c r="C63" s="271"/>
    </row>
    <row r="64" spans="1:3" x14ac:dyDescent="0.2">
      <c r="A64" s="271"/>
      <c r="B64" s="271"/>
      <c r="C64" s="271"/>
    </row>
    <row r="65" spans="1:3" x14ac:dyDescent="0.2">
      <c r="A65" s="271"/>
      <c r="B65" s="271"/>
      <c r="C65" s="271"/>
    </row>
    <row r="66" spans="1:3" x14ac:dyDescent="0.2">
      <c r="A66" s="271"/>
      <c r="B66" s="271"/>
      <c r="C66" s="271"/>
    </row>
    <row r="67" spans="1:3" x14ac:dyDescent="0.2">
      <c r="A67" s="271"/>
      <c r="B67" s="271"/>
      <c r="C67" s="271"/>
    </row>
    <row r="68" spans="1:3" x14ac:dyDescent="0.2">
      <c r="A68" s="271"/>
      <c r="B68" s="271"/>
      <c r="C68" s="271"/>
    </row>
    <row r="69" spans="1:3" x14ac:dyDescent="0.2">
      <c r="A69" s="271"/>
      <c r="B69" s="271"/>
      <c r="C69" s="271"/>
    </row>
    <row r="70" spans="1:3" x14ac:dyDescent="0.2">
      <c r="A70" s="271"/>
      <c r="B70" s="271"/>
      <c r="C70" s="271"/>
    </row>
    <row r="71" spans="1:3" x14ac:dyDescent="0.2">
      <c r="A71" s="271"/>
      <c r="B71" s="271"/>
      <c r="C71" s="271"/>
    </row>
    <row r="72" spans="1:3" x14ac:dyDescent="0.2">
      <c r="A72" s="271"/>
      <c r="B72" s="271"/>
      <c r="C72" s="271"/>
    </row>
    <row r="73" spans="1:3" x14ac:dyDescent="0.2">
      <c r="A73" s="271"/>
      <c r="B73" s="271"/>
      <c r="C73" s="271"/>
    </row>
    <row r="74" spans="1:3" x14ac:dyDescent="0.2">
      <c r="A74" s="271"/>
      <c r="B74" s="271"/>
      <c r="C74" s="271"/>
    </row>
    <row r="75" spans="1:3" x14ac:dyDescent="0.2">
      <c r="A75" s="271"/>
      <c r="B75" s="271"/>
      <c r="C75" s="271"/>
    </row>
    <row r="76" spans="1:3" x14ac:dyDescent="0.2">
      <c r="A76" s="271"/>
      <c r="B76" s="271"/>
      <c r="C76" s="271"/>
    </row>
    <row r="77" spans="1:3" x14ac:dyDescent="0.2">
      <c r="A77" s="271"/>
      <c r="B77" s="271"/>
      <c r="C77" s="271"/>
    </row>
    <row r="78" spans="1:3" x14ac:dyDescent="0.2">
      <c r="A78" s="271"/>
      <c r="B78" s="271"/>
      <c r="C78" s="271"/>
    </row>
    <row r="79" spans="1:3" x14ac:dyDescent="0.2">
      <c r="A79" s="271"/>
      <c r="B79" s="271"/>
      <c r="C79" s="271"/>
    </row>
    <row r="80" spans="1:3" x14ac:dyDescent="0.2">
      <c r="A80" s="271"/>
      <c r="B80" s="271"/>
      <c r="C80" s="271"/>
    </row>
    <row r="81" spans="1:3" x14ac:dyDescent="0.2">
      <c r="A81" s="271"/>
      <c r="B81" s="271"/>
      <c r="C81" s="271"/>
    </row>
    <row r="82" spans="1:3" x14ac:dyDescent="0.2">
      <c r="A82" s="271"/>
      <c r="B82" s="271"/>
      <c r="C82" s="271"/>
    </row>
    <row r="83" spans="1:3" x14ac:dyDescent="0.2">
      <c r="A83" s="271"/>
      <c r="B83" s="271"/>
      <c r="C83" s="271"/>
    </row>
    <row r="84" spans="1:3" x14ac:dyDescent="0.2">
      <c r="A84" s="271"/>
      <c r="B84" s="271"/>
      <c r="C84" s="271"/>
    </row>
    <row r="85" spans="1:3" x14ac:dyDescent="0.2">
      <c r="A85" s="271"/>
      <c r="B85" s="271"/>
      <c r="C85" s="271"/>
    </row>
    <row r="86" spans="1:3" x14ac:dyDescent="0.2">
      <c r="A86" s="271"/>
      <c r="B86" s="271"/>
      <c r="C86" s="271"/>
    </row>
    <row r="87" spans="1:3" x14ac:dyDescent="0.2">
      <c r="A87" s="271"/>
      <c r="B87" s="271"/>
      <c r="C87" s="271"/>
    </row>
    <row r="88" spans="1:3" x14ac:dyDescent="0.2">
      <c r="A88" s="271"/>
      <c r="B88" s="271"/>
      <c r="C88" s="271"/>
    </row>
    <row r="89" spans="1:3" x14ac:dyDescent="0.2">
      <c r="A89" s="271"/>
      <c r="B89" s="271"/>
      <c r="C89" s="271"/>
    </row>
    <row r="90" spans="1:3" x14ac:dyDescent="0.2">
      <c r="A90" s="271"/>
      <c r="B90" s="271"/>
      <c r="C90" s="271"/>
    </row>
    <row r="91" spans="1:3" x14ac:dyDescent="0.2">
      <c r="A91" s="271"/>
      <c r="B91" s="271"/>
      <c r="C91" s="271"/>
    </row>
    <row r="92" spans="1:3" x14ac:dyDescent="0.2">
      <c r="A92" s="271"/>
      <c r="B92" s="271"/>
      <c r="C92" s="271"/>
    </row>
  </sheetData>
  <mergeCells count="3">
    <mergeCell ref="D3:F3"/>
    <mergeCell ref="X18:AA18"/>
    <mergeCell ref="X27:Y27"/>
  </mergeCells>
  <phoneticPr fontId="28" type="noConversion"/>
  <conditionalFormatting sqref="F6:F9 F11 F14:F16">
    <cfRule type="iconSet" priority="8">
      <iconSet>
        <cfvo type="percent" val="0"/>
        <cfvo type="num" val="0.95" gte="0"/>
        <cfvo type="num" val="0.98"/>
      </iconSet>
    </cfRule>
  </conditionalFormatting>
  <conditionalFormatting sqref="N6:N9 N11 N14:N16">
    <cfRule type="iconSet" priority="7">
      <iconSet>
        <cfvo type="percent" val="0"/>
        <cfvo type="num" val="0.95"/>
        <cfvo type="num" val="0.98"/>
      </iconSet>
    </cfRule>
  </conditionalFormatting>
  <conditionalFormatting sqref="N32:N37">
    <cfRule type="iconSet" priority="3">
      <iconSet>
        <cfvo type="percent" val="0"/>
        <cfvo type="num" val="0.95" gte="0"/>
        <cfvo type="num" val="0.98"/>
      </iconSet>
    </cfRule>
  </conditionalFormatting>
  <conditionalFormatting sqref="U6:U9 U11">
    <cfRule type="iconSet" priority="6">
      <iconSet>
        <cfvo type="percent" val="0"/>
        <cfvo type="num" val="-3.0000000000000001E-3"/>
        <cfvo type="num" val="-2E-3"/>
      </iconSet>
    </cfRule>
  </conditionalFormatting>
  <conditionalFormatting sqref="AB6:AB8">
    <cfRule type="iconSet" priority="5">
      <iconSet>
        <cfvo type="percent" val="0"/>
        <cfvo type="num" val="0.95"/>
        <cfvo type="num" val="0.98"/>
      </iconSet>
    </cfRule>
  </conditionalFormatting>
  <conditionalFormatting sqref="AB21:AB23">
    <cfRule type="iconSet" priority="4">
      <iconSet>
        <cfvo type="percent" val="0"/>
        <cfvo type="num" val="-2E-3"/>
        <cfvo type="num" val="0"/>
      </iconSe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6CA585-09CA-AE42-919A-A80B4D0FF4CA}">
          <x14:formula1>
            <xm:f>Lista!$C$13:$C$17</xm:f>
          </x14:formula1>
          <xm:sqref>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484B-0B9C-EE45-8105-85B3A996965F}">
  <sheetPr>
    <outlinePr summaryBelow="0"/>
  </sheetPr>
  <dimension ref="A1:AR1002"/>
  <sheetViews>
    <sheetView showGridLines="0" zoomScale="230" zoomScaleNormal="230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J3" sqref="AJ3"/>
    </sheetView>
  </sheetViews>
  <sheetFormatPr baseColWidth="10" defaultColWidth="14.5" defaultRowHeight="15" customHeight="1" outlineLevelRow="1" x14ac:dyDescent="0.2"/>
  <cols>
    <col min="1" max="1" width="20.1640625" style="99" customWidth="1"/>
    <col min="2" max="2" width="12" style="99" customWidth="1"/>
    <col min="3" max="3" width="11.33203125" style="99" customWidth="1"/>
    <col min="4" max="4" width="11" style="99" customWidth="1"/>
    <col min="5" max="5" width="12.5" style="99" customWidth="1"/>
    <col min="6" max="6" width="11.33203125" style="99" customWidth="1"/>
    <col min="7" max="8" width="12.5" style="99" customWidth="1"/>
    <col min="9" max="9" width="11.5" style="99" customWidth="1"/>
    <col min="10" max="11" width="11.33203125" style="99" customWidth="1"/>
    <col min="12" max="12" width="11.5" style="99" customWidth="1"/>
    <col min="13" max="15" width="11" style="99" customWidth="1"/>
    <col min="16" max="18" width="11.5" style="99" customWidth="1"/>
    <col min="19" max="19" width="12.33203125" style="99" customWidth="1"/>
    <col min="20" max="20" width="14.5" style="99" customWidth="1"/>
    <col min="21" max="24" width="11.33203125" style="99" customWidth="1"/>
    <col min="25" max="27" width="10.5" style="99" customWidth="1"/>
    <col min="28" max="28" width="10.6640625" style="99" customWidth="1"/>
    <col min="29" max="29" width="10.5" style="99" customWidth="1"/>
    <col min="30" max="32" width="10.6640625" style="99" customWidth="1"/>
    <col min="33" max="33" width="12" style="99" customWidth="1"/>
    <col min="34" max="34" width="14.5" style="99" customWidth="1"/>
    <col min="35" max="35" width="10.5" style="99" customWidth="1"/>
    <col min="36" max="36" width="14.5" style="99" bestFit="1" customWidth="1"/>
    <col min="37" max="39" width="10.5" style="99" customWidth="1"/>
    <col min="40" max="40" width="13.6640625" style="99" customWidth="1"/>
    <col min="41" max="16384" width="14.5" style="99"/>
  </cols>
  <sheetData>
    <row r="1" spans="1:36" ht="12" customHeight="1" thickBot="1" x14ac:dyDescent="0.25">
      <c r="A1" s="96" t="s">
        <v>0</v>
      </c>
      <c r="B1" s="97">
        <v>45962</v>
      </c>
      <c r="C1" s="97">
        <f t="shared" ref="C1:I1" si="0">+B1+1</f>
        <v>45963</v>
      </c>
      <c r="D1" s="97">
        <f t="shared" si="0"/>
        <v>45964</v>
      </c>
      <c r="E1" s="97" t="s">
        <v>99</v>
      </c>
      <c r="F1" s="97">
        <f>+D1+1</f>
        <v>45965</v>
      </c>
      <c r="G1" s="97">
        <f t="shared" si="0"/>
        <v>45966</v>
      </c>
      <c r="H1" s="97">
        <f>+G1+1</f>
        <v>45967</v>
      </c>
      <c r="I1" s="97">
        <f t="shared" si="0"/>
        <v>45968</v>
      </c>
      <c r="J1" s="97">
        <f>+I1+1</f>
        <v>45969</v>
      </c>
      <c r="K1" s="97">
        <f t="shared" ref="K1:P1" si="1">+J1+1</f>
        <v>45970</v>
      </c>
      <c r="L1" s="97" t="s">
        <v>100</v>
      </c>
      <c r="M1" s="97">
        <f>+K1+1</f>
        <v>45971</v>
      </c>
      <c r="N1" s="97">
        <f t="shared" si="1"/>
        <v>45972</v>
      </c>
      <c r="O1" s="97">
        <f t="shared" si="1"/>
        <v>45973</v>
      </c>
      <c r="P1" s="97">
        <f t="shared" si="1"/>
        <v>45974</v>
      </c>
      <c r="Q1" s="97">
        <f>+P1+1</f>
        <v>45975</v>
      </c>
      <c r="R1" s="97">
        <f>+Q1+1</f>
        <v>45976</v>
      </c>
      <c r="S1" s="97">
        <f>+R1+1</f>
        <v>45977</v>
      </c>
      <c r="T1" s="97">
        <f>+S1+1</f>
        <v>45978</v>
      </c>
      <c r="U1" s="97" t="s">
        <v>101</v>
      </c>
      <c r="V1" s="97">
        <f>+T1+1</f>
        <v>45979</v>
      </c>
      <c r="W1" s="98">
        <f>+V1+1</f>
        <v>45980</v>
      </c>
      <c r="X1" s="98">
        <f>+W1+1</f>
        <v>45981</v>
      </c>
      <c r="Y1" s="98">
        <f>+X1+1</f>
        <v>45982</v>
      </c>
      <c r="Z1" s="98">
        <f>+Y1+1</f>
        <v>45983</v>
      </c>
      <c r="AA1" s="97">
        <f>+Z1+1</f>
        <v>45984</v>
      </c>
      <c r="AB1" s="97" t="s">
        <v>102</v>
      </c>
      <c r="AC1" s="97">
        <f>+AA1+1</f>
        <v>45985</v>
      </c>
      <c r="AD1" s="97">
        <f>+AC7+1</f>
        <v>45986</v>
      </c>
      <c r="AE1" s="97">
        <f>+AD1+1</f>
        <v>45987</v>
      </c>
      <c r="AF1" s="97">
        <f>+AE1+1</f>
        <v>45988</v>
      </c>
      <c r="AG1" s="97">
        <f>+AF1+1</f>
        <v>45989</v>
      </c>
      <c r="AH1" s="97">
        <f>+AG1+1</f>
        <v>45990</v>
      </c>
      <c r="AI1" s="97">
        <f>+AH1+1</f>
        <v>45991</v>
      </c>
      <c r="AJ1" s="97" t="s">
        <v>210</v>
      </c>
    </row>
    <row r="2" spans="1:36" ht="12" customHeight="1" x14ac:dyDescent="0.2">
      <c r="A2" s="104" t="s">
        <v>49</v>
      </c>
      <c r="B2" s="105">
        <v>0</v>
      </c>
      <c r="C2" s="105">
        <v>0</v>
      </c>
      <c r="D2" s="105">
        <v>150</v>
      </c>
      <c r="E2" s="112">
        <f>+SUM(B2:D2)</f>
        <v>150</v>
      </c>
      <c r="F2" s="105">
        <v>330</v>
      </c>
      <c r="G2" s="105">
        <v>330</v>
      </c>
      <c r="H2" s="105">
        <v>330</v>
      </c>
      <c r="I2" s="105">
        <v>330</v>
      </c>
      <c r="J2" s="105">
        <v>330</v>
      </c>
      <c r="K2" s="105">
        <v>240</v>
      </c>
      <c r="L2" s="112">
        <f>+SUM(F2:K2)+E2</f>
        <v>2040</v>
      </c>
      <c r="M2" s="105">
        <v>330</v>
      </c>
      <c r="N2" s="105">
        <v>330</v>
      </c>
      <c r="O2" s="105">
        <v>330</v>
      </c>
      <c r="P2" s="105">
        <v>330</v>
      </c>
      <c r="Q2" s="105">
        <v>330</v>
      </c>
      <c r="R2" s="105">
        <v>330</v>
      </c>
      <c r="S2" s="105">
        <v>240</v>
      </c>
      <c r="T2" s="105">
        <v>330</v>
      </c>
      <c r="U2" s="112">
        <f>+L2+SUM(M2:T2)</f>
        <v>4590</v>
      </c>
      <c r="V2" s="105">
        <v>330</v>
      </c>
      <c r="W2" s="105">
        <v>330</v>
      </c>
      <c r="X2" s="105">
        <v>330</v>
      </c>
      <c r="Y2" s="105">
        <v>330</v>
      </c>
      <c r="Z2" s="105">
        <v>330</v>
      </c>
      <c r="AA2" s="105">
        <v>240</v>
      </c>
      <c r="AB2" s="112">
        <f>+U2+SUM(V2:AA2)</f>
        <v>6480</v>
      </c>
      <c r="AC2" s="105">
        <v>330</v>
      </c>
      <c r="AD2" s="105">
        <v>330</v>
      </c>
      <c r="AE2" s="105">
        <v>330</v>
      </c>
      <c r="AF2" s="105">
        <v>330</v>
      </c>
      <c r="AG2" s="105">
        <v>330</v>
      </c>
      <c r="AH2" s="105">
        <v>330</v>
      </c>
      <c r="AI2" s="105">
        <v>210</v>
      </c>
      <c r="AJ2" s="112">
        <f>+AB2+SUM(AC2:AI2)</f>
        <v>8670</v>
      </c>
    </row>
    <row r="3" spans="1:36" ht="12" customHeight="1" x14ac:dyDescent="0.2">
      <c r="A3" s="110" t="s">
        <v>50</v>
      </c>
      <c r="B3" s="111">
        <v>0</v>
      </c>
      <c r="C3" s="111">
        <v>0</v>
      </c>
      <c r="D3" s="111">
        <v>341.20499999999998</v>
      </c>
      <c r="E3" s="112">
        <f>+SUM(B3:D3)</f>
        <v>341.20499999999998</v>
      </c>
      <c r="F3" s="111">
        <v>329.98599999999999</v>
      </c>
      <c r="G3" s="111">
        <v>334.101</v>
      </c>
      <c r="H3" s="111">
        <v>335.221</v>
      </c>
      <c r="I3" s="111">
        <v>333.51600000000002</v>
      </c>
      <c r="J3" s="111">
        <v>330.12099999999998</v>
      </c>
      <c r="K3" s="111">
        <v>335.25700000000001</v>
      </c>
      <c r="L3" s="112">
        <f>+SUM(F3:K3)+E3</f>
        <v>2339.4070000000002</v>
      </c>
      <c r="M3" s="111">
        <v>350.33</v>
      </c>
      <c r="N3" s="111">
        <v>328.56099999999998</v>
      </c>
      <c r="O3" s="111">
        <v>352.60500000000002</v>
      </c>
      <c r="P3" s="111">
        <v>372.49700000000001</v>
      </c>
      <c r="Q3" s="111">
        <v>251.148</v>
      </c>
      <c r="R3" s="111">
        <v>232.85599999999999</v>
      </c>
      <c r="S3" s="111">
        <v>360.98500000000001</v>
      </c>
      <c r="T3" s="111">
        <v>359.34199999999998</v>
      </c>
      <c r="U3" s="112">
        <f>+L3+SUM(M3:T3)</f>
        <v>4947.7309999999998</v>
      </c>
      <c r="V3" s="111">
        <v>340.81700000000001</v>
      </c>
      <c r="W3" s="111">
        <v>354.108</v>
      </c>
      <c r="X3" s="111">
        <v>367.16800000000001</v>
      </c>
      <c r="Y3" s="111">
        <v>351.86799999999999</v>
      </c>
      <c r="Z3" s="111">
        <v>359.62200000000001</v>
      </c>
      <c r="AA3" s="111">
        <v>356.15100000000001</v>
      </c>
      <c r="AB3" s="112">
        <f>+U3+SUM(V3:AA3)</f>
        <v>7077.4650000000001</v>
      </c>
      <c r="AC3" s="111">
        <v>357.07299999999998</v>
      </c>
      <c r="AD3" s="111">
        <v>371.07100000000003</v>
      </c>
      <c r="AE3" s="111">
        <v>342.74900000000002</v>
      </c>
      <c r="AF3" s="111">
        <v>365.90300000000002</v>
      </c>
      <c r="AG3" s="111">
        <v>201.005</v>
      </c>
      <c r="AH3" s="111">
        <v>243.65</v>
      </c>
      <c r="AI3" s="111">
        <v>322.38799999999998</v>
      </c>
      <c r="AJ3" s="112">
        <f>+AB3+SUM(AC3:AI3)</f>
        <v>9281.3040000000001</v>
      </c>
    </row>
    <row r="4" spans="1:36" ht="16" thickBot="1" x14ac:dyDescent="0.25">
      <c r="A4" s="113" t="s">
        <v>3</v>
      </c>
      <c r="B4" s="114">
        <f>IFERROR(B3/B2,0)</f>
        <v>0</v>
      </c>
      <c r="C4" s="114">
        <f>IFERROR(C3/C2,0)</f>
        <v>0</v>
      </c>
      <c r="D4" s="114">
        <f t="shared" ref="D4:AI4" si="2">IFERROR(D3/D2,0)</f>
        <v>2.2746999999999997</v>
      </c>
      <c r="E4" s="115">
        <f>IFERROR(E3/E2,0)</f>
        <v>2.2746999999999997</v>
      </c>
      <c r="F4" s="114">
        <f t="shared" si="2"/>
        <v>0.99995757575757571</v>
      </c>
      <c r="G4" s="114">
        <f t="shared" si="2"/>
        <v>1.0124272727272727</v>
      </c>
      <c r="H4" s="114">
        <f t="shared" si="2"/>
        <v>1.0158212121212122</v>
      </c>
      <c r="I4" s="114">
        <f t="shared" si="2"/>
        <v>1.0106545454545455</v>
      </c>
      <c r="J4" s="114">
        <f t="shared" si="2"/>
        <v>1.0003666666666666</v>
      </c>
      <c r="K4" s="114">
        <f t="shared" ref="K4:V4" si="3">IFERROR(K3/K2,0)</f>
        <v>1.3969041666666666</v>
      </c>
      <c r="L4" s="115">
        <f>IFERROR(L3/L2,0)</f>
        <v>1.1467681372549021</v>
      </c>
      <c r="M4" s="114">
        <f t="shared" si="3"/>
        <v>1.0616060606060607</v>
      </c>
      <c r="N4" s="114">
        <f t="shared" si="3"/>
        <v>0.99563939393939382</v>
      </c>
      <c r="O4" s="114">
        <f t="shared" si="3"/>
        <v>1.0685</v>
      </c>
      <c r="P4" s="114">
        <f t="shared" si="3"/>
        <v>1.1287787878787878</v>
      </c>
      <c r="Q4" s="114">
        <f>IFERROR(Q3/Q2,0)</f>
        <v>0.76105454545454543</v>
      </c>
      <c r="R4" s="114">
        <f>IFERROR(R3/R2,0)</f>
        <v>0.70562424242424238</v>
      </c>
      <c r="S4" s="114">
        <f>IFERROR(S3/S2,0)</f>
        <v>1.5041041666666668</v>
      </c>
      <c r="T4" s="114">
        <f>IFERROR(T3/T2,0)</f>
        <v>1.0889151515151514</v>
      </c>
      <c r="U4" s="115">
        <f>IFERROR(U3/U2,0)</f>
        <v>1.0779370370370369</v>
      </c>
      <c r="V4" s="114">
        <f t="shared" si="3"/>
        <v>1.032778787878788</v>
      </c>
      <c r="W4" s="114">
        <f t="shared" si="2"/>
        <v>1.0730545454545455</v>
      </c>
      <c r="X4" s="114">
        <f t="shared" si="2"/>
        <v>1.1126303030303031</v>
      </c>
      <c r="Y4" s="114">
        <f t="shared" si="2"/>
        <v>1.0662666666666667</v>
      </c>
      <c r="Z4" s="114">
        <f t="shared" si="2"/>
        <v>1.0897636363636365</v>
      </c>
      <c r="AA4" s="114">
        <f t="shared" si="2"/>
        <v>1.4839625000000001</v>
      </c>
      <c r="AB4" s="115">
        <f>IFERROR(AB3/AB2,0)</f>
        <v>1.0922013888888888</v>
      </c>
      <c r="AC4" s="114">
        <f t="shared" si="2"/>
        <v>1.082039393939394</v>
      </c>
      <c r="AD4" s="114">
        <f t="shared" si="2"/>
        <v>1.1244575757575759</v>
      </c>
      <c r="AE4" s="114">
        <f t="shared" si="2"/>
        <v>1.0386333333333333</v>
      </c>
      <c r="AF4" s="114">
        <f t="shared" si="2"/>
        <v>1.1087969696969697</v>
      </c>
      <c r="AG4" s="114">
        <f t="shared" si="2"/>
        <v>0.60910606060606054</v>
      </c>
      <c r="AH4" s="114">
        <f t="shared" si="2"/>
        <v>0.7383333333333334</v>
      </c>
      <c r="AI4" s="114">
        <f t="shared" si="2"/>
        <v>1.5351809523809523</v>
      </c>
      <c r="AJ4" s="115">
        <f>IFERROR(AJ3/AJ2,0)</f>
        <v>1.0705079584775086</v>
      </c>
    </row>
    <row r="5" spans="1:36" ht="16" hidden="1" thickBot="1" x14ac:dyDescent="0.25">
      <c r="A5" s="110" t="s">
        <v>51</v>
      </c>
      <c r="B5" s="116"/>
      <c r="C5" s="116"/>
      <c r="D5" s="116"/>
      <c r="E5" s="117"/>
      <c r="F5" s="116"/>
      <c r="G5" s="116"/>
      <c r="H5" s="116"/>
      <c r="I5" s="116"/>
      <c r="J5" s="116"/>
      <c r="K5" s="116"/>
      <c r="L5" s="117"/>
      <c r="M5" s="116"/>
      <c r="N5" s="116"/>
      <c r="O5" s="116"/>
      <c r="P5" s="116"/>
      <c r="Q5" s="116"/>
      <c r="R5" s="116"/>
      <c r="S5" s="116"/>
      <c r="T5" s="116"/>
      <c r="U5" s="117"/>
      <c r="V5" s="116"/>
      <c r="W5" s="116"/>
      <c r="X5" s="116"/>
      <c r="Y5" s="116"/>
      <c r="Z5" s="116"/>
      <c r="AA5" s="116"/>
      <c r="AB5" s="117"/>
      <c r="AC5" s="116"/>
      <c r="AD5" s="116"/>
      <c r="AE5" s="116"/>
      <c r="AF5" s="116"/>
      <c r="AG5" s="116"/>
      <c r="AH5" s="116"/>
      <c r="AI5" s="116"/>
      <c r="AJ5" s="117"/>
    </row>
    <row r="6" spans="1:36" ht="16" hidden="1" thickBot="1" x14ac:dyDescent="0.25">
      <c r="A6" s="110" t="s">
        <v>52</v>
      </c>
      <c r="B6" s="118"/>
      <c r="C6" s="118"/>
      <c r="D6" s="118"/>
      <c r="E6" s="119"/>
      <c r="F6" s="118"/>
      <c r="G6" s="118"/>
      <c r="H6" s="118"/>
      <c r="I6" s="118"/>
      <c r="J6" s="118"/>
      <c r="K6" s="118"/>
      <c r="L6" s="119"/>
      <c r="M6" s="118"/>
      <c r="N6" s="118"/>
      <c r="O6" s="118"/>
      <c r="P6" s="118"/>
      <c r="Q6" s="118"/>
      <c r="R6" s="118"/>
      <c r="S6" s="118"/>
      <c r="T6" s="118"/>
      <c r="U6" s="119"/>
      <c r="V6" s="118"/>
      <c r="W6" s="118"/>
      <c r="X6" s="118"/>
      <c r="Y6" s="118"/>
      <c r="Z6" s="118"/>
      <c r="AA6" s="118"/>
      <c r="AB6" s="119"/>
      <c r="AC6" s="118"/>
      <c r="AD6" s="118"/>
      <c r="AE6" s="118"/>
      <c r="AF6" s="118"/>
      <c r="AG6" s="118"/>
      <c r="AH6" s="118"/>
      <c r="AI6" s="118"/>
      <c r="AJ6" s="119"/>
    </row>
    <row r="7" spans="1:36" ht="16" hidden="1" thickBot="1" x14ac:dyDescent="0.25">
      <c r="A7" s="110" t="s">
        <v>53</v>
      </c>
      <c r="B7" s="120"/>
      <c r="C7" s="120"/>
      <c r="D7" s="120"/>
      <c r="E7" s="119"/>
      <c r="F7" s="120"/>
      <c r="G7" s="120"/>
      <c r="H7" s="120"/>
      <c r="I7" s="120"/>
      <c r="J7" s="120"/>
      <c r="K7" s="120"/>
      <c r="L7" s="119"/>
      <c r="M7" s="120"/>
      <c r="N7" s="120"/>
      <c r="O7" s="120"/>
      <c r="P7" s="120"/>
      <c r="Q7" s="120"/>
      <c r="R7" s="120"/>
      <c r="S7" s="120"/>
      <c r="T7" s="120"/>
      <c r="U7" s="119"/>
      <c r="V7" s="120"/>
      <c r="W7" s="120"/>
      <c r="X7" s="120"/>
      <c r="Y7" s="120"/>
      <c r="Z7" s="120"/>
      <c r="AA7" s="120"/>
      <c r="AB7" s="119"/>
      <c r="AC7" s="120">
        <f>+AA1+1</f>
        <v>45985</v>
      </c>
      <c r="AD7" s="120"/>
      <c r="AE7" s="120"/>
      <c r="AF7" s="120"/>
      <c r="AG7" s="120"/>
      <c r="AH7" s="120"/>
      <c r="AI7" s="120"/>
      <c r="AJ7" s="119"/>
    </row>
    <row r="8" spans="1:36" ht="16" hidden="1" thickBot="1" x14ac:dyDescent="0.25">
      <c r="A8" s="110" t="s">
        <v>54</v>
      </c>
      <c r="B8" s="120"/>
      <c r="C8" s="120"/>
      <c r="D8" s="120"/>
      <c r="E8" s="119"/>
      <c r="F8" s="120"/>
      <c r="G8" s="120"/>
      <c r="H8" s="120"/>
      <c r="I8" s="120"/>
      <c r="J8" s="120"/>
      <c r="K8" s="120"/>
      <c r="L8" s="119"/>
      <c r="M8" s="120"/>
      <c r="N8" s="120"/>
      <c r="O8" s="120"/>
      <c r="P8" s="120"/>
      <c r="Q8" s="120"/>
      <c r="R8" s="120"/>
      <c r="S8" s="120"/>
      <c r="T8" s="120"/>
      <c r="U8" s="119"/>
      <c r="V8" s="120"/>
      <c r="W8" s="120"/>
      <c r="X8" s="120"/>
      <c r="Y8" s="120"/>
      <c r="Z8" s="120"/>
      <c r="AA8" s="120"/>
      <c r="AB8" s="119"/>
      <c r="AC8" s="120">
        <v>360</v>
      </c>
      <c r="AD8" s="120"/>
      <c r="AE8" s="120"/>
      <c r="AF8" s="120"/>
      <c r="AG8" s="120"/>
      <c r="AH8" s="120"/>
      <c r="AI8" s="120"/>
      <c r="AJ8" s="119"/>
    </row>
    <row r="9" spans="1:36" ht="16" hidden="1" thickBot="1" x14ac:dyDescent="0.25">
      <c r="A9" s="121" t="s">
        <v>55</v>
      </c>
      <c r="B9" s="122"/>
      <c r="C9" s="122"/>
      <c r="D9" s="122"/>
      <c r="E9" s="123"/>
      <c r="F9" s="122"/>
      <c r="G9" s="122"/>
      <c r="H9" s="122"/>
      <c r="I9" s="122"/>
      <c r="J9" s="122"/>
      <c r="K9" s="122"/>
      <c r="L9" s="123"/>
      <c r="M9" s="122"/>
      <c r="N9" s="122"/>
      <c r="O9" s="122"/>
      <c r="P9" s="122"/>
      <c r="Q9" s="122"/>
      <c r="R9" s="122"/>
      <c r="S9" s="122"/>
      <c r="T9" s="122"/>
      <c r="U9" s="123"/>
      <c r="V9" s="122"/>
      <c r="W9" s="122"/>
      <c r="X9" s="122"/>
      <c r="Y9" s="122"/>
      <c r="Z9" s="122"/>
      <c r="AA9" s="122"/>
      <c r="AB9" s="123"/>
      <c r="AC9" s="122"/>
      <c r="AD9" s="122"/>
      <c r="AE9" s="122"/>
      <c r="AF9" s="122"/>
      <c r="AG9" s="122"/>
      <c r="AH9" s="122"/>
      <c r="AI9" s="122"/>
      <c r="AJ9" s="123"/>
    </row>
    <row r="10" spans="1:36" x14ac:dyDescent="0.2">
      <c r="A10" s="124" t="s">
        <v>56</v>
      </c>
      <c r="B10" s="105">
        <v>0</v>
      </c>
      <c r="C10" s="105">
        <v>0</v>
      </c>
      <c r="D10" s="105">
        <v>10</v>
      </c>
      <c r="E10" s="112">
        <f>+SUM(B10:D10)</f>
        <v>10</v>
      </c>
      <c r="F10" s="105">
        <v>35</v>
      </c>
      <c r="G10" s="105">
        <v>35</v>
      </c>
      <c r="H10" s="105">
        <v>20</v>
      </c>
      <c r="I10" s="105">
        <v>10</v>
      </c>
      <c r="J10" s="105">
        <v>30</v>
      </c>
      <c r="K10" s="105">
        <v>30</v>
      </c>
      <c r="L10" s="112">
        <f>+SUM(F10:K10)+E10</f>
        <v>170</v>
      </c>
      <c r="M10" s="105">
        <v>30</v>
      </c>
      <c r="N10" s="105">
        <v>30</v>
      </c>
      <c r="O10" s="105">
        <v>30</v>
      </c>
      <c r="P10" s="105">
        <v>30</v>
      </c>
      <c r="Q10" s="105">
        <v>10</v>
      </c>
      <c r="R10" s="105">
        <v>35</v>
      </c>
      <c r="S10" s="105">
        <v>35</v>
      </c>
      <c r="T10" s="105">
        <v>35</v>
      </c>
      <c r="U10" s="112">
        <f>+L10+SUM(M10:T10)</f>
        <v>405</v>
      </c>
      <c r="V10" s="105">
        <v>35</v>
      </c>
      <c r="W10" s="105">
        <v>35</v>
      </c>
      <c r="X10" s="105">
        <v>35</v>
      </c>
      <c r="Y10" s="105">
        <v>35</v>
      </c>
      <c r="Z10" s="105">
        <v>35</v>
      </c>
      <c r="AA10" s="105">
        <v>10</v>
      </c>
      <c r="AB10" s="112">
        <f>+U10+SUM(V10:AA10)</f>
        <v>590</v>
      </c>
      <c r="AC10" s="105">
        <v>10</v>
      </c>
      <c r="AD10" s="105">
        <v>30</v>
      </c>
      <c r="AE10" s="105">
        <v>30</v>
      </c>
      <c r="AF10" s="105">
        <v>30</v>
      </c>
      <c r="AG10" s="105">
        <v>30</v>
      </c>
      <c r="AH10" s="105">
        <v>30</v>
      </c>
      <c r="AI10" s="105">
        <v>20</v>
      </c>
      <c r="AJ10" s="112">
        <f>+AB10+SUM(AC10:AI10)</f>
        <v>770</v>
      </c>
    </row>
    <row r="11" spans="1:36" ht="12" customHeight="1" x14ac:dyDescent="0.2">
      <c r="A11" s="125" t="s">
        <v>57</v>
      </c>
      <c r="B11" s="111">
        <f>+SUM(B12:B13)</f>
        <v>0</v>
      </c>
      <c r="C11" s="111">
        <f>+SUM(C12:C13)</f>
        <v>0</v>
      </c>
      <c r="D11" s="111">
        <f t="shared" ref="D11:J11" si="4">+SUM(D12:D13)</f>
        <v>2.2200000000000002</v>
      </c>
      <c r="E11" s="112">
        <f>+SUM(B11:D11)</f>
        <v>2.2200000000000002</v>
      </c>
      <c r="F11" s="111">
        <f t="shared" si="4"/>
        <v>22.254000000000001</v>
      </c>
      <c r="G11" s="111">
        <f t="shared" si="4"/>
        <v>35.884</v>
      </c>
      <c r="H11" s="111">
        <f t="shared" si="4"/>
        <v>31.202999999999999</v>
      </c>
      <c r="I11" s="111">
        <f t="shared" si="4"/>
        <v>24.608000000000001</v>
      </c>
      <c r="J11" s="111">
        <f t="shared" si="4"/>
        <v>37.286999999999999</v>
      </c>
      <c r="K11" s="111">
        <f>+SUM(K12:K13)</f>
        <v>38.814999999999998</v>
      </c>
      <c r="L11" s="112">
        <f>+SUM(F11:K11)+E11</f>
        <v>192.27100000000002</v>
      </c>
      <c r="M11" s="111">
        <f t="shared" ref="M11:S11" si="5">+SUM(M12:M13)</f>
        <v>39.970999999999997</v>
      </c>
      <c r="N11" s="111">
        <f t="shared" si="5"/>
        <v>37.152000000000001</v>
      </c>
      <c r="O11" s="111">
        <f t="shared" si="5"/>
        <v>39.656999999999996</v>
      </c>
      <c r="P11" s="111">
        <f t="shared" si="5"/>
        <v>34.555999999999997</v>
      </c>
      <c r="Q11" s="111">
        <f t="shared" si="5"/>
        <v>21.922000000000001</v>
      </c>
      <c r="R11" s="111">
        <f t="shared" si="5"/>
        <v>13.185</v>
      </c>
      <c r="S11" s="111">
        <f t="shared" si="5"/>
        <v>41.448</v>
      </c>
      <c r="T11" s="111">
        <f>+SUM(T12:T13)</f>
        <v>23.611000000000001</v>
      </c>
      <c r="U11" s="112">
        <f>+L11+SUM(M11:T11)</f>
        <v>443.77300000000002</v>
      </c>
      <c r="V11" s="111">
        <f t="shared" ref="V11:AA11" si="6">+SUM(V12:V13)</f>
        <v>13.193</v>
      </c>
      <c r="W11" s="111">
        <f t="shared" si="6"/>
        <v>28.344999999999999</v>
      </c>
      <c r="X11" s="111">
        <f t="shared" si="6"/>
        <v>26.5</v>
      </c>
      <c r="Y11" s="111">
        <f t="shared" si="6"/>
        <v>31.225000000000001</v>
      </c>
      <c r="Z11" s="111">
        <f t="shared" si="6"/>
        <v>33.700000000000003</v>
      </c>
      <c r="AA11" s="111">
        <f t="shared" si="6"/>
        <v>31.234999999999999</v>
      </c>
      <c r="AB11" s="112">
        <f>+U11+SUM(V11:AA11)</f>
        <v>607.971</v>
      </c>
      <c r="AC11" s="111">
        <f t="shared" ref="AC11:AI11" si="7">+SUM(AC12:AC13)</f>
        <v>32.557000000000002</v>
      </c>
      <c r="AD11" s="111">
        <f t="shared" si="7"/>
        <v>33.5</v>
      </c>
      <c r="AE11" s="111">
        <f t="shared" si="7"/>
        <v>33.389000000000003</v>
      </c>
      <c r="AF11" s="111">
        <f t="shared" si="7"/>
        <v>33.155999999999999</v>
      </c>
      <c r="AG11" s="111">
        <f t="shared" si="7"/>
        <v>22.332999999999998</v>
      </c>
      <c r="AH11" s="111">
        <f t="shared" si="7"/>
        <v>19.567</v>
      </c>
      <c r="AI11" s="111">
        <f t="shared" si="7"/>
        <v>32.33</v>
      </c>
      <c r="AJ11" s="112">
        <f>+AB11+SUM(AC11:AI11)</f>
        <v>814.803</v>
      </c>
    </row>
    <row r="12" spans="1:36" ht="12" customHeight="1" outlineLevel="1" x14ac:dyDescent="0.2">
      <c r="A12" s="125" t="s">
        <v>117</v>
      </c>
      <c r="B12" s="111">
        <v>0</v>
      </c>
      <c r="C12" s="111">
        <v>0</v>
      </c>
      <c r="D12" s="111">
        <v>0</v>
      </c>
      <c r="E12" s="112">
        <f>+SUM(B12:D12)</f>
        <v>0</v>
      </c>
      <c r="F12" s="111"/>
      <c r="G12" s="111"/>
      <c r="H12" s="111"/>
      <c r="I12" s="111"/>
      <c r="J12" s="111"/>
      <c r="K12" s="111"/>
      <c r="L12" s="112">
        <f>+SUM(F12:K12)+E12</f>
        <v>0</v>
      </c>
      <c r="M12" s="111"/>
      <c r="N12" s="111"/>
      <c r="O12" s="111"/>
      <c r="P12" s="111"/>
      <c r="Q12" s="111"/>
      <c r="R12" s="111"/>
      <c r="S12" s="111"/>
      <c r="T12" s="111"/>
      <c r="U12" s="112">
        <f>+L12+SUM(M12:T12)</f>
        <v>0</v>
      </c>
      <c r="V12" s="111">
        <v>13.193</v>
      </c>
      <c r="W12" s="111">
        <v>28.344999999999999</v>
      </c>
      <c r="X12" s="111">
        <v>26.5</v>
      </c>
      <c r="Y12" s="111">
        <v>31.225000000000001</v>
      </c>
      <c r="Z12" s="111">
        <v>33.700000000000003</v>
      </c>
      <c r="AA12" s="111">
        <v>31.234999999999999</v>
      </c>
      <c r="AB12" s="112">
        <f>+U12+SUM(V12:AA12)</f>
        <v>164.19800000000004</v>
      </c>
      <c r="AC12" s="111">
        <v>32.557000000000002</v>
      </c>
      <c r="AD12" s="111">
        <v>33.5</v>
      </c>
      <c r="AE12" s="111">
        <v>33.389000000000003</v>
      </c>
      <c r="AF12" s="111">
        <v>33.155999999999999</v>
      </c>
      <c r="AG12" s="111">
        <v>22.332999999999998</v>
      </c>
      <c r="AH12" s="111">
        <v>19.567</v>
      </c>
      <c r="AI12" s="111">
        <v>32.33</v>
      </c>
      <c r="AJ12" s="112">
        <f>+AB12+SUM(AC12:AI12)</f>
        <v>371.03000000000003</v>
      </c>
    </row>
    <row r="13" spans="1:36" ht="12" customHeight="1" outlineLevel="1" x14ac:dyDescent="0.2">
      <c r="A13" s="125" t="s">
        <v>156</v>
      </c>
      <c r="B13" s="111"/>
      <c r="C13" s="111"/>
      <c r="D13" s="111">
        <v>2.2200000000000002</v>
      </c>
      <c r="E13" s="112">
        <f>+SUM(B13:D13)</f>
        <v>2.2200000000000002</v>
      </c>
      <c r="F13" s="111">
        <v>22.254000000000001</v>
      </c>
      <c r="G13" s="111">
        <v>35.884</v>
      </c>
      <c r="H13" s="111">
        <v>31.202999999999999</v>
      </c>
      <c r="I13" s="111">
        <v>24.608000000000001</v>
      </c>
      <c r="J13" s="111">
        <v>37.286999999999999</v>
      </c>
      <c r="K13" s="111">
        <v>38.814999999999998</v>
      </c>
      <c r="L13" s="112">
        <f>+SUM(F13:K13)+E13</f>
        <v>192.27100000000002</v>
      </c>
      <c r="M13" s="111">
        <v>39.970999999999997</v>
      </c>
      <c r="N13" s="111">
        <v>37.152000000000001</v>
      </c>
      <c r="O13" s="111">
        <v>39.656999999999996</v>
      </c>
      <c r="P13" s="111">
        <v>34.555999999999997</v>
      </c>
      <c r="Q13" s="111">
        <v>21.922000000000001</v>
      </c>
      <c r="R13" s="111">
        <v>13.185</v>
      </c>
      <c r="S13" s="111">
        <v>41.448</v>
      </c>
      <c r="T13" s="111">
        <v>23.611000000000001</v>
      </c>
      <c r="U13" s="112">
        <f>+L13+SUM(M13:T13)</f>
        <v>443.77300000000002</v>
      </c>
      <c r="V13" s="111"/>
      <c r="W13" s="111"/>
      <c r="X13" s="111"/>
      <c r="Y13" s="111"/>
      <c r="Z13" s="111"/>
      <c r="AA13" s="111"/>
      <c r="AB13" s="112">
        <f>+U13+SUM(V13:AA13)</f>
        <v>443.77300000000002</v>
      </c>
      <c r="AC13" s="111"/>
      <c r="AD13" s="111"/>
      <c r="AE13" s="111"/>
      <c r="AF13" s="111"/>
      <c r="AG13" s="111"/>
      <c r="AH13" s="111"/>
      <c r="AI13" s="111"/>
      <c r="AJ13" s="112">
        <f>+AB13+SUM(AC13:AI13)</f>
        <v>443.77300000000002</v>
      </c>
    </row>
    <row r="14" spans="1:36" ht="16" thickBot="1" x14ac:dyDescent="0.25">
      <c r="A14" s="126" t="s">
        <v>3</v>
      </c>
      <c r="B14" s="114">
        <f>IFERROR(+B11/B10,0)</f>
        <v>0</v>
      </c>
      <c r="C14" s="114">
        <f>IFERROR(+C11/C10,0)</f>
        <v>0</v>
      </c>
      <c r="D14" s="114">
        <f t="shared" ref="D14:AI14" si="8">IFERROR(+D11/D10,0)</f>
        <v>0.22200000000000003</v>
      </c>
      <c r="E14" s="115">
        <f>IFERROR(+E11/E10,0)</f>
        <v>0.22200000000000003</v>
      </c>
      <c r="F14" s="114">
        <f t="shared" si="8"/>
        <v>0.63582857142857152</v>
      </c>
      <c r="G14" s="114">
        <f t="shared" si="8"/>
        <v>1.0252571428571429</v>
      </c>
      <c r="H14" s="114">
        <f t="shared" si="8"/>
        <v>1.5601499999999999</v>
      </c>
      <c r="I14" s="114">
        <f t="shared" si="8"/>
        <v>2.4607999999999999</v>
      </c>
      <c r="J14" s="114">
        <f t="shared" si="8"/>
        <v>1.2428999999999999</v>
      </c>
      <c r="K14" s="114">
        <f t="shared" ref="K14:P14" si="9">IFERROR(+K11/K10,0)</f>
        <v>1.2938333333333332</v>
      </c>
      <c r="L14" s="115">
        <f>IFERROR(+L11/L10,0)</f>
        <v>1.1310058823529412</v>
      </c>
      <c r="M14" s="114">
        <f t="shared" si="9"/>
        <v>1.3323666666666665</v>
      </c>
      <c r="N14" s="114">
        <f t="shared" si="9"/>
        <v>1.2383999999999999</v>
      </c>
      <c r="O14" s="114">
        <f t="shared" si="9"/>
        <v>1.3218999999999999</v>
      </c>
      <c r="P14" s="114">
        <f t="shared" si="9"/>
        <v>1.1518666666666666</v>
      </c>
      <c r="Q14" s="114">
        <f t="shared" ref="Q14:V14" si="10">IFERROR(+Q11/Q10,0)</f>
        <v>2.1922000000000001</v>
      </c>
      <c r="R14" s="114">
        <f t="shared" si="10"/>
        <v>0.37671428571428572</v>
      </c>
      <c r="S14" s="114">
        <f t="shared" si="10"/>
        <v>1.1842285714285714</v>
      </c>
      <c r="T14" s="114">
        <f>IFERROR(+T11/T10,0)</f>
        <v>0.67459999999999998</v>
      </c>
      <c r="U14" s="115">
        <f t="shared" si="10"/>
        <v>1.0957358024691359</v>
      </c>
      <c r="V14" s="114">
        <f t="shared" si="10"/>
        <v>0.37694285714285714</v>
      </c>
      <c r="W14" s="114">
        <f t="shared" si="8"/>
        <v>0.80985714285714283</v>
      </c>
      <c r="X14" s="114">
        <f t="shared" si="8"/>
        <v>0.75714285714285712</v>
      </c>
      <c r="Y14" s="114">
        <f t="shared" si="8"/>
        <v>0.89214285714285724</v>
      </c>
      <c r="Z14" s="114">
        <f t="shared" si="8"/>
        <v>0.96285714285714297</v>
      </c>
      <c r="AA14" s="114">
        <f t="shared" si="8"/>
        <v>3.1234999999999999</v>
      </c>
      <c r="AB14" s="115">
        <f>IFERROR(+AB11/AB10,0)</f>
        <v>1.0304593220338982</v>
      </c>
      <c r="AC14" s="114">
        <f t="shared" si="8"/>
        <v>3.2557</v>
      </c>
      <c r="AD14" s="114">
        <f t="shared" si="8"/>
        <v>1.1166666666666667</v>
      </c>
      <c r="AE14" s="114">
        <f t="shared" si="8"/>
        <v>1.1129666666666667</v>
      </c>
      <c r="AF14" s="114">
        <f t="shared" si="8"/>
        <v>1.1052</v>
      </c>
      <c r="AG14" s="114">
        <f t="shared" si="8"/>
        <v>0.74443333333333328</v>
      </c>
      <c r="AH14" s="114">
        <f t="shared" si="8"/>
        <v>0.65223333333333333</v>
      </c>
      <c r="AI14" s="114">
        <f t="shared" si="8"/>
        <v>1.6164999999999998</v>
      </c>
      <c r="AJ14" s="115">
        <f>IFERROR(+AJ11/AJ10,0)</f>
        <v>1.0581857142857143</v>
      </c>
    </row>
    <row r="15" spans="1:36" ht="16" hidden="1" thickBot="1" x14ac:dyDescent="0.25">
      <c r="A15" s="125" t="s">
        <v>58</v>
      </c>
      <c r="B15" s="116"/>
      <c r="C15" s="116"/>
      <c r="D15" s="116"/>
      <c r="E15" s="117"/>
      <c r="F15" s="116"/>
      <c r="G15" s="116"/>
      <c r="H15" s="116"/>
      <c r="I15" s="116"/>
      <c r="J15" s="116"/>
      <c r="K15" s="116"/>
      <c r="L15" s="117"/>
      <c r="M15" s="116"/>
      <c r="N15" s="116"/>
      <c r="O15" s="116"/>
      <c r="P15" s="116"/>
      <c r="Q15" s="116"/>
      <c r="R15" s="116"/>
      <c r="S15" s="116"/>
      <c r="T15" s="116"/>
      <c r="U15" s="117"/>
      <c r="V15" s="116"/>
      <c r="W15" s="116"/>
      <c r="X15" s="116"/>
      <c r="Y15" s="116"/>
      <c r="Z15" s="116"/>
      <c r="AA15" s="116"/>
      <c r="AB15" s="117"/>
      <c r="AC15" s="116"/>
      <c r="AD15" s="116"/>
      <c r="AE15" s="116"/>
      <c r="AF15" s="116"/>
      <c r="AG15" s="116"/>
      <c r="AH15" s="116"/>
      <c r="AI15" s="116"/>
      <c r="AJ15" s="117"/>
    </row>
    <row r="16" spans="1:36" ht="16" hidden="1" thickBot="1" x14ac:dyDescent="0.25">
      <c r="A16" s="125" t="s">
        <v>53</v>
      </c>
      <c r="B16" s="120"/>
      <c r="C16" s="120"/>
      <c r="D16" s="120"/>
      <c r="E16" s="127"/>
      <c r="F16" s="120"/>
      <c r="G16" s="120"/>
      <c r="H16" s="120"/>
      <c r="I16" s="120"/>
      <c r="J16" s="120"/>
      <c r="K16" s="120"/>
      <c r="L16" s="127"/>
      <c r="M16" s="120"/>
      <c r="N16" s="120"/>
      <c r="O16" s="120"/>
      <c r="P16" s="120"/>
      <c r="Q16" s="120"/>
      <c r="R16" s="120"/>
      <c r="S16" s="120"/>
      <c r="T16" s="120"/>
      <c r="U16" s="127"/>
      <c r="V16" s="120"/>
      <c r="W16" s="120"/>
      <c r="X16" s="120"/>
      <c r="Y16" s="120"/>
      <c r="Z16" s="120"/>
      <c r="AA16" s="120"/>
      <c r="AB16" s="127"/>
      <c r="AC16" s="120"/>
      <c r="AD16" s="120"/>
      <c r="AE16" s="120"/>
      <c r="AF16" s="120"/>
      <c r="AG16" s="120"/>
      <c r="AH16" s="120"/>
      <c r="AI16" s="120"/>
      <c r="AJ16" s="127"/>
    </row>
    <row r="17" spans="1:36" ht="16" hidden="1" thickBot="1" x14ac:dyDescent="0.25">
      <c r="A17" s="125" t="s">
        <v>54</v>
      </c>
      <c r="B17" s="120"/>
      <c r="C17" s="120"/>
      <c r="D17" s="120"/>
      <c r="E17" s="127"/>
      <c r="F17" s="120"/>
      <c r="G17" s="120"/>
      <c r="H17" s="120"/>
      <c r="I17" s="120"/>
      <c r="J17" s="120"/>
      <c r="K17" s="120"/>
      <c r="L17" s="127"/>
      <c r="M17" s="120"/>
      <c r="N17" s="120"/>
      <c r="O17" s="120"/>
      <c r="P17" s="120"/>
      <c r="Q17" s="120"/>
      <c r="R17" s="120"/>
      <c r="S17" s="120"/>
      <c r="T17" s="120"/>
      <c r="U17" s="127"/>
      <c r="V17" s="120"/>
      <c r="W17" s="120"/>
      <c r="X17" s="120"/>
      <c r="Y17" s="120"/>
      <c r="Z17" s="120"/>
      <c r="AA17" s="120"/>
      <c r="AB17" s="127"/>
      <c r="AC17" s="120"/>
      <c r="AD17" s="120"/>
      <c r="AE17" s="120"/>
      <c r="AF17" s="120"/>
      <c r="AG17" s="120"/>
      <c r="AH17" s="120"/>
      <c r="AI17" s="120"/>
      <c r="AJ17" s="127"/>
    </row>
    <row r="18" spans="1:36" ht="16" hidden="1" thickBot="1" x14ac:dyDescent="0.25">
      <c r="A18" s="128" t="s">
        <v>55</v>
      </c>
      <c r="B18" s="129"/>
      <c r="C18" s="129"/>
      <c r="D18" s="129"/>
      <c r="E18" s="130"/>
      <c r="F18" s="129"/>
      <c r="G18" s="129"/>
      <c r="H18" s="129"/>
      <c r="I18" s="129"/>
      <c r="J18" s="129"/>
      <c r="K18" s="129"/>
      <c r="L18" s="130"/>
      <c r="M18" s="129"/>
      <c r="N18" s="129"/>
      <c r="O18" s="129"/>
      <c r="P18" s="129"/>
      <c r="Q18" s="129"/>
      <c r="R18" s="129"/>
      <c r="S18" s="129"/>
      <c r="T18" s="129"/>
      <c r="U18" s="130"/>
      <c r="V18" s="129"/>
      <c r="W18" s="129"/>
      <c r="X18" s="129"/>
      <c r="Y18" s="129"/>
      <c r="Z18" s="129"/>
      <c r="AA18" s="129"/>
      <c r="AB18" s="130"/>
      <c r="AC18" s="129">
        <v>36</v>
      </c>
      <c r="AD18" s="129"/>
      <c r="AE18" s="129"/>
      <c r="AF18" s="129"/>
      <c r="AG18" s="129"/>
      <c r="AH18" s="129"/>
      <c r="AI18" s="129"/>
      <c r="AJ18" s="130"/>
    </row>
    <row r="19" spans="1:36" x14ac:dyDescent="0.2">
      <c r="A19" s="131" t="s">
        <v>59</v>
      </c>
      <c r="B19" s="105">
        <v>0</v>
      </c>
      <c r="C19" s="105">
        <v>0</v>
      </c>
      <c r="D19" s="105">
        <v>0</v>
      </c>
      <c r="E19" s="112">
        <f>+SUM(B19:D19)</f>
        <v>0</v>
      </c>
      <c r="F19" s="105">
        <v>0</v>
      </c>
      <c r="G19" s="105">
        <v>80</v>
      </c>
      <c r="H19" s="105">
        <v>80</v>
      </c>
      <c r="I19" s="105">
        <v>80</v>
      </c>
      <c r="J19" s="105">
        <v>80</v>
      </c>
      <c r="K19" s="105">
        <v>40</v>
      </c>
      <c r="L19" s="112">
        <f>+SUM(F19:K19)+E19</f>
        <v>360</v>
      </c>
      <c r="M19" s="105">
        <v>80</v>
      </c>
      <c r="N19" s="105">
        <v>80</v>
      </c>
      <c r="O19" s="105">
        <v>80</v>
      </c>
      <c r="P19" s="105">
        <v>80</v>
      </c>
      <c r="Q19" s="105">
        <v>80</v>
      </c>
      <c r="R19" s="105">
        <v>80</v>
      </c>
      <c r="S19" s="105">
        <v>60</v>
      </c>
      <c r="T19" s="105">
        <v>80</v>
      </c>
      <c r="U19" s="112">
        <f>+L19+SUM(M19:T19)</f>
        <v>980</v>
      </c>
      <c r="V19" s="105">
        <v>80</v>
      </c>
      <c r="W19" s="105">
        <v>80</v>
      </c>
      <c r="X19" s="105">
        <v>80</v>
      </c>
      <c r="Y19" s="105">
        <v>80</v>
      </c>
      <c r="Z19" s="105">
        <v>80</v>
      </c>
      <c r="AA19" s="105">
        <v>0</v>
      </c>
      <c r="AB19" s="112">
        <f>+U19+SUM(V19:AA19)</f>
        <v>1380</v>
      </c>
      <c r="AC19" s="105">
        <v>80</v>
      </c>
      <c r="AD19" s="105">
        <v>80</v>
      </c>
      <c r="AE19" s="105">
        <v>80</v>
      </c>
      <c r="AF19" s="105">
        <v>80</v>
      </c>
      <c r="AG19" s="105">
        <v>80</v>
      </c>
      <c r="AH19" s="105">
        <v>80</v>
      </c>
      <c r="AI19" s="105">
        <v>40</v>
      </c>
      <c r="AJ19" s="112">
        <f>+AB19+SUM(AC19:AI19)</f>
        <v>1900</v>
      </c>
    </row>
    <row r="20" spans="1:36" ht="12" customHeight="1" x14ac:dyDescent="0.2">
      <c r="A20" s="132" t="s">
        <v>60</v>
      </c>
      <c r="B20" s="111">
        <v>0</v>
      </c>
      <c r="C20" s="111">
        <v>0</v>
      </c>
      <c r="D20" s="111">
        <v>100.605</v>
      </c>
      <c r="E20" s="112">
        <f>+SUM(B20:D20)</f>
        <v>100.605</v>
      </c>
      <c r="F20" s="111">
        <v>23.297999999999998</v>
      </c>
      <c r="G20" s="111">
        <v>87.73</v>
      </c>
      <c r="H20" s="111">
        <v>131.84</v>
      </c>
      <c r="I20" s="111">
        <v>99.36</v>
      </c>
      <c r="J20" s="111">
        <v>104.17</v>
      </c>
      <c r="K20" s="111">
        <v>95.04</v>
      </c>
      <c r="L20" s="112">
        <f>+SUM(F20:K20)+E20</f>
        <v>642.04300000000001</v>
      </c>
      <c r="M20" s="111">
        <v>103.96</v>
      </c>
      <c r="N20" s="111">
        <v>104.05</v>
      </c>
      <c r="O20" s="111">
        <v>47.94</v>
      </c>
      <c r="P20" s="111">
        <v>62.62</v>
      </c>
      <c r="Q20" s="111">
        <v>63.8</v>
      </c>
      <c r="R20" s="111">
        <v>56.2</v>
      </c>
      <c r="S20" s="111">
        <v>95.83</v>
      </c>
      <c r="T20" s="111">
        <v>90.2</v>
      </c>
      <c r="U20" s="112">
        <f>+L20+SUM(M20:T20)</f>
        <v>1266.643</v>
      </c>
      <c r="V20" s="111">
        <v>102.25</v>
      </c>
      <c r="W20" s="111">
        <v>94.55</v>
      </c>
      <c r="X20" s="111">
        <v>78.5</v>
      </c>
      <c r="Y20" s="111">
        <v>89.45</v>
      </c>
      <c r="Z20" s="111">
        <v>92.915000000000006</v>
      </c>
      <c r="AA20" s="111">
        <v>87.16</v>
      </c>
      <c r="AB20" s="112">
        <f>+U20+SUM(V20:AA20)</f>
        <v>1811.4680000000001</v>
      </c>
      <c r="AC20" s="111">
        <v>77.5</v>
      </c>
      <c r="AD20" s="111">
        <v>84.289000000000001</v>
      </c>
      <c r="AE20" s="111">
        <v>95.65</v>
      </c>
      <c r="AF20" s="111">
        <v>92.25</v>
      </c>
      <c r="AG20" s="111">
        <v>91.86</v>
      </c>
      <c r="AH20" s="111">
        <v>50.9</v>
      </c>
      <c r="AI20" s="111">
        <v>89.6</v>
      </c>
      <c r="AJ20" s="112">
        <f>+AB20+SUM(AC20:AI20)</f>
        <v>2393.5169999999998</v>
      </c>
    </row>
    <row r="21" spans="1:36" ht="16" thickBot="1" x14ac:dyDescent="0.25">
      <c r="A21" s="133" t="s">
        <v>3</v>
      </c>
      <c r="B21" s="114">
        <f>IFERROR(+B20/B19,0)</f>
        <v>0</v>
      </c>
      <c r="C21" s="114">
        <f>IFERROR(+C20/C19,0)</f>
        <v>0</v>
      </c>
      <c r="D21" s="114">
        <f t="shared" ref="D21:AI21" si="11">IFERROR(+D20/D19,0)</f>
        <v>0</v>
      </c>
      <c r="E21" s="115">
        <f>IFERROR(+E20/E19,0)</f>
        <v>0</v>
      </c>
      <c r="F21" s="114">
        <f t="shared" si="11"/>
        <v>0</v>
      </c>
      <c r="G21" s="114">
        <f t="shared" si="11"/>
        <v>1.096625</v>
      </c>
      <c r="H21" s="114">
        <f t="shared" si="11"/>
        <v>1.6480000000000001</v>
      </c>
      <c r="I21" s="114">
        <f t="shared" si="11"/>
        <v>1.242</v>
      </c>
      <c r="J21" s="114">
        <f t="shared" si="11"/>
        <v>1.302125</v>
      </c>
      <c r="K21" s="114">
        <f t="shared" ref="K21:P21" si="12">IFERROR(+K20/K19,0)</f>
        <v>2.3760000000000003</v>
      </c>
      <c r="L21" s="115">
        <f>IFERROR(+L20/L19,0)</f>
        <v>1.7834527777777778</v>
      </c>
      <c r="M21" s="114">
        <f t="shared" si="12"/>
        <v>1.2994999999999999</v>
      </c>
      <c r="N21" s="114">
        <f t="shared" si="12"/>
        <v>1.3006249999999999</v>
      </c>
      <c r="O21" s="114">
        <f t="shared" si="12"/>
        <v>0.59924999999999995</v>
      </c>
      <c r="P21" s="114">
        <f t="shared" si="12"/>
        <v>0.78274999999999995</v>
      </c>
      <c r="Q21" s="114">
        <f t="shared" ref="Q21:V21" si="13">IFERROR(+Q20/Q19,0)</f>
        <v>0.79749999999999999</v>
      </c>
      <c r="R21" s="114">
        <f t="shared" si="13"/>
        <v>0.70250000000000001</v>
      </c>
      <c r="S21" s="114">
        <f t="shared" si="13"/>
        <v>1.5971666666666666</v>
      </c>
      <c r="T21" s="114">
        <f>IFERROR(+T20/T19,0)</f>
        <v>1.1274999999999999</v>
      </c>
      <c r="U21" s="115">
        <f t="shared" si="13"/>
        <v>1.2924928571428571</v>
      </c>
      <c r="V21" s="114">
        <f t="shared" si="13"/>
        <v>1.278125</v>
      </c>
      <c r="W21" s="114">
        <f t="shared" si="11"/>
        <v>1.181875</v>
      </c>
      <c r="X21" s="114">
        <f t="shared" si="11"/>
        <v>0.98124999999999996</v>
      </c>
      <c r="Y21" s="114">
        <f t="shared" si="11"/>
        <v>1.118125</v>
      </c>
      <c r="Z21" s="114">
        <f t="shared" si="11"/>
        <v>1.1614375000000001</v>
      </c>
      <c r="AA21" s="114">
        <f t="shared" si="11"/>
        <v>0</v>
      </c>
      <c r="AB21" s="115">
        <f>IFERROR(+AB20/AB19,0)</f>
        <v>1.3126579710144928</v>
      </c>
      <c r="AC21" s="114">
        <f t="shared" si="11"/>
        <v>0.96875</v>
      </c>
      <c r="AD21" s="114">
        <f t="shared" si="11"/>
        <v>1.0536125000000001</v>
      </c>
      <c r="AE21" s="114">
        <f t="shared" si="11"/>
        <v>1.1956250000000002</v>
      </c>
      <c r="AF21" s="114">
        <f t="shared" si="11"/>
        <v>1.153125</v>
      </c>
      <c r="AG21" s="114">
        <f t="shared" si="11"/>
        <v>1.14825</v>
      </c>
      <c r="AH21" s="114">
        <f t="shared" si="11"/>
        <v>0.63624999999999998</v>
      </c>
      <c r="AI21" s="114">
        <f t="shared" si="11"/>
        <v>2.2399999999999998</v>
      </c>
      <c r="AJ21" s="115">
        <f>IFERROR(+AJ20/AJ19,0)</f>
        <v>1.2597457894736841</v>
      </c>
    </row>
    <row r="22" spans="1:36" ht="16" hidden="1" thickBot="1" x14ac:dyDescent="0.25">
      <c r="A22" s="132" t="s">
        <v>61</v>
      </c>
      <c r="B22" s="116"/>
      <c r="C22" s="116"/>
      <c r="D22" s="116"/>
      <c r="E22" s="117"/>
      <c r="F22" s="116"/>
      <c r="G22" s="116"/>
      <c r="H22" s="116"/>
      <c r="I22" s="116"/>
      <c r="J22" s="116"/>
      <c r="K22" s="116"/>
      <c r="L22" s="117"/>
      <c r="M22" s="116"/>
      <c r="N22" s="116"/>
      <c r="O22" s="116"/>
      <c r="P22" s="116"/>
      <c r="Q22" s="116"/>
      <c r="R22" s="116"/>
      <c r="S22" s="116"/>
      <c r="T22" s="116"/>
      <c r="U22" s="117"/>
      <c r="V22" s="116"/>
      <c r="W22" s="116"/>
      <c r="X22" s="116"/>
      <c r="Y22" s="116"/>
      <c r="Z22" s="116"/>
      <c r="AA22" s="116"/>
      <c r="AB22" s="117"/>
      <c r="AC22" s="116"/>
      <c r="AD22" s="116"/>
      <c r="AE22" s="116"/>
      <c r="AF22" s="116"/>
      <c r="AG22" s="116"/>
      <c r="AH22" s="116"/>
      <c r="AI22" s="116"/>
      <c r="AJ22" s="117"/>
    </row>
    <row r="23" spans="1:36" ht="16" hidden="1" thickBot="1" x14ac:dyDescent="0.25">
      <c r="A23" s="132" t="s">
        <v>53</v>
      </c>
      <c r="B23" s="111"/>
      <c r="C23" s="111"/>
      <c r="D23" s="111"/>
      <c r="E23" s="112"/>
      <c r="F23" s="111"/>
      <c r="G23" s="111"/>
      <c r="H23" s="111"/>
      <c r="I23" s="111"/>
      <c r="J23" s="111"/>
      <c r="K23" s="111"/>
      <c r="L23" s="112"/>
      <c r="M23" s="111"/>
      <c r="N23" s="111"/>
      <c r="O23" s="111"/>
      <c r="P23" s="111"/>
      <c r="Q23" s="111"/>
      <c r="R23" s="111"/>
      <c r="S23" s="111"/>
      <c r="T23" s="111"/>
      <c r="U23" s="112"/>
      <c r="V23" s="111"/>
      <c r="W23" s="111"/>
      <c r="X23" s="111"/>
      <c r="Y23" s="111"/>
      <c r="Z23" s="111"/>
      <c r="AA23" s="111"/>
      <c r="AB23" s="112"/>
      <c r="AC23" s="111"/>
      <c r="AD23" s="111"/>
      <c r="AE23" s="111"/>
      <c r="AF23" s="111"/>
      <c r="AG23" s="111"/>
      <c r="AH23" s="111"/>
      <c r="AI23" s="111"/>
      <c r="AJ23" s="112"/>
    </row>
    <row r="24" spans="1:36" ht="16" hidden="1" thickBot="1" x14ac:dyDescent="0.25">
      <c r="A24" s="132" t="s">
        <v>54</v>
      </c>
      <c r="B24" s="111"/>
      <c r="C24" s="111"/>
      <c r="D24" s="111"/>
      <c r="E24" s="112"/>
      <c r="F24" s="111"/>
      <c r="G24" s="111"/>
      <c r="H24" s="111"/>
      <c r="I24" s="111"/>
      <c r="J24" s="111"/>
      <c r="K24" s="111"/>
      <c r="L24" s="112"/>
      <c r="M24" s="111"/>
      <c r="N24" s="111"/>
      <c r="O24" s="111"/>
      <c r="P24" s="111"/>
      <c r="Q24" s="111"/>
      <c r="R24" s="111"/>
      <c r="S24" s="111"/>
      <c r="T24" s="111"/>
      <c r="U24" s="112"/>
      <c r="V24" s="111"/>
      <c r="W24" s="111"/>
      <c r="X24" s="111"/>
      <c r="Y24" s="111"/>
      <c r="Z24" s="111"/>
      <c r="AA24" s="111"/>
      <c r="AB24" s="112"/>
      <c r="AC24" s="111"/>
      <c r="AD24" s="111"/>
      <c r="AE24" s="111"/>
      <c r="AF24" s="111"/>
      <c r="AG24" s="111"/>
      <c r="AH24" s="111"/>
      <c r="AI24" s="111"/>
      <c r="AJ24" s="112"/>
    </row>
    <row r="25" spans="1:36" x14ac:dyDescent="0.2">
      <c r="A25" s="134" t="s">
        <v>62</v>
      </c>
      <c r="B25" s="105">
        <v>0</v>
      </c>
      <c r="C25" s="105">
        <v>0</v>
      </c>
      <c r="D25" s="105">
        <v>60</v>
      </c>
      <c r="E25" s="112">
        <f>+SUM(B25:D25)</f>
        <v>60</v>
      </c>
      <c r="F25" s="105">
        <v>120</v>
      </c>
      <c r="G25" s="105">
        <v>120</v>
      </c>
      <c r="H25" s="105">
        <v>120</v>
      </c>
      <c r="I25" s="105">
        <v>120</v>
      </c>
      <c r="J25" s="105">
        <v>120</v>
      </c>
      <c r="K25" s="105">
        <v>80</v>
      </c>
      <c r="L25" s="112">
        <f>+SUM(F25:K25)+E25</f>
        <v>740</v>
      </c>
      <c r="M25" s="105">
        <v>120</v>
      </c>
      <c r="N25" s="105">
        <v>120</v>
      </c>
      <c r="O25" s="105">
        <v>120</v>
      </c>
      <c r="P25" s="105">
        <v>120</v>
      </c>
      <c r="Q25" s="105">
        <v>120</v>
      </c>
      <c r="R25" s="105">
        <v>120</v>
      </c>
      <c r="S25" s="105">
        <v>80</v>
      </c>
      <c r="T25" s="105">
        <v>120</v>
      </c>
      <c r="U25" s="112">
        <f>+L25+SUM(M25:T25)</f>
        <v>1660</v>
      </c>
      <c r="V25" s="105">
        <v>120</v>
      </c>
      <c r="W25" s="105">
        <v>120</v>
      </c>
      <c r="X25" s="105">
        <v>120</v>
      </c>
      <c r="Y25" s="105">
        <v>120</v>
      </c>
      <c r="Z25" s="105">
        <v>120</v>
      </c>
      <c r="AA25" s="105">
        <v>80</v>
      </c>
      <c r="AB25" s="112">
        <f>+U25+SUM(V25:AA25)</f>
        <v>2340</v>
      </c>
      <c r="AC25" s="105">
        <v>120</v>
      </c>
      <c r="AD25" s="105">
        <v>120</v>
      </c>
      <c r="AE25" s="105">
        <v>120</v>
      </c>
      <c r="AF25" s="105">
        <v>120</v>
      </c>
      <c r="AG25" s="105">
        <v>120</v>
      </c>
      <c r="AH25" s="105">
        <v>120</v>
      </c>
      <c r="AI25" s="105">
        <v>40</v>
      </c>
      <c r="AJ25" s="112">
        <f>+AB25+SUM(AC25:AI25)</f>
        <v>3100</v>
      </c>
    </row>
    <row r="26" spans="1:36" ht="12" customHeight="1" x14ac:dyDescent="0.2">
      <c r="A26" s="135" t="s">
        <v>63</v>
      </c>
      <c r="B26" s="111">
        <v>82</v>
      </c>
      <c r="C26" s="111">
        <v>129</v>
      </c>
      <c r="D26" s="111">
        <v>131</v>
      </c>
      <c r="E26" s="112">
        <f>+SUM(B26:D26)</f>
        <v>342</v>
      </c>
      <c r="F26" s="111">
        <v>132.31</v>
      </c>
      <c r="G26" s="111">
        <v>132.92500000000001</v>
      </c>
      <c r="H26" s="111">
        <v>131.84</v>
      </c>
      <c r="I26" s="111">
        <v>134.47999999999999</v>
      </c>
      <c r="J26" s="111">
        <v>130.77000000000001</v>
      </c>
      <c r="K26" s="111">
        <v>129.785</v>
      </c>
      <c r="L26" s="112">
        <f>+SUM(F26:K26)+E26</f>
        <v>1134.1100000000001</v>
      </c>
      <c r="M26" s="111">
        <v>132.81</v>
      </c>
      <c r="N26" s="111">
        <v>131.25</v>
      </c>
      <c r="O26" s="111">
        <v>87.804000000000002</v>
      </c>
      <c r="P26" s="111">
        <v>103.08</v>
      </c>
      <c r="Q26" s="111">
        <v>116.65</v>
      </c>
      <c r="R26" s="111">
        <v>57.71</v>
      </c>
      <c r="S26" s="111">
        <v>86.9</v>
      </c>
      <c r="T26" s="111">
        <v>132.49</v>
      </c>
      <c r="U26" s="112">
        <f>+L26+SUM(M26:T26)</f>
        <v>1982.8040000000001</v>
      </c>
      <c r="V26" s="111">
        <v>115.4</v>
      </c>
      <c r="W26" s="111">
        <v>115.9</v>
      </c>
      <c r="X26" s="111">
        <v>83.47</v>
      </c>
      <c r="Y26" s="111">
        <v>111.16</v>
      </c>
      <c r="Z26" s="111">
        <v>116.5</v>
      </c>
      <c r="AA26" s="111">
        <v>119.61</v>
      </c>
      <c r="AB26" s="112">
        <f>+U26+SUM(V26:AA26)</f>
        <v>2644.8440000000001</v>
      </c>
      <c r="AC26" s="111">
        <v>115.56</v>
      </c>
      <c r="AD26" s="111">
        <v>117.3</v>
      </c>
      <c r="AE26" s="111">
        <v>100.15</v>
      </c>
      <c r="AF26" s="111">
        <v>113.32</v>
      </c>
      <c r="AG26" s="111">
        <v>91.11</v>
      </c>
      <c r="AH26" s="111">
        <v>78.599999999999994</v>
      </c>
      <c r="AI26" s="111">
        <v>97.75</v>
      </c>
      <c r="AJ26" s="112">
        <f>+AB26+SUM(AC26:AI26)</f>
        <v>3358.634</v>
      </c>
    </row>
    <row r="27" spans="1:36" ht="16" thickBot="1" x14ac:dyDescent="0.25">
      <c r="A27" s="136" t="s">
        <v>3</v>
      </c>
      <c r="B27" s="114">
        <f t="shared" ref="B27:AI27" si="14">IFERROR(+B26/B25,0)</f>
        <v>0</v>
      </c>
      <c r="C27" s="114">
        <f t="shared" si="14"/>
        <v>0</v>
      </c>
      <c r="D27" s="114">
        <f t="shared" si="14"/>
        <v>2.1833333333333331</v>
      </c>
      <c r="E27" s="115">
        <f>IFERROR(+E26/E25,0)</f>
        <v>5.7</v>
      </c>
      <c r="F27" s="114">
        <f t="shared" si="14"/>
        <v>1.1025833333333332</v>
      </c>
      <c r="G27" s="114">
        <f t="shared" si="14"/>
        <v>1.1077083333333335</v>
      </c>
      <c r="H27" s="114">
        <f t="shared" si="14"/>
        <v>1.0986666666666667</v>
      </c>
      <c r="I27" s="114">
        <f t="shared" si="14"/>
        <v>1.1206666666666665</v>
      </c>
      <c r="J27" s="114">
        <f t="shared" si="14"/>
        <v>1.08975</v>
      </c>
      <c r="K27" s="114">
        <f t="shared" ref="K27:P27" si="15">IFERROR(+K26/K25,0)</f>
        <v>1.6223125</v>
      </c>
      <c r="L27" s="115">
        <f>IFERROR(+L26/L25,0)</f>
        <v>1.5325810810810812</v>
      </c>
      <c r="M27" s="114">
        <f t="shared" si="15"/>
        <v>1.1067500000000001</v>
      </c>
      <c r="N27" s="114">
        <f t="shared" si="15"/>
        <v>1.09375</v>
      </c>
      <c r="O27" s="114">
        <f t="shared" si="15"/>
        <v>0.73170000000000002</v>
      </c>
      <c r="P27" s="114">
        <f t="shared" si="15"/>
        <v>0.85899999999999999</v>
      </c>
      <c r="Q27" s="114">
        <f t="shared" ref="Q27:V27" si="16">IFERROR(+Q26/Q25,0)</f>
        <v>0.97208333333333341</v>
      </c>
      <c r="R27" s="114">
        <f t="shared" si="16"/>
        <v>0.48091666666666666</v>
      </c>
      <c r="S27" s="114">
        <f t="shared" si="16"/>
        <v>1.0862500000000002</v>
      </c>
      <c r="T27" s="114">
        <f>IFERROR(+T26/T25,0)</f>
        <v>1.1040833333333333</v>
      </c>
      <c r="U27" s="115">
        <f t="shared" si="16"/>
        <v>1.1944602409638554</v>
      </c>
      <c r="V27" s="114">
        <f t="shared" si="16"/>
        <v>0.96166666666666667</v>
      </c>
      <c r="W27" s="114">
        <f t="shared" si="14"/>
        <v>0.96583333333333343</v>
      </c>
      <c r="X27" s="114">
        <f t="shared" si="14"/>
        <v>0.69558333333333333</v>
      </c>
      <c r="Y27" s="114">
        <f t="shared" si="14"/>
        <v>0.92633333333333334</v>
      </c>
      <c r="Z27" s="114">
        <f t="shared" si="14"/>
        <v>0.97083333333333333</v>
      </c>
      <c r="AA27" s="114">
        <f t="shared" si="14"/>
        <v>1.495125</v>
      </c>
      <c r="AB27" s="115">
        <f>IFERROR(+AB26/AB25,0)</f>
        <v>1.1302752136752137</v>
      </c>
      <c r="AC27" s="114">
        <f t="shared" si="14"/>
        <v>0.96299999999999997</v>
      </c>
      <c r="AD27" s="114">
        <f t="shared" si="14"/>
        <v>0.97749999999999992</v>
      </c>
      <c r="AE27" s="114">
        <f t="shared" si="14"/>
        <v>0.83458333333333334</v>
      </c>
      <c r="AF27" s="114">
        <f t="shared" si="14"/>
        <v>0.94433333333333325</v>
      </c>
      <c r="AG27" s="114">
        <f t="shared" si="14"/>
        <v>0.75924999999999998</v>
      </c>
      <c r="AH27" s="114">
        <f t="shared" si="14"/>
        <v>0.65499999999999992</v>
      </c>
      <c r="AI27" s="114">
        <f t="shared" si="14"/>
        <v>2.4437500000000001</v>
      </c>
      <c r="AJ27" s="115">
        <f>IFERROR(+AJ26/AJ25,0)</f>
        <v>1.0834303225806452</v>
      </c>
    </row>
    <row r="28" spans="1:36" ht="16" hidden="1" thickBot="1" x14ac:dyDescent="0.25">
      <c r="A28" s="135" t="s">
        <v>64</v>
      </c>
      <c r="B28" s="116"/>
      <c r="C28" s="116"/>
      <c r="D28" s="116"/>
      <c r="E28" s="117"/>
      <c r="F28" s="116"/>
      <c r="G28" s="116"/>
      <c r="H28" s="116"/>
      <c r="I28" s="116"/>
      <c r="J28" s="116"/>
      <c r="K28" s="116"/>
      <c r="L28" s="117"/>
      <c r="M28" s="116"/>
      <c r="N28" s="116"/>
      <c r="O28" s="116"/>
      <c r="P28" s="116"/>
      <c r="Q28" s="116"/>
      <c r="R28" s="116"/>
      <c r="S28" s="116"/>
      <c r="T28" s="116"/>
      <c r="U28" s="117"/>
      <c r="V28" s="116"/>
      <c r="W28" s="116"/>
      <c r="X28" s="116"/>
      <c r="Y28" s="116"/>
      <c r="Z28" s="116"/>
      <c r="AA28" s="116"/>
      <c r="AB28" s="117"/>
      <c r="AC28" s="116"/>
      <c r="AD28" s="116"/>
      <c r="AE28" s="116"/>
      <c r="AF28" s="116"/>
      <c r="AG28" s="116"/>
      <c r="AH28" s="116"/>
      <c r="AI28" s="116"/>
      <c r="AJ28" s="117"/>
    </row>
    <row r="29" spans="1:36" ht="16" hidden="1" thickBot="1" x14ac:dyDescent="0.25">
      <c r="A29" s="135" t="s">
        <v>65</v>
      </c>
      <c r="B29" s="111"/>
      <c r="C29" s="111"/>
      <c r="D29" s="111"/>
      <c r="E29" s="112"/>
      <c r="F29" s="111"/>
      <c r="G29" s="111"/>
      <c r="H29" s="111"/>
      <c r="I29" s="111"/>
      <c r="J29" s="111"/>
      <c r="K29" s="111"/>
      <c r="L29" s="112"/>
      <c r="M29" s="111"/>
      <c r="N29" s="111"/>
      <c r="O29" s="111"/>
      <c r="P29" s="111"/>
      <c r="Q29" s="111"/>
      <c r="R29" s="111"/>
      <c r="S29" s="111"/>
      <c r="T29" s="111"/>
      <c r="U29" s="112"/>
      <c r="V29" s="111"/>
      <c r="W29" s="111"/>
      <c r="X29" s="111"/>
      <c r="Y29" s="111"/>
      <c r="Z29" s="111"/>
      <c r="AA29" s="111"/>
      <c r="AB29" s="112"/>
      <c r="AC29" s="111"/>
      <c r="AD29" s="111"/>
      <c r="AE29" s="111"/>
      <c r="AF29" s="111"/>
      <c r="AG29" s="111"/>
      <c r="AH29" s="111"/>
      <c r="AI29" s="111"/>
      <c r="AJ29" s="112"/>
    </row>
    <row r="30" spans="1:36" ht="16" hidden="1" thickBot="1" x14ac:dyDescent="0.25">
      <c r="A30" s="135" t="s">
        <v>66</v>
      </c>
      <c r="B30" s="120"/>
      <c r="C30" s="120"/>
      <c r="D30" s="120"/>
      <c r="E30" s="127"/>
      <c r="F30" s="120"/>
      <c r="G30" s="120"/>
      <c r="H30" s="120"/>
      <c r="I30" s="120"/>
      <c r="J30" s="120"/>
      <c r="K30" s="120"/>
      <c r="L30" s="127"/>
      <c r="M30" s="120"/>
      <c r="N30" s="120"/>
      <c r="O30" s="120"/>
      <c r="P30" s="120"/>
      <c r="Q30" s="120"/>
      <c r="R30" s="120"/>
      <c r="S30" s="120"/>
      <c r="T30" s="120"/>
      <c r="U30" s="127"/>
      <c r="V30" s="120"/>
      <c r="W30" s="120"/>
      <c r="X30" s="120"/>
      <c r="Y30" s="120"/>
      <c r="Z30" s="120"/>
      <c r="AA30" s="120"/>
      <c r="AB30" s="127"/>
      <c r="AC30" s="120"/>
      <c r="AD30" s="120"/>
      <c r="AE30" s="120"/>
      <c r="AF30" s="120"/>
      <c r="AG30" s="120"/>
      <c r="AH30" s="120"/>
      <c r="AI30" s="120"/>
      <c r="AJ30" s="127"/>
    </row>
    <row r="31" spans="1:36" ht="16" hidden="1" thickBot="1" x14ac:dyDescent="0.25">
      <c r="A31" s="137" t="s">
        <v>55</v>
      </c>
      <c r="B31" s="129"/>
      <c r="C31" s="129"/>
      <c r="D31" s="129"/>
      <c r="E31" s="130"/>
      <c r="F31" s="129"/>
      <c r="G31" s="129"/>
      <c r="H31" s="129"/>
      <c r="I31" s="129"/>
      <c r="J31" s="129"/>
      <c r="K31" s="129"/>
      <c r="L31" s="130"/>
      <c r="M31" s="129"/>
      <c r="N31" s="129"/>
      <c r="O31" s="129"/>
      <c r="P31" s="129"/>
      <c r="Q31" s="129"/>
      <c r="R31" s="129"/>
      <c r="S31" s="129"/>
      <c r="T31" s="129"/>
      <c r="U31" s="130"/>
      <c r="V31" s="129"/>
      <c r="W31" s="129"/>
      <c r="X31" s="129"/>
      <c r="Y31" s="129"/>
      <c r="Z31" s="129"/>
      <c r="AA31" s="129"/>
      <c r="AB31" s="130"/>
      <c r="AC31" s="129">
        <v>125</v>
      </c>
      <c r="AD31" s="129"/>
      <c r="AE31" s="129"/>
      <c r="AF31" s="129"/>
      <c r="AG31" s="129"/>
      <c r="AH31" s="129"/>
      <c r="AI31" s="129"/>
      <c r="AJ31" s="130"/>
    </row>
    <row r="32" spans="1:36" x14ac:dyDescent="0.2">
      <c r="A32" s="131" t="s">
        <v>67</v>
      </c>
      <c r="B32" s="105">
        <f>+B33</f>
        <v>0</v>
      </c>
      <c r="C32" s="105">
        <f>+C33</f>
        <v>53.55</v>
      </c>
      <c r="D32" s="105">
        <f>+D33</f>
        <v>56.7</v>
      </c>
      <c r="E32" s="112">
        <f>+SUM(B32:D32)</f>
        <v>110.25</v>
      </c>
      <c r="F32" s="105">
        <f t="shared" ref="F32:K32" si="17">+F33</f>
        <v>63</v>
      </c>
      <c r="G32" s="105">
        <f t="shared" si="17"/>
        <v>66.150000000000006</v>
      </c>
      <c r="H32" s="105">
        <f t="shared" si="17"/>
        <v>66.150000000000006</v>
      </c>
      <c r="I32" s="105">
        <f t="shared" si="17"/>
        <v>63</v>
      </c>
      <c r="J32" s="105">
        <f t="shared" si="17"/>
        <v>69.3</v>
      </c>
      <c r="K32" s="105">
        <f t="shared" si="17"/>
        <v>50.853999999999999</v>
      </c>
      <c r="L32" s="112">
        <f>+SUM(F32:K32)+E32</f>
        <v>488.70400000000001</v>
      </c>
      <c r="M32" s="105">
        <f>+M33</f>
        <v>56.924999999999997</v>
      </c>
      <c r="N32" s="105">
        <f>+N33</f>
        <v>63</v>
      </c>
      <c r="O32" s="105">
        <v>63</v>
      </c>
      <c r="P32" s="105">
        <v>63</v>
      </c>
      <c r="Q32" s="105">
        <v>66.150000000000006</v>
      </c>
      <c r="R32" s="105">
        <v>66.150000000000006</v>
      </c>
      <c r="S32" s="105">
        <v>63</v>
      </c>
      <c r="T32" s="105">
        <v>63</v>
      </c>
      <c r="U32" s="112">
        <f>+L32+SUM(M32:T32)</f>
        <v>992.92900000000009</v>
      </c>
      <c r="V32" s="105">
        <v>63</v>
      </c>
      <c r="W32" s="105">
        <v>63</v>
      </c>
      <c r="X32" s="105">
        <v>63</v>
      </c>
      <c r="Y32" s="105">
        <v>66.150000000000006</v>
      </c>
      <c r="Z32" s="105">
        <v>63</v>
      </c>
      <c r="AA32" s="105">
        <v>63</v>
      </c>
      <c r="AB32" s="112">
        <f>+U32+SUM(V32:AA32)</f>
        <v>1374.0790000000002</v>
      </c>
      <c r="AC32" s="105">
        <v>63</v>
      </c>
      <c r="AD32" s="105">
        <v>63</v>
      </c>
      <c r="AE32" s="105">
        <v>63</v>
      </c>
      <c r="AF32" s="105">
        <v>63</v>
      </c>
      <c r="AG32" s="105">
        <v>63</v>
      </c>
      <c r="AH32" s="105">
        <v>63</v>
      </c>
      <c r="AI32" s="105">
        <v>63</v>
      </c>
      <c r="AJ32" s="112">
        <f>+AB32+SUM(AC32:AI32)</f>
        <v>1815.0790000000002</v>
      </c>
    </row>
    <row r="33" spans="1:44" ht="12" customHeight="1" x14ac:dyDescent="0.2">
      <c r="A33" s="132" t="s">
        <v>68</v>
      </c>
      <c r="B33" s="111">
        <v>0</v>
      </c>
      <c r="C33" s="111">
        <v>53.55</v>
      </c>
      <c r="D33" s="111">
        <v>56.7</v>
      </c>
      <c r="E33" s="112">
        <f>+SUM(B33:D33)</f>
        <v>110.25</v>
      </c>
      <c r="F33" s="111">
        <v>63</v>
      </c>
      <c r="G33" s="111">
        <v>66.150000000000006</v>
      </c>
      <c r="H33" s="111">
        <v>66.150000000000006</v>
      </c>
      <c r="I33" s="111">
        <v>63</v>
      </c>
      <c r="J33" s="111">
        <v>69.3</v>
      </c>
      <c r="K33" s="111">
        <v>50.853999999999999</v>
      </c>
      <c r="L33" s="112">
        <f>+SUM(F33:K33)+E33</f>
        <v>488.70400000000001</v>
      </c>
      <c r="M33" s="111">
        <v>56.924999999999997</v>
      </c>
      <c r="N33" s="111">
        <v>63</v>
      </c>
      <c r="O33" s="111">
        <v>66.150000000000006</v>
      </c>
      <c r="P33" s="111">
        <v>69.3</v>
      </c>
      <c r="Q33" s="111">
        <v>40.950000000000003</v>
      </c>
      <c r="R33" s="111">
        <v>34.65</v>
      </c>
      <c r="S33" s="111">
        <v>44.1</v>
      </c>
      <c r="T33" s="111">
        <v>0</v>
      </c>
      <c r="U33" s="112">
        <f>+L33+SUM(M33:T33)</f>
        <v>863.779</v>
      </c>
      <c r="V33" s="111">
        <v>0</v>
      </c>
      <c r="W33" s="111">
        <v>31.5</v>
      </c>
      <c r="X33" s="111">
        <v>56.7</v>
      </c>
      <c r="Y33" s="111">
        <v>50.4</v>
      </c>
      <c r="Z33" s="111">
        <v>44.1</v>
      </c>
      <c r="AA33" s="111">
        <v>53.55</v>
      </c>
      <c r="AB33" s="112">
        <f>+U33+SUM(V33:AA33)</f>
        <v>1100.029</v>
      </c>
      <c r="AC33" s="111">
        <v>63</v>
      </c>
      <c r="AD33" s="111">
        <v>69.3</v>
      </c>
      <c r="AE33" s="111">
        <v>59.85</v>
      </c>
      <c r="AF33" s="111">
        <v>63</v>
      </c>
      <c r="AG33" s="111">
        <v>53.55</v>
      </c>
      <c r="AH33" s="111">
        <v>59.85</v>
      </c>
      <c r="AI33" s="111">
        <v>63</v>
      </c>
      <c r="AJ33" s="112">
        <f>+AB33+SUM(AC33:AI33)</f>
        <v>1531.579</v>
      </c>
    </row>
    <row r="34" spans="1:44" ht="12" customHeight="1" thickBot="1" x14ac:dyDescent="0.25">
      <c r="A34" s="133" t="s">
        <v>3</v>
      </c>
      <c r="B34" s="114">
        <f>IFERROR(B33/B32,0)</f>
        <v>0</v>
      </c>
      <c r="C34" s="114">
        <f>IFERROR(C33/C32,0)</f>
        <v>1</v>
      </c>
      <c r="D34" s="114">
        <f t="shared" ref="D34:AI34" si="18">IFERROR(D33/D32,0)</f>
        <v>1</v>
      </c>
      <c r="E34" s="115">
        <f>IFERROR(E33/E32,0)</f>
        <v>1</v>
      </c>
      <c r="F34" s="114">
        <f t="shared" si="18"/>
        <v>1</v>
      </c>
      <c r="G34" s="114">
        <f t="shared" si="18"/>
        <v>1</v>
      </c>
      <c r="H34" s="114">
        <f t="shared" si="18"/>
        <v>1</v>
      </c>
      <c r="I34" s="114">
        <f t="shared" si="18"/>
        <v>1</v>
      </c>
      <c r="J34" s="114">
        <f t="shared" si="18"/>
        <v>1</v>
      </c>
      <c r="K34" s="114">
        <f t="shared" ref="K34:V34" si="19">IFERROR(K33/K32,0)</f>
        <v>1</v>
      </c>
      <c r="L34" s="115">
        <f>IFERROR(L33/L32,0)</f>
        <v>1</v>
      </c>
      <c r="M34" s="114">
        <f t="shared" si="19"/>
        <v>1</v>
      </c>
      <c r="N34" s="114">
        <f t="shared" si="19"/>
        <v>1</v>
      </c>
      <c r="O34" s="114">
        <f t="shared" si="19"/>
        <v>1.05</v>
      </c>
      <c r="P34" s="114">
        <f t="shared" si="19"/>
        <v>1.0999999999999999</v>
      </c>
      <c r="Q34" s="114">
        <f>IFERROR(Q33/Q32,0)</f>
        <v>0.61904761904761907</v>
      </c>
      <c r="R34" s="114">
        <f>IFERROR(R33/R32,0)</f>
        <v>0.52380952380952372</v>
      </c>
      <c r="S34" s="114">
        <f>IFERROR(S33/S32,0)</f>
        <v>0.70000000000000007</v>
      </c>
      <c r="T34" s="114">
        <f>IFERROR(T33/T32,0)</f>
        <v>0</v>
      </c>
      <c r="U34" s="115">
        <f>IFERROR(U33/U32,0)</f>
        <v>0.86993027698858616</v>
      </c>
      <c r="V34" s="114">
        <f t="shared" si="19"/>
        <v>0</v>
      </c>
      <c r="W34" s="114">
        <f t="shared" si="18"/>
        <v>0.5</v>
      </c>
      <c r="X34" s="114">
        <f t="shared" si="18"/>
        <v>0.9</v>
      </c>
      <c r="Y34" s="114">
        <f t="shared" si="18"/>
        <v>0.76190476190476186</v>
      </c>
      <c r="Z34" s="114">
        <f t="shared" si="18"/>
        <v>0.70000000000000007</v>
      </c>
      <c r="AA34" s="114">
        <f t="shared" si="18"/>
        <v>0.85</v>
      </c>
      <c r="AB34" s="115">
        <f>IFERROR(AB33/AB32,0)</f>
        <v>0.80055731875678171</v>
      </c>
      <c r="AC34" s="114">
        <f t="shared" si="18"/>
        <v>1</v>
      </c>
      <c r="AD34" s="114">
        <f t="shared" si="18"/>
        <v>1.0999999999999999</v>
      </c>
      <c r="AE34" s="114">
        <f t="shared" si="18"/>
        <v>0.95000000000000007</v>
      </c>
      <c r="AF34" s="114">
        <f t="shared" si="18"/>
        <v>1</v>
      </c>
      <c r="AG34" s="114">
        <f t="shared" si="18"/>
        <v>0.85</v>
      </c>
      <c r="AH34" s="114">
        <f t="shared" si="18"/>
        <v>0.95000000000000007</v>
      </c>
      <c r="AI34" s="114">
        <f t="shared" si="18"/>
        <v>1</v>
      </c>
      <c r="AJ34" s="115">
        <f>IFERROR(AJ33/AJ32,0)</f>
        <v>0.84380845131258742</v>
      </c>
    </row>
    <row r="35" spans="1:44" ht="12" customHeight="1" x14ac:dyDescent="0.2">
      <c r="A35" s="138" t="s">
        <v>69</v>
      </c>
      <c r="B35" s="139">
        <f t="shared" ref="B35:F36" si="20">+B2</f>
        <v>0</v>
      </c>
      <c r="C35" s="139">
        <f t="shared" si="20"/>
        <v>0</v>
      </c>
      <c r="D35" s="139">
        <f t="shared" si="20"/>
        <v>150</v>
      </c>
      <c r="E35" s="140">
        <f>+E2</f>
        <v>150</v>
      </c>
      <c r="F35" s="139">
        <f t="shared" si="20"/>
        <v>330</v>
      </c>
      <c r="G35" s="139">
        <f>+G3</f>
        <v>334.101</v>
      </c>
      <c r="H35" s="139">
        <f t="shared" ref="H35:AA35" si="21">+H2</f>
        <v>330</v>
      </c>
      <c r="I35" s="139">
        <f t="shared" si="21"/>
        <v>330</v>
      </c>
      <c r="J35" s="139">
        <f t="shared" si="21"/>
        <v>330</v>
      </c>
      <c r="K35" s="139">
        <f t="shared" si="21"/>
        <v>240</v>
      </c>
      <c r="L35" s="140">
        <f>+L2</f>
        <v>2040</v>
      </c>
      <c r="M35" s="139">
        <f t="shared" si="21"/>
        <v>330</v>
      </c>
      <c r="N35" s="139">
        <f t="shared" si="21"/>
        <v>330</v>
      </c>
      <c r="O35" s="139">
        <f>+O2</f>
        <v>330</v>
      </c>
      <c r="P35" s="139">
        <f>+P2</f>
        <v>330</v>
      </c>
      <c r="Q35" s="139">
        <f t="shared" ref="Q35:U36" si="22">+Q2</f>
        <v>330</v>
      </c>
      <c r="R35" s="139">
        <f t="shared" si="22"/>
        <v>330</v>
      </c>
      <c r="S35" s="139">
        <f t="shared" si="22"/>
        <v>240</v>
      </c>
      <c r="T35" s="139">
        <f>+T2</f>
        <v>330</v>
      </c>
      <c r="U35" s="140">
        <f t="shared" si="22"/>
        <v>4590</v>
      </c>
      <c r="V35" s="139">
        <f>+V2</f>
        <v>330</v>
      </c>
      <c r="W35" s="139">
        <f t="shared" si="21"/>
        <v>330</v>
      </c>
      <c r="X35" s="139">
        <f t="shared" si="21"/>
        <v>330</v>
      </c>
      <c r="Y35" s="139">
        <f t="shared" si="21"/>
        <v>330</v>
      </c>
      <c r="Z35" s="139">
        <f t="shared" si="21"/>
        <v>330</v>
      </c>
      <c r="AA35" s="139">
        <f t="shared" si="21"/>
        <v>240</v>
      </c>
      <c r="AB35" s="140">
        <f>+AB2</f>
        <v>6480</v>
      </c>
      <c r="AC35" s="139">
        <f>+AC2</f>
        <v>330</v>
      </c>
      <c r="AD35" s="139">
        <f t="shared" ref="AD35:AI36" si="23">+AD2</f>
        <v>330</v>
      </c>
      <c r="AE35" s="139">
        <f t="shared" si="23"/>
        <v>330</v>
      </c>
      <c r="AF35" s="139">
        <f t="shared" si="23"/>
        <v>330</v>
      </c>
      <c r="AG35" s="139">
        <f t="shared" si="23"/>
        <v>330</v>
      </c>
      <c r="AH35" s="139">
        <f t="shared" si="23"/>
        <v>330</v>
      </c>
      <c r="AI35" s="139">
        <f t="shared" si="23"/>
        <v>210</v>
      </c>
      <c r="AJ35" s="140">
        <f>+AJ2</f>
        <v>8670</v>
      </c>
    </row>
    <row r="36" spans="1:44" ht="12" customHeight="1" x14ac:dyDescent="0.2">
      <c r="A36" s="141" t="s">
        <v>70</v>
      </c>
      <c r="B36" s="142">
        <f t="shared" si="20"/>
        <v>0</v>
      </c>
      <c r="C36" s="142">
        <f t="shared" si="20"/>
        <v>0</v>
      </c>
      <c r="D36" s="142">
        <f t="shared" si="20"/>
        <v>341.20499999999998</v>
      </c>
      <c r="E36" s="143">
        <f>+E3</f>
        <v>341.20499999999998</v>
      </c>
      <c r="F36" s="142">
        <f t="shared" si="20"/>
        <v>329.98599999999999</v>
      </c>
      <c r="G36" s="142">
        <f>+G3</f>
        <v>334.101</v>
      </c>
      <c r="H36" s="142">
        <f t="shared" ref="H36:AA36" si="24">+H3</f>
        <v>335.221</v>
      </c>
      <c r="I36" s="142">
        <f t="shared" si="24"/>
        <v>333.51600000000002</v>
      </c>
      <c r="J36" s="142">
        <f t="shared" si="24"/>
        <v>330.12099999999998</v>
      </c>
      <c r="K36" s="142">
        <f t="shared" si="24"/>
        <v>335.25700000000001</v>
      </c>
      <c r="L36" s="143">
        <f>+L3</f>
        <v>2339.4070000000002</v>
      </c>
      <c r="M36" s="142">
        <f t="shared" si="24"/>
        <v>350.33</v>
      </c>
      <c r="N36" s="142">
        <f t="shared" si="24"/>
        <v>328.56099999999998</v>
      </c>
      <c r="O36" s="142">
        <f>+O3</f>
        <v>352.60500000000002</v>
      </c>
      <c r="P36" s="142">
        <f>+P3</f>
        <v>372.49700000000001</v>
      </c>
      <c r="Q36" s="142">
        <f t="shared" si="22"/>
        <v>251.148</v>
      </c>
      <c r="R36" s="142">
        <f t="shared" si="22"/>
        <v>232.85599999999999</v>
      </c>
      <c r="S36" s="142">
        <f t="shared" si="22"/>
        <v>360.98500000000001</v>
      </c>
      <c r="T36" s="142">
        <f>+T3</f>
        <v>359.34199999999998</v>
      </c>
      <c r="U36" s="143">
        <f t="shared" si="22"/>
        <v>4947.7309999999998</v>
      </c>
      <c r="V36" s="142">
        <f>+V3</f>
        <v>340.81700000000001</v>
      </c>
      <c r="W36" s="142">
        <f t="shared" si="24"/>
        <v>354.108</v>
      </c>
      <c r="X36" s="142">
        <f t="shared" si="24"/>
        <v>367.16800000000001</v>
      </c>
      <c r="Y36" s="142">
        <f t="shared" si="24"/>
        <v>351.86799999999999</v>
      </c>
      <c r="Z36" s="142">
        <f t="shared" si="24"/>
        <v>359.62200000000001</v>
      </c>
      <c r="AA36" s="142">
        <f t="shared" si="24"/>
        <v>356.15100000000001</v>
      </c>
      <c r="AB36" s="143">
        <f>+AB3</f>
        <v>7077.4650000000001</v>
      </c>
      <c r="AC36" s="142">
        <f>+AC3</f>
        <v>357.07299999999998</v>
      </c>
      <c r="AD36" s="142">
        <f t="shared" si="23"/>
        <v>371.07100000000003</v>
      </c>
      <c r="AE36" s="142">
        <f t="shared" si="23"/>
        <v>342.74900000000002</v>
      </c>
      <c r="AF36" s="142">
        <f t="shared" si="23"/>
        <v>365.90300000000002</v>
      </c>
      <c r="AG36" s="142">
        <f t="shared" si="23"/>
        <v>201.005</v>
      </c>
      <c r="AH36" s="142">
        <f t="shared" si="23"/>
        <v>243.65</v>
      </c>
      <c r="AI36" s="142">
        <f t="shared" si="23"/>
        <v>322.38799999999998</v>
      </c>
      <c r="AJ36" s="143">
        <f>+AJ3</f>
        <v>9281.3040000000001</v>
      </c>
    </row>
    <row r="37" spans="1:44" ht="12" customHeight="1" thickBot="1" x14ac:dyDescent="0.25">
      <c r="A37" s="144" t="s">
        <v>3</v>
      </c>
      <c r="B37" s="145">
        <f>IFERROR(+B36/B35,0)</f>
        <v>0</v>
      </c>
      <c r="C37" s="145">
        <f>IFERROR(+C36/C35,0)</f>
        <v>0</v>
      </c>
      <c r="D37" s="145">
        <f t="shared" ref="D37:AC37" si="25">IFERROR(+D36/D35,0)</f>
        <v>2.2746999999999997</v>
      </c>
      <c r="E37" s="146">
        <f>IFERROR(+E36/E35,0)</f>
        <v>2.2746999999999997</v>
      </c>
      <c r="F37" s="145">
        <f t="shared" si="25"/>
        <v>0.99995757575757571</v>
      </c>
      <c r="G37" s="145">
        <f t="shared" si="25"/>
        <v>1</v>
      </c>
      <c r="H37" s="145">
        <f t="shared" si="25"/>
        <v>1.0158212121212122</v>
      </c>
      <c r="I37" s="145">
        <f t="shared" si="25"/>
        <v>1.0106545454545455</v>
      </c>
      <c r="J37" s="145">
        <f t="shared" si="25"/>
        <v>1.0003666666666666</v>
      </c>
      <c r="K37" s="145">
        <f t="shared" si="25"/>
        <v>1.3969041666666666</v>
      </c>
      <c r="L37" s="146">
        <f>IFERROR(+L36/L35,0)</f>
        <v>1.1467681372549021</v>
      </c>
      <c r="M37" s="145">
        <f t="shared" si="25"/>
        <v>1.0616060606060607</v>
      </c>
      <c r="N37" s="145">
        <f t="shared" si="25"/>
        <v>0.99563939393939382</v>
      </c>
      <c r="O37" s="145">
        <f>IFERROR(+O36/O35,0)</f>
        <v>1.0685</v>
      </c>
      <c r="P37" s="145">
        <f>IFERROR(+P36/P35,0)</f>
        <v>1.1287787878787878</v>
      </c>
      <c r="Q37" s="145">
        <f t="shared" ref="Q37:V37" si="26">IFERROR(+Q36/Q35,0)</f>
        <v>0.76105454545454543</v>
      </c>
      <c r="R37" s="145">
        <f t="shared" si="26"/>
        <v>0.70562424242424238</v>
      </c>
      <c r="S37" s="145">
        <f t="shared" si="26"/>
        <v>1.5041041666666668</v>
      </c>
      <c r="T37" s="145">
        <f t="shared" si="26"/>
        <v>1.0889151515151514</v>
      </c>
      <c r="U37" s="146">
        <f t="shared" si="26"/>
        <v>1.0779370370370369</v>
      </c>
      <c r="V37" s="145">
        <f t="shared" si="26"/>
        <v>1.032778787878788</v>
      </c>
      <c r="W37" s="145">
        <f t="shared" si="25"/>
        <v>1.0730545454545455</v>
      </c>
      <c r="X37" s="145">
        <f t="shared" si="25"/>
        <v>1.1126303030303031</v>
      </c>
      <c r="Y37" s="145">
        <f t="shared" si="25"/>
        <v>1.0662666666666667</v>
      </c>
      <c r="Z37" s="145">
        <f t="shared" si="25"/>
        <v>1.0897636363636365</v>
      </c>
      <c r="AA37" s="145">
        <f t="shared" si="25"/>
        <v>1.4839625000000001</v>
      </c>
      <c r="AB37" s="146">
        <f>IFERROR(+AB36/AB35,0)</f>
        <v>1.0922013888888888</v>
      </c>
      <c r="AC37" s="145">
        <f t="shared" si="25"/>
        <v>1.082039393939394</v>
      </c>
      <c r="AD37" s="145">
        <f t="shared" ref="AD37:AI37" si="27">IFERROR(+AD36/AD35,0)</f>
        <v>1.1244575757575759</v>
      </c>
      <c r="AE37" s="145">
        <f t="shared" si="27"/>
        <v>1.0386333333333333</v>
      </c>
      <c r="AF37" s="145">
        <f t="shared" si="27"/>
        <v>1.1087969696969697</v>
      </c>
      <c r="AG37" s="145">
        <f t="shared" si="27"/>
        <v>0.60910606060606054</v>
      </c>
      <c r="AH37" s="145">
        <f t="shared" si="27"/>
        <v>0.7383333333333334</v>
      </c>
      <c r="AI37" s="145">
        <f t="shared" si="27"/>
        <v>1.5351809523809523</v>
      </c>
      <c r="AJ37" s="146">
        <f>IFERROR(+AJ36/AJ35,0)</f>
        <v>1.0705079584775086</v>
      </c>
    </row>
    <row r="38" spans="1:44" ht="12" customHeight="1" x14ac:dyDescent="0.2">
      <c r="A38" s="138" t="s">
        <v>71</v>
      </c>
      <c r="B38" s="139">
        <f t="shared" ref="B38:AA38" si="28">+B10</f>
        <v>0</v>
      </c>
      <c r="C38" s="139">
        <f t="shared" si="28"/>
        <v>0</v>
      </c>
      <c r="D38" s="139">
        <f t="shared" si="28"/>
        <v>10</v>
      </c>
      <c r="E38" s="140">
        <f>+E10</f>
        <v>10</v>
      </c>
      <c r="F38" s="139">
        <f t="shared" si="28"/>
        <v>35</v>
      </c>
      <c r="G38" s="139">
        <f t="shared" si="28"/>
        <v>35</v>
      </c>
      <c r="H38" s="139">
        <f t="shared" si="28"/>
        <v>20</v>
      </c>
      <c r="I38" s="139">
        <f t="shared" si="28"/>
        <v>10</v>
      </c>
      <c r="J38" s="139">
        <f t="shared" si="28"/>
        <v>30</v>
      </c>
      <c r="K38" s="139">
        <f t="shared" ref="K38:N39" si="29">+K10</f>
        <v>30</v>
      </c>
      <c r="L38" s="140">
        <f>+L10</f>
        <v>170</v>
      </c>
      <c r="M38" s="139">
        <f t="shared" si="29"/>
        <v>30</v>
      </c>
      <c r="N38" s="139">
        <f t="shared" si="29"/>
        <v>30</v>
      </c>
      <c r="O38" s="139">
        <f>+O10</f>
        <v>30</v>
      </c>
      <c r="P38" s="139">
        <f>+P10</f>
        <v>30</v>
      </c>
      <c r="Q38" s="139">
        <f t="shared" ref="Q38:U39" si="30">+Q10</f>
        <v>10</v>
      </c>
      <c r="R38" s="139">
        <f t="shared" si="30"/>
        <v>35</v>
      </c>
      <c r="S38" s="139">
        <f t="shared" si="30"/>
        <v>35</v>
      </c>
      <c r="T38" s="139">
        <f>+T10</f>
        <v>35</v>
      </c>
      <c r="U38" s="140">
        <f t="shared" si="30"/>
        <v>405</v>
      </c>
      <c r="V38" s="139">
        <f>+V10</f>
        <v>35</v>
      </c>
      <c r="W38" s="139">
        <f t="shared" si="28"/>
        <v>35</v>
      </c>
      <c r="X38" s="139">
        <f t="shared" si="28"/>
        <v>35</v>
      </c>
      <c r="Y38" s="139">
        <f t="shared" si="28"/>
        <v>35</v>
      </c>
      <c r="Z38" s="139">
        <f t="shared" si="28"/>
        <v>35</v>
      </c>
      <c r="AA38" s="139">
        <f t="shared" si="28"/>
        <v>10</v>
      </c>
      <c r="AB38" s="140">
        <f>+AB10</f>
        <v>590</v>
      </c>
      <c r="AC38" s="139">
        <f>+AC10</f>
        <v>10</v>
      </c>
      <c r="AD38" s="139">
        <f t="shared" ref="AD38:AI39" si="31">+AD10</f>
        <v>30</v>
      </c>
      <c r="AE38" s="139">
        <f t="shared" si="31"/>
        <v>30</v>
      </c>
      <c r="AF38" s="139">
        <f t="shared" si="31"/>
        <v>30</v>
      </c>
      <c r="AG38" s="139">
        <f t="shared" si="31"/>
        <v>30</v>
      </c>
      <c r="AH38" s="139">
        <f t="shared" si="31"/>
        <v>30</v>
      </c>
      <c r="AI38" s="139">
        <f t="shared" si="31"/>
        <v>20</v>
      </c>
      <c r="AJ38" s="140">
        <f>+AJ10</f>
        <v>770</v>
      </c>
    </row>
    <row r="39" spans="1:44" ht="12" customHeight="1" x14ac:dyDescent="0.2">
      <c r="A39" s="141" t="s">
        <v>72</v>
      </c>
      <c r="B39" s="142">
        <f t="shared" ref="B39:AA39" si="32">+B11</f>
        <v>0</v>
      </c>
      <c r="C39" s="142">
        <f t="shared" si="32"/>
        <v>0</v>
      </c>
      <c r="D39" s="142">
        <f t="shared" si="32"/>
        <v>2.2200000000000002</v>
      </c>
      <c r="E39" s="143">
        <f>+E11</f>
        <v>2.2200000000000002</v>
      </c>
      <c r="F39" s="142">
        <f t="shared" si="32"/>
        <v>22.254000000000001</v>
      </c>
      <c r="G39" s="142">
        <f t="shared" si="32"/>
        <v>35.884</v>
      </c>
      <c r="H39" s="142">
        <f t="shared" si="32"/>
        <v>31.202999999999999</v>
      </c>
      <c r="I39" s="142">
        <f t="shared" si="32"/>
        <v>24.608000000000001</v>
      </c>
      <c r="J39" s="142">
        <f t="shared" si="32"/>
        <v>37.286999999999999</v>
      </c>
      <c r="K39" s="142">
        <f t="shared" si="29"/>
        <v>38.814999999999998</v>
      </c>
      <c r="L39" s="143">
        <f>+L11</f>
        <v>192.27100000000002</v>
      </c>
      <c r="M39" s="142">
        <f t="shared" si="29"/>
        <v>39.970999999999997</v>
      </c>
      <c r="N39" s="142">
        <f t="shared" si="29"/>
        <v>37.152000000000001</v>
      </c>
      <c r="O39" s="142">
        <f>+O11</f>
        <v>39.656999999999996</v>
      </c>
      <c r="P39" s="142">
        <f>+P11</f>
        <v>34.555999999999997</v>
      </c>
      <c r="Q39" s="142">
        <f t="shared" si="30"/>
        <v>21.922000000000001</v>
      </c>
      <c r="R39" s="142">
        <f t="shared" si="30"/>
        <v>13.185</v>
      </c>
      <c r="S39" s="142">
        <f t="shared" si="30"/>
        <v>41.448</v>
      </c>
      <c r="T39" s="142">
        <f>+T11</f>
        <v>23.611000000000001</v>
      </c>
      <c r="U39" s="143">
        <f t="shared" si="30"/>
        <v>443.77300000000002</v>
      </c>
      <c r="V39" s="142">
        <f>+V11</f>
        <v>13.193</v>
      </c>
      <c r="W39" s="142">
        <f t="shared" si="32"/>
        <v>28.344999999999999</v>
      </c>
      <c r="X39" s="142">
        <f t="shared" si="32"/>
        <v>26.5</v>
      </c>
      <c r="Y39" s="142">
        <f t="shared" si="32"/>
        <v>31.225000000000001</v>
      </c>
      <c r="Z39" s="142">
        <f t="shared" si="32"/>
        <v>33.700000000000003</v>
      </c>
      <c r="AA39" s="142">
        <f t="shared" si="32"/>
        <v>31.234999999999999</v>
      </c>
      <c r="AB39" s="143">
        <f>+AB11</f>
        <v>607.971</v>
      </c>
      <c r="AC39" s="142">
        <f>+AC11</f>
        <v>32.557000000000002</v>
      </c>
      <c r="AD39" s="142">
        <f t="shared" si="31"/>
        <v>33.5</v>
      </c>
      <c r="AE39" s="142">
        <f t="shared" si="31"/>
        <v>33.389000000000003</v>
      </c>
      <c r="AF39" s="142">
        <f t="shared" si="31"/>
        <v>33.155999999999999</v>
      </c>
      <c r="AG39" s="142">
        <f t="shared" si="31"/>
        <v>22.332999999999998</v>
      </c>
      <c r="AH39" s="142">
        <f t="shared" si="31"/>
        <v>19.567</v>
      </c>
      <c r="AI39" s="142">
        <f t="shared" si="31"/>
        <v>32.33</v>
      </c>
      <c r="AJ39" s="143">
        <f>+AJ11</f>
        <v>814.803</v>
      </c>
    </row>
    <row r="40" spans="1:44" ht="12" customHeight="1" thickBot="1" x14ac:dyDescent="0.25">
      <c r="A40" s="144" t="s">
        <v>3</v>
      </c>
      <c r="B40" s="145">
        <f t="shared" ref="B40:N40" si="33">IFERROR(+B39/B38,0)</f>
        <v>0</v>
      </c>
      <c r="C40" s="145">
        <f t="shared" si="33"/>
        <v>0</v>
      </c>
      <c r="D40" s="145">
        <f t="shared" si="33"/>
        <v>0.22200000000000003</v>
      </c>
      <c r="E40" s="146">
        <f>IFERROR(+E39/E38,0)</f>
        <v>0.22200000000000003</v>
      </c>
      <c r="F40" s="145">
        <f t="shared" si="33"/>
        <v>0.63582857142857152</v>
      </c>
      <c r="G40" s="145">
        <f t="shared" si="33"/>
        <v>1.0252571428571429</v>
      </c>
      <c r="H40" s="145">
        <f t="shared" si="33"/>
        <v>1.5601499999999999</v>
      </c>
      <c r="I40" s="145">
        <f t="shared" si="33"/>
        <v>2.4607999999999999</v>
      </c>
      <c r="J40" s="145">
        <f t="shared" si="33"/>
        <v>1.2428999999999999</v>
      </c>
      <c r="K40" s="145">
        <f t="shared" si="33"/>
        <v>1.2938333333333332</v>
      </c>
      <c r="L40" s="146">
        <f>IFERROR(+L39/L38,0)</f>
        <v>1.1310058823529412</v>
      </c>
      <c r="M40" s="145">
        <f t="shared" si="33"/>
        <v>1.3323666666666665</v>
      </c>
      <c r="N40" s="145">
        <f t="shared" si="33"/>
        <v>1.2383999999999999</v>
      </c>
      <c r="O40" s="145">
        <f t="shared" ref="O40:U40" si="34">IFERROR(+O39/O38,0)</f>
        <v>1.3218999999999999</v>
      </c>
      <c r="P40" s="145">
        <f t="shared" si="34"/>
        <v>1.1518666666666666</v>
      </c>
      <c r="Q40" s="145">
        <f t="shared" si="34"/>
        <v>2.1922000000000001</v>
      </c>
      <c r="R40" s="145">
        <f t="shared" si="34"/>
        <v>0.37671428571428572</v>
      </c>
      <c r="S40" s="145">
        <f t="shared" si="34"/>
        <v>1.1842285714285714</v>
      </c>
      <c r="T40" s="145">
        <f t="shared" si="34"/>
        <v>0.67459999999999998</v>
      </c>
      <c r="U40" s="146">
        <f t="shared" si="34"/>
        <v>1.0957358024691359</v>
      </c>
      <c r="V40" s="145">
        <f t="shared" ref="V40:AA40" si="35">IFERROR(+V39/V38,0)</f>
        <v>0.37694285714285714</v>
      </c>
      <c r="W40" s="145">
        <f t="shared" si="35"/>
        <v>0.80985714285714283</v>
      </c>
      <c r="X40" s="145">
        <f t="shared" si="35"/>
        <v>0.75714285714285712</v>
      </c>
      <c r="Y40" s="145">
        <f t="shared" si="35"/>
        <v>0.89214285714285724</v>
      </c>
      <c r="Z40" s="145">
        <f t="shared" si="35"/>
        <v>0.96285714285714297</v>
      </c>
      <c r="AA40" s="145">
        <f t="shared" si="35"/>
        <v>3.1234999999999999</v>
      </c>
      <c r="AB40" s="146">
        <f>IFERROR(+AB39/AB38,0)</f>
        <v>1.0304593220338982</v>
      </c>
      <c r="AC40" s="145">
        <f>IFERROR(AC39/AC38,0)</f>
        <v>3.2557</v>
      </c>
      <c r="AD40" s="145">
        <f t="shared" ref="AD40:AI40" si="36">IFERROR(+AD39/AD38,0)</f>
        <v>1.1166666666666667</v>
      </c>
      <c r="AE40" s="145">
        <f t="shared" si="36"/>
        <v>1.1129666666666667</v>
      </c>
      <c r="AF40" s="145">
        <f t="shared" si="36"/>
        <v>1.1052</v>
      </c>
      <c r="AG40" s="145">
        <f t="shared" si="36"/>
        <v>0.74443333333333328</v>
      </c>
      <c r="AH40" s="145">
        <f t="shared" si="36"/>
        <v>0.65223333333333333</v>
      </c>
      <c r="AI40" s="145">
        <f t="shared" si="36"/>
        <v>1.6164999999999998</v>
      </c>
      <c r="AJ40" s="146">
        <f>IFERROR(+AJ39/AJ38,0)</f>
        <v>1.0581857142857143</v>
      </c>
    </row>
    <row r="41" spans="1:44" ht="12" customHeight="1" x14ac:dyDescent="0.2">
      <c r="A41" s="138" t="s">
        <v>73</v>
      </c>
      <c r="B41" s="139">
        <f t="shared" ref="B41:AA41" si="37">+B19+B25</f>
        <v>0</v>
      </c>
      <c r="C41" s="139">
        <f t="shared" si="37"/>
        <v>0</v>
      </c>
      <c r="D41" s="139">
        <f t="shared" si="37"/>
        <v>60</v>
      </c>
      <c r="E41" s="140">
        <f>+E19+E25</f>
        <v>60</v>
      </c>
      <c r="F41" s="139">
        <f t="shared" si="37"/>
        <v>120</v>
      </c>
      <c r="G41" s="139">
        <f t="shared" si="37"/>
        <v>200</v>
      </c>
      <c r="H41" s="139">
        <f t="shared" si="37"/>
        <v>200</v>
      </c>
      <c r="I41" s="139">
        <f t="shared" si="37"/>
        <v>200</v>
      </c>
      <c r="J41" s="139">
        <f t="shared" si="37"/>
        <v>200</v>
      </c>
      <c r="K41" s="139">
        <f t="shared" ref="K41:N42" si="38">+K19+K25</f>
        <v>120</v>
      </c>
      <c r="L41" s="140">
        <f>+L19+L25</f>
        <v>1100</v>
      </c>
      <c r="M41" s="139">
        <f t="shared" si="38"/>
        <v>200</v>
      </c>
      <c r="N41" s="139">
        <f t="shared" si="38"/>
        <v>200</v>
      </c>
      <c r="O41" s="139">
        <f>+O19+O25</f>
        <v>200</v>
      </c>
      <c r="P41" s="139">
        <f>+P19+P25</f>
        <v>200</v>
      </c>
      <c r="Q41" s="139">
        <f t="shared" ref="Q41:U42" si="39">+Q19+Q25</f>
        <v>200</v>
      </c>
      <c r="R41" s="139">
        <f t="shared" si="39"/>
        <v>200</v>
      </c>
      <c r="S41" s="139">
        <f t="shared" si="39"/>
        <v>140</v>
      </c>
      <c r="T41" s="139">
        <f>+T19+T25</f>
        <v>200</v>
      </c>
      <c r="U41" s="140">
        <f t="shared" si="39"/>
        <v>2640</v>
      </c>
      <c r="V41" s="139">
        <f>+V19+V25</f>
        <v>200</v>
      </c>
      <c r="W41" s="139">
        <f t="shared" si="37"/>
        <v>200</v>
      </c>
      <c r="X41" s="139">
        <f t="shared" si="37"/>
        <v>200</v>
      </c>
      <c r="Y41" s="139">
        <f t="shared" si="37"/>
        <v>200</v>
      </c>
      <c r="Z41" s="139">
        <f t="shared" si="37"/>
        <v>200</v>
      </c>
      <c r="AA41" s="139">
        <f t="shared" si="37"/>
        <v>80</v>
      </c>
      <c r="AB41" s="140">
        <f>+AB19+AB25</f>
        <v>3720</v>
      </c>
      <c r="AC41" s="139">
        <f>+AC19+AC25</f>
        <v>200</v>
      </c>
      <c r="AD41" s="139">
        <f t="shared" ref="AD41:AG42" si="40">+AD19+AD25</f>
        <v>200</v>
      </c>
      <c r="AE41" s="139">
        <f t="shared" si="40"/>
        <v>200</v>
      </c>
      <c r="AF41" s="139">
        <f t="shared" si="40"/>
        <v>200</v>
      </c>
      <c r="AG41" s="139">
        <f t="shared" si="40"/>
        <v>200</v>
      </c>
      <c r="AH41" s="139">
        <f t="shared" ref="AH41:AJ42" si="41">+AH19+AH25</f>
        <v>200</v>
      </c>
      <c r="AI41" s="139">
        <f t="shared" si="41"/>
        <v>80</v>
      </c>
      <c r="AJ41" s="140">
        <f t="shared" si="41"/>
        <v>5000</v>
      </c>
    </row>
    <row r="42" spans="1:44" ht="12" customHeight="1" x14ac:dyDescent="0.2">
      <c r="A42" s="141" t="s">
        <v>74</v>
      </c>
      <c r="B42" s="142">
        <f t="shared" ref="B42:AA42" si="42">+B20+B26</f>
        <v>82</v>
      </c>
      <c r="C42" s="142">
        <f t="shared" si="42"/>
        <v>129</v>
      </c>
      <c r="D42" s="142">
        <f t="shared" si="42"/>
        <v>231.60500000000002</v>
      </c>
      <c r="E42" s="143">
        <f>+E20+E26</f>
        <v>442.60500000000002</v>
      </c>
      <c r="F42" s="142">
        <f t="shared" si="42"/>
        <v>155.608</v>
      </c>
      <c r="G42" s="142">
        <f t="shared" si="42"/>
        <v>220.65500000000003</v>
      </c>
      <c r="H42" s="142">
        <f t="shared" si="42"/>
        <v>263.68</v>
      </c>
      <c r="I42" s="142">
        <f t="shared" si="42"/>
        <v>233.83999999999997</v>
      </c>
      <c r="J42" s="142">
        <f t="shared" si="42"/>
        <v>234.94</v>
      </c>
      <c r="K42" s="142">
        <f t="shared" si="38"/>
        <v>224.82499999999999</v>
      </c>
      <c r="L42" s="143">
        <f>+L20+L26</f>
        <v>1776.1530000000002</v>
      </c>
      <c r="M42" s="142">
        <f t="shared" si="38"/>
        <v>236.76999999999998</v>
      </c>
      <c r="N42" s="142">
        <f t="shared" si="38"/>
        <v>235.3</v>
      </c>
      <c r="O42" s="142">
        <f>+O20+O26</f>
        <v>135.744</v>
      </c>
      <c r="P42" s="142">
        <f>+P20+P26</f>
        <v>165.7</v>
      </c>
      <c r="Q42" s="142">
        <f t="shared" si="39"/>
        <v>180.45</v>
      </c>
      <c r="R42" s="142">
        <f t="shared" si="39"/>
        <v>113.91</v>
      </c>
      <c r="S42" s="142">
        <f t="shared" si="39"/>
        <v>182.73000000000002</v>
      </c>
      <c r="T42" s="142">
        <f>+T20+T26</f>
        <v>222.69</v>
      </c>
      <c r="U42" s="143">
        <f t="shared" si="39"/>
        <v>3249.4470000000001</v>
      </c>
      <c r="V42" s="142">
        <f>+V20+V26</f>
        <v>217.65</v>
      </c>
      <c r="W42" s="142">
        <f t="shared" si="42"/>
        <v>210.45</v>
      </c>
      <c r="X42" s="142">
        <f t="shared" si="42"/>
        <v>161.97</v>
      </c>
      <c r="Y42" s="142">
        <f t="shared" si="42"/>
        <v>200.61</v>
      </c>
      <c r="Z42" s="142">
        <f t="shared" si="42"/>
        <v>209.41500000000002</v>
      </c>
      <c r="AA42" s="142">
        <f t="shared" si="42"/>
        <v>206.76999999999998</v>
      </c>
      <c r="AB42" s="143">
        <f>+AB20+AB26</f>
        <v>4456.3119999999999</v>
      </c>
      <c r="AC42" s="142">
        <f>+AC20+AC26</f>
        <v>193.06</v>
      </c>
      <c r="AD42" s="142">
        <f t="shared" si="40"/>
        <v>201.589</v>
      </c>
      <c r="AE42" s="142">
        <f t="shared" si="40"/>
        <v>195.8</v>
      </c>
      <c r="AF42" s="142">
        <f t="shared" si="40"/>
        <v>205.57</v>
      </c>
      <c r="AG42" s="142">
        <f t="shared" si="40"/>
        <v>182.97</v>
      </c>
      <c r="AH42" s="142">
        <f t="shared" si="41"/>
        <v>129.5</v>
      </c>
      <c r="AI42" s="142">
        <f t="shared" si="41"/>
        <v>187.35</v>
      </c>
      <c r="AJ42" s="143">
        <f t="shared" si="41"/>
        <v>5752.1509999999998</v>
      </c>
    </row>
    <row r="43" spans="1:44" ht="12" customHeight="1" thickBot="1" x14ac:dyDescent="0.25">
      <c r="A43" s="147" t="s">
        <v>3</v>
      </c>
      <c r="B43" s="148">
        <f>IFERROR(+B42/B41,0)</f>
        <v>0</v>
      </c>
      <c r="C43" s="148">
        <f>IFERROR(+C42/C41,0)</f>
        <v>0</v>
      </c>
      <c r="D43" s="148">
        <f t="shared" ref="D43:AI43" si="43">IFERROR(+D42/D41,0)</f>
        <v>3.8600833333333338</v>
      </c>
      <c r="E43" s="149">
        <f>IFERROR(+E42/E41,0)</f>
        <v>7.3767500000000004</v>
      </c>
      <c r="F43" s="148">
        <f t="shared" si="43"/>
        <v>1.2967333333333333</v>
      </c>
      <c r="G43" s="148">
        <f t="shared" si="43"/>
        <v>1.1032750000000002</v>
      </c>
      <c r="H43" s="148">
        <f t="shared" si="43"/>
        <v>1.3184</v>
      </c>
      <c r="I43" s="148">
        <f t="shared" si="43"/>
        <v>1.1691999999999998</v>
      </c>
      <c r="J43" s="148">
        <f t="shared" si="43"/>
        <v>1.1747000000000001</v>
      </c>
      <c r="K43" s="148">
        <f t="shared" ref="K43:P43" si="44">IFERROR(+K42/K41,0)</f>
        <v>1.8735416666666667</v>
      </c>
      <c r="L43" s="149">
        <f t="shared" si="44"/>
        <v>1.6146845454545458</v>
      </c>
      <c r="M43" s="148">
        <f t="shared" si="44"/>
        <v>1.1838499999999998</v>
      </c>
      <c r="N43" s="148">
        <f t="shared" si="44"/>
        <v>1.1765000000000001</v>
      </c>
      <c r="O43" s="148">
        <f t="shared" si="44"/>
        <v>0.67871999999999999</v>
      </c>
      <c r="P43" s="148">
        <f t="shared" si="44"/>
        <v>0.8284999999999999</v>
      </c>
      <c r="Q43" s="148">
        <f t="shared" ref="Q43:V43" si="45">IFERROR(+Q42/Q41,0)</f>
        <v>0.90225</v>
      </c>
      <c r="R43" s="148">
        <f t="shared" si="45"/>
        <v>0.56955</v>
      </c>
      <c r="S43" s="148">
        <f t="shared" si="45"/>
        <v>1.3052142857142859</v>
      </c>
      <c r="T43" s="148">
        <f t="shared" si="45"/>
        <v>1.1134500000000001</v>
      </c>
      <c r="U43" s="149">
        <f t="shared" si="45"/>
        <v>1.2308511363636363</v>
      </c>
      <c r="V43" s="148">
        <f t="shared" si="45"/>
        <v>1.0882499999999999</v>
      </c>
      <c r="W43" s="148">
        <f t="shared" si="43"/>
        <v>1.0522499999999999</v>
      </c>
      <c r="X43" s="148">
        <f t="shared" si="43"/>
        <v>0.80984999999999996</v>
      </c>
      <c r="Y43" s="148">
        <f t="shared" si="43"/>
        <v>1.00305</v>
      </c>
      <c r="Z43" s="148">
        <f t="shared" si="43"/>
        <v>1.0470750000000002</v>
      </c>
      <c r="AA43" s="148">
        <f t="shared" si="43"/>
        <v>2.584625</v>
      </c>
      <c r="AB43" s="149">
        <f>IFERROR(+AB42/AB41,0)</f>
        <v>1.1979333333333333</v>
      </c>
      <c r="AC43" s="148">
        <f t="shared" si="43"/>
        <v>0.96530000000000005</v>
      </c>
      <c r="AD43" s="148">
        <f t="shared" si="43"/>
        <v>1.0079450000000001</v>
      </c>
      <c r="AE43" s="148">
        <f t="shared" si="43"/>
        <v>0.97900000000000009</v>
      </c>
      <c r="AF43" s="148">
        <f t="shared" si="43"/>
        <v>1.0278499999999999</v>
      </c>
      <c r="AG43" s="148">
        <f t="shared" si="43"/>
        <v>0.91484999999999994</v>
      </c>
      <c r="AH43" s="148">
        <f t="shared" si="43"/>
        <v>0.64749999999999996</v>
      </c>
      <c r="AI43" s="148">
        <f t="shared" si="43"/>
        <v>2.3418749999999999</v>
      </c>
      <c r="AJ43" s="149">
        <f>IFERROR(+AJ42/AJ41,0)</f>
        <v>1.1504302</v>
      </c>
    </row>
    <row r="44" spans="1:44" ht="12" customHeight="1" x14ac:dyDescent="0.2">
      <c r="A44" s="138" t="s">
        <v>75</v>
      </c>
      <c r="B44" s="139">
        <f t="shared" ref="B44:AA44" si="46">+B32</f>
        <v>0</v>
      </c>
      <c r="C44" s="139">
        <f t="shared" si="46"/>
        <v>53.55</v>
      </c>
      <c r="D44" s="139">
        <f t="shared" si="46"/>
        <v>56.7</v>
      </c>
      <c r="E44" s="140">
        <f>+E32</f>
        <v>110.25</v>
      </c>
      <c r="F44" s="139">
        <f t="shared" si="46"/>
        <v>63</v>
      </c>
      <c r="G44" s="139">
        <f t="shared" si="46"/>
        <v>66.150000000000006</v>
      </c>
      <c r="H44" s="139">
        <f t="shared" si="46"/>
        <v>66.150000000000006</v>
      </c>
      <c r="I44" s="139">
        <f t="shared" si="46"/>
        <v>63</v>
      </c>
      <c r="J44" s="139">
        <f t="shared" si="46"/>
        <v>69.3</v>
      </c>
      <c r="K44" s="139">
        <f t="shared" ref="K44:N45" si="47">+K32</f>
        <v>50.853999999999999</v>
      </c>
      <c r="L44" s="140">
        <f>+L32</f>
        <v>488.70400000000001</v>
      </c>
      <c r="M44" s="139">
        <f t="shared" si="47"/>
        <v>56.924999999999997</v>
      </c>
      <c r="N44" s="139">
        <f t="shared" si="47"/>
        <v>63</v>
      </c>
      <c r="O44" s="139">
        <f>+O32</f>
        <v>63</v>
      </c>
      <c r="P44" s="139">
        <f>+P32</f>
        <v>63</v>
      </c>
      <c r="Q44" s="139">
        <f t="shared" ref="Q44:U45" si="48">+Q32</f>
        <v>66.150000000000006</v>
      </c>
      <c r="R44" s="139">
        <f t="shared" si="48"/>
        <v>66.150000000000006</v>
      </c>
      <c r="S44" s="139">
        <f t="shared" si="48"/>
        <v>63</v>
      </c>
      <c r="T44" s="139">
        <f>+T32</f>
        <v>63</v>
      </c>
      <c r="U44" s="140">
        <f t="shared" si="48"/>
        <v>992.92900000000009</v>
      </c>
      <c r="V44" s="139">
        <f>+V32</f>
        <v>63</v>
      </c>
      <c r="W44" s="139">
        <f t="shared" si="46"/>
        <v>63</v>
      </c>
      <c r="X44" s="139">
        <f t="shared" si="46"/>
        <v>63</v>
      </c>
      <c r="Y44" s="139">
        <f t="shared" si="46"/>
        <v>66.150000000000006</v>
      </c>
      <c r="Z44" s="139">
        <f t="shared" si="46"/>
        <v>63</v>
      </c>
      <c r="AA44" s="139">
        <f t="shared" si="46"/>
        <v>63</v>
      </c>
      <c r="AB44" s="140">
        <f>+AB32</f>
        <v>1374.0790000000002</v>
      </c>
      <c r="AC44" s="139">
        <f>+AC32</f>
        <v>63</v>
      </c>
      <c r="AD44" s="139">
        <f t="shared" ref="AD44:AG45" si="49">+AD32</f>
        <v>63</v>
      </c>
      <c r="AE44" s="139">
        <f t="shared" si="49"/>
        <v>63</v>
      </c>
      <c r="AF44" s="139">
        <f t="shared" si="49"/>
        <v>63</v>
      </c>
      <c r="AG44" s="139">
        <f t="shared" si="49"/>
        <v>63</v>
      </c>
      <c r="AH44" s="139">
        <f t="shared" ref="AH44:AJ45" si="50">+AH32</f>
        <v>63</v>
      </c>
      <c r="AI44" s="139">
        <f t="shared" si="50"/>
        <v>63</v>
      </c>
      <c r="AJ44" s="140">
        <f t="shared" si="50"/>
        <v>1815.0790000000002</v>
      </c>
    </row>
    <row r="45" spans="1:44" ht="12" customHeight="1" x14ac:dyDescent="0.2">
      <c r="A45" s="141" t="s">
        <v>76</v>
      </c>
      <c r="B45" s="142">
        <f t="shared" ref="B45:AA45" si="51">+B33</f>
        <v>0</v>
      </c>
      <c r="C45" s="142">
        <f t="shared" si="51"/>
        <v>53.55</v>
      </c>
      <c r="D45" s="142">
        <f t="shared" si="51"/>
        <v>56.7</v>
      </c>
      <c r="E45" s="143">
        <f>+E33</f>
        <v>110.25</v>
      </c>
      <c r="F45" s="142">
        <f t="shared" si="51"/>
        <v>63</v>
      </c>
      <c r="G45" s="142">
        <f t="shared" si="51"/>
        <v>66.150000000000006</v>
      </c>
      <c r="H45" s="142">
        <f t="shared" si="51"/>
        <v>66.150000000000006</v>
      </c>
      <c r="I45" s="142">
        <f t="shared" si="51"/>
        <v>63</v>
      </c>
      <c r="J45" s="142">
        <f t="shared" si="51"/>
        <v>69.3</v>
      </c>
      <c r="K45" s="142">
        <f t="shared" si="47"/>
        <v>50.853999999999999</v>
      </c>
      <c r="L45" s="143">
        <f>+L33</f>
        <v>488.70400000000001</v>
      </c>
      <c r="M45" s="142">
        <f t="shared" si="47"/>
        <v>56.924999999999997</v>
      </c>
      <c r="N45" s="142">
        <f t="shared" si="47"/>
        <v>63</v>
      </c>
      <c r="O45" s="142">
        <f>+O33</f>
        <v>66.150000000000006</v>
      </c>
      <c r="P45" s="142">
        <f>+P33</f>
        <v>69.3</v>
      </c>
      <c r="Q45" s="142">
        <f t="shared" si="48"/>
        <v>40.950000000000003</v>
      </c>
      <c r="R45" s="142">
        <f t="shared" si="48"/>
        <v>34.65</v>
      </c>
      <c r="S45" s="142">
        <f t="shared" si="48"/>
        <v>44.1</v>
      </c>
      <c r="T45" s="142">
        <f>+T33</f>
        <v>0</v>
      </c>
      <c r="U45" s="143">
        <f t="shared" si="48"/>
        <v>863.779</v>
      </c>
      <c r="V45" s="142">
        <f>+V33</f>
        <v>0</v>
      </c>
      <c r="W45" s="142">
        <f t="shared" si="51"/>
        <v>31.5</v>
      </c>
      <c r="X45" s="142">
        <f t="shared" si="51"/>
        <v>56.7</v>
      </c>
      <c r="Y45" s="142">
        <f t="shared" si="51"/>
        <v>50.4</v>
      </c>
      <c r="Z45" s="142">
        <f t="shared" si="51"/>
        <v>44.1</v>
      </c>
      <c r="AA45" s="142">
        <f t="shared" si="51"/>
        <v>53.55</v>
      </c>
      <c r="AB45" s="143">
        <f>+AB33</f>
        <v>1100.029</v>
      </c>
      <c r="AC45" s="142">
        <f>+AC33</f>
        <v>63</v>
      </c>
      <c r="AD45" s="142">
        <f t="shared" si="49"/>
        <v>69.3</v>
      </c>
      <c r="AE45" s="142">
        <f t="shared" si="49"/>
        <v>59.85</v>
      </c>
      <c r="AF45" s="142">
        <f t="shared" si="49"/>
        <v>63</v>
      </c>
      <c r="AG45" s="142">
        <f t="shared" si="49"/>
        <v>53.55</v>
      </c>
      <c r="AH45" s="142">
        <f t="shared" si="50"/>
        <v>59.85</v>
      </c>
      <c r="AI45" s="142">
        <f t="shared" si="50"/>
        <v>63</v>
      </c>
      <c r="AJ45" s="143">
        <f t="shared" si="50"/>
        <v>1531.579</v>
      </c>
    </row>
    <row r="46" spans="1:44" ht="12" customHeight="1" thickBot="1" x14ac:dyDescent="0.25">
      <c r="A46" s="147" t="s">
        <v>3</v>
      </c>
      <c r="B46" s="148">
        <f>IFERROR(+B45/B44,0)</f>
        <v>0</v>
      </c>
      <c r="C46" s="148">
        <f>IFERROR(+C45/C44,0)</f>
        <v>1</v>
      </c>
      <c r="D46" s="145">
        <f t="shared" ref="D46:AI46" si="52">IFERROR(+D45/D44,0)</f>
        <v>1</v>
      </c>
      <c r="E46" s="149">
        <f>IFERROR(+E45/E44,0)</f>
        <v>1</v>
      </c>
      <c r="F46" s="148">
        <f t="shared" si="52"/>
        <v>1</v>
      </c>
      <c r="G46" s="148">
        <f t="shared" si="52"/>
        <v>1</v>
      </c>
      <c r="H46" s="148">
        <f t="shared" si="52"/>
        <v>1</v>
      </c>
      <c r="I46" s="148">
        <f t="shared" si="52"/>
        <v>1</v>
      </c>
      <c r="J46" s="148">
        <f t="shared" si="52"/>
        <v>1</v>
      </c>
      <c r="K46" s="148">
        <f t="shared" ref="K46:P46" si="53">IFERROR(+K45/K44,0)</f>
        <v>1</v>
      </c>
      <c r="L46" s="149">
        <f t="shared" si="53"/>
        <v>1</v>
      </c>
      <c r="M46" s="148">
        <f t="shared" si="53"/>
        <v>1</v>
      </c>
      <c r="N46" s="148">
        <f t="shared" si="53"/>
        <v>1</v>
      </c>
      <c r="O46" s="148">
        <f t="shared" si="53"/>
        <v>1.05</v>
      </c>
      <c r="P46" s="148">
        <f t="shared" si="53"/>
        <v>1.0999999999999999</v>
      </c>
      <c r="Q46" s="148">
        <f t="shared" ref="Q46:V46" si="54">IFERROR(+Q45/Q44,0)</f>
        <v>0.61904761904761907</v>
      </c>
      <c r="R46" s="148">
        <f t="shared" si="54"/>
        <v>0.52380952380952372</v>
      </c>
      <c r="S46" s="148">
        <f t="shared" si="54"/>
        <v>0.70000000000000007</v>
      </c>
      <c r="T46" s="148">
        <f t="shared" si="54"/>
        <v>0</v>
      </c>
      <c r="U46" s="149">
        <f t="shared" si="54"/>
        <v>0.86993027698858616</v>
      </c>
      <c r="V46" s="148">
        <f t="shared" si="54"/>
        <v>0</v>
      </c>
      <c r="W46" s="145">
        <f t="shared" si="52"/>
        <v>0.5</v>
      </c>
      <c r="X46" s="148">
        <f t="shared" si="52"/>
        <v>0.9</v>
      </c>
      <c r="Y46" s="148">
        <f t="shared" si="52"/>
        <v>0.76190476190476186</v>
      </c>
      <c r="Z46" s="148">
        <f t="shared" si="52"/>
        <v>0.70000000000000007</v>
      </c>
      <c r="AA46" s="148">
        <f t="shared" si="52"/>
        <v>0.85</v>
      </c>
      <c r="AB46" s="149">
        <f>IFERROR(+AB45/AB44,0)</f>
        <v>0.80055731875678171</v>
      </c>
      <c r="AC46" s="148">
        <f t="shared" si="52"/>
        <v>1</v>
      </c>
      <c r="AD46" s="148">
        <f t="shared" si="52"/>
        <v>1.0999999999999999</v>
      </c>
      <c r="AE46" s="145">
        <f t="shared" si="52"/>
        <v>0.95000000000000007</v>
      </c>
      <c r="AF46" s="148">
        <f t="shared" si="52"/>
        <v>1</v>
      </c>
      <c r="AG46" s="148">
        <f t="shared" si="52"/>
        <v>0.85</v>
      </c>
      <c r="AH46" s="148">
        <f t="shared" si="52"/>
        <v>0.95000000000000007</v>
      </c>
      <c r="AI46" s="148">
        <f t="shared" si="52"/>
        <v>1</v>
      </c>
      <c r="AJ46" s="146">
        <f>IFERROR(+AJ45/AJ44,0)</f>
        <v>0.84380845131258742</v>
      </c>
    </row>
    <row r="47" spans="1:44" ht="35.25" customHeight="1" thickBot="1" x14ac:dyDescent="0.25">
      <c r="A47" s="108"/>
      <c r="C47" s="387" t="s">
        <v>28</v>
      </c>
      <c r="D47" s="388" t="s">
        <v>77</v>
      </c>
      <c r="E47" s="150" t="s">
        <v>78</v>
      </c>
      <c r="F47" s="152" t="s">
        <v>31</v>
      </c>
      <c r="G47" s="152" t="s">
        <v>32</v>
      </c>
      <c r="L47" s="387" t="s">
        <v>28</v>
      </c>
      <c r="M47" s="388" t="s">
        <v>77</v>
      </c>
      <c r="N47" s="150" t="s">
        <v>78</v>
      </c>
      <c r="O47" s="152" t="s">
        <v>31</v>
      </c>
      <c r="P47" s="152" t="s">
        <v>32</v>
      </c>
      <c r="S47" s="387" t="s">
        <v>28</v>
      </c>
      <c r="T47" s="388" t="s">
        <v>77</v>
      </c>
      <c r="U47" s="150" t="s">
        <v>78</v>
      </c>
      <c r="V47" s="152" t="s">
        <v>31</v>
      </c>
      <c r="W47" s="152" t="s">
        <v>32</v>
      </c>
      <c r="AA47" s="387" t="s">
        <v>28</v>
      </c>
      <c r="AB47" s="280" t="s">
        <v>77</v>
      </c>
      <c r="AC47" s="150" t="s">
        <v>78</v>
      </c>
      <c r="AD47" s="152" t="s">
        <v>31</v>
      </c>
      <c r="AE47" s="152" t="s">
        <v>32</v>
      </c>
      <c r="AG47" s="387" t="s">
        <v>28</v>
      </c>
      <c r="AH47" s="416" t="s">
        <v>77</v>
      </c>
      <c r="AI47" s="157" t="s">
        <v>78</v>
      </c>
      <c r="AJ47" s="152" t="s">
        <v>31</v>
      </c>
      <c r="AK47" s="152" t="s">
        <v>32</v>
      </c>
      <c r="AN47" s="155" t="s">
        <v>28</v>
      </c>
      <c r="AO47" s="156" t="s">
        <v>77</v>
      </c>
      <c r="AP47" s="157" t="s">
        <v>78</v>
      </c>
      <c r="AQ47" s="152" t="s">
        <v>31</v>
      </c>
      <c r="AR47" s="152" t="s">
        <v>32</v>
      </c>
    </row>
    <row r="48" spans="1:44" ht="35.25" customHeight="1" x14ac:dyDescent="0.2">
      <c r="A48" s="152"/>
      <c r="C48" s="163" t="s">
        <v>79</v>
      </c>
      <c r="D48" s="159">
        <f>+E35</f>
        <v>150</v>
      </c>
      <c r="E48" s="160">
        <f>+E36</f>
        <v>341.20499999999998</v>
      </c>
      <c r="F48" s="161">
        <f>IFERROR(E48/D48,0)</f>
        <v>2.2746999999999997</v>
      </c>
      <c r="G48" s="154">
        <f>+E48-D48</f>
        <v>191.20499999999998</v>
      </c>
      <c r="L48" s="163" t="s">
        <v>79</v>
      </c>
      <c r="M48" s="159">
        <f>+L35</f>
        <v>2040</v>
      </c>
      <c r="N48" s="160">
        <f>+L36</f>
        <v>2339.4070000000002</v>
      </c>
      <c r="O48" s="161">
        <f>IFERROR(N48/M48,0)</f>
        <v>1.1467681372549021</v>
      </c>
      <c r="P48" s="154">
        <f>+N48-M48</f>
        <v>299.40700000000015</v>
      </c>
      <c r="S48" s="163" t="s">
        <v>79</v>
      </c>
      <c r="T48" s="159">
        <f>+U35</f>
        <v>4590</v>
      </c>
      <c r="U48" s="160">
        <f>+U36</f>
        <v>4947.7309999999998</v>
      </c>
      <c r="V48" s="161">
        <f>IFERROR(U48/T48,0)</f>
        <v>1.0779370370370369</v>
      </c>
      <c r="W48" s="154">
        <f>+U48-T48</f>
        <v>357.73099999999977</v>
      </c>
      <c r="AA48" s="163" t="s">
        <v>79</v>
      </c>
      <c r="AB48" s="162">
        <f>+AB35</f>
        <v>6480</v>
      </c>
      <c r="AC48" s="160">
        <f>+AB36</f>
        <v>7077.4650000000001</v>
      </c>
      <c r="AD48" s="161">
        <f>IFERROR(AC48/AB48,0)</f>
        <v>1.0922013888888888</v>
      </c>
      <c r="AE48" s="154">
        <f>+AC48-AB48</f>
        <v>597.46500000000015</v>
      </c>
      <c r="AG48" s="163" t="s">
        <v>79</v>
      </c>
      <c r="AH48" s="164">
        <f>+AJ35</f>
        <v>8670</v>
      </c>
      <c r="AI48" s="165">
        <f>+AJ36</f>
        <v>9281.3040000000001</v>
      </c>
      <c r="AJ48" s="161">
        <f>IFERROR(AI48/AH48,0)</f>
        <v>1.0705079584775086</v>
      </c>
      <c r="AK48" s="154">
        <f>+AI48-AH48</f>
        <v>611.30400000000009</v>
      </c>
      <c r="AN48" s="163" t="s">
        <v>79</v>
      </c>
      <c r="AO48" s="164">
        <f>+AJ35</f>
        <v>8670</v>
      </c>
      <c r="AP48" s="165">
        <f>+AJ36</f>
        <v>9281.3040000000001</v>
      </c>
      <c r="AQ48" s="161">
        <f>IFERROR(AP48/AO48,0)</f>
        <v>1.0705079584775086</v>
      </c>
      <c r="AR48" s="154">
        <f>+AP48-AO48</f>
        <v>611.30400000000009</v>
      </c>
    </row>
    <row r="49" spans="1:44" ht="35.25" customHeight="1" x14ac:dyDescent="0.2">
      <c r="A49" s="166"/>
      <c r="C49" s="163" t="s">
        <v>80</v>
      </c>
      <c r="D49" s="167">
        <f>+E38</f>
        <v>10</v>
      </c>
      <c r="E49" s="165">
        <f>+E39</f>
        <v>2.2200000000000002</v>
      </c>
      <c r="F49" s="161">
        <f>IFERROR(E49/D49,0)</f>
        <v>0.22200000000000003</v>
      </c>
      <c r="G49" s="154">
        <f>+E49-D49</f>
        <v>-7.7799999999999994</v>
      </c>
      <c r="L49" s="163" t="s">
        <v>80</v>
      </c>
      <c r="M49" s="167">
        <f>+L38</f>
        <v>170</v>
      </c>
      <c r="N49" s="165">
        <f>+L39</f>
        <v>192.27100000000002</v>
      </c>
      <c r="O49" s="161">
        <f>IFERROR(N49/M49,0)</f>
        <v>1.1310058823529412</v>
      </c>
      <c r="P49" s="154">
        <f>+N49-M49</f>
        <v>22.271000000000015</v>
      </c>
      <c r="S49" s="163" t="s">
        <v>80</v>
      </c>
      <c r="T49" s="167">
        <f>+U38</f>
        <v>405</v>
      </c>
      <c r="U49" s="165">
        <f>+U39</f>
        <v>443.77300000000002</v>
      </c>
      <c r="V49" s="161">
        <f>IFERROR(U49/T49,0)</f>
        <v>1.0957358024691359</v>
      </c>
      <c r="W49" s="154">
        <f>+U49-T49</f>
        <v>38.773000000000025</v>
      </c>
      <c r="AA49" s="163" t="s">
        <v>80</v>
      </c>
      <c r="AB49" s="164">
        <f>+AB38</f>
        <v>590</v>
      </c>
      <c r="AC49" s="165">
        <f>+AB39</f>
        <v>607.971</v>
      </c>
      <c r="AD49" s="161">
        <f>IFERROR(AC49/AB49,0)</f>
        <v>1.0304593220338982</v>
      </c>
      <c r="AE49" s="154">
        <f>+AC49-AB49</f>
        <v>17.971000000000004</v>
      </c>
      <c r="AG49" s="163" t="s">
        <v>80</v>
      </c>
      <c r="AH49" s="164">
        <f>+AJ38</f>
        <v>770</v>
      </c>
      <c r="AI49" s="165">
        <f>+AJ39</f>
        <v>814.803</v>
      </c>
      <c r="AJ49" s="161">
        <f>IFERROR(AI49/AH49,0)</f>
        <v>1.0581857142857143</v>
      </c>
      <c r="AK49" s="154">
        <f>+AI49-AH49</f>
        <v>44.802999999999997</v>
      </c>
      <c r="AN49" s="163" t="s">
        <v>80</v>
      </c>
      <c r="AO49" s="164">
        <f>+AJ38</f>
        <v>770</v>
      </c>
      <c r="AP49" s="165">
        <f>+AJ39</f>
        <v>814.803</v>
      </c>
      <c r="AQ49" s="161">
        <f>IFERROR(AP49/AO49,0)</f>
        <v>1.0581857142857143</v>
      </c>
      <c r="AR49" s="154">
        <f>+AP49-AO49</f>
        <v>44.802999999999997</v>
      </c>
    </row>
    <row r="50" spans="1:44" ht="35.25" customHeight="1" x14ac:dyDescent="0.2">
      <c r="A50" s="166"/>
      <c r="C50" s="163" t="s">
        <v>81</v>
      </c>
      <c r="D50" s="167">
        <f>+E41</f>
        <v>60</v>
      </c>
      <c r="E50" s="165">
        <f>+E42</f>
        <v>442.60500000000002</v>
      </c>
      <c r="F50" s="161">
        <f>IFERROR(E50/D50,0)</f>
        <v>7.3767500000000004</v>
      </c>
      <c r="G50" s="154">
        <f>+E50-D50</f>
        <v>382.60500000000002</v>
      </c>
      <c r="L50" s="163" t="s">
        <v>81</v>
      </c>
      <c r="M50" s="167">
        <f>+L41</f>
        <v>1100</v>
      </c>
      <c r="N50" s="165">
        <f>+L42</f>
        <v>1776.1530000000002</v>
      </c>
      <c r="O50" s="161">
        <f>IFERROR(N50/M50,0)</f>
        <v>1.6146845454545458</v>
      </c>
      <c r="P50" s="154">
        <f>+N50-M50</f>
        <v>676.15300000000025</v>
      </c>
      <c r="S50" s="163" t="s">
        <v>81</v>
      </c>
      <c r="T50" s="167">
        <f>+U41</f>
        <v>2640</v>
      </c>
      <c r="U50" s="165">
        <f>+U42</f>
        <v>3249.4470000000001</v>
      </c>
      <c r="V50" s="161">
        <f>IFERROR(U50/T50,0)</f>
        <v>1.2308511363636363</v>
      </c>
      <c r="W50" s="154">
        <f>+U50-T50</f>
        <v>609.44700000000012</v>
      </c>
      <c r="AA50" s="163" t="s">
        <v>81</v>
      </c>
      <c r="AB50" s="154">
        <f>+AB41</f>
        <v>3720</v>
      </c>
      <c r="AC50" s="165">
        <f>+AB42</f>
        <v>4456.3119999999999</v>
      </c>
      <c r="AD50" s="161">
        <f>IFERROR(AC50/AB50,0)</f>
        <v>1.1979333333333333</v>
      </c>
      <c r="AE50" s="154">
        <f>+AC50-AB50</f>
        <v>736.3119999999999</v>
      </c>
      <c r="AG50" s="163" t="s">
        <v>81</v>
      </c>
      <c r="AH50" s="154">
        <f>+AJ41</f>
        <v>5000</v>
      </c>
      <c r="AI50" s="165">
        <f>+AJ42</f>
        <v>5752.1509999999998</v>
      </c>
      <c r="AJ50" s="161">
        <f>IFERROR(AI50/AH50,0)</f>
        <v>1.1504302</v>
      </c>
      <c r="AK50" s="154">
        <f>+AI50-AH50</f>
        <v>752.15099999999984</v>
      </c>
      <c r="AN50" s="163" t="s">
        <v>81</v>
      </c>
      <c r="AO50" s="154">
        <f>+AJ41</f>
        <v>5000</v>
      </c>
      <c r="AP50" s="165">
        <f>+AJ42</f>
        <v>5752.1509999999998</v>
      </c>
      <c r="AQ50" s="161">
        <f>IFERROR(AP50/AO50,0)</f>
        <v>1.1504302</v>
      </c>
      <c r="AR50" s="154">
        <f>+AP50-AO50</f>
        <v>752.15099999999984</v>
      </c>
    </row>
    <row r="51" spans="1:44" ht="35.25" customHeight="1" thickBot="1" x14ac:dyDescent="0.25">
      <c r="A51" s="166"/>
      <c r="C51" s="168" t="s">
        <v>82</v>
      </c>
      <c r="D51" s="169">
        <f>+E44</f>
        <v>110.25</v>
      </c>
      <c r="E51" s="170">
        <f>+E45</f>
        <v>110.25</v>
      </c>
      <c r="F51" s="161">
        <f>IFERROR(E51/D51,0)</f>
        <v>1</v>
      </c>
      <c r="G51" s="154">
        <f>+E51-D51</f>
        <v>0</v>
      </c>
      <c r="L51" s="168" t="s">
        <v>82</v>
      </c>
      <c r="M51" s="169">
        <f>+L44</f>
        <v>488.70400000000001</v>
      </c>
      <c r="N51" s="170">
        <f>+L45</f>
        <v>488.70400000000001</v>
      </c>
      <c r="O51" s="161">
        <f>IFERROR(N51/M51,0)</f>
        <v>1</v>
      </c>
      <c r="P51" s="154">
        <f>+N51-M51</f>
        <v>0</v>
      </c>
      <c r="S51" s="168" t="s">
        <v>82</v>
      </c>
      <c r="T51" s="169">
        <f>+U44</f>
        <v>992.92900000000009</v>
      </c>
      <c r="U51" s="170">
        <f>+U45</f>
        <v>863.779</v>
      </c>
      <c r="V51" s="161">
        <f>IFERROR(U51/T51,0)</f>
        <v>0.86993027698858616</v>
      </c>
      <c r="W51" s="154">
        <f>+U51-T51</f>
        <v>-129.15000000000009</v>
      </c>
      <c r="AA51" s="168" t="s">
        <v>82</v>
      </c>
      <c r="AB51" s="171">
        <f>+AB44</f>
        <v>1374.0790000000002</v>
      </c>
      <c r="AC51" s="170">
        <f>+AB45</f>
        <v>1100.029</v>
      </c>
      <c r="AD51" s="161">
        <f>IFERROR(AC51/AB51,0)</f>
        <v>0.80055731875678171</v>
      </c>
      <c r="AE51" s="154">
        <f>+AC51-AB51</f>
        <v>-274.05000000000018</v>
      </c>
      <c r="AG51" s="168" t="s">
        <v>82</v>
      </c>
      <c r="AH51" s="171">
        <f>+AJ44</f>
        <v>1815.0790000000002</v>
      </c>
      <c r="AI51" s="170">
        <f>+AJ45</f>
        <v>1531.579</v>
      </c>
      <c r="AJ51" s="161">
        <f>IFERROR(AI51/AH51,0)</f>
        <v>0.84380845131258742</v>
      </c>
      <c r="AK51" s="154">
        <f>+AI51-AH51</f>
        <v>-283.50000000000023</v>
      </c>
      <c r="AN51" s="168" t="s">
        <v>82</v>
      </c>
      <c r="AO51" s="171">
        <f>+AJ44</f>
        <v>1815.0790000000002</v>
      </c>
      <c r="AP51" s="170">
        <f>+AJ45</f>
        <v>1531.579</v>
      </c>
      <c r="AQ51" s="161">
        <f>IFERROR(AP51/AO51,0)</f>
        <v>0.84380845131258742</v>
      </c>
      <c r="AR51" s="154">
        <f>+AP51-AO51</f>
        <v>-283.50000000000023</v>
      </c>
    </row>
    <row r="52" spans="1:44" ht="35.25" customHeight="1" thickBot="1" x14ac:dyDescent="0.25">
      <c r="A52" s="166"/>
      <c r="C52" s="172" t="s">
        <v>38</v>
      </c>
      <c r="D52" s="173">
        <f>SUM(D48:D51)</f>
        <v>330.25</v>
      </c>
      <c r="E52" s="174">
        <f>SUM(E48:E51)</f>
        <v>896.28</v>
      </c>
      <c r="F52" s="175">
        <f>IFERROR(E52/D52,0)</f>
        <v>2.7139439818319455</v>
      </c>
      <c r="G52" s="176">
        <f>+E52-D52</f>
        <v>566.03</v>
      </c>
      <c r="L52" s="172" t="s">
        <v>38</v>
      </c>
      <c r="M52" s="173">
        <f>SUM(M48:M51)</f>
        <v>3798.7040000000002</v>
      </c>
      <c r="N52" s="174">
        <f>SUM(N48:N51)</f>
        <v>4796.5349999999999</v>
      </c>
      <c r="O52" s="175">
        <f>IFERROR(N52/M52,0)</f>
        <v>1.2626766918401644</v>
      </c>
      <c r="P52" s="176">
        <f>+N52-M52</f>
        <v>997.83099999999968</v>
      </c>
      <c r="S52" s="172" t="s">
        <v>38</v>
      </c>
      <c r="T52" s="173">
        <f>SUM(T48:T51)</f>
        <v>8627.9290000000001</v>
      </c>
      <c r="U52" s="174">
        <f>SUM(U48:U51)</f>
        <v>9504.7300000000014</v>
      </c>
      <c r="V52" s="175">
        <f>IFERROR(U52/T52,0)</f>
        <v>1.1016235761791737</v>
      </c>
      <c r="W52" s="176">
        <f>+U52-T52</f>
        <v>876.8010000000013</v>
      </c>
      <c r="AA52" s="172" t="s">
        <v>38</v>
      </c>
      <c r="AB52" s="173">
        <f>SUM(AB48:AB51)</f>
        <v>12164.079</v>
      </c>
      <c r="AC52" s="174">
        <f>SUM(AC48:AC51)</f>
        <v>13241.777</v>
      </c>
      <c r="AD52" s="175">
        <f>IFERROR(AC52/AB52,0)</f>
        <v>1.0885967610042651</v>
      </c>
      <c r="AE52" s="176">
        <f>+AC52-AB52</f>
        <v>1077.6980000000003</v>
      </c>
      <c r="AG52" s="172" t="s">
        <v>38</v>
      </c>
      <c r="AH52" s="173">
        <f>SUM(AH48:AH51)</f>
        <v>16255.079</v>
      </c>
      <c r="AI52" s="174">
        <f>SUM(AI48:AI51)</f>
        <v>17379.837</v>
      </c>
      <c r="AJ52" s="175">
        <f>IFERROR(AI52/AH52,0)</f>
        <v>1.0691942499941096</v>
      </c>
      <c r="AK52" s="176">
        <f>+AI52-AH52</f>
        <v>1124.7579999999998</v>
      </c>
      <c r="AN52" s="172" t="s">
        <v>38</v>
      </c>
      <c r="AO52" s="173">
        <f>SUM(AO48:AO51)</f>
        <v>16255.079</v>
      </c>
      <c r="AP52" s="174">
        <f>SUM(AP48:AP51)</f>
        <v>17379.837</v>
      </c>
      <c r="AQ52" s="175">
        <f>IFERROR(AP52/AO52,0)</f>
        <v>1.0691942499941096</v>
      </c>
      <c r="AR52" s="176">
        <f>+AP52-AO52</f>
        <v>1124.7579999999998</v>
      </c>
    </row>
    <row r="53" spans="1:44" ht="18" customHeight="1" x14ac:dyDescent="0.2">
      <c r="A53" s="16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78"/>
      <c r="M53" s="108"/>
      <c r="N53" s="108"/>
      <c r="O53" s="108"/>
      <c r="P53" s="178"/>
      <c r="Q53" s="178"/>
      <c r="R53" s="178"/>
      <c r="S53" s="108"/>
      <c r="T53" s="108"/>
      <c r="U53" s="178"/>
      <c r="V53" s="178"/>
      <c r="W53" s="178"/>
      <c r="X53" s="178"/>
      <c r="Y53" s="108"/>
      <c r="Z53" s="108"/>
      <c r="AA53" s="108"/>
      <c r="AB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</row>
    <row r="54" spans="1:44" ht="12" customHeight="1" x14ac:dyDescent="0.2">
      <c r="A54" s="179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78"/>
      <c r="M54" s="108"/>
      <c r="N54" s="108"/>
      <c r="O54" s="108"/>
      <c r="P54" s="178"/>
      <c r="Q54" s="178"/>
      <c r="R54" s="178"/>
      <c r="S54" s="154"/>
      <c r="T54" s="154"/>
      <c r="U54" s="178"/>
      <c r="V54" s="178"/>
      <c r="W54" s="178"/>
      <c r="X54" s="178"/>
      <c r="Y54" s="108"/>
      <c r="Z54" s="108"/>
      <c r="AA54" s="108"/>
      <c r="AB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</row>
    <row r="55" spans="1:44" ht="12" customHeight="1" x14ac:dyDescent="0.2">
      <c r="A55" s="179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78"/>
      <c r="M55" s="108"/>
      <c r="N55" s="108"/>
      <c r="O55" s="108"/>
      <c r="P55" s="178"/>
      <c r="Q55" s="178"/>
      <c r="R55" s="178"/>
      <c r="S55" s="108"/>
      <c r="T55" s="108"/>
      <c r="U55" s="178"/>
      <c r="V55" s="178"/>
      <c r="W55" s="178"/>
      <c r="X55" s="178"/>
      <c r="Y55" s="108"/>
      <c r="Z55" s="108"/>
      <c r="AA55" s="108"/>
      <c r="AB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</row>
    <row r="56" spans="1:44" ht="12" customHeight="1" x14ac:dyDescent="0.2">
      <c r="A56" s="179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78"/>
      <c r="M56" s="108"/>
      <c r="N56" s="108"/>
      <c r="O56" s="108"/>
      <c r="P56" s="178"/>
      <c r="Q56" s="178"/>
      <c r="R56" s="178"/>
      <c r="S56" s="154"/>
      <c r="T56" s="154"/>
      <c r="U56" s="178"/>
      <c r="V56" s="178"/>
      <c r="W56" s="178"/>
      <c r="X56" s="178"/>
      <c r="Y56" s="108"/>
      <c r="Z56" s="108"/>
      <c r="AA56" s="108"/>
      <c r="AB56" s="108"/>
      <c r="AD56" s="108"/>
      <c r="AE56" s="108"/>
      <c r="AF56" s="108"/>
      <c r="AG56" s="108"/>
      <c r="AH56" s="108"/>
      <c r="AI56" s="154"/>
      <c r="AJ56" s="154"/>
      <c r="AK56" s="154"/>
      <c r="AL56" s="154"/>
      <c r="AM56" s="154"/>
      <c r="AN56" s="154"/>
    </row>
    <row r="57" spans="1:44" ht="12" customHeight="1" x14ac:dyDescent="0.2">
      <c r="A57" s="179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78"/>
      <c r="M57" s="108"/>
      <c r="N57" s="108"/>
      <c r="O57" s="108"/>
      <c r="P57" s="178"/>
      <c r="Q57" s="178"/>
      <c r="R57" s="178"/>
      <c r="S57" s="108"/>
      <c r="T57" s="108"/>
      <c r="U57" s="178"/>
      <c r="V57" s="178"/>
      <c r="W57" s="178"/>
      <c r="X57" s="178"/>
      <c r="Y57" s="108"/>
      <c r="Z57" s="108"/>
      <c r="AA57" s="108"/>
      <c r="AB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</row>
    <row r="58" spans="1:44" ht="12" customHeight="1" x14ac:dyDescent="0.2">
      <c r="A58" s="179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78"/>
      <c r="M58" s="108"/>
      <c r="N58" s="108"/>
      <c r="O58" s="108"/>
      <c r="P58" s="178"/>
      <c r="Q58" s="178"/>
      <c r="R58" s="178"/>
      <c r="S58" s="154"/>
      <c r="T58" s="154"/>
      <c r="U58" s="178"/>
      <c r="V58" s="178"/>
      <c r="W58" s="178"/>
      <c r="X58" s="178"/>
      <c r="Y58" s="108"/>
      <c r="Z58" s="108"/>
      <c r="AA58" s="108"/>
      <c r="AB58" s="108"/>
      <c r="AD58" s="108"/>
      <c r="AE58" s="108"/>
      <c r="AF58" s="108"/>
      <c r="AG58" s="108"/>
      <c r="AH58" s="108"/>
      <c r="AI58" s="154"/>
      <c r="AJ58" s="154"/>
      <c r="AK58" s="154"/>
      <c r="AL58" s="154"/>
      <c r="AM58" s="154"/>
      <c r="AN58" s="154"/>
    </row>
    <row r="59" spans="1:44" ht="12" customHeight="1" x14ac:dyDescent="0.2">
      <c r="A59" s="179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78"/>
      <c r="M59" s="108"/>
      <c r="N59" s="108"/>
      <c r="O59" s="108"/>
      <c r="P59" s="178"/>
      <c r="Q59" s="178"/>
      <c r="R59" s="178"/>
      <c r="S59" s="108"/>
      <c r="T59" s="108"/>
      <c r="U59" s="178"/>
      <c r="V59" s="178"/>
      <c r="W59" s="178"/>
      <c r="X59" s="178"/>
      <c r="Y59" s="108"/>
      <c r="Z59" s="108"/>
      <c r="AA59" s="108"/>
      <c r="AB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</row>
    <row r="60" spans="1:44" ht="12" customHeight="1" x14ac:dyDescent="0.2">
      <c r="A60" s="17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78"/>
      <c r="M60" s="108"/>
      <c r="N60" s="108"/>
      <c r="O60" s="108"/>
      <c r="P60" s="178"/>
      <c r="Q60" s="178"/>
      <c r="R60" s="178"/>
      <c r="S60" s="154"/>
      <c r="T60" s="154"/>
      <c r="U60" s="178"/>
      <c r="V60" s="178"/>
      <c r="W60" s="178"/>
      <c r="X60" s="17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</row>
    <row r="61" spans="1:44" ht="12" customHeight="1" x14ac:dyDescent="0.2">
      <c r="A61" s="179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78"/>
      <c r="M61" s="108"/>
      <c r="N61" s="108"/>
      <c r="O61" s="108"/>
      <c r="P61" s="178"/>
      <c r="Q61" s="178"/>
      <c r="R61" s="178"/>
      <c r="S61" s="178"/>
      <c r="T61" s="178"/>
      <c r="U61" s="178"/>
      <c r="V61" s="178"/>
      <c r="W61" s="178"/>
      <c r="X61" s="17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</row>
    <row r="62" spans="1:44" ht="12" customHeight="1" x14ac:dyDescent="0.2">
      <c r="A62" s="17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78"/>
      <c r="M62" s="108"/>
      <c r="N62" s="108"/>
      <c r="O62" s="108"/>
      <c r="P62" s="178"/>
      <c r="Q62" s="178"/>
      <c r="R62" s="178"/>
      <c r="S62" s="178"/>
      <c r="T62" s="178"/>
      <c r="U62" s="178"/>
      <c r="V62" s="178"/>
      <c r="W62" s="178"/>
      <c r="X62" s="17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</row>
    <row r="63" spans="1:44" ht="12" customHeight="1" x14ac:dyDescent="0.2">
      <c r="A63" s="179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78"/>
      <c r="M63" s="108"/>
      <c r="N63" s="108"/>
      <c r="O63" s="108"/>
      <c r="P63" s="178"/>
      <c r="Q63" s="178"/>
      <c r="R63" s="178"/>
      <c r="S63" s="107"/>
      <c r="T63" s="107"/>
      <c r="U63" s="178"/>
      <c r="V63" s="178"/>
      <c r="W63" s="178"/>
      <c r="X63" s="17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</row>
    <row r="64" spans="1:44" ht="12" customHeight="1" x14ac:dyDescent="0.2">
      <c r="A64" s="17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</row>
    <row r="65" spans="1:40" ht="12" customHeight="1" x14ac:dyDescent="0.2">
      <c r="A65" s="17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</row>
    <row r="66" spans="1:40" ht="12" customHeight="1" x14ac:dyDescent="0.2">
      <c r="A66" s="17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</row>
    <row r="67" spans="1:40" ht="12" customHeight="1" x14ac:dyDescent="0.2">
      <c r="A67" s="17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</row>
    <row r="68" spans="1:40" ht="12" customHeight="1" x14ac:dyDescent="0.2">
      <c r="A68" s="179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</row>
    <row r="69" spans="1:40" ht="12" customHeight="1" x14ac:dyDescent="0.2">
      <c r="A69" s="179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</row>
    <row r="70" spans="1:40" ht="12" customHeight="1" x14ac:dyDescent="0.2">
      <c r="A70" s="179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</row>
    <row r="71" spans="1:40" ht="12" customHeight="1" x14ac:dyDescent="0.2">
      <c r="A71" s="17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</row>
    <row r="72" spans="1:40" ht="12" customHeight="1" x14ac:dyDescent="0.2">
      <c r="A72" s="17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</row>
    <row r="73" spans="1:40" ht="12" customHeight="1" x14ac:dyDescent="0.2">
      <c r="A73" s="17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</row>
    <row r="74" spans="1:40" ht="12" customHeight="1" x14ac:dyDescent="0.2">
      <c r="A74" s="17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</row>
    <row r="75" spans="1:40" ht="12" customHeight="1" x14ac:dyDescent="0.2">
      <c r="A75" s="17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</row>
    <row r="76" spans="1:40" ht="12" customHeight="1" x14ac:dyDescent="0.2">
      <c r="A76" s="179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</row>
    <row r="77" spans="1:40" ht="12" customHeight="1" x14ac:dyDescent="0.2">
      <c r="A77" s="179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</row>
    <row r="78" spans="1:40" ht="12" customHeight="1" x14ac:dyDescent="0.2">
      <c r="A78" s="179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</row>
    <row r="79" spans="1:40" ht="12" customHeight="1" x14ac:dyDescent="0.2">
      <c r="A79" s="17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</row>
    <row r="80" spans="1:40" ht="12" customHeight="1" x14ac:dyDescent="0.2">
      <c r="A80" s="17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</row>
    <row r="81" spans="1:40" ht="12" customHeight="1" x14ac:dyDescent="0.2">
      <c r="A81" s="17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</row>
    <row r="82" spans="1:40" ht="12" customHeight="1" x14ac:dyDescent="0.2">
      <c r="A82" s="179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</row>
    <row r="83" spans="1:40" ht="12" customHeight="1" x14ac:dyDescent="0.2">
      <c r="A83" s="179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</row>
    <row r="84" spans="1:40" ht="12" customHeight="1" x14ac:dyDescent="0.2">
      <c r="A84" s="179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</row>
    <row r="85" spans="1:40" ht="12" customHeight="1" x14ac:dyDescent="0.2">
      <c r="A85" s="179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</row>
    <row r="86" spans="1:40" ht="12" customHeight="1" x14ac:dyDescent="0.2">
      <c r="A86" s="179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</row>
    <row r="87" spans="1:40" ht="12" customHeight="1" x14ac:dyDescent="0.2">
      <c r="A87" s="179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</row>
    <row r="88" spans="1:40" ht="12" customHeight="1" x14ac:dyDescent="0.2">
      <c r="A88" s="179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</row>
    <row r="89" spans="1:40" ht="12" customHeight="1" x14ac:dyDescent="0.2">
      <c r="A89" s="179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</row>
    <row r="90" spans="1:40" ht="12" customHeight="1" x14ac:dyDescent="0.2">
      <c r="A90" s="179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</row>
    <row r="91" spans="1:40" ht="12" customHeight="1" x14ac:dyDescent="0.2">
      <c r="A91" s="179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</row>
    <row r="92" spans="1:40" ht="12" customHeight="1" x14ac:dyDescent="0.2">
      <c r="A92" s="179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</row>
    <row r="93" spans="1:40" ht="12" customHeight="1" x14ac:dyDescent="0.2">
      <c r="A93" s="179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</row>
    <row r="94" spans="1:40" ht="12" customHeight="1" x14ac:dyDescent="0.2">
      <c r="A94" s="179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</row>
    <row r="95" spans="1:40" ht="12" customHeight="1" x14ac:dyDescent="0.2">
      <c r="A95" s="179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</row>
    <row r="96" spans="1:40" ht="12" customHeight="1" x14ac:dyDescent="0.2">
      <c r="A96" s="179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</row>
    <row r="97" spans="1:40" ht="12" customHeight="1" x14ac:dyDescent="0.2">
      <c r="A97" s="179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</row>
    <row r="98" spans="1:40" ht="12" customHeight="1" x14ac:dyDescent="0.2">
      <c r="A98" s="179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</row>
    <row r="99" spans="1:40" ht="12" customHeight="1" x14ac:dyDescent="0.2">
      <c r="A99" s="179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</row>
    <row r="100" spans="1:40" ht="12" customHeight="1" x14ac:dyDescent="0.2">
      <c r="A100" s="179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</row>
    <row r="101" spans="1:40" ht="12" customHeight="1" x14ac:dyDescent="0.2">
      <c r="A101" s="179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</row>
    <row r="102" spans="1:40" ht="12" customHeight="1" x14ac:dyDescent="0.2">
      <c r="A102" s="179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</row>
    <row r="103" spans="1:40" ht="12" customHeight="1" x14ac:dyDescent="0.2">
      <c r="A103" s="179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</row>
    <row r="104" spans="1:40" ht="12" customHeight="1" x14ac:dyDescent="0.2">
      <c r="A104" s="179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</row>
    <row r="105" spans="1:40" ht="12" customHeight="1" x14ac:dyDescent="0.2">
      <c r="A105" s="179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</row>
    <row r="106" spans="1:40" ht="12" customHeight="1" x14ac:dyDescent="0.2">
      <c r="A106" s="179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</row>
    <row r="107" spans="1:40" ht="12" customHeight="1" x14ac:dyDescent="0.2">
      <c r="A107" s="179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</row>
    <row r="108" spans="1:40" ht="12" customHeight="1" x14ac:dyDescent="0.2">
      <c r="A108" s="179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</row>
    <row r="109" spans="1:40" ht="12" customHeight="1" x14ac:dyDescent="0.2">
      <c r="A109" s="179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</row>
    <row r="110" spans="1:40" ht="12" customHeight="1" x14ac:dyDescent="0.2">
      <c r="A110" s="179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</row>
    <row r="111" spans="1:40" ht="12" customHeight="1" x14ac:dyDescent="0.2">
      <c r="A111" s="179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</row>
    <row r="112" spans="1:40" ht="12" customHeight="1" x14ac:dyDescent="0.2">
      <c r="A112" s="179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</row>
    <row r="113" spans="1:40" ht="12" customHeight="1" x14ac:dyDescent="0.2">
      <c r="A113" s="179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</row>
    <row r="114" spans="1:40" ht="12" customHeight="1" x14ac:dyDescent="0.2">
      <c r="A114" s="179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</row>
    <row r="115" spans="1:40" ht="12" customHeight="1" x14ac:dyDescent="0.2">
      <c r="A115" s="179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</row>
    <row r="116" spans="1:40" ht="12" customHeight="1" x14ac:dyDescent="0.2">
      <c r="A116" s="179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</row>
    <row r="117" spans="1:40" ht="12" customHeight="1" x14ac:dyDescent="0.2">
      <c r="A117" s="179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</row>
    <row r="118" spans="1:40" ht="12" customHeight="1" x14ac:dyDescent="0.2">
      <c r="A118" s="179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</row>
    <row r="119" spans="1:40" ht="12" customHeight="1" x14ac:dyDescent="0.2">
      <c r="A119" s="179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</row>
    <row r="120" spans="1:40" ht="12" customHeight="1" x14ac:dyDescent="0.2">
      <c r="A120" s="179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</row>
    <row r="121" spans="1:40" ht="12" customHeight="1" x14ac:dyDescent="0.2">
      <c r="A121" s="179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</row>
    <row r="122" spans="1:40" ht="12" customHeight="1" x14ac:dyDescent="0.2">
      <c r="A122" s="179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</row>
    <row r="123" spans="1:40" ht="12" customHeight="1" x14ac:dyDescent="0.2">
      <c r="A123" s="179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</row>
    <row r="124" spans="1:40" ht="12" customHeight="1" x14ac:dyDescent="0.2">
      <c r="A124" s="179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</row>
    <row r="125" spans="1:40" ht="12" customHeight="1" x14ac:dyDescent="0.2">
      <c r="A125" s="179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</row>
    <row r="126" spans="1:40" ht="12" customHeight="1" x14ac:dyDescent="0.2">
      <c r="A126" s="179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</row>
    <row r="127" spans="1:40" ht="12" customHeight="1" x14ac:dyDescent="0.2">
      <c r="A127" s="179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</row>
    <row r="128" spans="1:40" ht="12" customHeight="1" x14ac:dyDescent="0.2">
      <c r="A128" s="179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</row>
    <row r="129" spans="1:40" ht="12" customHeight="1" x14ac:dyDescent="0.2">
      <c r="A129" s="179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</row>
    <row r="130" spans="1:40" ht="12" customHeight="1" x14ac:dyDescent="0.2">
      <c r="A130" s="179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</row>
    <row r="131" spans="1:40" ht="12" customHeight="1" x14ac:dyDescent="0.2">
      <c r="A131" s="179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</row>
    <row r="132" spans="1:40" ht="12" customHeight="1" x14ac:dyDescent="0.2">
      <c r="A132" s="179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</row>
    <row r="133" spans="1:40" ht="12" customHeight="1" x14ac:dyDescent="0.2">
      <c r="A133" s="179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</row>
    <row r="134" spans="1:40" ht="12" customHeight="1" x14ac:dyDescent="0.2">
      <c r="A134" s="179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</row>
    <row r="135" spans="1:40" ht="12" customHeight="1" x14ac:dyDescent="0.2">
      <c r="A135" s="179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</row>
    <row r="136" spans="1:40" ht="12" customHeight="1" x14ac:dyDescent="0.2">
      <c r="A136" s="179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</row>
    <row r="137" spans="1:40" ht="12" customHeight="1" x14ac:dyDescent="0.2">
      <c r="A137" s="179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</row>
    <row r="138" spans="1:40" ht="12" customHeight="1" x14ac:dyDescent="0.2">
      <c r="A138" s="179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</row>
    <row r="139" spans="1:40" ht="12" customHeight="1" x14ac:dyDescent="0.2">
      <c r="A139" s="179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</row>
    <row r="140" spans="1:40" ht="12" customHeight="1" x14ac:dyDescent="0.2">
      <c r="A140" s="179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</row>
    <row r="141" spans="1:40" ht="12" customHeight="1" x14ac:dyDescent="0.2">
      <c r="A141" s="179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</row>
    <row r="142" spans="1:40" ht="12" customHeight="1" x14ac:dyDescent="0.2">
      <c r="A142" s="179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</row>
    <row r="143" spans="1:40" ht="12" customHeight="1" x14ac:dyDescent="0.2">
      <c r="A143" s="179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</row>
    <row r="144" spans="1:40" ht="12" customHeight="1" x14ac:dyDescent="0.2">
      <c r="A144" s="179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</row>
    <row r="145" spans="1:40" ht="12" customHeight="1" x14ac:dyDescent="0.2">
      <c r="A145" s="179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</row>
    <row r="146" spans="1:40" ht="12" customHeight="1" x14ac:dyDescent="0.2">
      <c r="A146" s="179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</row>
    <row r="147" spans="1:40" ht="12" customHeight="1" x14ac:dyDescent="0.2">
      <c r="A147" s="179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</row>
    <row r="148" spans="1:40" ht="12" customHeight="1" x14ac:dyDescent="0.2">
      <c r="A148" s="179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</row>
    <row r="149" spans="1:40" ht="12" customHeight="1" x14ac:dyDescent="0.2">
      <c r="A149" s="179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</row>
    <row r="150" spans="1:40" ht="12" customHeight="1" x14ac:dyDescent="0.2">
      <c r="A150" s="179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</row>
    <row r="151" spans="1:40" ht="12" customHeight="1" x14ac:dyDescent="0.2">
      <c r="A151" s="179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</row>
    <row r="152" spans="1:40" ht="12" customHeight="1" x14ac:dyDescent="0.2">
      <c r="A152" s="179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</row>
    <row r="153" spans="1:40" ht="12" customHeight="1" x14ac:dyDescent="0.2">
      <c r="A153" s="179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</row>
    <row r="154" spans="1:40" ht="12" customHeight="1" x14ac:dyDescent="0.2">
      <c r="A154" s="179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</row>
    <row r="155" spans="1:40" ht="12" customHeight="1" x14ac:dyDescent="0.2">
      <c r="A155" s="179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</row>
    <row r="156" spans="1:40" ht="12" customHeight="1" x14ac:dyDescent="0.2">
      <c r="A156" s="179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</row>
    <row r="157" spans="1:40" ht="12" customHeight="1" x14ac:dyDescent="0.2">
      <c r="A157" s="179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</row>
    <row r="158" spans="1:40" ht="12" customHeight="1" x14ac:dyDescent="0.2">
      <c r="A158" s="179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</row>
    <row r="159" spans="1:40" ht="12" customHeight="1" x14ac:dyDescent="0.2">
      <c r="A159" s="179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</row>
    <row r="160" spans="1:40" ht="12" customHeight="1" x14ac:dyDescent="0.2">
      <c r="A160" s="179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</row>
    <row r="161" spans="1:40" ht="12" customHeight="1" x14ac:dyDescent="0.2">
      <c r="A161" s="179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</row>
    <row r="162" spans="1:40" ht="12" customHeight="1" x14ac:dyDescent="0.2">
      <c r="A162" s="179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</row>
    <row r="163" spans="1:40" ht="12" customHeight="1" x14ac:dyDescent="0.2">
      <c r="A163" s="179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</row>
    <row r="164" spans="1:40" ht="12" customHeight="1" x14ac:dyDescent="0.2">
      <c r="A164" s="179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</row>
    <row r="165" spans="1:40" ht="12" customHeight="1" x14ac:dyDescent="0.2">
      <c r="A165" s="179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</row>
    <row r="166" spans="1:40" ht="12" customHeight="1" x14ac:dyDescent="0.2">
      <c r="A166" s="179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</row>
    <row r="167" spans="1:40" ht="12" customHeight="1" x14ac:dyDescent="0.2">
      <c r="A167" s="179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</row>
    <row r="168" spans="1:40" ht="12" customHeight="1" x14ac:dyDescent="0.2">
      <c r="A168" s="179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</row>
    <row r="169" spans="1:40" ht="12" customHeight="1" x14ac:dyDescent="0.2">
      <c r="A169" s="179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</row>
    <row r="170" spans="1:40" ht="12" customHeight="1" x14ac:dyDescent="0.2">
      <c r="A170" s="179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</row>
    <row r="171" spans="1:40" ht="12" customHeight="1" x14ac:dyDescent="0.2">
      <c r="A171" s="179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</row>
    <row r="172" spans="1:40" ht="12" customHeight="1" x14ac:dyDescent="0.2">
      <c r="A172" s="179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</row>
    <row r="173" spans="1:40" ht="12" customHeight="1" x14ac:dyDescent="0.2">
      <c r="A173" s="179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</row>
    <row r="174" spans="1:40" ht="12" customHeight="1" x14ac:dyDescent="0.2">
      <c r="A174" s="179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</row>
    <row r="175" spans="1:40" ht="12" customHeight="1" x14ac:dyDescent="0.2">
      <c r="A175" s="179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</row>
    <row r="176" spans="1:40" ht="12" customHeight="1" x14ac:dyDescent="0.2">
      <c r="A176" s="179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</row>
    <row r="177" spans="1:40" ht="12" customHeight="1" x14ac:dyDescent="0.2">
      <c r="A177" s="179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</row>
    <row r="178" spans="1:40" ht="12" customHeight="1" x14ac:dyDescent="0.2">
      <c r="A178" s="179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</row>
    <row r="179" spans="1:40" ht="12" customHeight="1" x14ac:dyDescent="0.2">
      <c r="A179" s="179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</row>
    <row r="180" spans="1:40" ht="12" customHeight="1" x14ac:dyDescent="0.2">
      <c r="A180" s="179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</row>
    <row r="181" spans="1:40" ht="12" customHeight="1" x14ac:dyDescent="0.2">
      <c r="A181" s="179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</row>
    <row r="182" spans="1:40" ht="12" customHeight="1" x14ac:dyDescent="0.2">
      <c r="A182" s="179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</row>
    <row r="183" spans="1:40" ht="12" customHeight="1" x14ac:dyDescent="0.2">
      <c r="A183" s="179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</row>
    <row r="184" spans="1:40" ht="12" customHeight="1" x14ac:dyDescent="0.2">
      <c r="A184" s="179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</row>
    <row r="185" spans="1:40" ht="12" customHeight="1" x14ac:dyDescent="0.2">
      <c r="A185" s="179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</row>
    <row r="186" spans="1:40" ht="12" customHeight="1" x14ac:dyDescent="0.2">
      <c r="A186" s="179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</row>
    <row r="187" spans="1:40" ht="12" customHeight="1" x14ac:dyDescent="0.2">
      <c r="A187" s="179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</row>
    <row r="188" spans="1:40" ht="12" customHeight="1" x14ac:dyDescent="0.2">
      <c r="A188" s="179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</row>
    <row r="189" spans="1:40" ht="12" customHeight="1" x14ac:dyDescent="0.2">
      <c r="A189" s="179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</row>
    <row r="190" spans="1:40" ht="12" customHeight="1" x14ac:dyDescent="0.2">
      <c r="A190" s="179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</row>
    <row r="191" spans="1:40" ht="12" customHeight="1" x14ac:dyDescent="0.2">
      <c r="A191" s="179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</row>
    <row r="192" spans="1:40" ht="12" customHeight="1" x14ac:dyDescent="0.2">
      <c r="A192" s="179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</row>
    <row r="193" spans="1:40" ht="12" customHeight="1" x14ac:dyDescent="0.2">
      <c r="A193" s="179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</row>
    <row r="194" spans="1:40" ht="12" customHeight="1" x14ac:dyDescent="0.2">
      <c r="A194" s="179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</row>
    <row r="195" spans="1:40" ht="12" customHeight="1" x14ac:dyDescent="0.2">
      <c r="A195" s="179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</row>
    <row r="196" spans="1:40" ht="12" customHeight="1" x14ac:dyDescent="0.2">
      <c r="A196" s="179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</row>
    <row r="197" spans="1:40" ht="12" customHeight="1" x14ac:dyDescent="0.2">
      <c r="A197" s="179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</row>
    <row r="198" spans="1:40" ht="12" customHeight="1" x14ac:dyDescent="0.2">
      <c r="A198" s="179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</row>
    <row r="199" spans="1:40" ht="12" customHeight="1" x14ac:dyDescent="0.2">
      <c r="A199" s="179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</row>
    <row r="200" spans="1:40" ht="12" customHeight="1" x14ac:dyDescent="0.2">
      <c r="A200" s="179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</row>
    <row r="201" spans="1:40" ht="12" customHeight="1" x14ac:dyDescent="0.2">
      <c r="A201" s="179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</row>
    <row r="202" spans="1:40" ht="12" customHeight="1" x14ac:dyDescent="0.2">
      <c r="A202" s="179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</row>
    <row r="203" spans="1:40" ht="12" customHeight="1" x14ac:dyDescent="0.2">
      <c r="A203" s="179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</row>
    <row r="204" spans="1:40" ht="12" customHeight="1" x14ac:dyDescent="0.2">
      <c r="A204" s="179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</row>
    <row r="205" spans="1:40" ht="12" customHeight="1" x14ac:dyDescent="0.2">
      <c r="A205" s="179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</row>
    <row r="206" spans="1:40" ht="12" customHeight="1" x14ac:dyDescent="0.2">
      <c r="A206" s="179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</row>
    <row r="207" spans="1:40" ht="12" customHeight="1" x14ac:dyDescent="0.2">
      <c r="A207" s="179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</row>
    <row r="208" spans="1:40" ht="12" customHeight="1" x14ac:dyDescent="0.2">
      <c r="A208" s="179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</row>
    <row r="209" spans="1:40" ht="12" customHeight="1" x14ac:dyDescent="0.2">
      <c r="A209" s="179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</row>
    <row r="210" spans="1:40" ht="12" customHeight="1" x14ac:dyDescent="0.2">
      <c r="A210" s="179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</row>
    <row r="211" spans="1:40" ht="12" customHeight="1" x14ac:dyDescent="0.2">
      <c r="A211" s="179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</row>
    <row r="212" spans="1:40" ht="12" customHeight="1" x14ac:dyDescent="0.2">
      <c r="A212" s="179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</row>
    <row r="213" spans="1:40" ht="12" customHeight="1" x14ac:dyDescent="0.2">
      <c r="A213" s="179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</row>
    <row r="214" spans="1:40" ht="12" customHeight="1" x14ac:dyDescent="0.2">
      <c r="A214" s="179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</row>
    <row r="215" spans="1:40" ht="12" customHeight="1" x14ac:dyDescent="0.2">
      <c r="A215" s="179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</row>
    <row r="216" spans="1:40" ht="12" customHeight="1" x14ac:dyDescent="0.2">
      <c r="A216" s="179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</row>
    <row r="217" spans="1:40" ht="12" customHeight="1" x14ac:dyDescent="0.2">
      <c r="A217" s="179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</row>
    <row r="218" spans="1:40" ht="12" customHeight="1" x14ac:dyDescent="0.2">
      <c r="A218" s="179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</row>
    <row r="219" spans="1:40" ht="12" customHeight="1" x14ac:dyDescent="0.2">
      <c r="A219" s="179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</row>
    <row r="220" spans="1:40" ht="12" customHeight="1" x14ac:dyDescent="0.2">
      <c r="A220" s="179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</row>
    <row r="221" spans="1:40" ht="12" customHeight="1" x14ac:dyDescent="0.2">
      <c r="A221" s="179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</row>
    <row r="222" spans="1:40" ht="12" customHeight="1" x14ac:dyDescent="0.2">
      <c r="A222" s="179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</row>
    <row r="223" spans="1:40" ht="12" customHeight="1" x14ac:dyDescent="0.2">
      <c r="A223" s="179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</row>
    <row r="224" spans="1:40" ht="12" customHeight="1" x14ac:dyDescent="0.2">
      <c r="A224" s="179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</row>
    <row r="225" spans="1:40" ht="12" customHeight="1" x14ac:dyDescent="0.2">
      <c r="A225" s="179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</row>
    <row r="226" spans="1:40" ht="12" customHeight="1" x14ac:dyDescent="0.2">
      <c r="A226" s="179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</row>
    <row r="227" spans="1:40" ht="12" customHeight="1" x14ac:dyDescent="0.2">
      <c r="A227" s="179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</row>
    <row r="228" spans="1:40" ht="12" customHeight="1" x14ac:dyDescent="0.2">
      <c r="A228" s="179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</row>
    <row r="229" spans="1:40" ht="12" customHeight="1" x14ac:dyDescent="0.2">
      <c r="A229" s="179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</row>
    <row r="230" spans="1:40" ht="12" customHeight="1" x14ac:dyDescent="0.2">
      <c r="A230" s="179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</row>
    <row r="231" spans="1:40" ht="12" customHeight="1" x14ac:dyDescent="0.2">
      <c r="A231" s="179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</row>
    <row r="232" spans="1:40" ht="12" customHeight="1" x14ac:dyDescent="0.2">
      <c r="A232" s="179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</row>
    <row r="233" spans="1:40" ht="12" customHeight="1" x14ac:dyDescent="0.2">
      <c r="A233" s="179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</row>
    <row r="234" spans="1:40" ht="12" customHeight="1" x14ac:dyDescent="0.2">
      <c r="A234" s="179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</row>
    <row r="235" spans="1:40" ht="12" customHeight="1" x14ac:dyDescent="0.2">
      <c r="A235" s="179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</row>
    <row r="236" spans="1:40" ht="12" customHeight="1" x14ac:dyDescent="0.2">
      <c r="A236" s="179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</row>
    <row r="237" spans="1:40" ht="12" customHeight="1" x14ac:dyDescent="0.2">
      <c r="A237" s="179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</row>
    <row r="238" spans="1:40" ht="12" customHeight="1" x14ac:dyDescent="0.2">
      <c r="A238" s="179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</row>
    <row r="239" spans="1:40" ht="12" customHeight="1" x14ac:dyDescent="0.2">
      <c r="A239" s="179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</row>
    <row r="240" spans="1:40" ht="12" customHeight="1" x14ac:dyDescent="0.2">
      <c r="A240" s="179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</row>
    <row r="241" spans="1:40" ht="12" customHeight="1" x14ac:dyDescent="0.2">
      <c r="A241" s="179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</row>
    <row r="242" spans="1:40" ht="12" customHeight="1" x14ac:dyDescent="0.2">
      <c r="A242" s="179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</row>
    <row r="243" spans="1:40" ht="12" customHeight="1" x14ac:dyDescent="0.2">
      <c r="A243" s="179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</row>
    <row r="244" spans="1:40" ht="12" customHeight="1" x14ac:dyDescent="0.2">
      <c r="A244" s="179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</row>
    <row r="245" spans="1:40" ht="12" customHeight="1" x14ac:dyDescent="0.2">
      <c r="A245" s="179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</row>
    <row r="246" spans="1:40" ht="12" customHeight="1" x14ac:dyDescent="0.2">
      <c r="A246" s="179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</row>
    <row r="247" spans="1:40" ht="12" customHeight="1" x14ac:dyDescent="0.2">
      <c r="A247" s="179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</row>
    <row r="248" spans="1:40" ht="12" customHeight="1" x14ac:dyDescent="0.2">
      <c r="A248" s="179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</row>
    <row r="249" spans="1:40" ht="12" customHeight="1" x14ac:dyDescent="0.2">
      <c r="A249" s="179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</row>
    <row r="250" spans="1:40" ht="12" customHeight="1" x14ac:dyDescent="0.2">
      <c r="A250" s="179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</row>
    <row r="251" spans="1:40" ht="12" customHeight="1" x14ac:dyDescent="0.2">
      <c r="A251" s="179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</row>
    <row r="252" spans="1:40" ht="12" customHeight="1" x14ac:dyDescent="0.2">
      <c r="A252" s="179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</row>
    <row r="253" spans="1:40" ht="12" customHeight="1" x14ac:dyDescent="0.2">
      <c r="A253" s="179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</row>
    <row r="254" spans="1:40" ht="12" customHeight="1" x14ac:dyDescent="0.2">
      <c r="A254" s="179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</row>
    <row r="255" spans="1:40" ht="12" customHeight="1" x14ac:dyDescent="0.2">
      <c r="A255" s="179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</row>
    <row r="256" spans="1:40" ht="12" customHeight="1" x14ac:dyDescent="0.2">
      <c r="A256" s="179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</row>
    <row r="257" spans="1:40" ht="12" customHeight="1" x14ac:dyDescent="0.2">
      <c r="A257" s="179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</row>
    <row r="258" spans="1:40" ht="12" customHeight="1" x14ac:dyDescent="0.2">
      <c r="A258" s="179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</row>
    <row r="259" spans="1:40" ht="12" customHeight="1" x14ac:dyDescent="0.2">
      <c r="A259" s="179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</row>
    <row r="260" spans="1:40" ht="12" customHeight="1" x14ac:dyDescent="0.2">
      <c r="A260" s="179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</row>
    <row r="261" spans="1:40" ht="12" customHeight="1" x14ac:dyDescent="0.2">
      <c r="A261" s="179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</row>
    <row r="262" spans="1:40" ht="12" customHeight="1" x14ac:dyDescent="0.2">
      <c r="A262" s="179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</row>
    <row r="263" spans="1:40" ht="12" customHeight="1" x14ac:dyDescent="0.2">
      <c r="A263" s="179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</row>
    <row r="264" spans="1:40" ht="12" customHeight="1" x14ac:dyDescent="0.2">
      <c r="A264" s="179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</row>
    <row r="265" spans="1:40" ht="12" customHeight="1" x14ac:dyDescent="0.2">
      <c r="A265" s="179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</row>
    <row r="266" spans="1:40" ht="12" customHeight="1" x14ac:dyDescent="0.2">
      <c r="A266" s="179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</row>
    <row r="267" spans="1:40" ht="12" customHeight="1" x14ac:dyDescent="0.2">
      <c r="A267" s="179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</row>
    <row r="268" spans="1:40" ht="12" customHeight="1" x14ac:dyDescent="0.2">
      <c r="A268" s="179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</row>
    <row r="269" spans="1:40" ht="12" customHeight="1" x14ac:dyDescent="0.2">
      <c r="A269" s="179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</row>
    <row r="270" spans="1:40" ht="12" customHeight="1" x14ac:dyDescent="0.2">
      <c r="A270" s="179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</row>
    <row r="271" spans="1:40" ht="12" customHeight="1" x14ac:dyDescent="0.2">
      <c r="A271" s="179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</row>
    <row r="272" spans="1:40" ht="12" customHeight="1" x14ac:dyDescent="0.2">
      <c r="A272" s="179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</row>
    <row r="273" spans="1:40" ht="12" customHeight="1" x14ac:dyDescent="0.2">
      <c r="A273" s="179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</row>
    <row r="274" spans="1:40" ht="12" customHeight="1" x14ac:dyDescent="0.2">
      <c r="A274" s="179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</row>
    <row r="275" spans="1:40" ht="12" customHeight="1" x14ac:dyDescent="0.2">
      <c r="A275" s="179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</row>
    <row r="276" spans="1:40" ht="12" customHeight="1" x14ac:dyDescent="0.2">
      <c r="A276" s="179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</row>
    <row r="277" spans="1:40" ht="12" customHeight="1" x14ac:dyDescent="0.2">
      <c r="A277" s="179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</row>
    <row r="278" spans="1:40" ht="12" customHeight="1" x14ac:dyDescent="0.2">
      <c r="A278" s="179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</row>
    <row r="279" spans="1:40" ht="12" customHeight="1" x14ac:dyDescent="0.2">
      <c r="A279" s="179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</row>
    <row r="280" spans="1:40" ht="12" customHeight="1" x14ac:dyDescent="0.2">
      <c r="A280" s="179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</row>
    <row r="281" spans="1:40" ht="12" customHeight="1" x14ac:dyDescent="0.2">
      <c r="A281" s="179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</row>
    <row r="282" spans="1:40" ht="12" customHeight="1" x14ac:dyDescent="0.2">
      <c r="A282" s="179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</row>
    <row r="283" spans="1:40" ht="12" customHeight="1" x14ac:dyDescent="0.2">
      <c r="A283" s="179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</row>
    <row r="284" spans="1:40" ht="12" customHeight="1" x14ac:dyDescent="0.2">
      <c r="A284" s="179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</row>
    <row r="285" spans="1:40" ht="12" customHeight="1" x14ac:dyDescent="0.2">
      <c r="A285" s="179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</row>
    <row r="286" spans="1:40" ht="12" customHeight="1" x14ac:dyDescent="0.2">
      <c r="A286" s="179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</row>
    <row r="287" spans="1:40" ht="12" customHeight="1" x14ac:dyDescent="0.2">
      <c r="A287" s="179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</row>
    <row r="288" spans="1:40" ht="12" customHeight="1" x14ac:dyDescent="0.2">
      <c r="A288" s="179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</row>
    <row r="289" spans="1:40" ht="12" customHeight="1" x14ac:dyDescent="0.2">
      <c r="A289" s="179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</row>
    <row r="290" spans="1:40" ht="12" customHeight="1" x14ac:dyDescent="0.2">
      <c r="A290" s="179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</row>
    <row r="291" spans="1:40" ht="12" customHeight="1" x14ac:dyDescent="0.2">
      <c r="A291" s="179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</row>
    <row r="292" spans="1:40" ht="12" customHeight="1" x14ac:dyDescent="0.2">
      <c r="A292" s="179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</row>
    <row r="293" spans="1:40" ht="12" customHeight="1" x14ac:dyDescent="0.2">
      <c r="A293" s="179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</row>
    <row r="294" spans="1:40" ht="12" customHeight="1" x14ac:dyDescent="0.2">
      <c r="A294" s="179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</row>
    <row r="295" spans="1:40" ht="12" customHeight="1" x14ac:dyDescent="0.2">
      <c r="A295" s="179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</row>
    <row r="296" spans="1:40" ht="12" customHeight="1" x14ac:dyDescent="0.2">
      <c r="A296" s="179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</row>
    <row r="297" spans="1:40" ht="12" customHeight="1" x14ac:dyDescent="0.2">
      <c r="A297" s="179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</row>
    <row r="298" spans="1:40" ht="12" customHeight="1" x14ac:dyDescent="0.2">
      <c r="A298" s="179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</row>
    <row r="299" spans="1:40" ht="12" customHeight="1" x14ac:dyDescent="0.2">
      <c r="A299" s="179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</row>
    <row r="300" spans="1:40" ht="12" customHeight="1" x14ac:dyDescent="0.2">
      <c r="A300" s="179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</row>
    <row r="301" spans="1:40" ht="12" customHeight="1" x14ac:dyDescent="0.2">
      <c r="A301" s="179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</row>
    <row r="302" spans="1:40" ht="12" customHeight="1" x14ac:dyDescent="0.2">
      <c r="A302" s="179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</row>
    <row r="303" spans="1:40" ht="12" customHeight="1" x14ac:dyDescent="0.2">
      <c r="A303" s="179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</row>
    <row r="304" spans="1:40" ht="12" customHeight="1" x14ac:dyDescent="0.2">
      <c r="A304" s="179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</row>
    <row r="305" spans="1:40" ht="12" customHeight="1" x14ac:dyDescent="0.2">
      <c r="A305" s="179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</row>
    <row r="306" spans="1:40" ht="12" customHeight="1" x14ac:dyDescent="0.2">
      <c r="A306" s="179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</row>
    <row r="307" spans="1:40" ht="12" customHeight="1" x14ac:dyDescent="0.2">
      <c r="A307" s="179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</row>
    <row r="308" spans="1:40" ht="12" customHeight="1" x14ac:dyDescent="0.2">
      <c r="A308" s="179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</row>
    <row r="309" spans="1:40" ht="12" customHeight="1" x14ac:dyDescent="0.2">
      <c r="A309" s="179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</row>
    <row r="310" spans="1:40" ht="12" customHeight="1" x14ac:dyDescent="0.2">
      <c r="A310" s="179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</row>
    <row r="311" spans="1:40" ht="12" customHeight="1" x14ac:dyDescent="0.2">
      <c r="A311" s="179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</row>
    <row r="312" spans="1:40" ht="12" customHeight="1" x14ac:dyDescent="0.2">
      <c r="A312" s="179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</row>
    <row r="313" spans="1:40" ht="12" customHeight="1" x14ac:dyDescent="0.2">
      <c r="A313" s="179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</row>
    <row r="314" spans="1:40" ht="12" customHeight="1" x14ac:dyDescent="0.2">
      <c r="A314" s="179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</row>
    <row r="315" spans="1:40" ht="12" customHeight="1" x14ac:dyDescent="0.2">
      <c r="A315" s="179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</row>
    <row r="316" spans="1:40" ht="12" customHeight="1" x14ac:dyDescent="0.2">
      <c r="A316" s="179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</row>
    <row r="317" spans="1:40" ht="12" customHeight="1" x14ac:dyDescent="0.2">
      <c r="A317" s="179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</row>
    <row r="318" spans="1:40" ht="12" customHeight="1" x14ac:dyDescent="0.2">
      <c r="A318" s="179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</row>
    <row r="319" spans="1:40" ht="12" customHeight="1" x14ac:dyDescent="0.2">
      <c r="A319" s="179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</row>
    <row r="320" spans="1:40" ht="12" customHeight="1" x14ac:dyDescent="0.2">
      <c r="A320" s="179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</row>
    <row r="321" spans="1:40" ht="12" customHeight="1" x14ac:dyDescent="0.2">
      <c r="A321" s="179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</row>
    <row r="322" spans="1:40" ht="12" customHeight="1" x14ac:dyDescent="0.2">
      <c r="A322" s="179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</row>
    <row r="323" spans="1:40" ht="12" customHeight="1" x14ac:dyDescent="0.2">
      <c r="A323" s="179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</row>
    <row r="324" spans="1:40" ht="12" customHeight="1" x14ac:dyDescent="0.2">
      <c r="A324" s="179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</row>
    <row r="325" spans="1:40" ht="12" customHeight="1" x14ac:dyDescent="0.2">
      <c r="A325" s="179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</row>
    <row r="326" spans="1:40" ht="12" customHeight="1" x14ac:dyDescent="0.2">
      <c r="A326" s="179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</row>
    <row r="327" spans="1:40" ht="12" customHeight="1" x14ac:dyDescent="0.2">
      <c r="A327" s="179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</row>
    <row r="328" spans="1:40" ht="12" customHeight="1" x14ac:dyDescent="0.2">
      <c r="A328" s="179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</row>
    <row r="329" spans="1:40" ht="12" customHeight="1" x14ac:dyDescent="0.2">
      <c r="A329" s="179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</row>
    <row r="330" spans="1:40" ht="12" customHeight="1" x14ac:dyDescent="0.2">
      <c r="A330" s="179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</row>
    <row r="331" spans="1:40" ht="12" customHeight="1" x14ac:dyDescent="0.2">
      <c r="A331" s="179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</row>
    <row r="332" spans="1:40" ht="12" customHeight="1" x14ac:dyDescent="0.2">
      <c r="A332" s="179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</row>
    <row r="333" spans="1:40" ht="12" customHeight="1" x14ac:dyDescent="0.2">
      <c r="A333" s="179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</row>
    <row r="334" spans="1:40" ht="12" customHeight="1" x14ac:dyDescent="0.2">
      <c r="A334" s="179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</row>
    <row r="335" spans="1:40" ht="12" customHeight="1" x14ac:dyDescent="0.2">
      <c r="A335" s="179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</row>
    <row r="336" spans="1:40" ht="12" customHeight="1" x14ac:dyDescent="0.2">
      <c r="A336" s="179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</row>
    <row r="337" spans="1:40" ht="12" customHeight="1" x14ac:dyDescent="0.2">
      <c r="A337" s="179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</row>
    <row r="338" spans="1:40" ht="12" customHeight="1" x14ac:dyDescent="0.2">
      <c r="A338" s="179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</row>
    <row r="339" spans="1:40" ht="12" customHeight="1" x14ac:dyDescent="0.2">
      <c r="A339" s="179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</row>
    <row r="340" spans="1:40" ht="12" customHeight="1" x14ac:dyDescent="0.2">
      <c r="A340" s="179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</row>
    <row r="341" spans="1:40" ht="12" customHeight="1" x14ac:dyDescent="0.2">
      <c r="A341" s="179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</row>
    <row r="342" spans="1:40" ht="12" customHeight="1" x14ac:dyDescent="0.2">
      <c r="A342" s="179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</row>
    <row r="343" spans="1:40" ht="12" customHeight="1" x14ac:dyDescent="0.2">
      <c r="A343" s="179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</row>
    <row r="344" spans="1:40" ht="12" customHeight="1" x14ac:dyDescent="0.2">
      <c r="A344" s="179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</row>
    <row r="345" spans="1:40" ht="12" customHeight="1" x14ac:dyDescent="0.2">
      <c r="A345" s="179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</row>
    <row r="346" spans="1:40" ht="12" customHeight="1" x14ac:dyDescent="0.2">
      <c r="A346" s="179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</row>
    <row r="347" spans="1:40" ht="12" customHeight="1" x14ac:dyDescent="0.2">
      <c r="A347" s="179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</row>
    <row r="348" spans="1:40" ht="12" customHeight="1" x14ac:dyDescent="0.2">
      <c r="A348" s="179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</row>
    <row r="349" spans="1:40" ht="12" customHeight="1" x14ac:dyDescent="0.2">
      <c r="A349" s="179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</row>
    <row r="350" spans="1:40" ht="12" customHeight="1" x14ac:dyDescent="0.2">
      <c r="A350" s="179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</row>
    <row r="351" spans="1:40" ht="12" customHeight="1" x14ac:dyDescent="0.2">
      <c r="A351" s="179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</row>
    <row r="352" spans="1:40" ht="12" customHeight="1" x14ac:dyDescent="0.2">
      <c r="A352" s="179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</row>
    <row r="353" spans="1:40" ht="12" customHeight="1" x14ac:dyDescent="0.2">
      <c r="A353" s="179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</row>
    <row r="354" spans="1:40" ht="12" customHeight="1" x14ac:dyDescent="0.2">
      <c r="A354" s="179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</row>
    <row r="355" spans="1:40" ht="12" customHeight="1" x14ac:dyDescent="0.2">
      <c r="A355" s="179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</row>
    <row r="356" spans="1:40" ht="12" customHeight="1" x14ac:dyDescent="0.2">
      <c r="A356" s="179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</row>
    <row r="357" spans="1:40" ht="12" customHeight="1" x14ac:dyDescent="0.2">
      <c r="A357" s="179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</row>
    <row r="358" spans="1:40" ht="12" customHeight="1" x14ac:dyDescent="0.2">
      <c r="A358" s="179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</row>
    <row r="359" spans="1:40" ht="12" customHeight="1" x14ac:dyDescent="0.2">
      <c r="A359" s="179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</row>
    <row r="360" spans="1:40" ht="12" customHeight="1" x14ac:dyDescent="0.2">
      <c r="A360" s="179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</row>
    <row r="361" spans="1:40" ht="12" customHeight="1" x14ac:dyDescent="0.2">
      <c r="A361" s="179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</row>
    <row r="362" spans="1:40" ht="12" customHeight="1" x14ac:dyDescent="0.2">
      <c r="A362" s="179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</row>
    <row r="363" spans="1:40" ht="12" customHeight="1" x14ac:dyDescent="0.2">
      <c r="A363" s="179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</row>
    <row r="364" spans="1:40" ht="12" customHeight="1" x14ac:dyDescent="0.2">
      <c r="A364" s="179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</row>
    <row r="365" spans="1:40" ht="12" customHeight="1" x14ac:dyDescent="0.2">
      <c r="A365" s="179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</row>
    <row r="366" spans="1:40" ht="12" customHeight="1" x14ac:dyDescent="0.2">
      <c r="A366" s="179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</row>
    <row r="367" spans="1:40" ht="12" customHeight="1" x14ac:dyDescent="0.2">
      <c r="A367" s="179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</row>
    <row r="368" spans="1:40" ht="12" customHeight="1" x14ac:dyDescent="0.2">
      <c r="A368" s="179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</row>
    <row r="369" spans="1:40" ht="12" customHeight="1" x14ac:dyDescent="0.2">
      <c r="A369" s="179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</row>
    <row r="370" spans="1:40" ht="12" customHeight="1" x14ac:dyDescent="0.2">
      <c r="A370" s="179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</row>
    <row r="371" spans="1:40" ht="12" customHeight="1" x14ac:dyDescent="0.2">
      <c r="A371" s="179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</row>
    <row r="372" spans="1:40" ht="12" customHeight="1" x14ac:dyDescent="0.2">
      <c r="A372" s="179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</row>
    <row r="373" spans="1:40" ht="12" customHeight="1" x14ac:dyDescent="0.2">
      <c r="A373" s="179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</row>
    <row r="374" spans="1:40" ht="12" customHeight="1" x14ac:dyDescent="0.2">
      <c r="A374" s="179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</row>
    <row r="375" spans="1:40" ht="12" customHeight="1" x14ac:dyDescent="0.2">
      <c r="A375" s="179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</row>
    <row r="376" spans="1:40" ht="12" customHeight="1" x14ac:dyDescent="0.2">
      <c r="A376" s="179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</row>
    <row r="377" spans="1:40" ht="12" customHeight="1" x14ac:dyDescent="0.2">
      <c r="A377" s="179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</row>
    <row r="378" spans="1:40" ht="12" customHeight="1" x14ac:dyDescent="0.2">
      <c r="A378" s="179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</row>
    <row r="379" spans="1:40" ht="12" customHeight="1" x14ac:dyDescent="0.2">
      <c r="A379" s="179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</row>
    <row r="380" spans="1:40" ht="12" customHeight="1" x14ac:dyDescent="0.2">
      <c r="A380" s="179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</row>
    <row r="381" spans="1:40" ht="12" customHeight="1" x14ac:dyDescent="0.2">
      <c r="A381" s="179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</row>
    <row r="382" spans="1:40" ht="12" customHeight="1" x14ac:dyDescent="0.2">
      <c r="A382" s="179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</row>
    <row r="383" spans="1:40" ht="12" customHeight="1" x14ac:dyDescent="0.2">
      <c r="A383" s="179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</row>
    <row r="384" spans="1:40" ht="12" customHeight="1" x14ac:dyDescent="0.2">
      <c r="A384" s="179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</row>
    <row r="385" spans="1:40" ht="12" customHeight="1" x14ac:dyDescent="0.2">
      <c r="A385" s="179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</row>
    <row r="386" spans="1:40" ht="12" customHeight="1" x14ac:dyDescent="0.2">
      <c r="A386" s="179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</row>
    <row r="387" spans="1:40" ht="12" customHeight="1" x14ac:dyDescent="0.2">
      <c r="A387" s="179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</row>
    <row r="388" spans="1:40" ht="12" customHeight="1" x14ac:dyDescent="0.2">
      <c r="A388" s="179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</row>
    <row r="389" spans="1:40" ht="12" customHeight="1" x14ac:dyDescent="0.2">
      <c r="A389" s="179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</row>
    <row r="390" spans="1:40" ht="12" customHeight="1" x14ac:dyDescent="0.2">
      <c r="A390" s="179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</row>
    <row r="391" spans="1:40" ht="12" customHeight="1" x14ac:dyDescent="0.2">
      <c r="A391" s="179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</row>
    <row r="392" spans="1:40" ht="12" customHeight="1" x14ac:dyDescent="0.2">
      <c r="A392" s="179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</row>
    <row r="393" spans="1:40" ht="12" customHeight="1" x14ac:dyDescent="0.2">
      <c r="A393" s="179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</row>
    <row r="394" spans="1:40" ht="12" customHeight="1" x14ac:dyDescent="0.2">
      <c r="A394" s="179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</row>
    <row r="395" spans="1:40" ht="12" customHeight="1" x14ac:dyDescent="0.2">
      <c r="A395" s="179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</row>
    <row r="396" spans="1:40" ht="12" customHeight="1" x14ac:dyDescent="0.2">
      <c r="A396" s="179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</row>
    <row r="397" spans="1:40" ht="12" customHeight="1" x14ac:dyDescent="0.2">
      <c r="A397" s="179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</row>
    <row r="398" spans="1:40" ht="12" customHeight="1" x14ac:dyDescent="0.2">
      <c r="A398" s="179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</row>
    <row r="399" spans="1:40" ht="12" customHeight="1" x14ac:dyDescent="0.2">
      <c r="A399" s="179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</row>
    <row r="400" spans="1:40" ht="12" customHeight="1" x14ac:dyDescent="0.2">
      <c r="A400" s="179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</row>
    <row r="401" spans="1:40" ht="12" customHeight="1" x14ac:dyDescent="0.2">
      <c r="A401" s="179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</row>
    <row r="402" spans="1:40" ht="12" customHeight="1" x14ac:dyDescent="0.2">
      <c r="A402" s="179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</row>
    <row r="403" spans="1:40" ht="12" customHeight="1" x14ac:dyDescent="0.2">
      <c r="A403" s="179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</row>
    <row r="404" spans="1:40" ht="12" customHeight="1" x14ac:dyDescent="0.2">
      <c r="A404" s="179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</row>
    <row r="405" spans="1:40" ht="12" customHeight="1" x14ac:dyDescent="0.2">
      <c r="A405" s="179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</row>
    <row r="406" spans="1:40" ht="12" customHeight="1" x14ac:dyDescent="0.2">
      <c r="A406" s="179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</row>
    <row r="407" spans="1:40" ht="12" customHeight="1" x14ac:dyDescent="0.2">
      <c r="A407" s="179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</row>
    <row r="408" spans="1:40" ht="12" customHeight="1" x14ac:dyDescent="0.2">
      <c r="A408" s="179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</row>
    <row r="409" spans="1:40" ht="12" customHeight="1" x14ac:dyDescent="0.2">
      <c r="A409" s="179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</row>
    <row r="410" spans="1:40" ht="12" customHeight="1" x14ac:dyDescent="0.2">
      <c r="A410" s="179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</row>
    <row r="411" spans="1:40" ht="12" customHeight="1" x14ac:dyDescent="0.2">
      <c r="A411" s="179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</row>
    <row r="412" spans="1:40" ht="12" customHeight="1" x14ac:dyDescent="0.2">
      <c r="A412" s="179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</row>
    <row r="413" spans="1:40" ht="12" customHeight="1" x14ac:dyDescent="0.2">
      <c r="A413" s="179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</row>
    <row r="414" spans="1:40" ht="12" customHeight="1" x14ac:dyDescent="0.2">
      <c r="A414" s="179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</row>
    <row r="415" spans="1:40" ht="12" customHeight="1" x14ac:dyDescent="0.2">
      <c r="A415" s="179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</row>
    <row r="416" spans="1:40" ht="12" customHeight="1" x14ac:dyDescent="0.2">
      <c r="A416" s="179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</row>
    <row r="417" spans="1:40" ht="12" customHeight="1" x14ac:dyDescent="0.2">
      <c r="A417" s="179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</row>
    <row r="418" spans="1:40" ht="12" customHeight="1" x14ac:dyDescent="0.2">
      <c r="A418" s="179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</row>
    <row r="419" spans="1:40" ht="12" customHeight="1" x14ac:dyDescent="0.2">
      <c r="A419" s="179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</row>
    <row r="420" spans="1:40" ht="12" customHeight="1" x14ac:dyDescent="0.2">
      <c r="A420" s="179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</row>
    <row r="421" spans="1:40" ht="12" customHeight="1" x14ac:dyDescent="0.2">
      <c r="A421" s="179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</row>
    <row r="422" spans="1:40" ht="12" customHeight="1" x14ac:dyDescent="0.2">
      <c r="A422" s="179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</row>
    <row r="423" spans="1:40" ht="12" customHeight="1" x14ac:dyDescent="0.2">
      <c r="A423" s="179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</row>
    <row r="424" spans="1:40" ht="12" customHeight="1" x14ac:dyDescent="0.2">
      <c r="A424" s="179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</row>
    <row r="425" spans="1:40" ht="12" customHeight="1" x14ac:dyDescent="0.2">
      <c r="A425" s="179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</row>
    <row r="426" spans="1:40" ht="12" customHeight="1" x14ac:dyDescent="0.2">
      <c r="A426" s="179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</row>
    <row r="427" spans="1:40" ht="12" customHeight="1" x14ac:dyDescent="0.2">
      <c r="A427" s="179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</row>
    <row r="428" spans="1:40" ht="12" customHeight="1" x14ac:dyDescent="0.2">
      <c r="A428" s="179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</row>
    <row r="429" spans="1:40" ht="12" customHeight="1" x14ac:dyDescent="0.2">
      <c r="A429" s="179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</row>
    <row r="430" spans="1:40" ht="12" customHeight="1" x14ac:dyDescent="0.2">
      <c r="A430" s="179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</row>
    <row r="431" spans="1:40" ht="12" customHeight="1" x14ac:dyDescent="0.2">
      <c r="A431" s="179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</row>
    <row r="432" spans="1:40" ht="12" customHeight="1" x14ac:dyDescent="0.2">
      <c r="A432" s="179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</row>
    <row r="433" spans="1:40" ht="12" customHeight="1" x14ac:dyDescent="0.2">
      <c r="A433" s="179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</row>
    <row r="434" spans="1:40" ht="12" customHeight="1" x14ac:dyDescent="0.2">
      <c r="A434" s="179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</row>
    <row r="435" spans="1:40" ht="12" customHeight="1" x14ac:dyDescent="0.2">
      <c r="A435" s="179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</row>
    <row r="436" spans="1:40" ht="12" customHeight="1" x14ac:dyDescent="0.2">
      <c r="A436" s="179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</row>
    <row r="437" spans="1:40" ht="12" customHeight="1" x14ac:dyDescent="0.2">
      <c r="A437" s="179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</row>
    <row r="438" spans="1:40" ht="12" customHeight="1" x14ac:dyDescent="0.2">
      <c r="A438" s="179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</row>
    <row r="439" spans="1:40" ht="12" customHeight="1" x14ac:dyDescent="0.2">
      <c r="A439" s="179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</row>
    <row r="440" spans="1:40" ht="12" customHeight="1" x14ac:dyDescent="0.2">
      <c r="A440" s="179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</row>
    <row r="441" spans="1:40" ht="12" customHeight="1" x14ac:dyDescent="0.2">
      <c r="A441" s="179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</row>
    <row r="442" spans="1:40" ht="12" customHeight="1" x14ac:dyDescent="0.2">
      <c r="A442" s="179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</row>
    <row r="443" spans="1:40" ht="12" customHeight="1" x14ac:dyDescent="0.2">
      <c r="A443" s="179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</row>
    <row r="444" spans="1:40" ht="12" customHeight="1" x14ac:dyDescent="0.2">
      <c r="A444" s="179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</row>
    <row r="445" spans="1:40" ht="12" customHeight="1" x14ac:dyDescent="0.2">
      <c r="A445" s="179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</row>
    <row r="446" spans="1:40" ht="12" customHeight="1" x14ac:dyDescent="0.2">
      <c r="A446" s="179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</row>
    <row r="447" spans="1:40" ht="12" customHeight="1" x14ac:dyDescent="0.2">
      <c r="A447" s="179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</row>
    <row r="448" spans="1:40" ht="12" customHeight="1" x14ac:dyDescent="0.2">
      <c r="A448" s="179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</row>
    <row r="449" spans="1:40" ht="12" customHeight="1" x14ac:dyDescent="0.2">
      <c r="A449" s="179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</row>
    <row r="450" spans="1:40" ht="12" customHeight="1" x14ac:dyDescent="0.2">
      <c r="A450" s="179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</row>
    <row r="451" spans="1:40" ht="12" customHeight="1" x14ac:dyDescent="0.2">
      <c r="A451" s="179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</row>
    <row r="452" spans="1:40" ht="12" customHeight="1" x14ac:dyDescent="0.2">
      <c r="A452" s="179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</row>
    <row r="453" spans="1:40" ht="12" customHeight="1" x14ac:dyDescent="0.2">
      <c r="A453" s="179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</row>
    <row r="454" spans="1:40" ht="12" customHeight="1" x14ac:dyDescent="0.2">
      <c r="A454" s="179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</row>
    <row r="455" spans="1:40" ht="12" customHeight="1" x14ac:dyDescent="0.2">
      <c r="A455" s="179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</row>
    <row r="456" spans="1:40" ht="12" customHeight="1" x14ac:dyDescent="0.2">
      <c r="A456" s="179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</row>
    <row r="457" spans="1:40" ht="12" customHeight="1" x14ac:dyDescent="0.2">
      <c r="A457" s="179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</row>
    <row r="458" spans="1:40" ht="12" customHeight="1" x14ac:dyDescent="0.2">
      <c r="A458" s="179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</row>
    <row r="459" spans="1:40" ht="12" customHeight="1" x14ac:dyDescent="0.2">
      <c r="A459" s="179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</row>
    <row r="460" spans="1:40" ht="12" customHeight="1" x14ac:dyDescent="0.2">
      <c r="A460" s="179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</row>
    <row r="461" spans="1:40" ht="12" customHeight="1" x14ac:dyDescent="0.2">
      <c r="A461" s="179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</row>
    <row r="462" spans="1:40" ht="12" customHeight="1" x14ac:dyDescent="0.2">
      <c r="A462" s="179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</row>
    <row r="463" spans="1:40" ht="12" customHeight="1" x14ac:dyDescent="0.2">
      <c r="A463" s="179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</row>
    <row r="464" spans="1:40" ht="12" customHeight="1" x14ac:dyDescent="0.2">
      <c r="A464" s="179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</row>
    <row r="465" spans="1:40" ht="12" customHeight="1" x14ac:dyDescent="0.2">
      <c r="A465" s="179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</row>
    <row r="466" spans="1:40" ht="12" customHeight="1" x14ac:dyDescent="0.2">
      <c r="A466" s="179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</row>
    <row r="467" spans="1:40" ht="12" customHeight="1" x14ac:dyDescent="0.2">
      <c r="A467" s="179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</row>
    <row r="468" spans="1:40" ht="12" customHeight="1" x14ac:dyDescent="0.2">
      <c r="A468" s="179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</row>
    <row r="469" spans="1:40" ht="12" customHeight="1" x14ac:dyDescent="0.2">
      <c r="A469" s="179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</row>
    <row r="470" spans="1:40" ht="12" customHeight="1" x14ac:dyDescent="0.2">
      <c r="A470" s="179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</row>
    <row r="471" spans="1:40" ht="12" customHeight="1" x14ac:dyDescent="0.2">
      <c r="A471" s="179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</row>
    <row r="472" spans="1:40" ht="12" customHeight="1" x14ac:dyDescent="0.2">
      <c r="A472" s="179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</row>
    <row r="473" spans="1:40" ht="12" customHeight="1" x14ac:dyDescent="0.2">
      <c r="A473" s="179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</row>
    <row r="474" spans="1:40" ht="12" customHeight="1" x14ac:dyDescent="0.2">
      <c r="A474" s="179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</row>
    <row r="475" spans="1:40" ht="12" customHeight="1" x14ac:dyDescent="0.2">
      <c r="A475" s="179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</row>
    <row r="476" spans="1:40" ht="12" customHeight="1" x14ac:dyDescent="0.2">
      <c r="A476" s="179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</row>
    <row r="477" spans="1:40" ht="12" customHeight="1" x14ac:dyDescent="0.2">
      <c r="A477" s="179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</row>
    <row r="478" spans="1:40" ht="12" customHeight="1" x14ac:dyDescent="0.2">
      <c r="A478" s="179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</row>
    <row r="479" spans="1:40" ht="12" customHeight="1" x14ac:dyDescent="0.2">
      <c r="A479" s="179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</row>
    <row r="480" spans="1:40" ht="12" customHeight="1" x14ac:dyDescent="0.2">
      <c r="A480" s="179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</row>
    <row r="481" spans="1:40" ht="12" customHeight="1" x14ac:dyDescent="0.2">
      <c r="A481" s="179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</row>
    <row r="482" spans="1:40" ht="12" customHeight="1" x14ac:dyDescent="0.2">
      <c r="A482" s="179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</row>
    <row r="483" spans="1:40" ht="12" customHeight="1" x14ac:dyDescent="0.2">
      <c r="A483" s="179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</row>
    <row r="484" spans="1:40" ht="12" customHeight="1" x14ac:dyDescent="0.2">
      <c r="A484" s="179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</row>
    <row r="485" spans="1:40" ht="12" customHeight="1" x14ac:dyDescent="0.2">
      <c r="A485" s="179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</row>
    <row r="486" spans="1:40" ht="12" customHeight="1" x14ac:dyDescent="0.2">
      <c r="A486" s="179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</row>
    <row r="487" spans="1:40" ht="12" customHeight="1" x14ac:dyDescent="0.2">
      <c r="A487" s="179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</row>
    <row r="488" spans="1:40" ht="12" customHeight="1" x14ac:dyDescent="0.2">
      <c r="A488" s="179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</row>
    <row r="489" spans="1:40" ht="12" customHeight="1" x14ac:dyDescent="0.2">
      <c r="A489" s="179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</row>
    <row r="490" spans="1:40" ht="12" customHeight="1" x14ac:dyDescent="0.2">
      <c r="A490" s="179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</row>
    <row r="491" spans="1:40" ht="12" customHeight="1" x14ac:dyDescent="0.2">
      <c r="A491" s="179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</row>
    <row r="492" spans="1:40" ht="12" customHeight="1" x14ac:dyDescent="0.2">
      <c r="A492" s="179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</row>
    <row r="493" spans="1:40" ht="12" customHeight="1" x14ac:dyDescent="0.2">
      <c r="A493" s="179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</row>
    <row r="494" spans="1:40" ht="12" customHeight="1" x14ac:dyDescent="0.2">
      <c r="A494" s="179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</row>
    <row r="495" spans="1:40" ht="12" customHeight="1" x14ac:dyDescent="0.2">
      <c r="A495" s="179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</row>
    <row r="496" spans="1:40" ht="12" customHeight="1" x14ac:dyDescent="0.2">
      <c r="A496" s="179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</row>
    <row r="497" spans="1:40" ht="12" customHeight="1" x14ac:dyDescent="0.2">
      <c r="A497" s="179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</row>
    <row r="498" spans="1:40" ht="12" customHeight="1" x14ac:dyDescent="0.2">
      <c r="A498" s="179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</row>
    <row r="499" spans="1:40" ht="12" customHeight="1" x14ac:dyDescent="0.2">
      <c r="A499" s="179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</row>
    <row r="500" spans="1:40" ht="12" customHeight="1" x14ac:dyDescent="0.2">
      <c r="A500" s="179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</row>
    <row r="501" spans="1:40" ht="12" customHeight="1" x14ac:dyDescent="0.2">
      <c r="A501" s="179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</row>
    <row r="502" spans="1:40" ht="12" customHeight="1" x14ac:dyDescent="0.2">
      <c r="A502" s="179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</row>
    <row r="503" spans="1:40" ht="12" customHeight="1" x14ac:dyDescent="0.2">
      <c r="A503" s="179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</row>
    <row r="504" spans="1:40" ht="12" customHeight="1" x14ac:dyDescent="0.2">
      <c r="A504" s="179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</row>
    <row r="505" spans="1:40" ht="12" customHeight="1" x14ac:dyDescent="0.2">
      <c r="A505" s="179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</row>
    <row r="506" spans="1:40" ht="12" customHeight="1" x14ac:dyDescent="0.2">
      <c r="A506" s="179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</row>
    <row r="507" spans="1:40" ht="12" customHeight="1" x14ac:dyDescent="0.2">
      <c r="A507" s="179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</row>
    <row r="508" spans="1:40" ht="12" customHeight="1" x14ac:dyDescent="0.2">
      <c r="A508" s="179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</row>
    <row r="509" spans="1:40" ht="12" customHeight="1" x14ac:dyDescent="0.2">
      <c r="A509" s="179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</row>
    <row r="510" spans="1:40" ht="12" customHeight="1" x14ac:dyDescent="0.2">
      <c r="A510" s="179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</row>
    <row r="511" spans="1:40" ht="12" customHeight="1" x14ac:dyDescent="0.2">
      <c r="A511" s="179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</row>
    <row r="512" spans="1:40" ht="12" customHeight="1" x14ac:dyDescent="0.2">
      <c r="A512" s="179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</row>
    <row r="513" spans="1:40" ht="12" customHeight="1" x14ac:dyDescent="0.2">
      <c r="A513" s="179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</row>
    <row r="514" spans="1:40" ht="12" customHeight="1" x14ac:dyDescent="0.2">
      <c r="A514" s="179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</row>
    <row r="515" spans="1:40" ht="12" customHeight="1" x14ac:dyDescent="0.2">
      <c r="A515" s="179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</row>
    <row r="516" spans="1:40" ht="12" customHeight="1" x14ac:dyDescent="0.2">
      <c r="A516" s="179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</row>
    <row r="517" spans="1:40" ht="12" customHeight="1" x14ac:dyDescent="0.2">
      <c r="A517" s="179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</row>
    <row r="518" spans="1:40" ht="12" customHeight="1" x14ac:dyDescent="0.2">
      <c r="A518" s="179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</row>
    <row r="519" spans="1:40" ht="12" customHeight="1" x14ac:dyDescent="0.2">
      <c r="A519" s="179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</row>
    <row r="520" spans="1:40" ht="12" customHeight="1" x14ac:dyDescent="0.2">
      <c r="A520" s="179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</row>
    <row r="521" spans="1:40" ht="12" customHeight="1" x14ac:dyDescent="0.2">
      <c r="A521" s="179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</row>
    <row r="522" spans="1:40" ht="12" customHeight="1" x14ac:dyDescent="0.2">
      <c r="A522" s="179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</row>
    <row r="523" spans="1:40" ht="12" customHeight="1" x14ac:dyDescent="0.2">
      <c r="A523" s="179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</row>
    <row r="524" spans="1:40" ht="12" customHeight="1" x14ac:dyDescent="0.2">
      <c r="A524" s="179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</row>
    <row r="525" spans="1:40" ht="12" customHeight="1" x14ac:dyDescent="0.2">
      <c r="A525" s="179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</row>
    <row r="526" spans="1:40" ht="12" customHeight="1" x14ac:dyDescent="0.2">
      <c r="A526" s="179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</row>
    <row r="527" spans="1:40" ht="12" customHeight="1" x14ac:dyDescent="0.2">
      <c r="A527" s="179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</row>
    <row r="528" spans="1:40" ht="12" customHeight="1" x14ac:dyDescent="0.2">
      <c r="A528" s="179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</row>
    <row r="529" spans="1:40" ht="12" customHeight="1" x14ac:dyDescent="0.2">
      <c r="A529" s="179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</row>
    <row r="530" spans="1:40" ht="12" customHeight="1" x14ac:dyDescent="0.2">
      <c r="A530" s="179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</row>
    <row r="531" spans="1:40" ht="12" customHeight="1" x14ac:dyDescent="0.2">
      <c r="A531" s="179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</row>
    <row r="532" spans="1:40" ht="12" customHeight="1" x14ac:dyDescent="0.2">
      <c r="A532" s="179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</row>
    <row r="533" spans="1:40" ht="12" customHeight="1" x14ac:dyDescent="0.2">
      <c r="A533" s="179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</row>
    <row r="534" spans="1:40" ht="12" customHeight="1" x14ac:dyDescent="0.2">
      <c r="A534" s="179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</row>
    <row r="535" spans="1:40" ht="12" customHeight="1" x14ac:dyDescent="0.2">
      <c r="A535" s="179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</row>
    <row r="536" spans="1:40" ht="12" customHeight="1" x14ac:dyDescent="0.2">
      <c r="A536" s="179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</row>
    <row r="537" spans="1:40" ht="12" customHeight="1" x14ac:dyDescent="0.2">
      <c r="A537" s="179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</row>
    <row r="538" spans="1:40" ht="12" customHeight="1" x14ac:dyDescent="0.2">
      <c r="A538" s="179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</row>
    <row r="539" spans="1:40" ht="12" customHeight="1" x14ac:dyDescent="0.2">
      <c r="A539" s="179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</row>
    <row r="540" spans="1:40" ht="12" customHeight="1" x14ac:dyDescent="0.2">
      <c r="A540" s="179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</row>
    <row r="541" spans="1:40" ht="12" customHeight="1" x14ac:dyDescent="0.2">
      <c r="A541" s="179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</row>
    <row r="542" spans="1:40" ht="12" customHeight="1" x14ac:dyDescent="0.2">
      <c r="A542" s="179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</row>
    <row r="543" spans="1:40" ht="12" customHeight="1" x14ac:dyDescent="0.2">
      <c r="A543" s="179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</row>
    <row r="544" spans="1:40" ht="12" customHeight="1" x14ac:dyDescent="0.2">
      <c r="A544" s="179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</row>
    <row r="545" spans="1:40" ht="12" customHeight="1" x14ac:dyDescent="0.2">
      <c r="A545" s="179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</row>
    <row r="546" spans="1:40" ht="12" customHeight="1" x14ac:dyDescent="0.2">
      <c r="A546" s="179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</row>
    <row r="547" spans="1:40" ht="12" customHeight="1" x14ac:dyDescent="0.2">
      <c r="A547" s="179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</row>
    <row r="548" spans="1:40" ht="12" customHeight="1" x14ac:dyDescent="0.2">
      <c r="A548" s="179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</row>
    <row r="549" spans="1:40" ht="12" customHeight="1" x14ac:dyDescent="0.2">
      <c r="A549" s="179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</row>
    <row r="550" spans="1:40" ht="12" customHeight="1" x14ac:dyDescent="0.2">
      <c r="A550" s="179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</row>
    <row r="551" spans="1:40" ht="12" customHeight="1" x14ac:dyDescent="0.2">
      <c r="A551" s="179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</row>
    <row r="552" spans="1:40" ht="12" customHeight="1" x14ac:dyDescent="0.2">
      <c r="A552" s="179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</row>
    <row r="553" spans="1:40" ht="12" customHeight="1" x14ac:dyDescent="0.2">
      <c r="A553" s="179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</row>
    <row r="554" spans="1:40" ht="12" customHeight="1" x14ac:dyDescent="0.2">
      <c r="A554" s="179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</row>
    <row r="555" spans="1:40" ht="12" customHeight="1" x14ac:dyDescent="0.2">
      <c r="A555" s="179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</row>
    <row r="556" spans="1:40" ht="12" customHeight="1" x14ac:dyDescent="0.2">
      <c r="A556" s="179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</row>
    <row r="557" spans="1:40" ht="12" customHeight="1" x14ac:dyDescent="0.2">
      <c r="A557" s="179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</row>
    <row r="558" spans="1:40" ht="12" customHeight="1" x14ac:dyDescent="0.2">
      <c r="A558" s="179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</row>
    <row r="559" spans="1:40" ht="12" customHeight="1" x14ac:dyDescent="0.2">
      <c r="A559" s="179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</row>
    <row r="560" spans="1:40" ht="12" customHeight="1" x14ac:dyDescent="0.2">
      <c r="A560" s="179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</row>
    <row r="561" spans="1:40" ht="12" customHeight="1" x14ac:dyDescent="0.2">
      <c r="A561" s="179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</row>
    <row r="562" spans="1:40" ht="12" customHeight="1" x14ac:dyDescent="0.2">
      <c r="A562" s="179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</row>
    <row r="563" spans="1:40" ht="12" customHeight="1" x14ac:dyDescent="0.2">
      <c r="A563" s="179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</row>
    <row r="564" spans="1:40" ht="12" customHeight="1" x14ac:dyDescent="0.2">
      <c r="A564" s="179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</row>
    <row r="565" spans="1:40" ht="12" customHeight="1" x14ac:dyDescent="0.2">
      <c r="A565" s="179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</row>
    <row r="566" spans="1:40" ht="12" customHeight="1" x14ac:dyDescent="0.2">
      <c r="A566" s="179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</row>
    <row r="567" spans="1:40" ht="12" customHeight="1" x14ac:dyDescent="0.2">
      <c r="A567" s="179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</row>
    <row r="568" spans="1:40" ht="12" customHeight="1" x14ac:dyDescent="0.2">
      <c r="A568" s="179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8"/>
    </row>
    <row r="569" spans="1:40" ht="12" customHeight="1" x14ac:dyDescent="0.2">
      <c r="A569" s="179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</row>
    <row r="570" spans="1:40" ht="12" customHeight="1" x14ac:dyDescent="0.2">
      <c r="A570" s="179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</row>
    <row r="571" spans="1:40" ht="12" customHeight="1" x14ac:dyDescent="0.2">
      <c r="A571" s="179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8"/>
    </row>
    <row r="572" spans="1:40" ht="12" customHeight="1" x14ac:dyDescent="0.2">
      <c r="A572" s="179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</row>
    <row r="573" spans="1:40" ht="12" customHeight="1" x14ac:dyDescent="0.2">
      <c r="A573" s="179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</row>
    <row r="574" spans="1:40" ht="12" customHeight="1" x14ac:dyDescent="0.2">
      <c r="A574" s="179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8"/>
    </row>
    <row r="575" spans="1:40" ht="12" customHeight="1" x14ac:dyDescent="0.2">
      <c r="A575" s="179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8"/>
    </row>
    <row r="576" spans="1:40" ht="12" customHeight="1" x14ac:dyDescent="0.2">
      <c r="A576" s="179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</row>
    <row r="577" spans="1:40" ht="12" customHeight="1" x14ac:dyDescent="0.2">
      <c r="A577" s="179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8"/>
    </row>
    <row r="578" spans="1:40" ht="12" customHeight="1" x14ac:dyDescent="0.2">
      <c r="A578" s="179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</row>
    <row r="579" spans="1:40" ht="12" customHeight="1" x14ac:dyDescent="0.2">
      <c r="A579" s="179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</row>
    <row r="580" spans="1:40" ht="12" customHeight="1" x14ac:dyDescent="0.2">
      <c r="A580" s="179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8"/>
    </row>
    <row r="581" spans="1:40" ht="12" customHeight="1" x14ac:dyDescent="0.2">
      <c r="A581" s="179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8"/>
    </row>
    <row r="582" spans="1:40" ht="12" customHeight="1" x14ac:dyDescent="0.2">
      <c r="A582" s="179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8"/>
    </row>
    <row r="583" spans="1:40" ht="12" customHeight="1" x14ac:dyDescent="0.2">
      <c r="A583" s="179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</row>
    <row r="584" spans="1:40" ht="12" customHeight="1" x14ac:dyDescent="0.2">
      <c r="A584" s="179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</row>
    <row r="585" spans="1:40" ht="12" customHeight="1" x14ac:dyDescent="0.2">
      <c r="A585" s="179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</row>
    <row r="586" spans="1:40" ht="12" customHeight="1" x14ac:dyDescent="0.2">
      <c r="A586" s="179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</row>
    <row r="587" spans="1:40" ht="12" customHeight="1" x14ac:dyDescent="0.2">
      <c r="A587" s="179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</row>
    <row r="588" spans="1:40" ht="12" customHeight="1" x14ac:dyDescent="0.2">
      <c r="A588" s="179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</row>
    <row r="589" spans="1:40" ht="12" customHeight="1" x14ac:dyDescent="0.2">
      <c r="A589" s="179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</row>
    <row r="590" spans="1:40" ht="12" customHeight="1" x14ac:dyDescent="0.2">
      <c r="A590" s="179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</row>
    <row r="591" spans="1:40" ht="12" customHeight="1" x14ac:dyDescent="0.2">
      <c r="A591" s="179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</row>
    <row r="592" spans="1:40" ht="12" customHeight="1" x14ac:dyDescent="0.2">
      <c r="A592" s="179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</row>
    <row r="593" spans="1:40" ht="12" customHeight="1" x14ac:dyDescent="0.2">
      <c r="A593" s="179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</row>
    <row r="594" spans="1:40" ht="12" customHeight="1" x14ac:dyDescent="0.2">
      <c r="A594" s="179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</row>
    <row r="595" spans="1:40" ht="12" customHeight="1" x14ac:dyDescent="0.2">
      <c r="A595" s="179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</row>
    <row r="596" spans="1:40" ht="12" customHeight="1" x14ac:dyDescent="0.2">
      <c r="A596" s="179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</row>
    <row r="597" spans="1:40" ht="12" customHeight="1" x14ac:dyDescent="0.2">
      <c r="A597" s="179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</row>
    <row r="598" spans="1:40" ht="12" customHeight="1" x14ac:dyDescent="0.2">
      <c r="A598" s="179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</row>
    <row r="599" spans="1:40" ht="12" customHeight="1" x14ac:dyDescent="0.2">
      <c r="A599" s="179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</row>
    <row r="600" spans="1:40" ht="12" customHeight="1" x14ac:dyDescent="0.2">
      <c r="A600" s="179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</row>
    <row r="601" spans="1:40" ht="12" customHeight="1" x14ac:dyDescent="0.2">
      <c r="A601" s="179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</row>
    <row r="602" spans="1:40" ht="12" customHeight="1" x14ac:dyDescent="0.2">
      <c r="A602" s="179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</row>
    <row r="603" spans="1:40" ht="12" customHeight="1" x14ac:dyDescent="0.2">
      <c r="A603" s="179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</row>
    <row r="604" spans="1:40" ht="12" customHeight="1" x14ac:dyDescent="0.2">
      <c r="A604" s="179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</row>
    <row r="605" spans="1:40" ht="12" customHeight="1" x14ac:dyDescent="0.2">
      <c r="A605" s="179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</row>
    <row r="606" spans="1:40" ht="12" customHeight="1" x14ac:dyDescent="0.2">
      <c r="A606" s="179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</row>
    <row r="607" spans="1:40" ht="12" customHeight="1" x14ac:dyDescent="0.2">
      <c r="A607" s="179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</row>
    <row r="608" spans="1:40" ht="12" customHeight="1" x14ac:dyDescent="0.2">
      <c r="A608" s="179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</row>
    <row r="609" spans="1:40" ht="12" customHeight="1" x14ac:dyDescent="0.2">
      <c r="A609" s="179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</row>
    <row r="610" spans="1:40" ht="12" customHeight="1" x14ac:dyDescent="0.2">
      <c r="A610" s="179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</row>
    <row r="611" spans="1:40" ht="12" customHeight="1" x14ac:dyDescent="0.2">
      <c r="A611" s="179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</row>
    <row r="612" spans="1:40" ht="12" customHeight="1" x14ac:dyDescent="0.2">
      <c r="A612" s="179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</row>
    <row r="613" spans="1:40" ht="12" customHeight="1" x14ac:dyDescent="0.2">
      <c r="A613" s="179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</row>
    <row r="614" spans="1:40" ht="12" customHeight="1" x14ac:dyDescent="0.2">
      <c r="A614" s="179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8"/>
    </row>
    <row r="615" spans="1:40" ht="12" customHeight="1" x14ac:dyDescent="0.2">
      <c r="A615" s="179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</row>
    <row r="616" spans="1:40" ht="12" customHeight="1" x14ac:dyDescent="0.2">
      <c r="A616" s="179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</row>
    <row r="617" spans="1:40" ht="12" customHeight="1" x14ac:dyDescent="0.2">
      <c r="A617" s="179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</row>
    <row r="618" spans="1:40" ht="12" customHeight="1" x14ac:dyDescent="0.2">
      <c r="A618" s="179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8"/>
    </row>
    <row r="619" spans="1:40" ht="12" customHeight="1" x14ac:dyDescent="0.2">
      <c r="A619" s="179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</row>
    <row r="620" spans="1:40" ht="12" customHeight="1" x14ac:dyDescent="0.2">
      <c r="A620" s="179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8"/>
    </row>
    <row r="621" spans="1:40" ht="12" customHeight="1" x14ac:dyDescent="0.2">
      <c r="A621" s="179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8"/>
    </row>
    <row r="622" spans="1:40" ht="12" customHeight="1" x14ac:dyDescent="0.2">
      <c r="A622" s="179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8"/>
    </row>
    <row r="623" spans="1:40" ht="12" customHeight="1" x14ac:dyDescent="0.2">
      <c r="A623" s="179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8"/>
    </row>
    <row r="624" spans="1:40" ht="12" customHeight="1" x14ac:dyDescent="0.2">
      <c r="A624" s="179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8"/>
    </row>
    <row r="625" spans="1:40" ht="12" customHeight="1" x14ac:dyDescent="0.2">
      <c r="A625" s="179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8"/>
    </row>
    <row r="626" spans="1:40" ht="12" customHeight="1" x14ac:dyDescent="0.2">
      <c r="A626" s="179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</row>
    <row r="627" spans="1:40" ht="12" customHeight="1" x14ac:dyDescent="0.2">
      <c r="A627" s="179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</row>
    <row r="628" spans="1:40" ht="12" customHeight="1" x14ac:dyDescent="0.2">
      <c r="A628" s="179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</row>
    <row r="629" spans="1:40" ht="12" customHeight="1" x14ac:dyDescent="0.2">
      <c r="A629" s="179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</row>
    <row r="630" spans="1:40" ht="12" customHeight="1" x14ac:dyDescent="0.2">
      <c r="A630" s="179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8"/>
    </row>
    <row r="631" spans="1:40" ht="12" customHeight="1" x14ac:dyDescent="0.2">
      <c r="A631" s="179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8"/>
    </row>
    <row r="632" spans="1:40" ht="12" customHeight="1" x14ac:dyDescent="0.2">
      <c r="A632" s="179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</row>
    <row r="633" spans="1:40" ht="12" customHeight="1" x14ac:dyDescent="0.2">
      <c r="A633" s="179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</row>
    <row r="634" spans="1:40" ht="12" customHeight="1" x14ac:dyDescent="0.2">
      <c r="A634" s="179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8"/>
    </row>
    <row r="635" spans="1:40" ht="12" customHeight="1" x14ac:dyDescent="0.2">
      <c r="A635" s="179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8"/>
    </row>
    <row r="636" spans="1:40" ht="12" customHeight="1" x14ac:dyDescent="0.2">
      <c r="A636" s="179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</row>
    <row r="637" spans="1:40" ht="12" customHeight="1" x14ac:dyDescent="0.2">
      <c r="A637" s="179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</row>
    <row r="638" spans="1:40" ht="12" customHeight="1" x14ac:dyDescent="0.2">
      <c r="A638" s="179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</row>
    <row r="639" spans="1:40" ht="12" customHeight="1" x14ac:dyDescent="0.2">
      <c r="A639" s="179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8"/>
    </row>
    <row r="640" spans="1:40" ht="12" customHeight="1" x14ac:dyDescent="0.2">
      <c r="A640" s="179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</row>
    <row r="641" spans="1:40" ht="12" customHeight="1" x14ac:dyDescent="0.2">
      <c r="A641" s="179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8"/>
    </row>
    <row r="642" spans="1:40" ht="12" customHeight="1" x14ac:dyDescent="0.2">
      <c r="A642" s="179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8"/>
    </row>
    <row r="643" spans="1:40" ht="12" customHeight="1" x14ac:dyDescent="0.2">
      <c r="A643" s="179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8"/>
    </row>
    <row r="644" spans="1:40" ht="12" customHeight="1" x14ac:dyDescent="0.2">
      <c r="A644" s="179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</row>
    <row r="645" spans="1:40" ht="12" customHeight="1" x14ac:dyDescent="0.2">
      <c r="A645" s="179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8"/>
    </row>
    <row r="646" spans="1:40" ht="12" customHeight="1" x14ac:dyDescent="0.2">
      <c r="A646" s="179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</row>
    <row r="647" spans="1:40" ht="12" customHeight="1" x14ac:dyDescent="0.2">
      <c r="A647" s="179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8"/>
    </row>
    <row r="648" spans="1:40" ht="12" customHeight="1" x14ac:dyDescent="0.2">
      <c r="A648" s="179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</row>
    <row r="649" spans="1:40" ht="12" customHeight="1" x14ac:dyDescent="0.2">
      <c r="A649" s="179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</row>
    <row r="650" spans="1:40" ht="12" customHeight="1" x14ac:dyDescent="0.2">
      <c r="A650" s="179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</row>
    <row r="651" spans="1:40" ht="12" customHeight="1" x14ac:dyDescent="0.2">
      <c r="A651" s="179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</row>
    <row r="652" spans="1:40" ht="12" customHeight="1" x14ac:dyDescent="0.2">
      <c r="A652" s="179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</row>
    <row r="653" spans="1:40" ht="12" customHeight="1" x14ac:dyDescent="0.2">
      <c r="A653" s="179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</row>
    <row r="654" spans="1:40" ht="12" customHeight="1" x14ac:dyDescent="0.2">
      <c r="A654" s="179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</row>
    <row r="655" spans="1:40" ht="12" customHeight="1" x14ac:dyDescent="0.2">
      <c r="A655" s="179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</row>
    <row r="656" spans="1:40" ht="12" customHeight="1" x14ac:dyDescent="0.2">
      <c r="A656" s="179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</row>
    <row r="657" spans="1:40" ht="12" customHeight="1" x14ac:dyDescent="0.2">
      <c r="A657" s="179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</row>
    <row r="658" spans="1:40" ht="12" customHeight="1" x14ac:dyDescent="0.2">
      <c r="A658" s="179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</row>
    <row r="659" spans="1:40" ht="12" customHeight="1" x14ac:dyDescent="0.2">
      <c r="A659" s="179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/>
    </row>
    <row r="660" spans="1:40" ht="12" customHeight="1" x14ac:dyDescent="0.2">
      <c r="A660" s="179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</row>
    <row r="661" spans="1:40" ht="12" customHeight="1" x14ac:dyDescent="0.2">
      <c r="A661" s="179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</row>
    <row r="662" spans="1:40" ht="12" customHeight="1" x14ac:dyDescent="0.2">
      <c r="A662" s="179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</row>
    <row r="663" spans="1:40" ht="12" customHeight="1" x14ac:dyDescent="0.2">
      <c r="A663" s="179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</row>
    <row r="664" spans="1:40" ht="12" customHeight="1" x14ac:dyDescent="0.2">
      <c r="A664" s="179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</row>
    <row r="665" spans="1:40" ht="12" customHeight="1" x14ac:dyDescent="0.2">
      <c r="A665" s="179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</row>
    <row r="666" spans="1:40" ht="12" customHeight="1" x14ac:dyDescent="0.2">
      <c r="A666" s="179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</row>
    <row r="667" spans="1:40" ht="12" customHeight="1" x14ac:dyDescent="0.2">
      <c r="A667" s="179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</row>
    <row r="668" spans="1:40" ht="12" customHeight="1" x14ac:dyDescent="0.2">
      <c r="A668" s="179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</row>
    <row r="669" spans="1:40" ht="12" customHeight="1" x14ac:dyDescent="0.2">
      <c r="A669" s="179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</row>
    <row r="670" spans="1:40" ht="12" customHeight="1" x14ac:dyDescent="0.2">
      <c r="A670" s="179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</row>
    <row r="671" spans="1:40" ht="12" customHeight="1" x14ac:dyDescent="0.2">
      <c r="A671" s="179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</row>
    <row r="672" spans="1:40" ht="12" customHeight="1" x14ac:dyDescent="0.2">
      <c r="A672" s="179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</row>
    <row r="673" spans="1:40" ht="12" customHeight="1" x14ac:dyDescent="0.2">
      <c r="A673" s="179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</row>
    <row r="674" spans="1:40" ht="12" customHeight="1" x14ac:dyDescent="0.2">
      <c r="A674" s="179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</row>
    <row r="675" spans="1:40" ht="12" customHeight="1" x14ac:dyDescent="0.2">
      <c r="A675" s="179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</row>
    <row r="676" spans="1:40" ht="12" customHeight="1" x14ac:dyDescent="0.2">
      <c r="A676" s="179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</row>
    <row r="677" spans="1:40" ht="12" customHeight="1" x14ac:dyDescent="0.2">
      <c r="A677" s="179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</row>
    <row r="678" spans="1:40" ht="12" customHeight="1" x14ac:dyDescent="0.2">
      <c r="A678" s="179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</row>
    <row r="679" spans="1:40" ht="12" customHeight="1" x14ac:dyDescent="0.2">
      <c r="A679" s="179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</row>
    <row r="680" spans="1:40" ht="12" customHeight="1" x14ac:dyDescent="0.2">
      <c r="A680" s="179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</row>
    <row r="681" spans="1:40" ht="12" customHeight="1" x14ac:dyDescent="0.2">
      <c r="A681" s="179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</row>
    <row r="682" spans="1:40" ht="12" customHeight="1" x14ac:dyDescent="0.2">
      <c r="A682" s="179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</row>
    <row r="683" spans="1:40" ht="12" customHeight="1" x14ac:dyDescent="0.2">
      <c r="A683" s="179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</row>
    <row r="684" spans="1:40" ht="12" customHeight="1" x14ac:dyDescent="0.2">
      <c r="A684" s="179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</row>
    <row r="685" spans="1:40" ht="12" customHeight="1" x14ac:dyDescent="0.2">
      <c r="A685" s="179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</row>
    <row r="686" spans="1:40" ht="12" customHeight="1" x14ac:dyDescent="0.2">
      <c r="A686" s="179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</row>
    <row r="687" spans="1:40" ht="12" customHeight="1" x14ac:dyDescent="0.2">
      <c r="A687" s="179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</row>
    <row r="688" spans="1:40" ht="12" customHeight="1" x14ac:dyDescent="0.2">
      <c r="A688" s="179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</row>
    <row r="689" spans="1:40" ht="12" customHeight="1" x14ac:dyDescent="0.2">
      <c r="A689" s="179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</row>
    <row r="690" spans="1:40" ht="12" customHeight="1" x14ac:dyDescent="0.2">
      <c r="A690" s="179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</row>
    <row r="691" spans="1:40" ht="12" customHeight="1" x14ac:dyDescent="0.2">
      <c r="A691" s="179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</row>
    <row r="692" spans="1:40" ht="12" customHeight="1" x14ac:dyDescent="0.2">
      <c r="A692" s="179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</row>
    <row r="693" spans="1:40" ht="12" customHeight="1" x14ac:dyDescent="0.2">
      <c r="A693" s="179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</row>
    <row r="694" spans="1:40" ht="12" customHeight="1" x14ac:dyDescent="0.2">
      <c r="A694" s="179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</row>
    <row r="695" spans="1:40" ht="12" customHeight="1" x14ac:dyDescent="0.2">
      <c r="A695" s="179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</row>
    <row r="696" spans="1:40" ht="12" customHeight="1" x14ac:dyDescent="0.2">
      <c r="A696" s="179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</row>
    <row r="697" spans="1:40" ht="12" customHeight="1" x14ac:dyDescent="0.2">
      <c r="A697" s="179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</row>
    <row r="698" spans="1:40" ht="12" customHeight="1" x14ac:dyDescent="0.2">
      <c r="A698" s="179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</row>
    <row r="699" spans="1:40" ht="12" customHeight="1" x14ac:dyDescent="0.2">
      <c r="A699" s="179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</row>
    <row r="700" spans="1:40" ht="12" customHeight="1" x14ac:dyDescent="0.2">
      <c r="A700" s="179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</row>
    <row r="701" spans="1:40" ht="12" customHeight="1" x14ac:dyDescent="0.2">
      <c r="A701" s="179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</row>
    <row r="702" spans="1:40" ht="12" customHeight="1" x14ac:dyDescent="0.2">
      <c r="A702" s="179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</row>
    <row r="703" spans="1:40" ht="12" customHeight="1" x14ac:dyDescent="0.2">
      <c r="A703" s="179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</row>
    <row r="704" spans="1:40" ht="12" customHeight="1" x14ac:dyDescent="0.2">
      <c r="A704" s="179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</row>
    <row r="705" spans="1:40" ht="12" customHeight="1" x14ac:dyDescent="0.2">
      <c r="A705" s="179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</row>
    <row r="706" spans="1:40" ht="12" customHeight="1" x14ac:dyDescent="0.2">
      <c r="A706" s="179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</row>
    <row r="707" spans="1:40" ht="12" customHeight="1" x14ac:dyDescent="0.2">
      <c r="A707" s="179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</row>
    <row r="708" spans="1:40" ht="12" customHeight="1" x14ac:dyDescent="0.2">
      <c r="A708" s="179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</row>
    <row r="709" spans="1:40" ht="12" customHeight="1" x14ac:dyDescent="0.2">
      <c r="A709" s="179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8"/>
    </row>
    <row r="710" spans="1:40" ht="12" customHeight="1" x14ac:dyDescent="0.2">
      <c r="A710" s="179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8"/>
    </row>
    <row r="711" spans="1:40" ht="12" customHeight="1" x14ac:dyDescent="0.2">
      <c r="A711" s="179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8"/>
    </row>
    <row r="712" spans="1:40" ht="12" customHeight="1" x14ac:dyDescent="0.2">
      <c r="A712" s="179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8"/>
    </row>
    <row r="713" spans="1:40" ht="12" customHeight="1" x14ac:dyDescent="0.2">
      <c r="A713" s="179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</row>
    <row r="714" spans="1:40" ht="12" customHeight="1" x14ac:dyDescent="0.2">
      <c r="A714" s="179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</row>
    <row r="715" spans="1:40" ht="12" customHeight="1" x14ac:dyDescent="0.2">
      <c r="A715" s="179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8"/>
    </row>
    <row r="716" spans="1:40" ht="12" customHeight="1" x14ac:dyDescent="0.2">
      <c r="A716" s="179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8"/>
    </row>
    <row r="717" spans="1:40" ht="12" customHeight="1" x14ac:dyDescent="0.2">
      <c r="A717" s="179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</row>
    <row r="718" spans="1:40" ht="12" customHeight="1" x14ac:dyDescent="0.2">
      <c r="A718" s="179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</row>
    <row r="719" spans="1:40" ht="12" customHeight="1" x14ac:dyDescent="0.2">
      <c r="A719" s="179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8"/>
    </row>
    <row r="720" spans="1:40" ht="12" customHeight="1" x14ac:dyDescent="0.2">
      <c r="A720" s="179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8"/>
    </row>
    <row r="721" spans="1:40" ht="12" customHeight="1" x14ac:dyDescent="0.2">
      <c r="A721" s="179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8"/>
    </row>
    <row r="722" spans="1:40" ht="12" customHeight="1" x14ac:dyDescent="0.2">
      <c r="A722" s="179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8"/>
    </row>
    <row r="723" spans="1:40" ht="12" customHeight="1" x14ac:dyDescent="0.2">
      <c r="A723" s="179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</row>
    <row r="724" spans="1:40" ht="12" customHeight="1" x14ac:dyDescent="0.2">
      <c r="A724" s="179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8"/>
    </row>
    <row r="725" spans="1:40" ht="12" customHeight="1" x14ac:dyDescent="0.2">
      <c r="A725" s="179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8"/>
    </row>
    <row r="726" spans="1:40" ht="12" customHeight="1" x14ac:dyDescent="0.2">
      <c r="A726" s="179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8"/>
    </row>
    <row r="727" spans="1:40" ht="12" customHeight="1" x14ac:dyDescent="0.2">
      <c r="A727" s="179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</row>
    <row r="728" spans="1:40" ht="12" customHeight="1" x14ac:dyDescent="0.2">
      <c r="A728" s="179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</row>
    <row r="729" spans="1:40" ht="12" customHeight="1" x14ac:dyDescent="0.2">
      <c r="A729" s="179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</row>
    <row r="730" spans="1:40" ht="12" customHeight="1" x14ac:dyDescent="0.2">
      <c r="A730" s="179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8"/>
    </row>
    <row r="731" spans="1:40" ht="12" customHeight="1" x14ac:dyDescent="0.2">
      <c r="A731" s="179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8"/>
    </row>
    <row r="732" spans="1:40" ht="12" customHeight="1" x14ac:dyDescent="0.2">
      <c r="A732" s="179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</row>
    <row r="733" spans="1:40" ht="12" customHeight="1" x14ac:dyDescent="0.2">
      <c r="A733" s="179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</row>
    <row r="734" spans="1:40" ht="12" customHeight="1" x14ac:dyDescent="0.2">
      <c r="A734" s="179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</row>
    <row r="735" spans="1:40" ht="12" customHeight="1" x14ac:dyDescent="0.2">
      <c r="A735" s="179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8"/>
    </row>
    <row r="736" spans="1:40" ht="12" customHeight="1" x14ac:dyDescent="0.2">
      <c r="A736" s="179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8"/>
    </row>
    <row r="737" spans="1:40" ht="12" customHeight="1" x14ac:dyDescent="0.2">
      <c r="A737" s="179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</row>
    <row r="738" spans="1:40" ht="12" customHeight="1" x14ac:dyDescent="0.2">
      <c r="A738" s="179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</row>
    <row r="739" spans="1:40" ht="12" customHeight="1" x14ac:dyDescent="0.2">
      <c r="A739" s="179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8"/>
    </row>
    <row r="740" spans="1:40" ht="12" customHeight="1" x14ac:dyDescent="0.2">
      <c r="A740" s="179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8"/>
    </row>
    <row r="741" spans="1:40" ht="12" customHeight="1" x14ac:dyDescent="0.2">
      <c r="A741" s="179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8"/>
    </row>
    <row r="742" spans="1:40" ht="12" customHeight="1" x14ac:dyDescent="0.2">
      <c r="A742" s="179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</row>
    <row r="743" spans="1:40" ht="12" customHeight="1" x14ac:dyDescent="0.2">
      <c r="A743" s="179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</row>
    <row r="744" spans="1:40" ht="12" customHeight="1" x14ac:dyDescent="0.2">
      <c r="A744" s="179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</row>
    <row r="745" spans="1:40" ht="12" customHeight="1" x14ac:dyDescent="0.2">
      <c r="A745" s="179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</row>
    <row r="746" spans="1:40" ht="12" customHeight="1" x14ac:dyDescent="0.2">
      <c r="A746" s="179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</row>
    <row r="747" spans="1:40" ht="12" customHeight="1" x14ac:dyDescent="0.2">
      <c r="A747" s="179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8"/>
    </row>
    <row r="748" spans="1:40" ht="12" customHeight="1" x14ac:dyDescent="0.2">
      <c r="A748" s="179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</row>
    <row r="749" spans="1:40" ht="12" customHeight="1" x14ac:dyDescent="0.2">
      <c r="A749" s="179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</row>
    <row r="750" spans="1:40" ht="12" customHeight="1" x14ac:dyDescent="0.2">
      <c r="A750" s="179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</row>
    <row r="751" spans="1:40" ht="12" customHeight="1" x14ac:dyDescent="0.2">
      <c r="A751" s="179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</row>
    <row r="752" spans="1:40" ht="12" customHeight="1" x14ac:dyDescent="0.2">
      <c r="A752" s="179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</row>
    <row r="753" spans="1:40" ht="12" customHeight="1" x14ac:dyDescent="0.2">
      <c r="A753" s="179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</row>
    <row r="754" spans="1:40" ht="12" customHeight="1" x14ac:dyDescent="0.2">
      <c r="A754" s="179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8"/>
    </row>
    <row r="755" spans="1:40" ht="12" customHeight="1" x14ac:dyDescent="0.2">
      <c r="A755" s="179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</row>
    <row r="756" spans="1:40" ht="12" customHeight="1" x14ac:dyDescent="0.2">
      <c r="A756" s="179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</row>
    <row r="757" spans="1:40" ht="12" customHeight="1" x14ac:dyDescent="0.2">
      <c r="A757" s="179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8"/>
    </row>
    <row r="758" spans="1:40" ht="12" customHeight="1" x14ac:dyDescent="0.2">
      <c r="A758" s="179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8"/>
    </row>
    <row r="759" spans="1:40" ht="12" customHeight="1" x14ac:dyDescent="0.2">
      <c r="A759" s="179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</row>
    <row r="760" spans="1:40" ht="12" customHeight="1" x14ac:dyDescent="0.2">
      <c r="A760" s="179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</row>
    <row r="761" spans="1:40" ht="12" customHeight="1" x14ac:dyDescent="0.2">
      <c r="A761" s="179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</row>
    <row r="762" spans="1:40" ht="12" customHeight="1" x14ac:dyDescent="0.2">
      <c r="A762" s="179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</row>
    <row r="763" spans="1:40" ht="12" customHeight="1" x14ac:dyDescent="0.2">
      <c r="A763" s="179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</row>
    <row r="764" spans="1:40" ht="12" customHeight="1" x14ac:dyDescent="0.2">
      <c r="A764" s="179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</row>
    <row r="765" spans="1:40" ht="12" customHeight="1" x14ac:dyDescent="0.2">
      <c r="A765" s="179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</row>
    <row r="766" spans="1:40" ht="12" customHeight="1" x14ac:dyDescent="0.2">
      <c r="A766" s="179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8"/>
    </row>
    <row r="767" spans="1:40" ht="12" customHeight="1" x14ac:dyDescent="0.2">
      <c r="A767" s="179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</row>
    <row r="768" spans="1:40" ht="12" customHeight="1" x14ac:dyDescent="0.2">
      <c r="A768" s="179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8"/>
    </row>
    <row r="769" spans="1:40" ht="12" customHeight="1" x14ac:dyDescent="0.2">
      <c r="A769" s="179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8"/>
    </row>
    <row r="770" spans="1:40" ht="12" customHeight="1" x14ac:dyDescent="0.2">
      <c r="A770" s="179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</row>
    <row r="771" spans="1:40" ht="12" customHeight="1" x14ac:dyDescent="0.2">
      <c r="A771" s="179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</row>
    <row r="772" spans="1:40" ht="12" customHeight="1" x14ac:dyDescent="0.2">
      <c r="A772" s="179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</row>
    <row r="773" spans="1:40" ht="12" customHeight="1" x14ac:dyDescent="0.2">
      <c r="A773" s="179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</row>
    <row r="774" spans="1:40" ht="12" customHeight="1" x14ac:dyDescent="0.2">
      <c r="A774" s="179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</row>
    <row r="775" spans="1:40" ht="12" customHeight="1" x14ac:dyDescent="0.2">
      <c r="A775" s="179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</row>
    <row r="776" spans="1:40" ht="12" customHeight="1" x14ac:dyDescent="0.2">
      <c r="A776" s="179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</row>
    <row r="777" spans="1:40" ht="12" customHeight="1" x14ac:dyDescent="0.2">
      <c r="A777" s="179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</row>
    <row r="778" spans="1:40" ht="12" customHeight="1" x14ac:dyDescent="0.2">
      <c r="A778" s="179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</row>
    <row r="779" spans="1:40" ht="12" customHeight="1" x14ac:dyDescent="0.2">
      <c r="A779" s="179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</row>
    <row r="780" spans="1:40" ht="12" customHeight="1" x14ac:dyDescent="0.2">
      <c r="A780" s="179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</row>
    <row r="781" spans="1:40" ht="12" customHeight="1" x14ac:dyDescent="0.2">
      <c r="A781" s="179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</row>
    <row r="782" spans="1:40" ht="12" customHeight="1" x14ac:dyDescent="0.2">
      <c r="A782" s="179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</row>
    <row r="783" spans="1:40" ht="12" customHeight="1" x14ac:dyDescent="0.2">
      <c r="A783" s="179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</row>
    <row r="784" spans="1:40" ht="12" customHeight="1" x14ac:dyDescent="0.2">
      <c r="A784" s="179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</row>
    <row r="785" spans="1:40" ht="12" customHeight="1" x14ac:dyDescent="0.2">
      <c r="A785" s="179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</row>
    <row r="786" spans="1:40" ht="12" customHeight="1" x14ac:dyDescent="0.2">
      <c r="A786" s="179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8"/>
    </row>
    <row r="787" spans="1:40" ht="12" customHeight="1" x14ac:dyDescent="0.2">
      <c r="A787" s="179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8"/>
    </row>
    <row r="788" spans="1:40" ht="12" customHeight="1" x14ac:dyDescent="0.2">
      <c r="A788" s="179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8"/>
    </row>
    <row r="789" spans="1:40" ht="12" customHeight="1" x14ac:dyDescent="0.2">
      <c r="A789" s="179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</row>
    <row r="790" spans="1:40" ht="12" customHeight="1" x14ac:dyDescent="0.2">
      <c r="A790" s="179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</row>
    <row r="791" spans="1:40" ht="12" customHeight="1" x14ac:dyDescent="0.2">
      <c r="A791" s="179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</row>
    <row r="792" spans="1:40" ht="12" customHeight="1" x14ac:dyDescent="0.2">
      <c r="A792" s="179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</row>
    <row r="793" spans="1:40" ht="12" customHeight="1" x14ac:dyDescent="0.2">
      <c r="A793" s="179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</row>
    <row r="794" spans="1:40" ht="12" customHeight="1" x14ac:dyDescent="0.2">
      <c r="A794" s="179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</row>
    <row r="795" spans="1:40" ht="12" customHeight="1" x14ac:dyDescent="0.2">
      <c r="A795" s="179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</row>
    <row r="796" spans="1:40" ht="12" customHeight="1" x14ac:dyDescent="0.2">
      <c r="A796" s="179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</row>
    <row r="797" spans="1:40" ht="12" customHeight="1" x14ac:dyDescent="0.2">
      <c r="A797" s="179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</row>
    <row r="798" spans="1:40" ht="12" customHeight="1" x14ac:dyDescent="0.2">
      <c r="A798" s="179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</row>
    <row r="799" spans="1:40" ht="12" customHeight="1" x14ac:dyDescent="0.2">
      <c r="A799" s="179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</row>
    <row r="800" spans="1:40" ht="12" customHeight="1" x14ac:dyDescent="0.2">
      <c r="A800" s="179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</row>
    <row r="801" spans="1:40" ht="12" customHeight="1" x14ac:dyDescent="0.2">
      <c r="A801" s="179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</row>
    <row r="802" spans="1:40" ht="12" customHeight="1" x14ac:dyDescent="0.2">
      <c r="A802" s="179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</row>
    <row r="803" spans="1:40" ht="12" customHeight="1" x14ac:dyDescent="0.2">
      <c r="A803" s="179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</row>
    <row r="804" spans="1:40" ht="12" customHeight="1" x14ac:dyDescent="0.2">
      <c r="A804" s="179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</row>
    <row r="805" spans="1:40" ht="12" customHeight="1" x14ac:dyDescent="0.2">
      <c r="A805" s="179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</row>
    <row r="806" spans="1:40" ht="12" customHeight="1" x14ac:dyDescent="0.2">
      <c r="A806" s="179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</row>
    <row r="807" spans="1:40" ht="12" customHeight="1" x14ac:dyDescent="0.2">
      <c r="A807" s="179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</row>
    <row r="808" spans="1:40" ht="12" customHeight="1" x14ac:dyDescent="0.2">
      <c r="A808" s="179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8"/>
    </row>
    <row r="809" spans="1:40" ht="12" customHeight="1" x14ac:dyDescent="0.2">
      <c r="A809" s="179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8"/>
    </row>
    <row r="810" spans="1:40" ht="12" customHeight="1" x14ac:dyDescent="0.2">
      <c r="A810" s="179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8"/>
    </row>
    <row r="811" spans="1:40" ht="12" customHeight="1" x14ac:dyDescent="0.2">
      <c r="A811" s="179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8"/>
    </row>
    <row r="812" spans="1:40" ht="12" customHeight="1" x14ac:dyDescent="0.2">
      <c r="A812" s="179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8"/>
    </row>
    <row r="813" spans="1:40" ht="12" customHeight="1" x14ac:dyDescent="0.2">
      <c r="A813" s="179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8"/>
    </row>
    <row r="814" spans="1:40" ht="12" customHeight="1" x14ac:dyDescent="0.2">
      <c r="A814" s="179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8"/>
    </row>
    <row r="815" spans="1:40" ht="12" customHeight="1" x14ac:dyDescent="0.2">
      <c r="A815" s="179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8"/>
    </row>
    <row r="816" spans="1:40" ht="12" customHeight="1" x14ac:dyDescent="0.2">
      <c r="A816" s="179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8"/>
    </row>
    <row r="817" spans="1:40" ht="12" customHeight="1" x14ac:dyDescent="0.2">
      <c r="A817" s="179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8"/>
    </row>
    <row r="818" spans="1:40" ht="12" customHeight="1" x14ac:dyDescent="0.2">
      <c r="A818" s="179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8"/>
    </row>
    <row r="819" spans="1:40" ht="12" customHeight="1" x14ac:dyDescent="0.2">
      <c r="A819" s="179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8"/>
    </row>
    <row r="820" spans="1:40" ht="12" customHeight="1" x14ac:dyDescent="0.2">
      <c r="A820" s="179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8"/>
    </row>
    <row r="821" spans="1:40" ht="12" customHeight="1" x14ac:dyDescent="0.2">
      <c r="A821" s="179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8"/>
    </row>
    <row r="822" spans="1:40" ht="12" customHeight="1" x14ac:dyDescent="0.2">
      <c r="A822" s="179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8"/>
    </row>
    <row r="823" spans="1:40" ht="12" customHeight="1" x14ac:dyDescent="0.2">
      <c r="A823" s="179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8"/>
    </row>
    <row r="824" spans="1:40" ht="12" customHeight="1" x14ac:dyDescent="0.2">
      <c r="A824" s="179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8"/>
    </row>
    <row r="825" spans="1:40" ht="12" customHeight="1" x14ac:dyDescent="0.2">
      <c r="A825" s="179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8"/>
    </row>
    <row r="826" spans="1:40" ht="12" customHeight="1" x14ac:dyDescent="0.2">
      <c r="A826" s="179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8"/>
    </row>
    <row r="827" spans="1:40" ht="12" customHeight="1" x14ac:dyDescent="0.2">
      <c r="A827" s="179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8"/>
    </row>
    <row r="828" spans="1:40" ht="12" customHeight="1" x14ac:dyDescent="0.2">
      <c r="A828" s="179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8"/>
    </row>
    <row r="829" spans="1:40" ht="12" customHeight="1" x14ac:dyDescent="0.2">
      <c r="A829" s="179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8"/>
    </row>
    <row r="830" spans="1:40" ht="12" customHeight="1" x14ac:dyDescent="0.2">
      <c r="A830" s="179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8"/>
    </row>
    <row r="831" spans="1:40" ht="12" customHeight="1" x14ac:dyDescent="0.2">
      <c r="A831" s="179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8"/>
    </row>
    <row r="832" spans="1:40" ht="12" customHeight="1" x14ac:dyDescent="0.2">
      <c r="A832" s="179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8"/>
    </row>
    <row r="833" spans="1:40" ht="12" customHeight="1" x14ac:dyDescent="0.2">
      <c r="A833" s="179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8"/>
    </row>
    <row r="834" spans="1:40" ht="12" customHeight="1" x14ac:dyDescent="0.2">
      <c r="A834" s="179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8"/>
    </row>
    <row r="835" spans="1:40" ht="12" customHeight="1" x14ac:dyDescent="0.2">
      <c r="A835" s="179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8"/>
    </row>
    <row r="836" spans="1:40" ht="12" customHeight="1" x14ac:dyDescent="0.2">
      <c r="A836" s="179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8"/>
    </row>
    <row r="837" spans="1:40" ht="12" customHeight="1" x14ac:dyDescent="0.2">
      <c r="A837" s="179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8"/>
    </row>
    <row r="838" spans="1:40" ht="12" customHeight="1" x14ac:dyDescent="0.2">
      <c r="A838" s="179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8"/>
    </row>
    <row r="839" spans="1:40" ht="12" customHeight="1" x14ac:dyDescent="0.2">
      <c r="A839" s="179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</row>
    <row r="840" spans="1:40" ht="12" customHeight="1" x14ac:dyDescent="0.2">
      <c r="A840" s="179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8"/>
    </row>
    <row r="841" spans="1:40" ht="12" customHeight="1" x14ac:dyDescent="0.2">
      <c r="A841" s="179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8"/>
    </row>
    <row r="842" spans="1:40" ht="12" customHeight="1" x14ac:dyDescent="0.2">
      <c r="A842" s="179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8"/>
    </row>
    <row r="843" spans="1:40" ht="12" customHeight="1" x14ac:dyDescent="0.2">
      <c r="A843" s="179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8"/>
    </row>
    <row r="844" spans="1:40" ht="12" customHeight="1" x14ac:dyDescent="0.2">
      <c r="A844" s="179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8"/>
    </row>
    <row r="845" spans="1:40" ht="12" customHeight="1" x14ac:dyDescent="0.2">
      <c r="A845" s="179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8"/>
    </row>
    <row r="846" spans="1:40" ht="12" customHeight="1" x14ac:dyDescent="0.2">
      <c r="A846" s="179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8"/>
    </row>
    <row r="847" spans="1:40" ht="12" customHeight="1" x14ac:dyDescent="0.2">
      <c r="A847" s="179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8"/>
    </row>
    <row r="848" spans="1:40" ht="12" customHeight="1" x14ac:dyDescent="0.2">
      <c r="A848" s="179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8"/>
    </row>
    <row r="849" spans="1:40" ht="12" customHeight="1" x14ac:dyDescent="0.2">
      <c r="A849" s="179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8"/>
    </row>
    <row r="850" spans="1:40" ht="12" customHeight="1" x14ac:dyDescent="0.2">
      <c r="A850" s="179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8"/>
    </row>
    <row r="851" spans="1:40" ht="12" customHeight="1" x14ac:dyDescent="0.2">
      <c r="A851" s="179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8"/>
    </row>
    <row r="852" spans="1:40" ht="12" customHeight="1" x14ac:dyDescent="0.2">
      <c r="A852" s="179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8"/>
    </row>
    <row r="853" spans="1:40" ht="12" customHeight="1" x14ac:dyDescent="0.2">
      <c r="A853" s="179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</row>
    <row r="854" spans="1:40" ht="12" customHeight="1" x14ac:dyDescent="0.2">
      <c r="A854" s="179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</row>
    <row r="855" spans="1:40" ht="12" customHeight="1" x14ac:dyDescent="0.2">
      <c r="A855" s="179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8"/>
    </row>
    <row r="856" spans="1:40" ht="12" customHeight="1" x14ac:dyDescent="0.2">
      <c r="A856" s="179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8"/>
    </row>
    <row r="857" spans="1:40" ht="12" customHeight="1" x14ac:dyDescent="0.2">
      <c r="A857" s="179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8"/>
    </row>
    <row r="858" spans="1:40" ht="12" customHeight="1" x14ac:dyDescent="0.2">
      <c r="A858" s="179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8"/>
    </row>
    <row r="859" spans="1:40" ht="12" customHeight="1" x14ac:dyDescent="0.2">
      <c r="A859" s="179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8"/>
    </row>
    <row r="860" spans="1:40" ht="12" customHeight="1" x14ac:dyDescent="0.2">
      <c r="A860" s="179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8"/>
    </row>
    <row r="861" spans="1:40" ht="12" customHeight="1" x14ac:dyDescent="0.2">
      <c r="A861" s="179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8"/>
    </row>
    <row r="862" spans="1:40" ht="12" customHeight="1" x14ac:dyDescent="0.2">
      <c r="A862" s="179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</row>
    <row r="863" spans="1:40" ht="12" customHeight="1" x14ac:dyDescent="0.2">
      <c r="A863" s="179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</row>
    <row r="864" spans="1:40" ht="12" customHeight="1" x14ac:dyDescent="0.2">
      <c r="A864" s="179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</row>
    <row r="865" spans="1:40" ht="12" customHeight="1" x14ac:dyDescent="0.2">
      <c r="A865" s="179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</row>
    <row r="866" spans="1:40" ht="12" customHeight="1" x14ac:dyDescent="0.2">
      <c r="A866" s="179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</row>
    <row r="867" spans="1:40" ht="12" customHeight="1" x14ac:dyDescent="0.2">
      <c r="A867" s="179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</row>
    <row r="868" spans="1:40" ht="12" customHeight="1" x14ac:dyDescent="0.2">
      <c r="A868" s="179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</row>
    <row r="869" spans="1:40" ht="12" customHeight="1" x14ac:dyDescent="0.2">
      <c r="A869" s="179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</row>
    <row r="870" spans="1:40" ht="12" customHeight="1" x14ac:dyDescent="0.2">
      <c r="A870" s="179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</row>
    <row r="871" spans="1:40" ht="12" customHeight="1" x14ac:dyDescent="0.2">
      <c r="A871" s="179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</row>
    <row r="872" spans="1:40" ht="12" customHeight="1" x14ac:dyDescent="0.2">
      <c r="A872" s="179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</row>
    <row r="873" spans="1:40" ht="12" customHeight="1" x14ac:dyDescent="0.2">
      <c r="A873" s="179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</row>
    <row r="874" spans="1:40" ht="12" customHeight="1" x14ac:dyDescent="0.2">
      <c r="A874" s="179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</row>
    <row r="875" spans="1:40" ht="12" customHeight="1" x14ac:dyDescent="0.2">
      <c r="A875" s="179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</row>
    <row r="876" spans="1:40" ht="12" customHeight="1" x14ac:dyDescent="0.2">
      <c r="A876" s="179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</row>
    <row r="877" spans="1:40" ht="12" customHeight="1" x14ac:dyDescent="0.2">
      <c r="A877" s="179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</row>
    <row r="878" spans="1:40" ht="12" customHeight="1" x14ac:dyDescent="0.2">
      <c r="A878" s="179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</row>
    <row r="879" spans="1:40" ht="12" customHeight="1" x14ac:dyDescent="0.2">
      <c r="A879" s="179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</row>
    <row r="880" spans="1:40" ht="12" customHeight="1" x14ac:dyDescent="0.2">
      <c r="A880" s="179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</row>
    <row r="881" spans="1:40" ht="12" customHeight="1" x14ac:dyDescent="0.2">
      <c r="A881" s="179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</row>
    <row r="882" spans="1:40" ht="12" customHeight="1" x14ac:dyDescent="0.2">
      <c r="A882" s="179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</row>
    <row r="883" spans="1:40" ht="12" customHeight="1" x14ac:dyDescent="0.2">
      <c r="A883" s="179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</row>
    <row r="884" spans="1:40" ht="12" customHeight="1" x14ac:dyDescent="0.2">
      <c r="A884" s="179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</row>
    <row r="885" spans="1:40" ht="12" customHeight="1" x14ac:dyDescent="0.2">
      <c r="A885" s="179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</row>
    <row r="886" spans="1:40" ht="12" customHeight="1" x14ac:dyDescent="0.2">
      <c r="A886" s="179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</row>
    <row r="887" spans="1:40" ht="12" customHeight="1" x14ac:dyDescent="0.2">
      <c r="A887" s="179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</row>
    <row r="888" spans="1:40" ht="12" customHeight="1" x14ac:dyDescent="0.2">
      <c r="A888" s="179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</row>
    <row r="889" spans="1:40" ht="12" customHeight="1" x14ac:dyDescent="0.2">
      <c r="A889" s="179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</row>
    <row r="890" spans="1:40" ht="12" customHeight="1" x14ac:dyDescent="0.2">
      <c r="A890" s="179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</row>
    <row r="891" spans="1:40" ht="12" customHeight="1" x14ac:dyDescent="0.2">
      <c r="A891" s="179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</row>
    <row r="892" spans="1:40" ht="12" customHeight="1" x14ac:dyDescent="0.2">
      <c r="A892" s="179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</row>
    <row r="893" spans="1:40" ht="12" customHeight="1" x14ac:dyDescent="0.2">
      <c r="A893" s="179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</row>
    <row r="894" spans="1:40" ht="12" customHeight="1" x14ac:dyDescent="0.2">
      <c r="A894" s="179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</row>
    <row r="895" spans="1:40" ht="12" customHeight="1" x14ac:dyDescent="0.2">
      <c r="A895" s="179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</row>
    <row r="896" spans="1:40" ht="12" customHeight="1" x14ac:dyDescent="0.2">
      <c r="A896" s="179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</row>
    <row r="897" spans="1:40" ht="12" customHeight="1" x14ac:dyDescent="0.2">
      <c r="A897" s="179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</row>
    <row r="898" spans="1:40" ht="12" customHeight="1" x14ac:dyDescent="0.2">
      <c r="A898" s="179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</row>
    <row r="899" spans="1:40" ht="12" customHeight="1" x14ac:dyDescent="0.2">
      <c r="A899" s="179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</row>
    <row r="900" spans="1:40" ht="12" customHeight="1" x14ac:dyDescent="0.2">
      <c r="A900" s="179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</row>
    <row r="901" spans="1:40" ht="12" customHeight="1" x14ac:dyDescent="0.2">
      <c r="A901" s="179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</row>
    <row r="902" spans="1:40" ht="12" customHeight="1" x14ac:dyDescent="0.2">
      <c r="A902" s="179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</row>
    <row r="903" spans="1:40" ht="12" customHeight="1" x14ac:dyDescent="0.2">
      <c r="A903" s="179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</row>
    <row r="904" spans="1:40" ht="12" customHeight="1" x14ac:dyDescent="0.2">
      <c r="A904" s="179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</row>
    <row r="905" spans="1:40" ht="12" customHeight="1" x14ac:dyDescent="0.2">
      <c r="A905" s="179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</row>
    <row r="906" spans="1:40" ht="12" customHeight="1" x14ac:dyDescent="0.2">
      <c r="A906" s="179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</row>
    <row r="907" spans="1:40" ht="12" customHeight="1" x14ac:dyDescent="0.2">
      <c r="A907" s="179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</row>
    <row r="908" spans="1:40" ht="12" customHeight="1" x14ac:dyDescent="0.2">
      <c r="A908" s="179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</row>
    <row r="909" spans="1:40" ht="12" customHeight="1" x14ac:dyDescent="0.2">
      <c r="A909" s="179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</row>
    <row r="910" spans="1:40" ht="12" customHeight="1" x14ac:dyDescent="0.2">
      <c r="A910" s="179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</row>
    <row r="911" spans="1:40" ht="12" customHeight="1" x14ac:dyDescent="0.2">
      <c r="A911" s="179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</row>
    <row r="912" spans="1:40" ht="12" customHeight="1" x14ac:dyDescent="0.2">
      <c r="A912" s="179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</row>
    <row r="913" spans="1:40" ht="12" customHeight="1" x14ac:dyDescent="0.2">
      <c r="A913" s="179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</row>
    <row r="914" spans="1:40" ht="12" customHeight="1" x14ac:dyDescent="0.2">
      <c r="A914" s="179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</row>
    <row r="915" spans="1:40" ht="12" customHeight="1" x14ac:dyDescent="0.2">
      <c r="A915" s="179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</row>
    <row r="916" spans="1:40" ht="12" customHeight="1" x14ac:dyDescent="0.2">
      <c r="A916" s="179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</row>
    <row r="917" spans="1:40" ht="12" customHeight="1" x14ac:dyDescent="0.2">
      <c r="A917" s="179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</row>
    <row r="918" spans="1:40" ht="12" customHeight="1" x14ac:dyDescent="0.2">
      <c r="A918" s="179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</row>
    <row r="919" spans="1:40" ht="12" customHeight="1" x14ac:dyDescent="0.2">
      <c r="A919" s="179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</row>
    <row r="920" spans="1:40" ht="12" customHeight="1" x14ac:dyDescent="0.2">
      <c r="A920" s="179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</row>
    <row r="921" spans="1:40" ht="12" customHeight="1" x14ac:dyDescent="0.2">
      <c r="A921" s="179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</row>
    <row r="922" spans="1:40" ht="12" customHeight="1" x14ac:dyDescent="0.2">
      <c r="A922" s="179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</row>
    <row r="923" spans="1:40" ht="12" customHeight="1" x14ac:dyDescent="0.2">
      <c r="A923" s="179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</row>
    <row r="924" spans="1:40" ht="12" customHeight="1" x14ac:dyDescent="0.2">
      <c r="A924" s="179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</row>
    <row r="925" spans="1:40" ht="12" customHeight="1" x14ac:dyDescent="0.2">
      <c r="A925" s="179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</row>
    <row r="926" spans="1:40" ht="12" customHeight="1" x14ac:dyDescent="0.2">
      <c r="A926" s="179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</row>
    <row r="927" spans="1:40" ht="12" customHeight="1" x14ac:dyDescent="0.2">
      <c r="A927" s="179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</row>
    <row r="928" spans="1:40" ht="12" customHeight="1" x14ac:dyDescent="0.2">
      <c r="A928" s="179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</row>
    <row r="929" spans="1:40" ht="12" customHeight="1" x14ac:dyDescent="0.2">
      <c r="A929" s="179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</row>
    <row r="930" spans="1:40" ht="12" customHeight="1" x14ac:dyDescent="0.2">
      <c r="A930" s="179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</row>
    <row r="931" spans="1:40" ht="12" customHeight="1" x14ac:dyDescent="0.2">
      <c r="A931" s="179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</row>
    <row r="932" spans="1:40" ht="12" customHeight="1" x14ac:dyDescent="0.2">
      <c r="A932" s="179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</row>
    <row r="933" spans="1:40" ht="12" customHeight="1" x14ac:dyDescent="0.2">
      <c r="A933" s="179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</row>
    <row r="934" spans="1:40" ht="12" customHeight="1" x14ac:dyDescent="0.2">
      <c r="A934" s="179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</row>
    <row r="935" spans="1:40" ht="12" customHeight="1" x14ac:dyDescent="0.2">
      <c r="A935" s="179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</row>
    <row r="936" spans="1:40" ht="12" customHeight="1" x14ac:dyDescent="0.2">
      <c r="A936" s="179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</row>
    <row r="937" spans="1:40" ht="12" customHeight="1" x14ac:dyDescent="0.2">
      <c r="A937" s="179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</row>
    <row r="938" spans="1:40" ht="12" customHeight="1" x14ac:dyDescent="0.2">
      <c r="A938" s="179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</row>
    <row r="939" spans="1:40" ht="12" customHeight="1" x14ac:dyDescent="0.2">
      <c r="A939" s="179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</row>
    <row r="940" spans="1:40" ht="12" customHeight="1" x14ac:dyDescent="0.2">
      <c r="A940" s="179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</row>
    <row r="941" spans="1:40" ht="12" customHeight="1" x14ac:dyDescent="0.2">
      <c r="A941" s="179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</row>
    <row r="942" spans="1:40" ht="12" customHeight="1" x14ac:dyDescent="0.2">
      <c r="A942" s="179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</row>
    <row r="943" spans="1:40" ht="12" customHeight="1" x14ac:dyDescent="0.2">
      <c r="A943" s="179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</row>
    <row r="944" spans="1:40" ht="12" customHeight="1" x14ac:dyDescent="0.2">
      <c r="A944" s="179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</row>
    <row r="945" spans="1:40" ht="12" customHeight="1" x14ac:dyDescent="0.2">
      <c r="A945" s="179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</row>
    <row r="946" spans="1:40" ht="12" customHeight="1" x14ac:dyDescent="0.2">
      <c r="A946" s="179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</row>
    <row r="947" spans="1:40" ht="12" customHeight="1" x14ac:dyDescent="0.2">
      <c r="A947" s="179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</row>
    <row r="948" spans="1:40" ht="12" customHeight="1" x14ac:dyDescent="0.2">
      <c r="A948" s="179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</row>
    <row r="949" spans="1:40" ht="12" customHeight="1" x14ac:dyDescent="0.2">
      <c r="A949" s="179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</row>
    <row r="950" spans="1:40" ht="12" customHeight="1" x14ac:dyDescent="0.2">
      <c r="A950" s="179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</row>
    <row r="951" spans="1:40" ht="12" customHeight="1" x14ac:dyDescent="0.2">
      <c r="A951" s="179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</row>
    <row r="952" spans="1:40" ht="12" customHeight="1" x14ac:dyDescent="0.2">
      <c r="A952" s="179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</row>
    <row r="953" spans="1:40" ht="12" customHeight="1" x14ac:dyDescent="0.2">
      <c r="A953" s="179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</row>
    <row r="954" spans="1:40" ht="12" customHeight="1" x14ac:dyDescent="0.2">
      <c r="A954" s="179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</row>
    <row r="955" spans="1:40" ht="12" customHeight="1" x14ac:dyDescent="0.2">
      <c r="A955" s="179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</row>
    <row r="956" spans="1:40" ht="12" customHeight="1" x14ac:dyDescent="0.2">
      <c r="A956" s="179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</row>
    <row r="957" spans="1:40" ht="12" customHeight="1" x14ac:dyDescent="0.2">
      <c r="A957" s="179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</row>
    <row r="958" spans="1:40" ht="12" customHeight="1" x14ac:dyDescent="0.2">
      <c r="A958" s="179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</row>
    <row r="959" spans="1:40" ht="12" customHeight="1" x14ac:dyDescent="0.2">
      <c r="A959" s="179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</row>
    <row r="960" spans="1:40" ht="12" customHeight="1" x14ac:dyDescent="0.2">
      <c r="A960" s="179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</row>
    <row r="961" spans="1:40" ht="12" customHeight="1" x14ac:dyDescent="0.2">
      <c r="A961" s="179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</row>
    <row r="962" spans="1:40" ht="12" customHeight="1" x14ac:dyDescent="0.2">
      <c r="A962" s="179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</row>
    <row r="963" spans="1:40" ht="12" customHeight="1" x14ac:dyDescent="0.2">
      <c r="A963" s="179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</row>
    <row r="964" spans="1:40" ht="12" customHeight="1" x14ac:dyDescent="0.2">
      <c r="A964" s="179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</row>
    <row r="965" spans="1:40" ht="12" customHeight="1" x14ac:dyDescent="0.2">
      <c r="A965" s="179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</row>
    <row r="966" spans="1:40" ht="12" customHeight="1" x14ac:dyDescent="0.2">
      <c r="A966" s="179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</row>
    <row r="967" spans="1:40" ht="12" customHeight="1" x14ac:dyDescent="0.2">
      <c r="A967" s="179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</row>
    <row r="968" spans="1:40" ht="12" customHeight="1" x14ac:dyDescent="0.2">
      <c r="A968" s="179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</row>
    <row r="969" spans="1:40" ht="12" customHeight="1" x14ac:dyDescent="0.2">
      <c r="A969" s="179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</row>
    <row r="970" spans="1:40" ht="12" customHeight="1" x14ac:dyDescent="0.2">
      <c r="A970" s="179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</row>
    <row r="971" spans="1:40" ht="12" customHeight="1" x14ac:dyDescent="0.2">
      <c r="A971" s="179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</row>
    <row r="972" spans="1:40" ht="12" customHeight="1" x14ac:dyDescent="0.2">
      <c r="A972" s="179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</row>
    <row r="973" spans="1:40" ht="12" customHeight="1" x14ac:dyDescent="0.2">
      <c r="A973" s="179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</row>
    <row r="974" spans="1:40" ht="12" customHeight="1" x14ac:dyDescent="0.2">
      <c r="A974" s="179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</row>
    <row r="975" spans="1:40" ht="12" customHeight="1" x14ac:dyDescent="0.2">
      <c r="A975" s="179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</row>
    <row r="976" spans="1:40" ht="12" customHeight="1" x14ac:dyDescent="0.2">
      <c r="A976" s="179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</row>
    <row r="977" spans="1:40" ht="12" customHeight="1" x14ac:dyDescent="0.2">
      <c r="A977" s="179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</row>
    <row r="978" spans="1:40" ht="12" customHeight="1" x14ac:dyDescent="0.2">
      <c r="A978" s="179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</row>
    <row r="979" spans="1:40" ht="12" customHeight="1" x14ac:dyDescent="0.2">
      <c r="A979" s="179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</row>
    <row r="980" spans="1:40" ht="12" customHeight="1" x14ac:dyDescent="0.2">
      <c r="A980" s="179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</row>
    <row r="981" spans="1:40" ht="12" customHeight="1" x14ac:dyDescent="0.2">
      <c r="A981" s="179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</row>
    <row r="982" spans="1:40" ht="12" customHeight="1" x14ac:dyDescent="0.2">
      <c r="A982" s="179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</row>
    <row r="983" spans="1:40" ht="12" customHeight="1" x14ac:dyDescent="0.2">
      <c r="A983" s="179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</row>
    <row r="984" spans="1:40" ht="12" customHeight="1" x14ac:dyDescent="0.2">
      <c r="A984" s="179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</row>
    <row r="985" spans="1:40" ht="12" customHeight="1" x14ac:dyDescent="0.2">
      <c r="A985" s="179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</row>
    <row r="986" spans="1:40" ht="12" customHeight="1" x14ac:dyDescent="0.2">
      <c r="A986" s="179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</row>
    <row r="987" spans="1:40" ht="12" customHeight="1" x14ac:dyDescent="0.2">
      <c r="A987" s="179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</row>
    <row r="988" spans="1:40" ht="12" customHeight="1" x14ac:dyDescent="0.2">
      <c r="A988" s="179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</row>
    <row r="989" spans="1:40" ht="12" customHeight="1" x14ac:dyDescent="0.2">
      <c r="A989" s="179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</row>
    <row r="990" spans="1:40" ht="12" customHeight="1" x14ac:dyDescent="0.2">
      <c r="A990" s="179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</row>
    <row r="991" spans="1:40" ht="12" customHeight="1" x14ac:dyDescent="0.2">
      <c r="A991" s="179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</row>
    <row r="992" spans="1:40" ht="12" customHeight="1" x14ac:dyDescent="0.2">
      <c r="A992" s="179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</row>
    <row r="993" spans="1:40" ht="12" customHeight="1" x14ac:dyDescent="0.2">
      <c r="A993" s="179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</row>
    <row r="994" spans="1:40" ht="12" customHeight="1" x14ac:dyDescent="0.2">
      <c r="A994" s="179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</row>
    <row r="995" spans="1:40" ht="12" customHeight="1" x14ac:dyDescent="0.2">
      <c r="A995" s="179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</row>
    <row r="996" spans="1:40" ht="12" customHeight="1" x14ac:dyDescent="0.2">
      <c r="A996" s="179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</row>
    <row r="997" spans="1:40" ht="12" customHeight="1" x14ac:dyDescent="0.2">
      <c r="A997" s="179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</row>
    <row r="998" spans="1:40" ht="12" customHeight="1" x14ac:dyDescent="0.2">
      <c r="A998" s="179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</row>
    <row r="999" spans="1:40" ht="12" customHeight="1" x14ac:dyDescent="0.2">
      <c r="A999" s="179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</row>
    <row r="1000" spans="1:40" ht="12" customHeight="1" x14ac:dyDescent="0.2">
      <c r="A1000" s="179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</row>
    <row r="1001" spans="1:40" ht="12" customHeight="1" x14ac:dyDescent="0.2">
      <c r="A1001" s="179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  <c r="AI1001" s="108"/>
      <c r="AJ1001" s="108"/>
      <c r="AK1001" s="108"/>
      <c r="AL1001" s="108"/>
      <c r="AM1001" s="108"/>
      <c r="AN1001" s="108"/>
    </row>
    <row r="1002" spans="1:40" ht="12" customHeight="1" x14ac:dyDescent="0.2">
      <c r="A1002" s="179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  <c r="AI1002" s="108"/>
      <c r="AJ1002" s="108"/>
      <c r="AK1002" s="108"/>
      <c r="AL1002" s="108"/>
      <c r="AM1002" s="108"/>
      <c r="AN1002" s="108"/>
    </row>
  </sheetData>
  <pageMargins left="0.7" right="0.7" top="0.75" bottom="0.75" header="0" footer="0"/>
  <pageSetup paperSize="9" orientation="portrait"/>
  <ignoredErrors>
    <ignoredError sqref="G35 E2:E33 AB2:AB32 U2:U32" formula="1"/>
    <ignoredError sqref="F35 AJ4:AJ9 AJ14:AJ18 AJ21:AJ24 AJ27:AJ31 AJ34:AJ44 C34:D45 N34:P34 M34:M45 N35:N45 M4:P9 M14:P18 M21:P24 M27:P31 M11:P11 AF34:AI45 AF11:AI11 F11:G11 F27:G31 F21:G24 F14:G18 F4:G9 F36:G45 F34:G34 W11 W27:W31 W21:W24 W14:W18 W4:W9 W34:W45 AC4:AE9 AC14:AE18 AC21:AE24 AC27:AE31 AC11:AE11 AC34:AE45 AF27:AI31 AF21:AI24 AF14:AI18 AF4:AI9 C4:D9 C14:D18 C21:D24 C27:D31 C11:D11 H11:K11 H27:K31 H21:K24 H14:K18 H4:K9 H34:K45 X34:AA45 X11:AA11 X27:AA31 X21:AA24 X14:AA18 X4:AA9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B672-CFFC-564F-88A3-D4D7A4F9DE89}">
  <dimension ref="A1:BN1000"/>
  <sheetViews>
    <sheetView showGridLines="0" zoomScale="160" zoomScaleNormal="160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A31" sqref="AA31"/>
    </sheetView>
  </sheetViews>
  <sheetFormatPr baseColWidth="10" defaultColWidth="14.5" defaultRowHeight="15" customHeight="1" x14ac:dyDescent="0.2"/>
  <cols>
    <col min="1" max="1" width="20.1640625" style="99" customWidth="1"/>
    <col min="2" max="2" width="12" style="99" customWidth="1"/>
    <col min="3" max="3" width="11.33203125" style="99" customWidth="1"/>
    <col min="4" max="4" width="11" style="99" customWidth="1"/>
    <col min="5" max="5" width="11.33203125" style="99" customWidth="1"/>
    <col min="6" max="7" width="12.5" style="99" customWidth="1"/>
    <col min="8" max="8" width="11.5" style="99" customWidth="1"/>
    <col min="9" max="10" width="11.33203125" style="99" customWidth="1"/>
    <col min="11" max="13" width="11" style="99" customWidth="1"/>
    <col min="14" max="16" width="11.5" style="99" customWidth="1"/>
    <col min="17" max="17" width="12.33203125" style="99" customWidth="1"/>
    <col min="18" max="18" width="14.5" style="99" customWidth="1"/>
    <col min="19" max="21" width="11.33203125" style="99" customWidth="1"/>
    <col min="22" max="22" width="13.83203125" style="99" customWidth="1"/>
    <col min="23" max="25" width="10.5" style="99" customWidth="1"/>
    <col min="26" max="27" width="10.6640625" style="99" customWidth="1"/>
    <col min="28" max="28" width="11.33203125" style="99" customWidth="1"/>
    <col min="29" max="30" width="12" style="99" customWidth="1"/>
    <col min="31" max="31" width="14.5" style="99" customWidth="1"/>
    <col min="32" max="33" width="10.5" style="99" customWidth="1"/>
    <col min="34" max="34" width="13.6640625" style="99" customWidth="1"/>
    <col min="35" max="35" width="13" style="99" customWidth="1"/>
    <col min="36" max="38" width="11" style="99" customWidth="1"/>
    <col min="39" max="40" width="10.5" style="99" customWidth="1"/>
    <col min="41" max="42" width="11.33203125" style="99" customWidth="1"/>
    <col min="43" max="43" width="12.33203125" style="99" customWidth="1"/>
    <col min="44" max="44" width="14.5" style="99" customWidth="1"/>
    <col min="45" max="46" width="11.33203125" style="99" customWidth="1"/>
    <col min="47" max="47" width="13.5" style="99" customWidth="1"/>
    <col min="48" max="49" width="11.5" style="99" customWidth="1"/>
    <col min="50" max="51" width="11.33203125" style="99" customWidth="1"/>
    <col min="52" max="52" width="11.5" style="99" customWidth="1"/>
    <col min="53" max="53" width="12.33203125" style="99" customWidth="1"/>
    <col min="54" max="54" width="14.5" style="99" customWidth="1"/>
    <col min="55" max="55" width="13.33203125" style="99" bestFit="1" customWidth="1"/>
    <col min="56" max="56" width="21.6640625" style="99" customWidth="1"/>
    <col min="57" max="57" width="21" style="99" customWidth="1"/>
    <col min="58" max="59" width="11.1640625" style="99" customWidth="1"/>
    <col min="60" max="60" width="10" style="99" customWidth="1"/>
    <col min="61" max="61" width="10.5" style="99" customWidth="1"/>
    <col min="62" max="66" width="11.5" style="99" customWidth="1"/>
    <col min="67" max="16384" width="14.5" style="99"/>
  </cols>
  <sheetData>
    <row r="1" spans="1:66" ht="12" customHeight="1" thickBot="1" x14ac:dyDescent="0.25">
      <c r="A1" s="96" t="s">
        <v>0</v>
      </c>
      <c r="B1" s="97">
        <v>45689</v>
      </c>
      <c r="C1" s="97">
        <f>+B1+1</f>
        <v>45690</v>
      </c>
      <c r="D1" s="97" t="s">
        <v>99</v>
      </c>
      <c r="E1" s="97">
        <f>+C1+1</f>
        <v>45691</v>
      </c>
      <c r="F1" s="97">
        <f t="shared" ref="F1:K1" si="0">+E1+1</f>
        <v>45692</v>
      </c>
      <c r="G1" s="97">
        <f t="shared" si="0"/>
        <v>45693</v>
      </c>
      <c r="H1" s="97">
        <f t="shared" si="0"/>
        <v>45694</v>
      </c>
      <c r="I1" s="97">
        <f t="shared" si="0"/>
        <v>45695</v>
      </c>
      <c r="J1" s="97">
        <f t="shared" si="0"/>
        <v>45696</v>
      </c>
      <c r="K1" s="97">
        <f t="shared" si="0"/>
        <v>45697</v>
      </c>
      <c r="L1" s="97" t="s">
        <v>100</v>
      </c>
      <c r="M1" s="97">
        <f>+K1+1</f>
        <v>45698</v>
      </c>
      <c r="N1" s="97">
        <f t="shared" ref="N1:S1" si="1">+M1+1</f>
        <v>45699</v>
      </c>
      <c r="O1" s="97">
        <f t="shared" si="1"/>
        <v>45700</v>
      </c>
      <c r="P1" s="97">
        <f t="shared" si="1"/>
        <v>45701</v>
      </c>
      <c r="Q1" s="97">
        <f t="shared" si="1"/>
        <v>45702</v>
      </c>
      <c r="R1" s="97">
        <f t="shared" si="1"/>
        <v>45703</v>
      </c>
      <c r="S1" s="98">
        <f t="shared" si="1"/>
        <v>45704</v>
      </c>
      <c r="T1" s="97" t="s">
        <v>101</v>
      </c>
      <c r="U1" s="98">
        <f>+S1+1</f>
        <v>45705</v>
      </c>
      <c r="V1" s="98">
        <f t="shared" ref="V1:AA1" si="2">+U1+1</f>
        <v>45706</v>
      </c>
      <c r="W1" s="98">
        <f t="shared" si="2"/>
        <v>45707</v>
      </c>
      <c r="X1" s="98">
        <f t="shared" si="2"/>
        <v>45708</v>
      </c>
      <c r="Y1" s="98">
        <f t="shared" si="2"/>
        <v>45709</v>
      </c>
      <c r="Z1" s="98">
        <f t="shared" si="2"/>
        <v>45710</v>
      </c>
      <c r="AA1" s="97">
        <f t="shared" si="2"/>
        <v>45711</v>
      </c>
      <c r="AB1" s="97" t="s">
        <v>102</v>
      </c>
      <c r="AC1" s="97">
        <f>+AA1+1</f>
        <v>45712</v>
      </c>
      <c r="AD1" s="97">
        <f>+AC1+1</f>
        <v>45713</v>
      </c>
      <c r="AE1" s="97">
        <f>+AD1+1</f>
        <v>45714</v>
      </c>
      <c r="AF1" s="97">
        <f>+AE1+1</f>
        <v>45715</v>
      </c>
      <c r="AG1" s="97">
        <f>+AF1+1</f>
        <v>45716</v>
      </c>
      <c r="AH1" s="97" t="s">
        <v>115</v>
      </c>
      <c r="BE1" s="100" t="s">
        <v>38</v>
      </c>
      <c r="BF1" s="101"/>
      <c r="BG1" s="102"/>
      <c r="BH1" s="102"/>
      <c r="BI1" s="102"/>
      <c r="BJ1" s="103"/>
      <c r="BK1" s="102"/>
      <c r="BL1" s="102"/>
      <c r="BM1" s="102"/>
      <c r="BN1" s="102"/>
    </row>
    <row r="2" spans="1:66" ht="12" customHeight="1" x14ac:dyDescent="0.2">
      <c r="A2" s="104" t="s">
        <v>49</v>
      </c>
      <c r="B2" s="105">
        <f>+B3</f>
        <v>340.24900000000002</v>
      </c>
      <c r="C2" s="105">
        <f>+C3</f>
        <v>265.73</v>
      </c>
      <c r="D2" s="106">
        <f>+SUM(B2:C2)</f>
        <v>605.97900000000004</v>
      </c>
      <c r="E2" s="105">
        <f t="shared" ref="E2:K2" si="3">+E3</f>
        <v>371.19900000000001</v>
      </c>
      <c r="F2" s="105">
        <f t="shared" si="3"/>
        <v>311.24799999999999</v>
      </c>
      <c r="G2" s="105">
        <f t="shared" si="3"/>
        <v>345.55200000000002</v>
      </c>
      <c r="H2" s="105">
        <f t="shared" si="3"/>
        <v>347.101</v>
      </c>
      <c r="I2" s="105">
        <f t="shared" si="3"/>
        <v>331.20499999999998</v>
      </c>
      <c r="J2" s="105">
        <f t="shared" si="3"/>
        <v>374.98899999999998</v>
      </c>
      <c r="K2" s="105">
        <f t="shared" si="3"/>
        <v>371.82400000000001</v>
      </c>
      <c r="L2" s="106">
        <f>+D2+SUM(E2:K2)</f>
        <v>3059.0969999999998</v>
      </c>
      <c r="M2" s="105">
        <f t="shared" ref="M2:S2" si="4">+M3</f>
        <v>356.43599999999998</v>
      </c>
      <c r="N2" s="105">
        <f t="shared" si="4"/>
        <v>379.61399999999998</v>
      </c>
      <c r="O2" s="105">
        <f t="shared" si="4"/>
        <v>373.846</v>
      </c>
      <c r="P2" s="105">
        <f t="shared" si="4"/>
        <v>358.37200000000001</v>
      </c>
      <c r="Q2" s="105">
        <f t="shared" si="4"/>
        <v>368.39400000000001</v>
      </c>
      <c r="R2" s="105">
        <f t="shared" si="4"/>
        <v>368.39400000000001</v>
      </c>
      <c r="S2" s="105">
        <f t="shared" si="4"/>
        <v>371.18200000000002</v>
      </c>
      <c r="T2" s="106">
        <f>+L2+SUM(M2:S2)</f>
        <v>5635.335</v>
      </c>
      <c r="U2" s="105">
        <f>+U3</f>
        <v>340.92700000000002</v>
      </c>
      <c r="V2" s="105">
        <f>+V3</f>
        <v>366.37700000000001</v>
      </c>
      <c r="W2" s="105">
        <v>250</v>
      </c>
      <c r="X2" s="105">
        <v>365</v>
      </c>
      <c r="Y2" s="105">
        <v>365</v>
      </c>
      <c r="Z2" s="105">
        <v>365</v>
      </c>
      <c r="AA2" s="105">
        <v>350</v>
      </c>
      <c r="AB2" s="106">
        <f>+T2+SUM(U2:AA2)</f>
        <v>8037.6390000000001</v>
      </c>
      <c r="AC2" s="105">
        <v>365</v>
      </c>
      <c r="AD2" s="105">
        <v>365</v>
      </c>
      <c r="AE2" s="105">
        <v>365</v>
      </c>
      <c r="AF2" s="105">
        <v>365</v>
      </c>
      <c r="AG2" s="105">
        <v>365</v>
      </c>
      <c r="AH2" s="106">
        <f>+AB2+SUM(AC2:AG2)</f>
        <v>9862.6389999999992</v>
      </c>
      <c r="BE2" s="107">
        <v>9790</v>
      </c>
      <c r="BF2" s="101"/>
      <c r="BG2" s="108"/>
      <c r="BH2" s="108"/>
      <c r="BI2" s="108"/>
      <c r="BJ2" s="109"/>
      <c r="BK2" s="108"/>
      <c r="BL2" s="108"/>
      <c r="BM2" s="108"/>
      <c r="BN2" s="108"/>
    </row>
    <row r="3" spans="1:66" ht="12" customHeight="1" x14ac:dyDescent="0.2">
      <c r="A3" s="110" t="s">
        <v>50</v>
      </c>
      <c r="B3" s="111">
        <v>340.24900000000002</v>
      </c>
      <c r="C3" s="111">
        <v>265.73</v>
      </c>
      <c r="D3" s="112">
        <f>+SUM(B3:C3)</f>
        <v>605.97900000000004</v>
      </c>
      <c r="E3" s="111">
        <v>371.19900000000001</v>
      </c>
      <c r="F3" s="111">
        <v>311.24799999999999</v>
      </c>
      <c r="G3" s="111">
        <v>345.55200000000002</v>
      </c>
      <c r="H3" s="111">
        <v>347.101</v>
      </c>
      <c r="I3" s="111">
        <v>331.20499999999998</v>
      </c>
      <c r="J3" s="111">
        <v>374.98899999999998</v>
      </c>
      <c r="K3" s="111">
        <v>371.82400000000001</v>
      </c>
      <c r="L3" s="112">
        <f>+D3+SUM(E3:K3)</f>
        <v>3059.0969999999998</v>
      </c>
      <c r="M3" s="111">
        <v>356.43599999999998</v>
      </c>
      <c r="N3" s="111">
        <v>379.61399999999998</v>
      </c>
      <c r="O3" s="111">
        <v>373.846</v>
      </c>
      <c r="P3" s="111">
        <v>358.37200000000001</v>
      </c>
      <c r="Q3" s="111">
        <v>368.39400000000001</v>
      </c>
      <c r="R3" s="111">
        <v>368.39400000000001</v>
      </c>
      <c r="S3" s="111">
        <v>371.18200000000002</v>
      </c>
      <c r="T3" s="112">
        <f>+L3+SUM(M3:S3)</f>
        <v>5635.335</v>
      </c>
      <c r="U3" s="111">
        <v>340.92700000000002</v>
      </c>
      <c r="V3" s="111">
        <v>366.37700000000001</v>
      </c>
      <c r="W3" s="111">
        <v>275.67200000000003</v>
      </c>
      <c r="X3" s="111">
        <f>+DOWNSTREAM!X3</f>
        <v>367.16800000000001</v>
      </c>
      <c r="Y3" s="111">
        <f>+DOWNSTREAM!Y3</f>
        <v>351.86799999999999</v>
      </c>
      <c r="Z3" s="111">
        <f>+DOWNSTREAM!Z3</f>
        <v>359.62200000000001</v>
      </c>
      <c r="AA3" s="111">
        <f>+DOWNSTREAM!AA3</f>
        <v>356.15100000000001</v>
      </c>
      <c r="AB3" s="112">
        <f>+T3+SUM(U3:AA3)</f>
        <v>8053.12</v>
      </c>
      <c r="AC3" s="279">
        <f>+AC2</f>
        <v>365</v>
      </c>
      <c r="AD3" s="279">
        <f>+AD2</f>
        <v>365</v>
      </c>
      <c r="AE3" s="279">
        <f>+AE2</f>
        <v>365</v>
      </c>
      <c r="AF3" s="279">
        <f>+AF2</f>
        <v>365</v>
      </c>
      <c r="AG3" s="279">
        <f>+AG2</f>
        <v>365</v>
      </c>
      <c r="AH3" s="112">
        <f>+AB3+SUM(AC3:AG3)</f>
        <v>9878.119999999999</v>
      </c>
      <c r="BE3" s="107"/>
      <c r="BF3" s="101"/>
      <c r="BG3" s="108"/>
      <c r="BH3" s="108"/>
      <c r="BI3" s="108"/>
      <c r="BJ3" s="109"/>
      <c r="BK3" s="108"/>
      <c r="BL3" s="108"/>
      <c r="BM3" s="108"/>
      <c r="BN3" s="108"/>
    </row>
    <row r="4" spans="1:66" ht="16" thickBot="1" x14ac:dyDescent="0.25">
      <c r="A4" s="113" t="s">
        <v>3</v>
      </c>
      <c r="B4" s="114">
        <f>IFERROR(B3/B2,0)</f>
        <v>1</v>
      </c>
      <c r="C4" s="114">
        <f>IFERROR(C3/C2,0)</f>
        <v>1</v>
      </c>
      <c r="D4" s="115">
        <f>IFERROR(D3/D2,0)</f>
        <v>1</v>
      </c>
      <c r="E4" s="114">
        <f>IFERROR(E3/E2,0)</f>
        <v>1</v>
      </c>
      <c r="F4" s="114">
        <f t="shared" ref="F4:AH4" si="5">IFERROR(F3/F2,0)</f>
        <v>1</v>
      </c>
      <c r="G4" s="114">
        <f t="shared" si="5"/>
        <v>1</v>
      </c>
      <c r="H4" s="114">
        <f t="shared" si="5"/>
        <v>1</v>
      </c>
      <c r="I4" s="114">
        <f t="shared" si="5"/>
        <v>1</v>
      </c>
      <c r="J4" s="114">
        <f t="shared" si="5"/>
        <v>1</v>
      </c>
      <c r="K4" s="114">
        <f t="shared" si="5"/>
        <v>1</v>
      </c>
      <c r="L4" s="115">
        <f t="shared" si="5"/>
        <v>1</v>
      </c>
      <c r="M4" s="114">
        <f t="shared" si="5"/>
        <v>1</v>
      </c>
      <c r="N4" s="114">
        <f t="shared" si="5"/>
        <v>1</v>
      </c>
      <c r="O4" s="114">
        <f t="shared" si="5"/>
        <v>1</v>
      </c>
      <c r="P4" s="114">
        <f t="shared" si="5"/>
        <v>1</v>
      </c>
      <c r="Q4" s="114">
        <f t="shared" si="5"/>
        <v>1</v>
      </c>
      <c r="R4" s="114">
        <f t="shared" si="5"/>
        <v>1</v>
      </c>
      <c r="S4" s="114">
        <f t="shared" si="5"/>
        <v>1</v>
      </c>
      <c r="T4" s="115">
        <f t="shared" si="5"/>
        <v>1</v>
      </c>
      <c r="U4" s="114">
        <f t="shared" si="5"/>
        <v>1</v>
      </c>
      <c r="V4" s="114">
        <f t="shared" si="5"/>
        <v>1</v>
      </c>
      <c r="W4" s="114">
        <f t="shared" si="5"/>
        <v>1.1026880000000001</v>
      </c>
      <c r="X4" s="114">
        <f t="shared" si="5"/>
        <v>1.0059397260273972</v>
      </c>
      <c r="Y4" s="114">
        <f t="shared" si="5"/>
        <v>0.96402191780821922</v>
      </c>
      <c r="Z4" s="114">
        <f t="shared" si="5"/>
        <v>0.98526575342465761</v>
      </c>
      <c r="AA4" s="114">
        <f t="shared" si="5"/>
        <v>1.0175742857142858</v>
      </c>
      <c r="AB4" s="115">
        <f t="shared" si="5"/>
        <v>1.0019260631138074</v>
      </c>
      <c r="AC4" s="114">
        <f t="shared" si="5"/>
        <v>1</v>
      </c>
      <c r="AD4" s="114">
        <f t="shared" si="5"/>
        <v>1</v>
      </c>
      <c r="AE4" s="114">
        <f t="shared" si="5"/>
        <v>1</v>
      </c>
      <c r="AF4" s="114">
        <f t="shared" si="5"/>
        <v>1</v>
      </c>
      <c r="AG4" s="114">
        <f t="shared" si="5"/>
        <v>1</v>
      </c>
      <c r="AH4" s="115">
        <f t="shared" si="5"/>
        <v>1.001569661020747</v>
      </c>
      <c r="BE4" s="107"/>
      <c r="BF4" s="101"/>
      <c r="BG4" s="108"/>
      <c r="BH4" s="108"/>
      <c r="BI4" s="108"/>
      <c r="BJ4" s="109"/>
      <c r="BK4" s="108"/>
      <c r="BL4" s="108"/>
      <c r="BM4" s="108"/>
      <c r="BN4" s="108"/>
    </row>
    <row r="5" spans="1:66" ht="16" hidden="1" thickBot="1" x14ac:dyDescent="0.25">
      <c r="A5" s="110" t="s">
        <v>51</v>
      </c>
      <c r="B5" s="116"/>
      <c r="C5" s="116"/>
      <c r="D5" s="117"/>
      <c r="E5" s="116"/>
      <c r="F5" s="116"/>
      <c r="G5" s="116"/>
      <c r="H5" s="116"/>
      <c r="I5" s="116"/>
      <c r="J5" s="116"/>
      <c r="K5" s="116"/>
      <c r="L5" s="117"/>
      <c r="M5" s="116"/>
      <c r="N5" s="116"/>
      <c r="O5" s="116"/>
      <c r="P5" s="116"/>
      <c r="Q5" s="116"/>
      <c r="R5" s="116"/>
      <c r="S5" s="116"/>
      <c r="T5" s="117"/>
      <c r="U5" s="116"/>
      <c r="V5" s="116"/>
      <c r="W5" s="116"/>
      <c r="X5" s="116"/>
      <c r="Y5" s="116"/>
      <c r="Z5" s="116"/>
      <c r="AA5" s="116"/>
      <c r="AB5" s="117"/>
      <c r="AC5" s="116"/>
      <c r="AD5" s="116"/>
      <c r="AE5" s="116"/>
      <c r="AF5" s="116"/>
      <c r="AG5" s="116"/>
      <c r="AH5" s="117"/>
      <c r="BE5" s="107"/>
      <c r="BF5" s="101"/>
      <c r="BG5" s="108"/>
      <c r="BH5" s="108"/>
      <c r="BI5" s="108"/>
      <c r="BJ5" s="109"/>
      <c r="BK5" s="108"/>
      <c r="BL5" s="108"/>
      <c r="BM5" s="108"/>
      <c r="BN5" s="108"/>
    </row>
    <row r="6" spans="1:66" ht="16" hidden="1" thickBot="1" x14ac:dyDescent="0.25">
      <c r="A6" s="110" t="s">
        <v>52</v>
      </c>
      <c r="B6" s="118"/>
      <c r="C6" s="118"/>
      <c r="D6" s="119"/>
      <c r="E6" s="118"/>
      <c r="F6" s="118"/>
      <c r="G6" s="118"/>
      <c r="H6" s="118"/>
      <c r="I6" s="118"/>
      <c r="J6" s="118"/>
      <c r="K6" s="118"/>
      <c r="L6" s="119"/>
      <c r="M6" s="118"/>
      <c r="N6" s="118"/>
      <c r="O6" s="118"/>
      <c r="P6" s="118"/>
      <c r="Q6" s="118"/>
      <c r="R6" s="118"/>
      <c r="S6" s="118"/>
      <c r="T6" s="119"/>
      <c r="U6" s="118"/>
      <c r="V6" s="118"/>
      <c r="W6" s="118"/>
      <c r="X6" s="118"/>
      <c r="Y6" s="118"/>
      <c r="Z6" s="118"/>
      <c r="AA6" s="118"/>
      <c r="AB6" s="119"/>
      <c r="AC6" s="118"/>
      <c r="AD6" s="118"/>
      <c r="AE6" s="118"/>
      <c r="AF6" s="118"/>
      <c r="AG6" s="118"/>
      <c r="AH6" s="119"/>
      <c r="BE6" s="107"/>
      <c r="BF6" s="101"/>
      <c r="BG6" s="108"/>
      <c r="BH6" s="108"/>
      <c r="BI6" s="108"/>
      <c r="BJ6" s="109"/>
      <c r="BK6" s="108"/>
      <c r="BL6" s="108"/>
      <c r="BM6" s="108"/>
      <c r="BN6" s="108"/>
    </row>
    <row r="7" spans="1:66" ht="16" hidden="1" thickBot="1" x14ac:dyDescent="0.25">
      <c r="A7" s="110" t="s">
        <v>53</v>
      </c>
      <c r="B7" s="120"/>
      <c r="C7" s="120"/>
      <c r="D7" s="119"/>
      <c r="E7" s="120"/>
      <c r="F7" s="120"/>
      <c r="G7" s="120"/>
      <c r="H7" s="120"/>
      <c r="I7" s="120"/>
      <c r="J7" s="120"/>
      <c r="K7" s="120"/>
      <c r="L7" s="119"/>
      <c r="M7" s="120"/>
      <c r="N7" s="120"/>
      <c r="O7" s="120"/>
      <c r="P7" s="120"/>
      <c r="Q7" s="120"/>
      <c r="R7" s="120"/>
      <c r="S7" s="120"/>
      <c r="T7" s="119"/>
      <c r="U7" s="120"/>
      <c r="V7" s="120"/>
      <c r="W7" s="120"/>
      <c r="X7" s="120"/>
      <c r="Y7" s="120"/>
      <c r="Z7" s="120"/>
      <c r="AA7" s="120"/>
      <c r="AB7" s="119"/>
      <c r="AC7" s="120"/>
      <c r="AD7" s="120"/>
      <c r="AE7" s="120"/>
      <c r="AF7" s="120"/>
      <c r="AG7" s="120"/>
      <c r="AH7" s="119"/>
      <c r="BE7" s="107"/>
      <c r="BF7" s="101"/>
      <c r="BG7" s="108"/>
      <c r="BH7" s="108"/>
      <c r="BI7" s="108"/>
      <c r="BJ7" s="109"/>
      <c r="BK7" s="108"/>
      <c r="BL7" s="108"/>
      <c r="BM7" s="108"/>
      <c r="BN7" s="108"/>
    </row>
    <row r="8" spans="1:66" ht="16" hidden="1" thickBot="1" x14ac:dyDescent="0.25">
      <c r="A8" s="110" t="s">
        <v>54</v>
      </c>
      <c r="B8" s="120"/>
      <c r="C8" s="120"/>
      <c r="D8" s="119"/>
      <c r="E8" s="120"/>
      <c r="F8" s="120"/>
      <c r="G8" s="120"/>
      <c r="H8" s="120"/>
      <c r="I8" s="120"/>
      <c r="J8" s="120"/>
      <c r="K8" s="120"/>
      <c r="L8" s="119"/>
      <c r="M8" s="120"/>
      <c r="N8" s="120"/>
      <c r="O8" s="120"/>
      <c r="P8" s="120"/>
      <c r="Q8" s="120"/>
      <c r="R8" s="120"/>
      <c r="S8" s="120"/>
      <c r="T8" s="119"/>
      <c r="U8" s="120"/>
      <c r="V8" s="120"/>
      <c r="W8" s="120"/>
      <c r="X8" s="120"/>
      <c r="Y8" s="120"/>
      <c r="Z8" s="120"/>
      <c r="AA8" s="120"/>
      <c r="AB8" s="119"/>
      <c r="AC8" s="120"/>
      <c r="AD8" s="120"/>
      <c r="AE8" s="120"/>
      <c r="AF8" s="120"/>
      <c r="AG8" s="120"/>
      <c r="AH8" s="119"/>
      <c r="BE8" s="107"/>
      <c r="BF8" s="101"/>
      <c r="BG8" s="108"/>
      <c r="BH8" s="108"/>
      <c r="BI8" s="108"/>
      <c r="BJ8" s="109"/>
      <c r="BK8" s="108"/>
      <c r="BL8" s="108"/>
      <c r="BM8" s="108"/>
      <c r="BN8" s="108"/>
    </row>
    <row r="9" spans="1:66" ht="16" hidden="1" thickBot="1" x14ac:dyDescent="0.25">
      <c r="A9" s="121" t="s">
        <v>55</v>
      </c>
      <c r="B9" s="122"/>
      <c r="C9" s="122"/>
      <c r="D9" s="123"/>
      <c r="E9" s="122"/>
      <c r="F9" s="122"/>
      <c r="G9" s="122"/>
      <c r="H9" s="122"/>
      <c r="I9" s="122"/>
      <c r="J9" s="122"/>
      <c r="K9" s="122"/>
      <c r="L9" s="123"/>
      <c r="M9" s="122"/>
      <c r="N9" s="122"/>
      <c r="O9" s="122"/>
      <c r="P9" s="122"/>
      <c r="Q9" s="122"/>
      <c r="R9" s="122"/>
      <c r="S9" s="122"/>
      <c r="T9" s="123"/>
      <c r="U9" s="122"/>
      <c r="V9" s="122"/>
      <c r="W9" s="122"/>
      <c r="X9" s="122"/>
      <c r="Y9" s="122"/>
      <c r="Z9" s="122"/>
      <c r="AA9" s="122"/>
      <c r="AB9" s="123"/>
      <c r="AC9" s="122"/>
      <c r="AD9" s="122"/>
      <c r="AE9" s="122"/>
      <c r="AF9" s="122"/>
      <c r="AG9" s="122"/>
      <c r="AH9" s="123"/>
      <c r="BE9" s="107"/>
      <c r="BF9" s="101"/>
      <c r="BG9" s="108"/>
      <c r="BH9" s="108"/>
      <c r="BI9" s="108"/>
      <c r="BJ9" s="109"/>
      <c r="BK9" s="108"/>
      <c r="BL9" s="108"/>
      <c r="BM9" s="108"/>
      <c r="BN9" s="108"/>
    </row>
    <row r="10" spans="1:66" x14ac:dyDescent="0.2">
      <c r="A10" s="124" t="s">
        <v>56</v>
      </c>
      <c r="B10" s="105">
        <f>+B11</f>
        <v>32.222000000000001</v>
      </c>
      <c r="C10" s="105">
        <f>+C11</f>
        <v>24.335000000000001</v>
      </c>
      <c r="D10" s="112">
        <f>+SUM(B10:C10)</f>
        <v>56.557000000000002</v>
      </c>
      <c r="E10" s="105">
        <f t="shared" ref="E10:K10" si="6">+E11</f>
        <v>33.44</v>
      </c>
      <c r="F10" s="105">
        <f t="shared" si="6"/>
        <v>33.213999999999999</v>
      </c>
      <c r="G10" s="105">
        <f t="shared" si="6"/>
        <v>33.459000000000003</v>
      </c>
      <c r="H10" s="105">
        <f t="shared" si="6"/>
        <v>43.639000000000003</v>
      </c>
      <c r="I10" s="105">
        <f t="shared" si="6"/>
        <v>21.359000000000002</v>
      </c>
      <c r="J10" s="105">
        <f t="shared" si="6"/>
        <v>33.854999999999997</v>
      </c>
      <c r="K10" s="105">
        <f t="shared" si="6"/>
        <v>14.175000000000001</v>
      </c>
      <c r="L10" s="112">
        <f>+D10+SUM(E10:K10)</f>
        <v>269.69800000000004</v>
      </c>
      <c r="M10" s="105">
        <f t="shared" ref="M10:S10" si="7">+M11</f>
        <v>32.997</v>
      </c>
      <c r="N10" s="105">
        <f t="shared" si="7"/>
        <v>21.72</v>
      </c>
      <c r="O10" s="105">
        <f t="shared" si="7"/>
        <v>40.731999999999999</v>
      </c>
      <c r="P10" s="105">
        <f t="shared" si="7"/>
        <v>39.725000000000001</v>
      </c>
      <c r="Q10" s="105">
        <f t="shared" si="7"/>
        <v>36.231999999999999</v>
      </c>
      <c r="R10" s="105">
        <f t="shared" si="7"/>
        <v>36.231999999999999</v>
      </c>
      <c r="S10" s="105">
        <f t="shared" si="7"/>
        <v>44.209000000000003</v>
      </c>
      <c r="T10" s="112">
        <f>+L10+SUM(M10:S10)</f>
        <v>521.54500000000007</v>
      </c>
      <c r="U10" s="105">
        <f>+U11</f>
        <v>36.283999999999999</v>
      </c>
      <c r="V10" s="105">
        <f>+V11</f>
        <v>33.594000000000001</v>
      </c>
      <c r="W10" s="105">
        <v>41</v>
      </c>
      <c r="X10" s="105">
        <v>41</v>
      </c>
      <c r="Y10" s="105">
        <v>41</v>
      </c>
      <c r="Z10" s="105">
        <v>41</v>
      </c>
      <c r="AA10" s="105">
        <v>41</v>
      </c>
      <c r="AB10" s="112">
        <f>+T10+SUM(U10:AA10)</f>
        <v>796.423</v>
      </c>
      <c r="AC10" s="105">
        <v>41</v>
      </c>
      <c r="AD10" s="105">
        <v>41</v>
      </c>
      <c r="AE10" s="105">
        <v>41</v>
      </c>
      <c r="AF10" s="105">
        <v>41</v>
      </c>
      <c r="AG10" s="105">
        <v>41</v>
      </c>
      <c r="AH10" s="112">
        <f>+AB10+SUM(AC10:AG10)</f>
        <v>1001.423</v>
      </c>
      <c r="BE10" s="107">
        <v>370</v>
      </c>
      <c r="BF10" s="101"/>
      <c r="BG10" s="108"/>
      <c r="BH10" s="108"/>
      <c r="BI10" s="108"/>
      <c r="BJ10" s="109"/>
      <c r="BK10" s="108"/>
      <c r="BL10" s="108"/>
      <c r="BM10" s="108"/>
      <c r="BN10" s="108"/>
    </row>
    <row r="11" spans="1:66" ht="12" customHeight="1" x14ac:dyDescent="0.2">
      <c r="A11" s="125" t="s">
        <v>57</v>
      </c>
      <c r="B11" s="111">
        <v>32.222000000000001</v>
      </c>
      <c r="C11" s="111">
        <v>24.335000000000001</v>
      </c>
      <c r="D11" s="112">
        <f>+SUM(B11:C11)</f>
        <v>56.557000000000002</v>
      </c>
      <c r="E11" s="111">
        <v>33.44</v>
      </c>
      <c r="F11" s="111">
        <v>33.213999999999999</v>
      </c>
      <c r="G11" s="111">
        <v>33.459000000000003</v>
      </c>
      <c r="H11" s="111">
        <v>43.639000000000003</v>
      </c>
      <c r="I11" s="111">
        <v>21.359000000000002</v>
      </c>
      <c r="J11" s="111">
        <v>33.854999999999997</v>
      </c>
      <c r="K11" s="111">
        <v>14.175000000000001</v>
      </c>
      <c r="L11" s="112">
        <f>+D11+SUM(E11:K11)</f>
        <v>269.69800000000004</v>
      </c>
      <c r="M11" s="276">
        <v>32.997</v>
      </c>
      <c r="N11" s="276">
        <v>21.72</v>
      </c>
      <c r="O11" s="111">
        <v>40.731999999999999</v>
      </c>
      <c r="P11" s="111">
        <v>39.725000000000001</v>
      </c>
      <c r="Q11" s="111">
        <v>36.231999999999999</v>
      </c>
      <c r="R11" s="276">
        <v>36.231999999999999</v>
      </c>
      <c r="S11" s="111">
        <v>44.209000000000003</v>
      </c>
      <c r="T11" s="112">
        <f>+L11+SUM(M11:S11)</f>
        <v>521.54500000000007</v>
      </c>
      <c r="U11" s="111">
        <v>36.283999999999999</v>
      </c>
      <c r="V11" s="111">
        <v>33.594000000000001</v>
      </c>
      <c r="W11" s="111">
        <v>24.873000000000001</v>
      </c>
      <c r="X11" s="111">
        <f>+DOWNSTREAM!X11</f>
        <v>26.5</v>
      </c>
      <c r="Y11" s="111">
        <f>+DOWNSTREAM!Y11</f>
        <v>31.225000000000001</v>
      </c>
      <c r="Z11" s="111">
        <f>+DOWNSTREAM!Z11</f>
        <v>33.700000000000003</v>
      </c>
      <c r="AA11" s="111">
        <f>+DOWNSTREAM!AA11</f>
        <v>31.234999999999999</v>
      </c>
      <c r="AB11" s="112">
        <f>+T11+SUM(U11:AA11)</f>
        <v>738.95600000000013</v>
      </c>
      <c r="AC11" s="279">
        <f>+AC10</f>
        <v>41</v>
      </c>
      <c r="AD11" s="279">
        <f>+AD10</f>
        <v>41</v>
      </c>
      <c r="AE11" s="279">
        <f>+AE10</f>
        <v>41</v>
      </c>
      <c r="AF11" s="279">
        <f>+AF10</f>
        <v>41</v>
      </c>
      <c r="AG11" s="279">
        <f>+AG10</f>
        <v>41</v>
      </c>
      <c r="AH11" s="112">
        <f>+AB11+SUM(AC11:AG11)</f>
        <v>943.95600000000013</v>
      </c>
      <c r="BE11" s="107"/>
      <c r="BF11" s="101"/>
      <c r="BG11" s="108"/>
      <c r="BH11" s="108"/>
      <c r="BI11" s="108"/>
      <c r="BJ11" s="109"/>
      <c r="BK11" s="108"/>
      <c r="BL11" s="108"/>
      <c r="BM11" s="108"/>
      <c r="BN11" s="108"/>
    </row>
    <row r="12" spans="1:66" ht="16" thickBot="1" x14ac:dyDescent="0.25">
      <c r="A12" s="126" t="s">
        <v>3</v>
      </c>
      <c r="B12" s="114">
        <f>IFERROR(+B11/B10,0)</f>
        <v>1</v>
      </c>
      <c r="C12" s="114">
        <f>IFERROR(+C11/C10,0)</f>
        <v>1</v>
      </c>
      <c r="D12" s="115">
        <f>IFERROR(+D11/D10,0)</f>
        <v>1</v>
      </c>
      <c r="E12" s="114">
        <f>IFERROR(+E11/E10,0)</f>
        <v>1</v>
      </c>
      <c r="F12" s="114">
        <f t="shared" ref="F12:AH12" si="8">IFERROR(+F11/F10,0)</f>
        <v>1</v>
      </c>
      <c r="G12" s="114">
        <f t="shared" si="8"/>
        <v>1</v>
      </c>
      <c r="H12" s="114">
        <f t="shared" si="8"/>
        <v>1</v>
      </c>
      <c r="I12" s="114">
        <f t="shared" si="8"/>
        <v>1</v>
      </c>
      <c r="J12" s="114">
        <f t="shared" si="8"/>
        <v>1</v>
      </c>
      <c r="K12" s="114">
        <f t="shared" si="8"/>
        <v>1</v>
      </c>
      <c r="L12" s="115">
        <f t="shared" si="8"/>
        <v>1</v>
      </c>
      <c r="M12" s="114">
        <f t="shared" si="8"/>
        <v>1</v>
      </c>
      <c r="N12" s="114">
        <f t="shared" si="8"/>
        <v>1</v>
      </c>
      <c r="O12" s="114">
        <f t="shared" si="8"/>
        <v>1</v>
      </c>
      <c r="P12" s="114">
        <f t="shared" si="8"/>
        <v>1</v>
      </c>
      <c r="Q12" s="114">
        <f t="shared" si="8"/>
        <v>1</v>
      </c>
      <c r="R12" s="114">
        <f t="shared" si="8"/>
        <v>1</v>
      </c>
      <c r="S12" s="114">
        <f t="shared" si="8"/>
        <v>1</v>
      </c>
      <c r="T12" s="115">
        <f t="shared" si="8"/>
        <v>1</v>
      </c>
      <c r="U12" s="114">
        <f t="shared" si="8"/>
        <v>1</v>
      </c>
      <c r="V12" s="114">
        <f t="shared" si="8"/>
        <v>1</v>
      </c>
      <c r="W12" s="114">
        <f t="shared" si="8"/>
        <v>0.60665853658536584</v>
      </c>
      <c r="X12" s="114">
        <f t="shared" si="8"/>
        <v>0.64634146341463417</v>
      </c>
      <c r="Y12" s="114">
        <f t="shared" si="8"/>
        <v>0.76158536585365855</v>
      </c>
      <c r="Z12" s="114">
        <f t="shared" si="8"/>
        <v>0.82195121951219519</v>
      </c>
      <c r="AA12" s="114">
        <f t="shared" si="8"/>
        <v>0.76182926829268294</v>
      </c>
      <c r="AB12" s="115">
        <f t="shared" si="8"/>
        <v>0.92784362078945504</v>
      </c>
      <c r="AC12" s="114">
        <f t="shared" si="8"/>
        <v>1</v>
      </c>
      <c r="AD12" s="114">
        <f t="shared" si="8"/>
        <v>1</v>
      </c>
      <c r="AE12" s="114">
        <f t="shared" si="8"/>
        <v>1</v>
      </c>
      <c r="AF12" s="114">
        <f t="shared" si="8"/>
        <v>1</v>
      </c>
      <c r="AG12" s="114">
        <f t="shared" si="8"/>
        <v>1</v>
      </c>
      <c r="AH12" s="115">
        <f t="shared" si="8"/>
        <v>0.94261465933975963</v>
      </c>
      <c r="BE12" s="107"/>
      <c r="BF12" s="101"/>
      <c r="BG12" s="108"/>
      <c r="BH12" s="108"/>
      <c r="BI12" s="108"/>
      <c r="BJ12" s="109"/>
      <c r="BK12" s="108"/>
      <c r="BL12" s="108"/>
      <c r="BM12" s="108"/>
      <c r="BN12" s="108"/>
    </row>
    <row r="13" spans="1:66" ht="16" hidden="1" thickBot="1" x14ac:dyDescent="0.25">
      <c r="A13" s="125" t="s">
        <v>58</v>
      </c>
      <c r="B13" s="116"/>
      <c r="C13" s="116"/>
      <c r="D13" s="117"/>
      <c r="E13" s="116"/>
      <c r="F13" s="116"/>
      <c r="G13" s="116"/>
      <c r="H13" s="116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7"/>
      <c r="U13" s="116"/>
      <c r="V13" s="116"/>
      <c r="W13" s="116"/>
      <c r="X13" s="116"/>
      <c r="Y13" s="116"/>
      <c r="Z13" s="116"/>
      <c r="AA13" s="116"/>
      <c r="AB13" s="117"/>
      <c r="AC13" s="116"/>
      <c r="AD13" s="116"/>
      <c r="AE13" s="116"/>
      <c r="AF13" s="116"/>
      <c r="AG13" s="116"/>
      <c r="AH13" s="117"/>
      <c r="BE13" s="107"/>
      <c r="BF13" s="101"/>
      <c r="BG13" s="108"/>
      <c r="BH13" s="108"/>
      <c r="BI13" s="108"/>
      <c r="BJ13" s="109"/>
      <c r="BK13" s="108"/>
      <c r="BL13" s="108"/>
      <c r="BM13" s="108"/>
      <c r="BN13" s="108"/>
    </row>
    <row r="14" spans="1:66" ht="16" hidden="1" thickBot="1" x14ac:dyDescent="0.25">
      <c r="A14" s="125" t="s">
        <v>53</v>
      </c>
      <c r="B14" s="120"/>
      <c r="C14" s="120"/>
      <c r="D14" s="127"/>
      <c r="E14" s="120"/>
      <c r="F14" s="120"/>
      <c r="G14" s="120"/>
      <c r="H14" s="120"/>
      <c r="I14" s="120"/>
      <c r="J14" s="120"/>
      <c r="K14" s="120"/>
      <c r="L14" s="127"/>
      <c r="M14" s="120"/>
      <c r="N14" s="120"/>
      <c r="O14" s="120"/>
      <c r="P14" s="120"/>
      <c r="Q14" s="120"/>
      <c r="R14" s="120"/>
      <c r="S14" s="120"/>
      <c r="T14" s="127"/>
      <c r="U14" s="120"/>
      <c r="V14" s="120"/>
      <c r="W14" s="120"/>
      <c r="X14" s="120"/>
      <c r="Y14" s="120"/>
      <c r="Z14" s="120"/>
      <c r="AA14" s="120"/>
      <c r="AB14" s="127"/>
      <c r="AC14" s="120"/>
      <c r="AD14" s="120"/>
      <c r="AE14" s="120"/>
      <c r="AF14" s="120"/>
      <c r="AG14" s="120"/>
      <c r="AH14" s="127"/>
      <c r="BE14" s="107"/>
      <c r="BF14" s="101"/>
      <c r="BG14" s="108"/>
      <c r="BH14" s="108"/>
      <c r="BI14" s="108"/>
      <c r="BJ14" s="109"/>
      <c r="BK14" s="108"/>
      <c r="BL14" s="108"/>
      <c r="BM14" s="108"/>
      <c r="BN14" s="108"/>
    </row>
    <row r="15" spans="1:66" ht="16" hidden="1" thickBot="1" x14ac:dyDescent="0.25">
      <c r="A15" s="125" t="s">
        <v>54</v>
      </c>
      <c r="B15" s="120"/>
      <c r="C15" s="120"/>
      <c r="D15" s="127"/>
      <c r="E15" s="120"/>
      <c r="F15" s="120"/>
      <c r="G15" s="120"/>
      <c r="H15" s="120"/>
      <c r="I15" s="120"/>
      <c r="J15" s="120"/>
      <c r="K15" s="120"/>
      <c r="L15" s="127"/>
      <c r="M15" s="120"/>
      <c r="N15" s="120"/>
      <c r="O15" s="120"/>
      <c r="P15" s="120"/>
      <c r="Q15" s="120"/>
      <c r="R15" s="120"/>
      <c r="S15" s="120"/>
      <c r="T15" s="127"/>
      <c r="U15" s="120"/>
      <c r="V15" s="120"/>
      <c r="W15" s="120"/>
      <c r="X15" s="120"/>
      <c r="Y15" s="120"/>
      <c r="Z15" s="120"/>
      <c r="AA15" s="120"/>
      <c r="AB15" s="127"/>
      <c r="AC15" s="120"/>
      <c r="AD15" s="120"/>
      <c r="AE15" s="120"/>
      <c r="AF15" s="120"/>
      <c r="AG15" s="120"/>
      <c r="AH15" s="127"/>
      <c r="BE15" s="107"/>
      <c r="BF15" s="101"/>
      <c r="BG15" s="108"/>
      <c r="BH15" s="108"/>
      <c r="BI15" s="108"/>
      <c r="BJ15" s="109"/>
      <c r="BK15" s="108"/>
      <c r="BL15" s="108"/>
      <c r="BM15" s="108"/>
      <c r="BN15" s="108"/>
    </row>
    <row r="16" spans="1:66" ht="16" hidden="1" thickBot="1" x14ac:dyDescent="0.25">
      <c r="A16" s="128" t="s">
        <v>55</v>
      </c>
      <c r="B16" s="129"/>
      <c r="C16" s="129"/>
      <c r="D16" s="130"/>
      <c r="E16" s="129"/>
      <c r="F16" s="129"/>
      <c r="G16" s="129"/>
      <c r="H16" s="129"/>
      <c r="I16" s="129"/>
      <c r="J16" s="129"/>
      <c r="K16" s="129"/>
      <c r="L16" s="130"/>
      <c r="M16" s="129"/>
      <c r="N16" s="129"/>
      <c r="O16" s="129"/>
      <c r="P16" s="129"/>
      <c r="Q16" s="129"/>
      <c r="R16" s="129"/>
      <c r="S16" s="129"/>
      <c r="T16" s="130"/>
      <c r="U16" s="129"/>
      <c r="V16" s="129"/>
      <c r="W16" s="129"/>
      <c r="X16" s="129"/>
      <c r="Y16" s="129"/>
      <c r="Z16" s="129"/>
      <c r="AA16" s="129"/>
      <c r="AB16" s="130"/>
      <c r="AC16" s="129"/>
      <c r="AD16" s="129"/>
      <c r="AE16" s="129"/>
      <c r="AF16" s="129"/>
      <c r="AG16" s="129"/>
      <c r="AH16" s="130"/>
      <c r="BE16" s="107"/>
      <c r="BF16" s="101"/>
      <c r="BG16" s="108"/>
      <c r="BH16" s="108"/>
      <c r="BI16" s="108"/>
      <c r="BJ16" s="109"/>
      <c r="BK16" s="108"/>
      <c r="BL16" s="108"/>
      <c r="BM16" s="108"/>
      <c r="BN16" s="108"/>
    </row>
    <row r="17" spans="1:66" x14ac:dyDescent="0.2">
      <c r="A17" s="131" t="s">
        <v>59</v>
      </c>
      <c r="B17" s="105">
        <f>+B18</f>
        <v>97.9</v>
      </c>
      <c r="C17" s="105">
        <f>+C18</f>
        <v>90</v>
      </c>
      <c r="D17" s="112">
        <f>+SUM(B17:C17)</f>
        <v>187.9</v>
      </c>
      <c r="E17" s="105">
        <f t="shared" ref="E17:K17" si="9">+E18</f>
        <v>96.17</v>
      </c>
      <c r="F17" s="105">
        <f t="shared" si="9"/>
        <v>88.5</v>
      </c>
      <c r="G17" s="105">
        <f t="shared" si="9"/>
        <v>88.364999999999995</v>
      </c>
      <c r="H17" s="105">
        <f t="shared" si="9"/>
        <v>96.44</v>
      </c>
      <c r="I17" s="105">
        <f t="shared" si="9"/>
        <v>75.83</v>
      </c>
      <c r="J17" s="105">
        <f t="shared" si="9"/>
        <v>100.66</v>
      </c>
      <c r="K17" s="105">
        <f t="shared" si="9"/>
        <v>90.39</v>
      </c>
      <c r="L17" s="112">
        <f>+D17+SUM(E17:K17)</f>
        <v>824.255</v>
      </c>
      <c r="M17" s="105">
        <f t="shared" ref="M17:S17" si="10">+M18</f>
        <v>91.11</v>
      </c>
      <c r="N17" s="105">
        <f t="shared" si="10"/>
        <v>96.25</v>
      </c>
      <c r="O17" s="105">
        <f t="shared" si="10"/>
        <v>35.799999999999997</v>
      </c>
      <c r="P17" s="105">
        <f t="shared" si="10"/>
        <v>57</v>
      </c>
      <c r="Q17" s="105">
        <f t="shared" si="10"/>
        <v>49.9</v>
      </c>
      <c r="R17" s="105">
        <f t="shared" si="10"/>
        <v>49.9</v>
      </c>
      <c r="S17" s="105">
        <f t="shared" si="10"/>
        <v>63.46</v>
      </c>
      <c r="T17" s="112">
        <f>+L17+SUM(M17:S17)</f>
        <v>1267.675</v>
      </c>
      <c r="U17" s="105">
        <f>+U18</f>
        <v>94.67</v>
      </c>
      <c r="V17" s="105">
        <f>+V18</f>
        <v>28.63</v>
      </c>
      <c r="W17" s="105">
        <v>90</v>
      </c>
      <c r="X17" s="105">
        <v>90</v>
      </c>
      <c r="Y17" s="105">
        <v>90</v>
      </c>
      <c r="Z17" s="105">
        <v>90</v>
      </c>
      <c r="AA17" s="105" t="s">
        <v>122</v>
      </c>
      <c r="AB17" s="112">
        <f>+T17+SUM(U17:AA17)</f>
        <v>1750.9749999999999</v>
      </c>
      <c r="AC17" s="105">
        <v>90</v>
      </c>
      <c r="AD17" s="105">
        <v>90</v>
      </c>
      <c r="AE17" s="105">
        <v>90</v>
      </c>
      <c r="AF17" s="105">
        <v>90</v>
      </c>
      <c r="AG17" s="105">
        <v>90</v>
      </c>
      <c r="AH17" s="112">
        <f>+AB17+SUM(AC17:AG17)</f>
        <v>2200.9749999999999</v>
      </c>
      <c r="BE17" s="107">
        <v>3578.9473684210529</v>
      </c>
      <c r="BF17" s="101"/>
      <c r="BG17" s="108"/>
      <c r="BH17" s="108"/>
      <c r="BI17" s="108"/>
      <c r="BJ17" s="109"/>
      <c r="BK17" s="108"/>
      <c r="BL17" s="108"/>
      <c r="BM17" s="108"/>
      <c r="BN17" s="108"/>
    </row>
    <row r="18" spans="1:66" ht="12" customHeight="1" x14ac:dyDescent="0.2">
      <c r="A18" s="132" t="s">
        <v>60</v>
      </c>
      <c r="B18" s="111">
        <v>97.9</v>
      </c>
      <c r="C18" s="111">
        <v>90</v>
      </c>
      <c r="D18" s="112">
        <f>+SUM(B18:C18)</f>
        <v>187.9</v>
      </c>
      <c r="E18" s="111">
        <v>96.17</v>
      </c>
      <c r="F18" s="111">
        <v>88.5</v>
      </c>
      <c r="G18" s="111">
        <v>88.364999999999995</v>
      </c>
      <c r="H18" s="111">
        <v>96.44</v>
      </c>
      <c r="I18" s="111">
        <v>75.83</v>
      </c>
      <c r="J18" s="111">
        <v>100.66</v>
      </c>
      <c r="K18" s="111">
        <v>90.39</v>
      </c>
      <c r="L18" s="112">
        <f>+D18+SUM(E18:K18)</f>
        <v>824.255</v>
      </c>
      <c r="M18" s="111">
        <v>91.11</v>
      </c>
      <c r="N18" s="111">
        <v>96.25</v>
      </c>
      <c r="O18" s="111">
        <v>35.799999999999997</v>
      </c>
      <c r="P18" s="111">
        <v>57</v>
      </c>
      <c r="Q18" s="111">
        <v>49.9</v>
      </c>
      <c r="R18" s="111">
        <v>49.9</v>
      </c>
      <c r="S18" s="111">
        <v>63.46</v>
      </c>
      <c r="T18" s="112">
        <f>+L18+SUM(M18:S18)</f>
        <v>1267.675</v>
      </c>
      <c r="U18" s="111">
        <v>94.67</v>
      </c>
      <c r="V18" s="111">
        <v>28.63</v>
      </c>
      <c r="W18" s="111">
        <v>87.7</v>
      </c>
      <c r="X18" s="111">
        <f>+DOWNSTREAM!X20</f>
        <v>78.5</v>
      </c>
      <c r="Y18" s="111">
        <f>+DOWNSTREAM!Y20</f>
        <v>89.45</v>
      </c>
      <c r="Z18" s="111">
        <f>+DOWNSTREAM!Z20</f>
        <v>92.915000000000006</v>
      </c>
      <c r="AA18" s="111">
        <f>+DOWNSTREAM!AA20</f>
        <v>87.16</v>
      </c>
      <c r="AB18" s="112">
        <f>+T18+SUM(U18:AA18)</f>
        <v>1826.6999999999998</v>
      </c>
      <c r="AC18" s="279">
        <f>+AC17</f>
        <v>90</v>
      </c>
      <c r="AD18" s="279">
        <f>+AD17</f>
        <v>90</v>
      </c>
      <c r="AE18" s="279">
        <f>+AE17</f>
        <v>90</v>
      </c>
      <c r="AF18" s="279">
        <f>+AF17</f>
        <v>90</v>
      </c>
      <c r="AG18" s="279">
        <f>+AG17</f>
        <v>90</v>
      </c>
      <c r="AH18" s="112">
        <f>+AB18+SUM(AC18:AG18)</f>
        <v>2276.6999999999998</v>
      </c>
      <c r="BE18" s="107"/>
      <c r="BF18" s="101"/>
      <c r="BG18" s="108"/>
      <c r="BH18" s="108"/>
      <c r="BI18" s="108"/>
      <c r="BJ18" s="109"/>
      <c r="BK18" s="108"/>
      <c r="BL18" s="108"/>
      <c r="BM18" s="108"/>
      <c r="BN18" s="108"/>
    </row>
    <row r="19" spans="1:66" ht="16" thickBot="1" x14ac:dyDescent="0.25">
      <c r="A19" s="133" t="s">
        <v>3</v>
      </c>
      <c r="B19" s="114">
        <f>IFERROR(+B18/B17,0)</f>
        <v>1</v>
      </c>
      <c r="C19" s="114">
        <f>IFERROR(+C18/C17,0)</f>
        <v>1</v>
      </c>
      <c r="D19" s="115">
        <f>IFERROR(+D18/D17,0)</f>
        <v>1</v>
      </c>
      <c r="E19" s="114">
        <f>IFERROR(+E18/E17,0)</f>
        <v>1</v>
      </c>
      <c r="F19" s="114">
        <f t="shared" ref="F19:AH19" si="11">IFERROR(+F18/F17,0)</f>
        <v>1</v>
      </c>
      <c r="G19" s="114">
        <f t="shared" si="11"/>
        <v>1</v>
      </c>
      <c r="H19" s="114">
        <f t="shared" si="11"/>
        <v>1</v>
      </c>
      <c r="I19" s="114">
        <f t="shared" si="11"/>
        <v>1</v>
      </c>
      <c r="J19" s="114">
        <f t="shared" si="11"/>
        <v>1</v>
      </c>
      <c r="K19" s="114">
        <f t="shared" si="11"/>
        <v>1</v>
      </c>
      <c r="L19" s="115">
        <f t="shared" si="11"/>
        <v>1</v>
      </c>
      <c r="M19" s="114">
        <f t="shared" si="11"/>
        <v>1</v>
      </c>
      <c r="N19" s="114">
        <f t="shared" si="11"/>
        <v>1</v>
      </c>
      <c r="O19" s="114">
        <f t="shared" si="11"/>
        <v>1</v>
      </c>
      <c r="P19" s="114">
        <f t="shared" si="11"/>
        <v>1</v>
      </c>
      <c r="Q19" s="114">
        <f t="shared" si="11"/>
        <v>1</v>
      </c>
      <c r="R19" s="114">
        <f t="shared" si="11"/>
        <v>1</v>
      </c>
      <c r="S19" s="114">
        <f t="shared" si="11"/>
        <v>1</v>
      </c>
      <c r="T19" s="115">
        <f t="shared" si="11"/>
        <v>1</v>
      </c>
      <c r="U19" s="114">
        <f t="shared" si="11"/>
        <v>1</v>
      </c>
      <c r="V19" s="114">
        <f t="shared" si="11"/>
        <v>1</v>
      </c>
      <c r="W19" s="114">
        <f t="shared" si="11"/>
        <v>0.97444444444444445</v>
      </c>
      <c r="X19" s="114">
        <f t="shared" si="11"/>
        <v>0.87222222222222223</v>
      </c>
      <c r="Y19" s="114">
        <f t="shared" si="11"/>
        <v>0.99388888888888893</v>
      </c>
      <c r="Z19" s="114">
        <f t="shared" si="11"/>
        <v>1.032388888888889</v>
      </c>
      <c r="AA19" s="114">
        <f t="shared" si="11"/>
        <v>0</v>
      </c>
      <c r="AB19" s="115">
        <f t="shared" si="11"/>
        <v>1.0432473336284069</v>
      </c>
      <c r="AC19" s="114">
        <f t="shared" si="11"/>
        <v>1</v>
      </c>
      <c r="AD19" s="114">
        <f t="shared" si="11"/>
        <v>1</v>
      </c>
      <c r="AE19" s="114">
        <f t="shared" si="11"/>
        <v>1</v>
      </c>
      <c r="AF19" s="114">
        <f t="shared" si="11"/>
        <v>1</v>
      </c>
      <c r="AG19" s="114">
        <f t="shared" si="11"/>
        <v>1</v>
      </c>
      <c r="AH19" s="115">
        <f t="shared" si="11"/>
        <v>1.0344052067833573</v>
      </c>
      <c r="BE19" s="107"/>
      <c r="BF19" s="101"/>
      <c r="BG19" s="108"/>
      <c r="BH19" s="108"/>
      <c r="BI19" s="108"/>
      <c r="BJ19" s="109"/>
      <c r="BK19" s="108"/>
      <c r="BL19" s="108"/>
      <c r="BM19" s="108"/>
      <c r="BN19" s="108"/>
    </row>
    <row r="20" spans="1:66" ht="16" hidden="1" thickBot="1" x14ac:dyDescent="0.25">
      <c r="A20" s="132" t="s">
        <v>61</v>
      </c>
      <c r="B20" s="116"/>
      <c r="C20" s="116"/>
      <c r="D20" s="117"/>
      <c r="E20" s="116"/>
      <c r="F20" s="116"/>
      <c r="G20" s="116"/>
      <c r="H20" s="116"/>
      <c r="I20" s="116"/>
      <c r="J20" s="116"/>
      <c r="K20" s="116"/>
      <c r="L20" s="117"/>
      <c r="M20" s="116"/>
      <c r="N20" s="116"/>
      <c r="O20" s="116"/>
      <c r="P20" s="116"/>
      <c r="Q20" s="116"/>
      <c r="R20" s="116"/>
      <c r="S20" s="116"/>
      <c r="T20" s="117"/>
      <c r="U20" s="116"/>
      <c r="V20" s="116"/>
      <c r="W20" s="116"/>
      <c r="X20" s="116"/>
      <c r="Y20" s="116"/>
      <c r="Z20" s="116"/>
      <c r="AA20" s="116"/>
      <c r="AB20" s="117"/>
      <c r="AC20" s="116"/>
      <c r="AD20" s="116"/>
      <c r="AE20" s="116"/>
      <c r="AF20" s="116"/>
      <c r="AG20" s="116"/>
      <c r="AH20" s="117"/>
      <c r="BE20" s="107"/>
      <c r="BF20" s="101"/>
      <c r="BG20" s="108"/>
      <c r="BH20" s="108"/>
      <c r="BI20" s="108"/>
      <c r="BJ20" s="109"/>
      <c r="BK20" s="108"/>
      <c r="BL20" s="108"/>
      <c r="BM20" s="108"/>
      <c r="BN20" s="108"/>
    </row>
    <row r="21" spans="1:66" ht="16" hidden="1" thickBot="1" x14ac:dyDescent="0.25">
      <c r="A21" s="132" t="s">
        <v>53</v>
      </c>
      <c r="B21" s="111"/>
      <c r="C21" s="111"/>
      <c r="D21" s="112"/>
      <c r="E21" s="111"/>
      <c r="F21" s="111"/>
      <c r="G21" s="111"/>
      <c r="H21" s="111"/>
      <c r="I21" s="111"/>
      <c r="J21" s="111"/>
      <c r="K21" s="111"/>
      <c r="L21" s="112"/>
      <c r="M21" s="111"/>
      <c r="N21" s="111"/>
      <c r="O21" s="111"/>
      <c r="P21" s="111"/>
      <c r="Q21" s="111"/>
      <c r="R21" s="111"/>
      <c r="S21" s="111"/>
      <c r="T21" s="112"/>
      <c r="U21" s="111"/>
      <c r="V21" s="111"/>
      <c r="W21" s="111"/>
      <c r="X21" s="111"/>
      <c r="Y21" s="111"/>
      <c r="Z21" s="111"/>
      <c r="AA21" s="111"/>
      <c r="AB21" s="112"/>
      <c r="AC21" s="111"/>
      <c r="AD21" s="111"/>
      <c r="AE21" s="111"/>
      <c r="AF21" s="111"/>
      <c r="AG21" s="111"/>
      <c r="AH21" s="112"/>
      <c r="BE21" s="107"/>
      <c r="BF21" s="101"/>
      <c r="BG21" s="108"/>
      <c r="BH21" s="108"/>
      <c r="BI21" s="108"/>
      <c r="BJ21" s="109"/>
      <c r="BK21" s="108"/>
      <c r="BL21" s="108"/>
      <c r="BM21" s="108"/>
      <c r="BN21" s="108"/>
    </row>
    <row r="22" spans="1:66" ht="16" hidden="1" thickBot="1" x14ac:dyDescent="0.25">
      <c r="A22" s="132" t="s">
        <v>54</v>
      </c>
      <c r="B22" s="111"/>
      <c r="C22" s="111"/>
      <c r="D22" s="112"/>
      <c r="E22" s="111"/>
      <c r="F22" s="111"/>
      <c r="G22" s="111"/>
      <c r="H22" s="111"/>
      <c r="I22" s="111"/>
      <c r="J22" s="111"/>
      <c r="K22" s="111"/>
      <c r="L22" s="112"/>
      <c r="M22" s="111"/>
      <c r="N22" s="111"/>
      <c r="O22" s="111"/>
      <c r="P22" s="111"/>
      <c r="Q22" s="111"/>
      <c r="R22" s="111"/>
      <c r="S22" s="111"/>
      <c r="T22" s="112"/>
      <c r="U22" s="111"/>
      <c r="V22" s="111"/>
      <c r="W22" s="111"/>
      <c r="X22" s="111"/>
      <c r="Y22" s="111"/>
      <c r="Z22" s="111"/>
      <c r="AA22" s="111"/>
      <c r="AB22" s="112"/>
      <c r="AC22" s="111"/>
      <c r="AD22" s="111"/>
      <c r="AE22" s="111"/>
      <c r="AF22" s="111"/>
      <c r="AG22" s="111"/>
      <c r="AH22" s="112"/>
      <c r="BE22" s="107"/>
      <c r="BF22" s="101"/>
      <c r="BG22" s="108"/>
      <c r="BH22" s="108"/>
      <c r="BI22" s="108"/>
      <c r="BJ22" s="109"/>
      <c r="BK22" s="108"/>
      <c r="BL22" s="108"/>
      <c r="BM22" s="108"/>
      <c r="BN22" s="108"/>
    </row>
    <row r="23" spans="1:66" x14ac:dyDescent="0.2">
      <c r="A23" s="134" t="s">
        <v>62</v>
      </c>
      <c r="B23" s="105">
        <f>+B24</f>
        <v>131.07</v>
      </c>
      <c r="C23" s="105">
        <f>+C24</f>
        <v>130.51</v>
      </c>
      <c r="D23" s="112">
        <f>+SUM(B23:C23)</f>
        <v>261.58</v>
      </c>
      <c r="E23" s="105">
        <f t="shared" ref="E23:K23" si="12">+E24</f>
        <v>134.739</v>
      </c>
      <c r="F23" s="105">
        <f t="shared" si="12"/>
        <v>130.27000000000001</v>
      </c>
      <c r="G23" s="105">
        <f t="shared" si="12"/>
        <v>130.35</v>
      </c>
      <c r="H23" s="105">
        <f t="shared" si="12"/>
        <v>130.77000000000001</v>
      </c>
      <c r="I23" s="105">
        <f t="shared" si="12"/>
        <v>130.6</v>
      </c>
      <c r="J23" s="105">
        <f t="shared" si="12"/>
        <v>139.86000000000001</v>
      </c>
      <c r="K23" s="105">
        <f t="shared" si="12"/>
        <v>130.05000000000001</v>
      </c>
      <c r="L23" s="112">
        <f>+D23+SUM(E23:K23)</f>
        <v>1188.2190000000001</v>
      </c>
      <c r="M23" s="105">
        <f t="shared" ref="M23:S23" si="13">+M24</f>
        <v>129.34</v>
      </c>
      <c r="N23" s="105">
        <f t="shared" si="13"/>
        <v>132.6</v>
      </c>
      <c r="O23" s="105">
        <f t="shared" si="13"/>
        <v>85.62</v>
      </c>
      <c r="P23" s="105">
        <f t="shared" si="13"/>
        <v>100.524</v>
      </c>
      <c r="Q23" s="105">
        <f t="shared" si="13"/>
        <v>90.287000000000006</v>
      </c>
      <c r="R23" s="105">
        <f t="shared" si="13"/>
        <v>90.287000000000006</v>
      </c>
      <c r="S23" s="105">
        <f t="shared" si="13"/>
        <v>102.544</v>
      </c>
      <c r="T23" s="112">
        <f>+L23+SUM(M23:S23)</f>
        <v>1919.421</v>
      </c>
      <c r="U23" s="105">
        <f>+U24</f>
        <v>135.43</v>
      </c>
      <c r="V23" s="105">
        <f>+V24</f>
        <v>87.23</v>
      </c>
      <c r="W23" s="105">
        <v>120</v>
      </c>
      <c r="X23" s="105">
        <v>120</v>
      </c>
      <c r="Y23" s="105">
        <v>120</v>
      </c>
      <c r="Z23" s="105">
        <v>120</v>
      </c>
      <c r="AA23" s="105">
        <v>100</v>
      </c>
      <c r="AB23" s="112">
        <f>+T23+SUM(U23:AA23)</f>
        <v>2722.0810000000001</v>
      </c>
      <c r="AC23" s="105">
        <v>120</v>
      </c>
      <c r="AD23" s="105">
        <v>120</v>
      </c>
      <c r="AE23" s="105">
        <v>120</v>
      </c>
      <c r="AF23" s="105">
        <v>120</v>
      </c>
      <c r="AG23" s="105">
        <v>120</v>
      </c>
      <c r="AH23" s="112">
        <f>+AB23+SUM(AC23:AG23)</f>
        <v>3322.0810000000001</v>
      </c>
      <c r="BE23" s="107">
        <v>4636.3636363636351</v>
      </c>
      <c r="BF23" s="101"/>
      <c r="BG23" s="108"/>
      <c r="BH23" s="108"/>
      <c r="BI23" s="108"/>
      <c r="BJ23" s="109"/>
      <c r="BK23" s="108"/>
      <c r="BL23" s="108"/>
      <c r="BM23" s="108"/>
      <c r="BN23" s="108"/>
    </row>
    <row r="24" spans="1:66" ht="12" customHeight="1" x14ac:dyDescent="0.2">
      <c r="A24" s="135" t="s">
        <v>63</v>
      </c>
      <c r="B24" s="111">
        <v>131.07</v>
      </c>
      <c r="C24" s="111">
        <v>130.51</v>
      </c>
      <c r="D24" s="112">
        <f>+SUM(B24:C24)</f>
        <v>261.58</v>
      </c>
      <c r="E24" s="111">
        <v>134.739</v>
      </c>
      <c r="F24" s="111">
        <v>130.27000000000001</v>
      </c>
      <c r="G24" s="111">
        <v>130.35</v>
      </c>
      <c r="H24" s="111">
        <v>130.77000000000001</v>
      </c>
      <c r="I24" s="111">
        <v>130.6</v>
      </c>
      <c r="J24" s="111">
        <v>139.86000000000001</v>
      </c>
      <c r="K24" s="111">
        <v>130.05000000000001</v>
      </c>
      <c r="L24" s="112">
        <f>+D24+SUM(E24:K24)</f>
        <v>1188.2190000000001</v>
      </c>
      <c r="M24" s="111">
        <v>129.34</v>
      </c>
      <c r="N24" s="111">
        <v>132.6</v>
      </c>
      <c r="O24" s="111">
        <v>85.62</v>
      </c>
      <c r="P24" s="111">
        <v>100.524</v>
      </c>
      <c r="Q24" s="111">
        <v>90.287000000000006</v>
      </c>
      <c r="R24" s="111">
        <v>90.287000000000006</v>
      </c>
      <c r="S24" s="111">
        <v>102.544</v>
      </c>
      <c r="T24" s="112">
        <f>+L24+SUM(M24:S24)</f>
        <v>1919.421</v>
      </c>
      <c r="U24" s="111">
        <v>135.43</v>
      </c>
      <c r="V24" s="111">
        <v>87.23</v>
      </c>
      <c r="W24" s="111">
        <v>112.59</v>
      </c>
      <c r="X24" s="111">
        <f>+DOWNSTREAM!X26</f>
        <v>83.47</v>
      </c>
      <c r="Y24" s="111">
        <f>+DOWNSTREAM!Y26</f>
        <v>111.16</v>
      </c>
      <c r="Z24" s="111">
        <f>+DOWNSTREAM!Z26</f>
        <v>116.5</v>
      </c>
      <c r="AA24" s="111">
        <f>+DOWNSTREAM!AA26</f>
        <v>119.61</v>
      </c>
      <c r="AB24" s="112">
        <f>+T24+SUM(U24:AA24)</f>
        <v>2685.4110000000001</v>
      </c>
      <c r="AC24" s="279">
        <f>+AC23</f>
        <v>120</v>
      </c>
      <c r="AD24" s="279">
        <f>+AD23</f>
        <v>120</v>
      </c>
      <c r="AE24" s="279">
        <f>+AE23</f>
        <v>120</v>
      </c>
      <c r="AF24" s="279">
        <f>+AF23</f>
        <v>120</v>
      </c>
      <c r="AG24" s="279">
        <f>+AG23</f>
        <v>120</v>
      </c>
      <c r="AH24" s="112">
        <f>+AB24+SUM(AC24:AG24)</f>
        <v>3285.4110000000001</v>
      </c>
      <c r="BE24" s="107"/>
      <c r="BF24" s="101"/>
      <c r="BG24" s="108"/>
      <c r="BH24" s="108"/>
      <c r="BI24" s="108"/>
      <c r="BJ24" s="109"/>
      <c r="BK24" s="108"/>
      <c r="BL24" s="108"/>
      <c r="BM24" s="108"/>
      <c r="BN24" s="108"/>
    </row>
    <row r="25" spans="1:66" ht="16" thickBot="1" x14ac:dyDescent="0.25">
      <c r="A25" s="136" t="s">
        <v>3</v>
      </c>
      <c r="B25" s="114">
        <f t="shared" ref="B25:AH25" si="14">IFERROR(+B24/B23,0)</f>
        <v>1</v>
      </c>
      <c r="C25" s="114">
        <f t="shared" si="14"/>
        <v>1</v>
      </c>
      <c r="D25" s="115">
        <f t="shared" si="14"/>
        <v>1</v>
      </c>
      <c r="E25" s="114">
        <f t="shared" si="14"/>
        <v>1</v>
      </c>
      <c r="F25" s="114">
        <f t="shared" si="14"/>
        <v>1</v>
      </c>
      <c r="G25" s="114">
        <f t="shared" si="14"/>
        <v>1</v>
      </c>
      <c r="H25" s="114">
        <f t="shared" si="14"/>
        <v>1</v>
      </c>
      <c r="I25" s="114">
        <f t="shared" si="14"/>
        <v>1</v>
      </c>
      <c r="J25" s="114">
        <f t="shared" si="14"/>
        <v>1</v>
      </c>
      <c r="K25" s="114">
        <f t="shared" si="14"/>
        <v>1</v>
      </c>
      <c r="L25" s="115">
        <f t="shared" si="14"/>
        <v>1</v>
      </c>
      <c r="M25" s="114">
        <f t="shared" si="14"/>
        <v>1</v>
      </c>
      <c r="N25" s="114">
        <f t="shared" si="14"/>
        <v>1</v>
      </c>
      <c r="O25" s="114">
        <f t="shared" si="14"/>
        <v>1</v>
      </c>
      <c r="P25" s="114">
        <f t="shared" si="14"/>
        <v>1</v>
      </c>
      <c r="Q25" s="114">
        <f t="shared" si="14"/>
        <v>1</v>
      </c>
      <c r="R25" s="114">
        <f t="shared" si="14"/>
        <v>1</v>
      </c>
      <c r="S25" s="114">
        <f t="shared" si="14"/>
        <v>1</v>
      </c>
      <c r="T25" s="115">
        <f t="shared" si="14"/>
        <v>1</v>
      </c>
      <c r="U25" s="114">
        <f t="shared" si="14"/>
        <v>1</v>
      </c>
      <c r="V25" s="114">
        <f t="shared" si="14"/>
        <v>1</v>
      </c>
      <c r="W25" s="114">
        <f t="shared" si="14"/>
        <v>0.93825000000000003</v>
      </c>
      <c r="X25" s="114">
        <f t="shared" si="14"/>
        <v>0.69558333333333333</v>
      </c>
      <c r="Y25" s="114">
        <f t="shared" si="14"/>
        <v>0.92633333333333334</v>
      </c>
      <c r="Z25" s="114">
        <f t="shared" si="14"/>
        <v>0.97083333333333333</v>
      </c>
      <c r="AA25" s="114">
        <f t="shared" si="14"/>
        <v>1.1960999999999999</v>
      </c>
      <c r="AB25" s="115">
        <f t="shared" si="14"/>
        <v>0.98652868889647294</v>
      </c>
      <c r="AC25" s="114">
        <f t="shared" si="14"/>
        <v>1</v>
      </c>
      <c r="AD25" s="114">
        <f t="shared" si="14"/>
        <v>1</v>
      </c>
      <c r="AE25" s="114">
        <f t="shared" si="14"/>
        <v>1</v>
      </c>
      <c r="AF25" s="114">
        <f t="shared" si="14"/>
        <v>1</v>
      </c>
      <c r="AG25" s="114">
        <f t="shared" si="14"/>
        <v>1</v>
      </c>
      <c r="AH25" s="115">
        <f t="shared" si="14"/>
        <v>0.98896173813943733</v>
      </c>
      <c r="BE25" s="107"/>
      <c r="BF25" s="101"/>
      <c r="BG25" s="108"/>
      <c r="BH25" s="108"/>
      <c r="BI25" s="108"/>
      <c r="BJ25" s="109"/>
      <c r="BK25" s="108"/>
      <c r="BL25" s="108"/>
      <c r="BM25" s="108"/>
      <c r="BN25" s="108"/>
    </row>
    <row r="26" spans="1:66" ht="16" hidden="1" thickBot="1" x14ac:dyDescent="0.25">
      <c r="A26" s="135" t="s">
        <v>64</v>
      </c>
      <c r="B26" s="116"/>
      <c r="C26" s="116"/>
      <c r="D26" s="117"/>
      <c r="E26" s="116"/>
      <c r="F26" s="116"/>
      <c r="G26" s="116"/>
      <c r="H26" s="116"/>
      <c r="I26" s="116"/>
      <c r="J26" s="116"/>
      <c r="K26" s="116"/>
      <c r="L26" s="117"/>
      <c r="M26" s="116"/>
      <c r="N26" s="116"/>
      <c r="O26" s="116"/>
      <c r="P26" s="116"/>
      <c r="Q26" s="116"/>
      <c r="R26" s="116"/>
      <c r="S26" s="116"/>
      <c r="T26" s="117"/>
      <c r="U26" s="116"/>
      <c r="V26" s="116"/>
      <c r="W26" s="116"/>
      <c r="X26" s="116"/>
      <c r="Y26" s="116"/>
      <c r="Z26" s="116"/>
      <c r="AA26" s="116"/>
      <c r="AB26" s="117"/>
      <c r="AC26" s="116"/>
      <c r="AD26" s="116"/>
      <c r="AE26" s="116"/>
      <c r="AF26" s="116"/>
      <c r="AG26" s="116"/>
      <c r="AH26" s="117"/>
      <c r="BE26" s="107"/>
      <c r="BF26" s="101"/>
      <c r="BG26" s="108"/>
      <c r="BH26" s="108"/>
      <c r="BI26" s="108"/>
      <c r="BJ26" s="109"/>
      <c r="BK26" s="108"/>
      <c r="BL26" s="108"/>
      <c r="BM26" s="108"/>
      <c r="BN26" s="108"/>
    </row>
    <row r="27" spans="1:66" ht="16" hidden="1" thickBot="1" x14ac:dyDescent="0.25">
      <c r="A27" s="135" t="s">
        <v>65</v>
      </c>
      <c r="B27" s="111"/>
      <c r="C27" s="111"/>
      <c r="D27" s="112"/>
      <c r="E27" s="111"/>
      <c r="F27" s="111"/>
      <c r="G27" s="111"/>
      <c r="H27" s="111"/>
      <c r="I27" s="111"/>
      <c r="J27" s="111"/>
      <c r="K27" s="111"/>
      <c r="L27" s="112"/>
      <c r="M27" s="111"/>
      <c r="N27" s="111"/>
      <c r="O27" s="111"/>
      <c r="P27" s="111"/>
      <c r="Q27" s="111"/>
      <c r="R27" s="111"/>
      <c r="S27" s="111"/>
      <c r="T27" s="112"/>
      <c r="U27" s="111"/>
      <c r="V27" s="111"/>
      <c r="W27" s="111"/>
      <c r="X27" s="111"/>
      <c r="Y27" s="111"/>
      <c r="Z27" s="111"/>
      <c r="AA27" s="111"/>
      <c r="AB27" s="112"/>
      <c r="AC27" s="111"/>
      <c r="AD27" s="111"/>
      <c r="AE27" s="111"/>
      <c r="AF27" s="111"/>
      <c r="AG27" s="111"/>
      <c r="AH27" s="112"/>
      <c r="BE27" s="107"/>
      <c r="BF27" s="101"/>
      <c r="BG27" s="108"/>
      <c r="BH27" s="108"/>
      <c r="BI27" s="108"/>
      <c r="BJ27" s="109"/>
      <c r="BK27" s="108"/>
      <c r="BL27" s="108"/>
      <c r="BM27" s="108"/>
      <c r="BN27" s="108"/>
    </row>
    <row r="28" spans="1:66" ht="16" hidden="1" thickBot="1" x14ac:dyDescent="0.25">
      <c r="A28" s="135" t="s">
        <v>66</v>
      </c>
      <c r="B28" s="120"/>
      <c r="C28" s="120"/>
      <c r="D28" s="127"/>
      <c r="E28" s="120"/>
      <c r="F28" s="120"/>
      <c r="G28" s="120"/>
      <c r="H28" s="120"/>
      <c r="I28" s="120"/>
      <c r="J28" s="120"/>
      <c r="K28" s="120"/>
      <c r="L28" s="127"/>
      <c r="M28" s="120"/>
      <c r="N28" s="120"/>
      <c r="O28" s="120"/>
      <c r="P28" s="120"/>
      <c r="Q28" s="120"/>
      <c r="R28" s="120"/>
      <c r="S28" s="120"/>
      <c r="T28" s="127"/>
      <c r="U28" s="120"/>
      <c r="V28" s="120"/>
      <c r="W28" s="120"/>
      <c r="X28" s="120"/>
      <c r="Y28" s="120"/>
      <c r="Z28" s="120"/>
      <c r="AA28" s="120"/>
      <c r="AB28" s="127"/>
      <c r="AC28" s="120"/>
      <c r="AD28" s="120"/>
      <c r="AE28" s="120"/>
      <c r="AF28" s="120"/>
      <c r="AG28" s="120"/>
      <c r="AH28" s="127"/>
      <c r="BE28" s="107"/>
      <c r="BF28" s="101"/>
      <c r="BG28" s="108"/>
      <c r="BH28" s="108"/>
      <c r="BI28" s="108"/>
      <c r="BJ28" s="109"/>
      <c r="BK28" s="108"/>
      <c r="BL28" s="108"/>
      <c r="BM28" s="108"/>
      <c r="BN28" s="108"/>
    </row>
    <row r="29" spans="1:66" ht="16" hidden="1" thickBot="1" x14ac:dyDescent="0.25">
      <c r="A29" s="137" t="s">
        <v>55</v>
      </c>
      <c r="B29" s="129"/>
      <c r="C29" s="129"/>
      <c r="D29" s="130"/>
      <c r="E29" s="129"/>
      <c r="F29" s="129"/>
      <c r="G29" s="129"/>
      <c r="H29" s="129"/>
      <c r="I29" s="129"/>
      <c r="J29" s="129"/>
      <c r="K29" s="129"/>
      <c r="L29" s="130"/>
      <c r="M29" s="129"/>
      <c r="N29" s="129"/>
      <c r="O29" s="129"/>
      <c r="P29" s="129"/>
      <c r="Q29" s="129"/>
      <c r="R29" s="129"/>
      <c r="S29" s="129"/>
      <c r="T29" s="130"/>
      <c r="U29" s="129"/>
      <c r="V29" s="129"/>
      <c r="W29" s="129"/>
      <c r="X29" s="129"/>
      <c r="Y29" s="129"/>
      <c r="Z29" s="129"/>
      <c r="AA29" s="129"/>
      <c r="AB29" s="130"/>
      <c r="AC29" s="129"/>
      <c r="AD29" s="129"/>
      <c r="AE29" s="129"/>
      <c r="AF29" s="129"/>
      <c r="AG29" s="129"/>
      <c r="AH29" s="130"/>
      <c r="BE29" s="107"/>
      <c r="BF29" s="101"/>
      <c r="BG29" s="108"/>
      <c r="BH29" s="108"/>
      <c r="BI29" s="108"/>
      <c r="BJ29" s="109"/>
      <c r="BK29" s="108"/>
      <c r="BL29" s="108"/>
      <c r="BM29" s="108"/>
      <c r="BN29" s="108"/>
    </row>
    <row r="30" spans="1:66" x14ac:dyDescent="0.2">
      <c r="A30" s="131" t="s">
        <v>67</v>
      </c>
      <c r="B30" s="105" t="e">
        <v>#N/A</v>
      </c>
      <c r="C30" s="105" t="e">
        <v>#N/A</v>
      </c>
      <c r="D30" s="112" t="e">
        <f>+SUM(B30:C30)</f>
        <v>#N/A</v>
      </c>
      <c r="E30" s="105" t="e">
        <v>#N/A</v>
      </c>
      <c r="F30" s="105" t="e">
        <v>#N/A</v>
      </c>
      <c r="G30" s="105" t="e">
        <v>#N/A</v>
      </c>
      <c r="H30" s="105" t="e">
        <v>#N/A</v>
      </c>
      <c r="I30" s="105" t="e">
        <v>#N/A</v>
      </c>
      <c r="J30" s="105" t="e">
        <v>#N/A</v>
      </c>
      <c r="K30" s="105" t="e">
        <v>#N/A</v>
      </c>
      <c r="L30" s="112" t="e">
        <f>+D30+SUM(E30:K30)</f>
        <v>#N/A</v>
      </c>
      <c r="M30" s="105" t="e">
        <v>#N/A</v>
      </c>
      <c r="N30" s="105" t="e">
        <v>#N/A</v>
      </c>
      <c r="O30" s="105" t="e">
        <v>#N/A</v>
      </c>
      <c r="P30" s="105" t="e">
        <v>#N/A</v>
      </c>
      <c r="Q30" s="105" t="e">
        <v>#N/A</v>
      </c>
      <c r="R30" s="105" t="e">
        <v>#N/A</v>
      </c>
      <c r="S30" s="105" t="e">
        <v>#N/A</v>
      </c>
      <c r="T30" s="112" t="e">
        <f>+L30+SUM(M30:S30)</f>
        <v>#N/A</v>
      </c>
      <c r="U30" s="105" t="e">
        <v>#N/A</v>
      </c>
      <c r="V30" s="105">
        <v>63</v>
      </c>
      <c r="W30" s="105">
        <v>63</v>
      </c>
      <c r="X30" s="105">
        <v>63</v>
      </c>
      <c r="Y30" s="105">
        <v>63</v>
      </c>
      <c r="Z30" s="105">
        <v>63</v>
      </c>
      <c r="AA30" s="105">
        <v>59.85</v>
      </c>
      <c r="AB30" s="112" t="e">
        <f>+T30+SUM(U30:AA30)</f>
        <v>#N/A</v>
      </c>
      <c r="AC30" s="105">
        <v>59.85</v>
      </c>
      <c r="AD30" s="105">
        <v>63</v>
      </c>
      <c r="AE30" s="105">
        <v>63</v>
      </c>
      <c r="AF30" s="105">
        <v>56.7</v>
      </c>
      <c r="AG30" s="105">
        <v>0</v>
      </c>
      <c r="AH30" s="112" t="e">
        <f>+AB30+SUM(AC30:AG30)</f>
        <v>#N/A</v>
      </c>
      <c r="BE30" s="107">
        <v>645</v>
      </c>
      <c r="BF30" s="101"/>
      <c r="BG30" s="108"/>
      <c r="BH30" s="108"/>
      <c r="BI30" s="108"/>
      <c r="BJ30" s="109"/>
      <c r="BK30" s="108"/>
      <c r="BL30" s="108"/>
      <c r="BM30" s="108"/>
      <c r="BN30" s="108"/>
    </row>
    <row r="31" spans="1:66" ht="12" customHeight="1" x14ac:dyDescent="0.2">
      <c r="A31" s="132" t="s">
        <v>68</v>
      </c>
      <c r="B31" s="111">
        <v>22.05</v>
      </c>
      <c r="C31" s="111">
        <v>72.45</v>
      </c>
      <c r="D31" s="112">
        <f>+SUM(B31:C31)</f>
        <v>94.5</v>
      </c>
      <c r="E31" s="111">
        <v>72.45</v>
      </c>
      <c r="F31" s="111">
        <v>44.1</v>
      </c>
      <c r="G31" s="111">
        <v>63</v>
      </c>
      <c r="H31" s="111">
        <v>12.48</v>
      </c>
      <c r="I31" s="111">
        <v>50.52</v>
      </c>
      <c r="J31" s="111">
        <v>53.52</v>
      </c>
      <c r="K31" s="111">
        <v>0</v>
      </c>
      <c r="L31" s="112">
        <f>+D31+SUM(E31:K31)</f>
        <v>390.57</v>
      </c>
      <c r="M31" s="111">
        <v>28.35</v>
      </c>
      <c r="N31" s="111">
        <v>66.150000000000006</v>
      </c>
      <c r="O31" s="111">
        <v>66.150000000000006</v>
      </c>
      <c r="P31" s="111">
        <v>66.150000000000006</v>
      </c>
      <c r="Q31" s="111">
        <v>69.3</v>
      </c>
      <c r="R31" s="111">
        <v>50.4</v>
      </c>
      <c r="S31" s="111">
        <v>15.75</v>
      </c>
      <c r="T31" s="112">
        <f>+L31+SUM(M31:S31)</f>
        <v>752.81999999999994</v>
      </c>
      <c r="U31" s="111">
        <v>47.25</v>
      </c>
      <c r="V31" s="111">
        <v>63</v>
      </c>
      <c r="W31" s="111">
        <v>63</v>
      </c>
      <c r="X31" s="111">
        <f>+DOWNSTREAM!X33</f>
        <v>56.7</v>
      </c>
      <c r="Y31" s="111">
        <f>+DOWNSTREAM!Y33</f>
        <v>50.4</v>
      </c>
      <c r="Z31" s="111">
        <f>+DOWNSTREAM!Z33</f>
        <v>44.1</v>
      </c>
      <c r="AA31" s="111">
        <f>+DOWNSTREAM!AA33</f>
        <v>53.55</v>
      </c>
      <c r="AB31" s="112">
        <f>+T31+SUM(U31:AA31)</f>
        <v>1130.82</v>
      </c>
      <c r="AC31" s="279">
        <v>59.85</v>
      </c>
      <c r="AD31" s="279">
        <v>63</v>
      </c>
      <c r="AE31" s="279">
        <v>63</v>
      </c>
      <c r="AF31" s="279">
        <v>56.7</v>
      </c>
      <c r="AG31" s="279">
        <v>0</v>
      </c>
      <c r="AH31" s="112">
        <f>+AB31+SUM(AC31:AG31)</f>
        <v>1373.37</v>
      </c>
      <c r="BE31" s="107"/>
      <c r="BF31" s="101"/>
      <c r="BG31" s="108"/>
      <c r="BH31" s="108"/>
      <c r="BI31" s="108"/>
      <c r="BJ31" s="109"/>
      <c r="BK31" s="108"/>
      <c r="BL31" s="108"/>
      <c r="BM31" s="108"/>
      <c r="BN31" s="108"/>
    </row>
    <row r="32" spans="1:66" ht="12" customHeight="1" thickBot="1" x14ac:dyDescent="0.25">
      <c r="A32" s="133" t="s">
        <v>3</v>
      </c>
      <c r="B32" s="114">
        <f>IFERROR(B31/B30,0)</f>
        <v>0</v>
      </c>
      <c r="C32" s="114">
        <f>IFERROR(C31/C30,0)</f>
        <v>0</v>
      </c>
      <c r="D32" s="115">
        <f>IFERROR(D31/D30,0)</f>
        <v>0</v>
      </c>
      <c r="E32" s="114">
        <f>IFERROR(E31/E30,0)</f>
        <v>0</v>
      </c>
      <c r="F32" s="114">
        <f t="shared" ref="F32:AH32" si="15">IFERROR(F31/F30,0)</f>
        <v>0</v>
      </c>
      <c r="G32" s="114">
        <f t="shared" si="15"/>
        <v>0</v>
      </c>
      <c r="H32" s="114">
        <f t="shared" si="15"/>
        <v>0</v>
      </c>
      <c r="I32" s="114">
        <f t="shared" si="15"/>
        <v>0</v>
      </c>
      <c r="J32" s="114">
        <f t="shared" si="15"/>
        <v>0</v>
      </c>
      <c r="K32" s="114">
        <f t="shared" si="15"/>
        <v>0</v>
      </c>
      <c r="L32" s="115">
        <f t="shared" si="15"/>
        <v>0</v>
      </c>
      <c r="M32" s="114">
        <f t="shared" si="15"/>
        <v>0</v>
      </c>
      <c r="N32" s="114">
        <f t="shared" si="15"/>
        <v>0</v>
      </c>
      <c r="O32" s="114">
        <f t="shared" si="15"/>
        <v>0</v>
      </c>
      <c r="P32" s="114">
        <f t="shared" si="15"/>
        <v>0</v>
      </c>
      <c r="Q32" s="114">
        <f t="shared" si="15"/>
        <v>0</v>
      </c>
      <c r="R32" s="114">
        <f t="shared" si="15"/>
        <v>0</v>
      </c>
      <c r="S32" s="114">
        <f t="shared" si="15"/>
        <v>0</v>
      </c>
      <c r="T32" s="115">
        <f t="shared" si="15"/>
        <v>0</v>
      </c>
      <c r="U32" s="114">
        <f t="shared" si="15"/>
        <v>0</v>
      </c>
      <c r="V32" s="114">
        <f t="shared" si="15"/>
        <v>1</v>
      </c>
      <c r="W32" s="114">
        <f t="shared" si="15"/>
        <v>1</v>
      </c>
      <c r="X32" s="114">
        <f t="shared" si="15"/>
        <v>0.9</v>
      </c>
      <c r="Y32" s="114">
        <f t="shared" si="15"/>
        <v>0.79999999999999993</v>
      </c>
      <c r="Z32" s="114">
        <f t="shared" si="15"/>
        <v>0.70000000000000007</v>
      </c>
      <c r="AA32" s="114">
        <f t="shared" si="15"/>
        <v>0.89473684210526305</v>
      </c>
      <c r="AB32" s="115">
        <f t="shared" si="15"/>
        <v>0</v>
      </c>
      <c r="AC32" s="114">
        <f t="shared" si="15"/>
        <v>1</v>
      </c>
      <c r="AD32" s="114">
        <f t="shared" si="15"/>
        <v>1</v>
      </c>
      <c r="AE32" s="114">
        <f t="shared" si="15"/>
        <v>1</v>
      </c>
      <c r="AF32" s="114">
        <f t="shared" si="15"/>
        <v>1</v>
      </c>
      <c r="AG32" s="114">
        <f t="shared" si="15"/>
        <v>0</v>
      </c>
      <c r="AH32" s="115">
        <f t="shared" si="15"/>
        <v>0</v>
      </c>
      <c r="BE32" s="107"/>
      <c r="BF32" s="101"/>
      <c r="BG32" s="108"/>
      <c r="BH32" s="108"/>
      <c r="BI32" s="108"/>
      <c r="BJ32" s="109"/>
      <c r="BK32" s="108"/>
      <c r="BL32" s="108"/>
      <c r="BM32" s="108"/>
      <c r="BN32" s="108"/>
    </row>
    <row r="33" spans="1:66" ht="12" customHeight="1" x14ac:dyDescent="0.2">
      <c r="A33" s="138" t="s">
        <v>69</v>
      </c>
      <c r="B33" s="139">
        <f t="shared" ref="B33:AH34" si="16">+B2</f>
        <v>340.24900000000002</v>
      </c>
      <c r="C33" s="139">
        <f t="shared" si="16"/>
        <v>265.73</v>
      </c>
      <c r="D33" s="140">
        <f t="shared" si="16"/>
        <v>605.97900000000004</v>
      </c>
      <c r="E33" s="139">
        <f t="shared" si="16"/>
        <v>371.19900000000001</v>
      </c>
      <c r="F33" s="139">
        <f t="shared" si="16"/>
        <v>311.24799999999999</v>
      </c>
      <c r="G33" s="139">
        <f>+G3</f>
        <v>345.55200000000002</v>
      </c>
      <c r="H33" s="139">
        <f t="shared" si="16"/>
        <v>347.101</v>
      </c>
      <c r="I33" s="139">
        <f t="shared" si="16"/>
        <v>331.20499999999998</v>
      </c>
      <c r="J33" s="139">
        <f t="shared" si="16"/>
        <v>374.98899999999998</v>
      </c>
      <c r="K33" s="139">
        <f t="shared" si="16"/>
        <v>371.82400000000001</v>
      </c>
      <c r="L33" s="140">
        <f t="shared" si="16"/>
        <v>3059.0969999999998</v>
      </c>
      <c r="M33" s="139">
        <f t="shared" si="16"/>
        <v>356.43599999999998</v>
      </c>
      <c r="N33" s="139">
        <f t="shared" si="16"/>
        <v>379.61399999999998</v>
      </c>
      <c r="O33" s="139">
        <f t="shared" si="16"/>
        <v>373.846</v>
      </c>
      <c r="P33" s="139">
        <f t="shared" si="16"/>
        <v>358.37200000000001</v>
      </c>
      <c r="Q33" s="139">
        <f t="shared" si="16"/>
        <v>368.39400000000001</v>
      </c>
      <c r="R33" s="139">
        <f t="shared" si="16"/>
        <v>368.39400000000001</v>
      </c>
      <c r="S33" s="139">
        <f t="shared" si="16"/>
        <v>371.18200000000002</v>
      </c>
      <c r="T33" s="140">
        <f t="shared" si="16"/>
        <v>5635.335</v>
      </c>
      <c r="U33" s="139">
        <f t="shared" si="16"/>
        <v>340.92700000000002</v>
      </c>
      <c r="V33" s="139">
        <f t="shared" si="16"/>
        <v>366.37700000000001</v>
      </c>
      <c r="W33" s="139">
        <f t="shared" si="16"/>
        <v>250</v>
      </c>
      <c r="X33" s="139">
        <f t="shared" si="16"/>
        <v>365</v>
      </c>
      <c r="Y33" s="139">
        <f t="shared" si="16"/>
        <v>365</v>
      </c>
      <c r="Z33" s="139">
        <f t="shared" si="16"/>
        <v>365</v>
      </c>
      <c r="AA33" s="139">
        <f t="shared" si="16"/>
        <v>350</v>
      </c>
      <c r="AB33" s="140">
        <f t="shared" si="16"/>
        <v>8037.6390000000001</v>
      </c>
      <c r="AC33" s="139">
        <f t="shared" si="16"/>
        <v>365</v>
      </c>
      <c r="AD33" s="139">
        <f t="shared" si="16"/>
        <v>365</v>
      </c>
      <c r="AE33" s="139">
        <f t="shared" si="16"/>
        <v>365</v>
      </c>
      <c r="AF33" s="139">
        <f t="shared" si="16"/>
        <v>365</v>
      </c>
      <c r="AG33" s="139">
        <f t="shared" si="16"/>
        <v>365</v>
      </c>
      <c r="AH33" s="140">
        <f t="shared" si="16"/>
        <v>9862.6389999999992</v>
      </c>
      <c r="BE33" s="108"/>
      <c r="BF33" s="101"/>
      <c r="BG33" s="108"/>
      <c r="BH33" s="108"/>
      <c r="BI33" s="108"/>
      <c r="BJ33" s="109"/>
      <c r="BK33" s="108"/>
      <c r="BL33" s="108"/>
      <c r="BM33" s="108"/>
      <c r="BN33" s="108"/>
    </row>
    <row r="34" spans="1:66" ht="12" customHeight="1" x14ac:dyDescent="0.2">
      <c r="A34" s="141" t="s">
        <v>70</v>
      </c>
      <c r="B34" s="142">
        <f t="shared" si="16"/>
        <v>340.24900000000002</v>
      </c>
      <c r="C34" s="142">
        <f t="shared" si="16"/>
        <v>265.73</v>
      </c>
      <c r="D34" s="143">
        <f t="shared" si="16"/>
        <v>605.97900000000004</v>
      </c>
      <c r="E34" s="142">
        <f t="shared" si="16"/>
        <v>371.19900000000001</v>
      </c>
      <c r="F34" s="142">
        <f t="shared" si="16"/>
        <v>311.24799999999999</v>
      </c>
      <c r="G34" s="142">
        <f t="shared" si="16"/>
        <v>345.55200000000002</v>
      </c>
      <c r="H34" s="142">
        <f t="shared" si="16"/>
        <v>347.101</v>
      </c>
      <c r="I34" s="142">
        <f t="shared" si="16"/>
        <v>331.20499999999998</v>
      </c>
      <c r="J34" s="142">
        <f t="shared" si="16"/>
        <v>374.98899999999998</v>
      </c>
      <c r="K34" s="142">
        <f t="shared" si="16"/>
        <v>371.82400000000001</v>
      </c>
      <c r="L34" s="143">
        <f t="shared" si="16"/>
        <v>3059.0969999999998</v>
      </c>
      <c r="M34" s="142">
        <f t="shared" si="16"/>
        <v>356.43599999999998</v>
      </c>
      <c r="N34" s="142">
        <f t="shared" si="16"/>
        <v>379.61399999999998</v>
      </c>
      <c r="O34" s="142">
        <f t="shared" si="16"/>
        <v>373.846</v>
      </c>
      <c r="P34" s="142">
        <f t="shared" si="16"/>
        <v>358.37200000000001</v>
      </c>
      <c r="Q34" s="142">
        <f t="shared" si="16"/>
        <v>368.39400000000001</v>
      </c>
      <c r="R34" s="142">
        <f t="shared" si="16"/>
        <v>368.39400000000001</v>
      </c>
      <c r="S34" s="142">
        <f t="shared" si="16"/>
        <v>371.18200000000002</v>
      </c>
      <c r="T34" s="143">
        <f t="shared" si="16"/>
        <v>5635.335</v>
      </c>
      <c r="U34" s="142">
        <f t="shared" si="16"/>
        <v>340.92700000000002</v>
      </c>
      <c r="V34" s="142">
        <f t="shared" si="16"/>
        <v>366.37700000000001</v>
      </c>
      <c r="W34" s="142">
        <f t="shared" si="16"/>
        <v>275.67200000000003</v>
      </c>
      <c r="X34" s="142">
        <f t="shared" si="16"/>
        <v>367.16800000000001</v>
      </c>
      <c r="Y34" s="142">
        <f t="shared" si="16"/>
        <v>351.86799999999999</v>
      </c>
      <c r="Z34" s="142">
        <f t="shared" si="16"/>
        <v>359.62200000000001</v>
      </c>
      <c r="AA34" s="142">
        <f t="shared" si="16"/>
        <v>356.15100000000001</v>
      </c>
      <c r="AB34" s="143">
        <f t="shared" si="16"/>
        <v>8053.12</v>
      </c>
      <c r="AC34" s="142">
        <f t="shared" si="16"/>
        <v>365</v>
      </c>
      <c r="AD34" s="142">
        <f t="shared" si="16"/>
        <v>365</v>
      </c>
      <c r="AE34" s="142">
        <f t="shared" si="16"/>
        <v>365</v>
      </c>
      <c r="AF34" s="142">
        <f t="shared" si="16"/>
        <v>365</v>
      </c>
      <c r="AG34" s="142">
        <f t="shared" si="16"/>
        <v>365</v>
      </c>
      <c r="AH34" s="143">
        <f t="shared" si="16"/>
        <v>9878.119999999999</v>
      </c>
      <c r="BE34" s="108"/>
      <c r="BF34" s="101"/>
      <c r="BG34" s="108"/>
      <c r="BH34" s="108"/>
      <c r="BI34" s="108"/>
      <c r="BJ34" s="109"/>
      <c r="BK34" s="108"/>
      <c r="BL34" s="108"/>
      <c r="BM34" s="108"/>
      <c r="BN34" s="108"/>
    </row>
    <row r="35" spans="1:66" ht="12" customHeight="1" thickBot="1" x14ac:dyDescent="0.25">
      <c r="A35" s="144" t="s">
        <v>3</v>
      </c>
      <c r="B35" s="145">
        <f>IFERROR(+B34/B33,0)</f>
        <v>1</v>
      </c>
      <c r="C35" s="145">
        <f>IFERROR(+C34/C33,0)</f>
        <v>1</v>
      </c>
      <c r="D35" s="146">
        <f>IFERROR(+D34/D33,0)</f>
        <v>1</v>
      </c>
      <c r="E35" s="145">
        <f>IFERROR(+E34/E33,0)</f>
        <v>1</v>
      </c>
      <c r="F35" s="145">
        <f t="shared" ref="F35:AH35" si="17">IFERROR(+F34/F33,0)</f>
        <v>1</v>
      </c>
      <c r="G35" s="145">
        <f t="shared" si="17"/>
        <v>1</v>
      </c>
      <c r="H35" s="145">
        <f t="shared" si="17"/>
        <v>1</v>
      </c>
      <c r="I35" s="145">
        <f t="shared" si="17"/>
        <v>1</v>
      </c>
      <c r="J35" s="145">
        <f t="shared" si="17"/>
        <v>1</v>
      </c>
      <c r="K35" s="145">
        <f t="shared" si="17"/>
        <v>1</v>
      </c>
      <c r="L35" s="146">
        <f t="shared" si="17"/>
        <v>1</v>
      </c>
      <c r="M35" s="145">
        <f t="shared" si="17"/>
        <v>1</v>
      </c>
      <c r="N35" s="145">
        <f t="shared" si="17"/>
        <v>1</v>
      </c>
      <c r="O35" s="145">
        <f t="shared" si="17"/>
        <v>1</v>
      </c>
      <c r="P35" s="145">
        <f t="shared" si="17"/>
        <v>1</v>
      </c>
      <c r="Q35" s="145">
        <f t="shared" si="17"/>
        <v>1</v>
      </c>
      <c r="R35" s="145">
        <f t="shared" si="17"/>
        <v>1</v>
      </c>
      <c r="S35" s="145">
        <f t="shared" si="17"/>
        <v>1</v>
      </c>
      <c r="T35" s="146">
        <f t="shared" si="17"/>
        <v>1</v>
      </c>
      <c r="U35" s="145">
        <f t="shared" si="17"/>
        <v>1</v>
      </c>
      <c r="V35" s="145">
        <f t="shared" si="17"/>
        <v>1</v>
      </c>
      <c r="W35" s="145">
        <f t="shared" si="17"/>
        <v>1.1026880000000001</v>
      </c>
      <c r="X35" s="145">
        <f t="shared" si="17"/>
        <v>1.0059397260273972</v>
      </c>
      <c r="Y35" s="145">
        <f t="shared" si="17"/>
        <v>0.96402191780821922</v>
      </c>
      <c r="Z35" s="145">
        <f t="shared" si="17"/>
        <v>0.98526575342465761</v>
      </c>
      <c r="AA35" s="145">
        <f t="shared" si="17"/>
        <v>1.0175742857142858</v>
      </c>
      <c r="AB35" s="146">
        <f t="shared" si="17"/>
        <v>1.0019260631138074</v>
      </c>
      <c r="AC35" s="145">
        <f t="shared" si="17"/>
        <v>1</v>
      </c>
      <c r="AD35" s="145">
        <f t="shared" si="17"/>
        <v>1</v>
      </c>
      <c r="AE35" s="145">
        <f t="shared" si="17"/>
        <v>1</v>
      </c>
      <c r="AF35" s="145">
        <f t="shared" si="17"/>
        <v>1</v>
      </c>
      <c r="AG35" s="145">
        <f t="shared" si="17"/>
        <v>1</v>
      </c>
      <c r="AH35" s="146">
        <f t="shared" si="17"/>
        <v>1.001569661020747</v>
      </c>
      <c r="BE35" s="108"/>
      <c r="BF35" s="101"/>
      <c r="BG35" s="108"/>
      <c r="BH35" s="108"/>
      <c r="BI35" s="108"/>
      <c r="BJ35" s="109"/>
      <c r="BK35" s="108"/>
      <c r="BL35" s="108"/>
      <c r="BM35" s="108"/>
      <c r="BN35" s="108"/>
    </row>
    <row r="36" spans="1:66" ht="12" customHeight="1" x14ac:dyDescent="0.2">
      <c r="A36" s="138" t="s">
        <v>71</v>
      </c>
      <c r="B36" s="139">
        <f t="shared" ref="B36:AH37" si="18">+B10</f>
        <v>32.222000000000001</v>
      </c>
      <c r="C36" s="139">
        <f t="shared" si="18"/>
        <v>24.335000000000001</v>
      </c>
      <c r="D36" s="140">
        <f t="shared" si="18"/>
        <v>56.557000000000002</v>
      </c>
      <c r="E36" s="139">
        <f t="shared" si="18"/>
        <v>33.44</v>
      </c>
      <c r="F36" s="139">
        <f t="shared" si="18"/>
        <v>33.213999999999999</v>
      </c>
      <c r="G36" s="139">
        <f t="shared" si="18"/>
        <v>33.459000000000003</v>
      </c>
      <c r="H36" s="139">
        <f t="shared" si="18"/>
        <v>43.639000000000003</v>
      </c>
      <c r="I36" s="139">
        <f t="shared" si="18"/>
        <v>21.359000000000002</v>
      </c>
      <c r="J36" s="139">
        <f t="shared" si="18"/>
        <v>33.854999999999997</v>
      </c>
      <c r="K36" s="139">
        <f t="shared" si="18"/>
        <v>14.175000000000001</v>
      </c>
      <c r="L36" s="140">
        <f t="shared" si="18"/>
        <v>269.69800000000004</v>
      </c>
      <c r="M36" s="139">
        <f t="shared" si="18"/>
        <v>32.997</v>
      </c>
      <c r="N36" s="139">
        <f t="shared" si="18"/>
        <v>21.72</v>
      </c>
      <c r="O36" s="139">
        <f t="shared" si="18"/>
        <v>40.731999999999999</v>
      </c>
      <c r="P36" s="139">
        <f t="shared" si="18"/>
        <v>39.725000000000001</v>
      </c>
      <c r="Q36" s="139">
        <f t="shared" si="18"/>
        <v>36.231999999999999</v>
      </c>
      <c r="R36" s="139">
        <f t="shared" si="18"/>
        <v>36.231999999999999</v>
      </c>
      <c r="S36" s="139">
        <f t="shared" si="18"/>
        <v>44.209000000000003</v>
      </c>
      <c r="T36" s="140">
        <f t="shared" si="18"/>
        <v>521.54500000000007</v>
      </c>
      <c r="U36" s="139">
        <f t="shared" si="18"/>
        <v>36.283999999999999</v>
      </c>
      <c r="V36" s="139">
        <f t="shared" si="18"/>
        <v>33.594000000000001</v>
      </c>
      <c r="W36" s="139">
        <f t="shared" si="18"/>
        <v>41</v>
      </c>
      <c r="X36" s="139">
        <f t="shared" si="18"/>
        <v>41</v>
      </c>
      <c r="Y36" s="139">
        <f t="shared" si="18"/>
        <v>41</v>
      </c>
      <c r="Z36" s="139">
        <f t="shared" si="18"/>
        <v>41</v>
      </c>
      <c r="AA36" s="139">
        <f t="shared" si="18"/>
        <v>41</v>
      </c>
      <c r="AB36" s="140">
        <f t="shared" si="18"/>
        <v>796.423</v>
      </c>
      <c r="AC36" s="139">
        <f t="shared" si="18"/>
        <v>41</v>
      </c>
      <c r="AD36" s="139">
        <f t="shared" si="18"/>
        <v>41</v>
      </c>
      <c r="AE36" s="139">
        <f t="shared" si="18"/>
        <v>41</v>
      </c>
      <c r="AF36" s="139">
        <f t="shared" si="18"/>
        <v>41</v>
      </c>
      <c r="AG36" s="139">
        <f t="shared" si="18"/>
        <v>41</v>
      </c>
      <c r="AH36" s="140">
        <f t="shared" si="18"/>
        <v>1001.423</v>
      </c>
      <c r="BE36" s="108"/>
      <c r="BF36" s="101"/>
      <c r="BG36" s="108"/>
      <c r="BH36" s="108"/>
      <c r="BI36" s="108"/>
      <c r="BJ36" s="109"/>
      <c r="BK36" s="108"/>
      <c r="BL36" s="108"/>
      <c r="BM36" s="108"/>
      <c r="BN36" s="108"/>
    </row>
    <row r="37" spans="1:66" ht="12" customHeight="1" x14ac:dyDescent="0.2">
      <c r="A37" s="141" t="s">
        <v>72</v>
      </c>
      <c r="B37" s="142">
        <f t="shared" si="18"/>
        <v>32.222000000000001</v>
      </c>
      <c r="C37" s="142">
        <f t="shared" si="18"/>
        <v>24.335000000000001</v>
      </c>
      <c r="D37" s="143">
        <f t="shared" si="18"/>
        <v>56.557000000000002</v>
      </c>
      <c r="E37" s="142">
        <f t="shared" si="18"/>
        <v>33.44</v>
      </c>
      <c r="F37" s="142">
        <f t="shared" si="18"/>
        <v>33.213999999999999</v>
      </c>
      <c r="G37" s="142">
        <f t="shared" si="18"/>
        <v>33.459000000000003</v>
      </c>
      <c r="H37" s="142">
        <f t="shared" si="18"/>
        <v>43.639000000000003</v>
      </c>
      <c r="I37" s="142">
        <f t="shared" si="18"/>
        <v>21.359000000000002</v>
      </c>
      <c r="J37" s="142">
        <f t="shared" si="18"/>
        <v>33.854999999999997</v>
      </c>
      <c r="K37" s="142">
        <f t="shared" si="18"/>
        <v>14.175000000000001</v>
      </c>
      <c r="L37" s="143">
        <f t="shared" si="18"/>
        <v>269.69800000000004</v>
      </c>
      <c r="M37" s="142">
        <f t="shared" si="18"/>
        <v>32.997</v>
      </c>
      <c r="N37" s="142">
        <f t="shared" si="18"/>
        <v>21.72</v>
      </c>
      <c r="O37" s="142">
        <f t="shared" si="18"/>
        <v>40.731999999999999</v>
      </c>
      <c r="P37" s="142">
        <f t="shared" si="18"/>
        <v>39.725000000000001</v>
      </c>
      <c r="Q37" s="142">
        <f t="shared" si="18"/>
        <v>36.231999999999999</v>
      </c>
      <c r="R37" s="142">
        <f t="shared" si="18"/>
        <v>36.231999999999999</v>
      </c>
      <c r="S37" s="142">
        <f t="shared" si="18"/>
        <v>44.209000000000003</v>
      </c>
      <c r="T37" s="143">
        <f t="shared" si="18"/>
        <v>521.54500000000007</v>
      </c>
      <c r="U37" s="142">
        <f t="shared" si="18"/>
        <v>36.283999999999999</v>
      </c>
      <c r="V37" s="142">
        <f t="shared" si="18"/>
        <v>33.594000000000001</v>
      </c>
      <c r="W37" s="142">
        <f t="shared" si="18"/>
        <v>24.873000000000001</v>
      </c>
      <c r="X37" s="142">
        <f t="shared" si="18"/>
        <v>26.5</v>
      </c>
      <c r="Y37" s="142">
        <f t="shared" si="18"/>
        <v>31.225000000000001</v>
      </c>
      <c r="Z37" s="142">
        <f t="shared" si="18"/>
        <v>33.700000000000003</v>
      </c>
      <c r="AA37" s="142">
        <f t="shared" si="18"/>
        <v>31.234999999999999</v>
      </c>
      <c r="AB37" s="143">
        <f t="shared" si="18"/>
        <v>738.95600000000013</v>
      </c>
      <c r="AC37" s="142">
        <f t="shared" si="18"/>
        <v>41</v>
      </c>
      <c r="AD37" s="142">
        <f t="shared" si="18"/>
        <v>41</v>
      </c>
      <c r="AE37" s="142">
        <f t="shared" si="18"/>
        <v>41</v>
      </c>
      <c r="AF37" s="142">
        <f t="shared" si="18"/>
        <v>41</v>
      </c>
      <c r="AG37" s="142">
        <f t="shared" si="18"/>
        <v>41</v>
      </c>
      <c r="AH37" s="143">
        <f t="shared" si="18"/>
        <v>943.95600000000013</v>
      </c>
      <c r="BE37" s="108"/>
      <c r="BF37" s="101"/>
      <c r="BG37" s="108"/>
      <c r="BH37" s="108"/>
      <c r="BI37" s="108"/>
      <c r="BJ37" s="109"/>
      <c r="BK37" s="108"/>
      <c r="BL37" s="108"/>
      <c r="BM37" s="108"/>
      <c r="BN37" s="108"/>
    </row>
    <row r="38" spans="1:66" ht="12" customHeight="1" thickBot="1" x14ac:dyDescent="0.25">
      <c r="A38" s="144" t="s">
        <v>3</v>
      </c>
      <c r="B38" s="145">
        <f>IFERROR(+B37/B36,0)</f>
        <v>1</v>
      </c>
      <c r="C38" s="145">
        <f>IFERROR(+C37/C36,0)</f>
        <v>1</v>
      </c>
      <c r="D38" s="146">
        <f>IFERROR(+D37/D36,0)</f>
        <v>1</v>
      </c>
      <c r="E38" s="145">
        <f>IFERROR(+E37/E36,0)</f>
        <v>1</v>
      </c>
      <c r="F38" s="145">
        <f t="shared" ref="F38:AH38" si="19">IFERROR(+F37/F36,0)</f>
        <v>1</v>
      </c>
      <c r="G38" s="145">
        <f t="shared" si="19"/>
        <v>1</v>
      </c>
      <c r="H38" s="145">
        <f t="shared" si="19"/>
        <v>1</v>
      </c>
      <c r="I38" s="145">
        <f t="shared" si="19"/>
        <v>1</v>
      </c>
      <c r="J38" s="145">
        <f t="shared" si="19"/>
        <v>1</v>
      </c>
      <c r="K38" s="145">
        <f t="shared" si="19"/>
        <v>1</v>
      </c>
      <c r="L38" s="146">
        <f t="shared" si="19"/>
        <v>1</v>
      </c>
      <c r="M38" s="145">
        <f t="shared" si="19"/>
        <v>1</v>
      </c>
      <c r="N38" s="145">
        <f t="shared" si="19"/>
        <v>1</v>
      </c>
      <c r="O38" s="145">
        <f t="shared" si="19"/>
        <v>1</v>
      </c>
      <c r="P38" s="145">
        <f t="shared" si="19"/>
        <v>1</v>
      </c>
      <c r="Q38" s="145">
        <f t="shared" si="19"/>
        <v>1</v>
      </c>
      <c r="R38" s="145">
        <f t="shared" si="19"/>
        <v>1</v>
      </c>
      <c r="S38" s="145">
        <f t="shared" si="19"/>
        <v>1</v>
      </c>
      <c r="T38" s="146">
        <f t="shared" si="19"/>
        <v>1</v>
      </c>
      <c r="U38" s="145">
        <f t="shared" si="19"/>
        <v>1</v>
      </c>
      <c r="V38" s="145">
        <f t="shared" si="19"/>
        <v>1</v>
      </c>
      <c r="W38" s="145">
        <f t="shared" si="19"/>
        <v>0.60665853658536584</v>
      </c>
      <c r="X38" s="145">
        <f t="shared" si="19"/>
        <v>0.64634146341463417</v>
      </c>
      <c r="Y38" s="145">
        <f t="shared" si="19"/>
        <v>0.76158536585365855</v>
      </c>
      <c r="Z38" s="145">
        <f t="shared" si="19"/>
        <v>0.82195121951219519</v>
      </c>
      <c r="AA38" s="145">
        <f t="shared" si="19"/>
        <v>0.76182926829268294</v>
      </c>
      <c r="AB38" s="146">
        <f t="shared" si="19"/>
        <v>0.92784362078945504</v>
      </c>
      <c r="AC38" s="145">
        <f t="shared" si="19"/>
        <v>1</v>
      </c>
      <c r="AD38" s="145">
        <f t="shared" si="19"/>
        <v>1</v>
      </c>
      <c r="AE38" s="145">
        <f t="shared" si="19"/>
        <v>1</v>
      </c>
      <c r="AF38" s="145">
        <f t="shared" si="19"/>
        <v>1</v>
      </c>
      <c r="AG38" s="145">
        <f t="shared" si="19"/>
        <v>1</v>
      </c>
      <c r="AH38" s="146">
        <f t="shared" si="19"/>
        <v>0.94261465933975963</v>
      </c>
      <c r="BE38" s="108"/>
      <c r="BF38" s="101"/>
      <c r="BG38" s="108"/>
      <c r="BH38" s="108"/>
      <c r="BI38" s="108"/>
      <c r="BJ38" s="109"/>
      <c r="BK38" s="108"/>
      <c r="BL38" s="108"/>
      <c r="BM38" s="108"/>
      <c r="BN38" s="108"/>
    </row>
    <row r="39" spans="1:66" ht="12" customHeight="1" x14ac:dyDescent="0.2">
      <c r="A39" s="138" t="s">
        <v>73</v>
      </c>
      <c r="B39" s="139">
        <f t="shared" ref="B39:AH40" si="20">+B17+B23</f>
        <v>228.97</v>
      </c>
      <c r="C39" s="139">
        <f t="shared" si="20"/>
        <v>220.51</v>
      </c>
      <c r="D39" s="140">
        <f t="shared" si="20"/>
        <v>449.48</v>
      </c>
      <c r="E39" s="139">
        <f t="shared" si="20"/>
        <v>230.90899999999999</v>
      </c>
      <c r="F39" s="139">
        <f t="shared" si="20"/>
        <v>218.77</v>
      </c>
      <c r="G39" s="139">
        <f t="shared" si="20"/>
        <v>218.71499999999997</v>
      </c>
      <c r="H39" s="139">
        <f t="shared" si="20"/>
        <v>227.21</v>
      </c>
      <c r="I39" s="139">
        <f t="shared" si="20"/>
        <v>206.43</v>
      </c>
      <c r="J39" s="139">
        <f t="shared" si="20"/>
        <v>240.52</v>
      </c>
      <c r="K39" s="139">
        <f t="shared" si="20"/>
        <v>220.44</v>
      </c>
      <c r="L39" s="140">
        <f t="shared" si="20"/>
        <v>2012.4740000000002</v>
      </c>
      <c r="M39" s="139">
        <f t="shared" si="20"/>
        <v>220.45</v>
      </c>
      <c r="N39" s="139">
        <f t="shared" si="20"/>
        <v>228.85</v>
      </c>
      <c r="O39" s="139">
        <f t="shared" si="20"/>
        <v>121.42</v>
      </c>
      <c r="P39" s="139">
        <f t="shared" si="20"/>
        <v>157.524</v>
      </c>
      <c r="Q39" s="139">
        <f t="shared" si="20"/>
        <v>140.18700000000001</v>
      </c>
      <c r="R39" s="139">
        <f t="shared" si="20"/>
        <v>140.18700000000001</v>
      </c>
      <c r="S39" s="139">
        <f t="shared" si="20"/>
        <v>166.00399999999999</v>
      </c>
      <c r="T39" s="140">
        <f t="shared" si="20"/>
        <v>3187.096</v>
      </c>
      <c r="U39" s="139">
        <f t="shared" si="20"/>
        <v>230.10000000000002</v>
      </c>
      <c r="V39" s="139">
        <f t="shared" si="20"/>
        <v>115.86</v>
      </c>
      <c r="W39" s="139">
        <f t="shared" si="20"/>
        <v>210</v>
      </c>
      <c r="X39" s="139">
        <f t="shared" si="20"/>
        <v>210</v>
      </c>
      <c r="Y39" s="139">
        <f t="shared" si="20"/>
        <v>210</v>
      </c>
      <c r="Z39" s="139">
        <f t="shared" si="20"/>
        <v>210</v>
      </c>
      <c r="AA39" s="139" t="e">
        <f t="shared" si="20"/>
        <v>#VALUE!</v>
      </c>
      <c r="AB39" s="140">
        <f t="shared" si="20"/>
        <v>4473.0560000000005</v>
      </c>
      <c r="AC39" s="139">
        <f t="shared" si="20"/>
        <v>210</v>
      </c>
      <c r="AD39" s="139">
        <f t="shared" si="20"/>
        <v>210</v>
      </c>
      <c r="AE39" s="139">
        <f t="shared" si="20"/>
        <v>210</v>
      </c>
      <c r="AF39" s="139">
        <f t="shared" si="20"/>
        <v>210</v>
      </c>
      <c r="AG39" s="139">
        <f t="shared" si="20"/>
        <v>210</v>
      </c>
      <c r="AH39" s="140">
        <f t="shared" si="20"/>
        <v>5523.0560000000005</v>
      </c>
      <c r="BE39" s="108"/>
      <c r="BF39" s="101"/>
      <c r="BG39" s="108"/>
      <c r="BH39" s="108"/>
      <c r="BI39" s="108"/>
      <c r="BJ39" s="109"/>
      <c r="BK39" s="108"/>
      <c r="BL39" s="108"/>
      <c r="BM39" s="108"/>
      <c r="BN39" s="108"/>
    </row>
    <row r="40" spans="1:66" ht="12" customHeight="1" x14ac:dyDescent="0.2">
      <c r="A40" s="141" t="s">
        <v>74</v>
      </c>
      <c r="B40" s="142">
        <f t="shared" si="20"/>
        <v>228.97</v>
      </c>
      <c r="C40" s="142">
        <f t="shared" si="20"/>
        <v>220.51</v>
      </c>
      <c r="D40" s="143">
        <f t="shared" si="20"/>
        <v>449.48</v>
      </c>
      <c r="E40" s="142">
        <f t="shared" si="20"/>
        <v>230.90899999999999</v>
      </c>
      <c r="F40" s="142">
        <f t="shared" si="20"/>
        <v>218.77</v>
      </c>
      <c r="G40" s="142">
        <f t="shared" si="20"/>
        <v>218.71499999999997</v>
      </c>
      <c r="H40" s="142">
        <f t="shared" si="20"/>
        <v>227.21</v>
      </c>
      <c r="I40" s="142">
        <f t="shared" si="20"/>
        <v>206.43</v>
      </c>
      <c r="J40" s="142">
        <f t="shared" si="20"/>
        <v>240.52</v>
      </c>
      <c r="K40" s="142">
        <f t="shared" si="20"/>
        <v>220.44</v>
      </c>
      <c r="L40" s="143">
        <f t="shared" si="20"/>
        <v>2012.4740000000002</v>
      </c>
      <c r="M40" s="142">
        <f t="shared" si="20"/>
        <v>220.45</v>
      </c>
      <c r="N40" s="142">
        <f t="shared" si="20"/>
        <v>228.85</v>
      </c>
      <c r="O40" s="142">
        <f t="shared" si="20"/>
        <v>121.42</v>
      </c>
      <c r="P40" s="142">
        <f t="shared" si="20"/>
        <v>157.524</v>
      </c>
      <c r="Q40" s="142">
        <f t="shared" si="20"/>
        <v>140.18700000000001</v>
      </c>
      <c r="R40" s="142">
        <f t="shared" si="20"/>
        <v>140.18700000000001</v>
      </c>
      <c r="S40" s="142">
        <f t="shared" si="20"/>
        <v>166.00399999999999</v>
      </c>
      <c r="T40" s="143">
        <f t="shared" si="20"/>
        <v>3187.096</v>
      </c>
      <c r="U40" s="142">
        <f t="shared" si="20"/>
        <v>230.10000000000002</v>
      </c>
      <c r="V40" s="142">
        <f t="shared" si="20"/>
        <v>115.86</v>
      </c>
      <c r="W40" s="142">
        <f t="shared" si="20"/>
        <v>200.29000000000002</v>
      </c>
      <c r="X40" s="142">
        <f t="shared" si="20"/>
        <v>161.97</v>
      </c>
      <c r="Y40" s="142">
        <f t="shared" si="20"/>
        <v>200.61</v>
      </c>
      <c r="Z40" s="142">
        <f t="shared" si="20"/>
        <v>209.41500000000002</v>
      </c>
      <c r="AA40" s="142">
        <f t="shared" si="20"/>
        <v>206.76999999999998</v>
      </c>
      <c r="AB40" s="143">
        <f t="shared" si="20"/>
        <v>4512.1109999999999</v>
      </c>
      <c r="AC40" s="142">
        <f t="shared" si="20"/>
        <v>210</v>
      </c>
      <c r="AD40" s="142">
        <f t="shared" si="20"/>
        <v>210</v>
      </c>
      <c r="AE40" s="142">
        <f t="shared" si="20"/>
        <v>210</v>
      </c>
      <c r="AF40" s="142">
        <f t="shared" si="20"/>
        <v>210</v>
      </c>
      <c r="AG40" s="142">
        <f t="shared" si="20"/>
        <v>210</v>
      </c>
      <c r="AH40" s="143">
        <f t="shared" si="20"/>
        <v>5562.1109999999999</v>
      </c>
      <c r="BE40" s="108"/>
      <c r="BF40" s="101"/>
      <c r="BG40" s="108"/>
      <c r="BH40" s="108"/>
      <c r="BI40" s="108"/>
      <c r="BJ40" s="109"/>
      <c r="BK40" s="108"/>
      <c r="BL40" s="108"/>
      <c r="BM40" s="108"/>
      <c r="BN40" s="108"/>
    </row>
    <row r="41" spans="1:66" ht="12" customHeight="1" thickBot="1" x14ac:dyDescent="0.25">
      <c r="A41" s="147" t="s">
        <v>3</v>
      </c>
      <c r="B41" s="148">
        <f>IFERROR(+B40/B39,0)</f>
        <v>1</v>
      </c>
      <c r="C41" s="148">
        <f>IFERROR(+C40/C39,0)</f>
        <v>1</v>
      </c>
      <c r="D41" s="149">
        <f>IFERROR(+D40/D39,0)</f>
        <v>1</v>
      </c>
      <c r="E41" s="148">
        <f>IFERROR(+E40/E39,0)</f>
        <v>1</v>
      </c>
      <c r="F41" s="148">
        <f t="shared" ref="F41:AH41" si="21">IFERROR(+F40/F39,0)</f>
        <v>1</v>
      </c>
      <c r="G41" s="148">
        <f t="shared" si="21"/>
        <v>1</v>
      </c>
      <c r="H41" s="148">
        <f t="shared" si="21"/>
        <v>1</v>
      </c>
      <c r="I41" s="148">
        <f t="shared" si="21"/>
        <v>1</v>
      </c>
      <c r="J41" s="148">
        <f t="shared" si="21"/>
        <v>1</v>
      </c>
      <c r="K41" s="148">
        <f t="shared" si="21"/>
        <v>1</v>
      </c>
      <c r="L41" s="149">
        <f t="shared" si="21"/>
        <v>1</v>
      </c>
      <c r="M41" s="148">
        <f t="shared" si="21"/>
        <v>1</v>
      </c>
      <c r="N41" s="148">
        <f t="shared" si="21"/>
        <v>1</v>
      </c>
      <c r="O41" s="148">
        <f t="shared" si="21"/>
        <v>1</v>
      </c>
      <c r="P41" s="148">
        <f t="shared" si="21"/>
        <v>1</v>
      </c>
      <c r="Q41" s="148">
        <f t="shared" si="21"/>
        <v>1</v>
      </c>
      <c r="R41" s="148">
        <f t="shared" si="21"/>
        <v>1</v>
      </c>
      <c r="S41" s="148">
        <f t="shared" si="21"/>
        <v>1</v>
      </c>
      <c r="T41" s="149">
        <f t="shared" si="21"/>
        <v>1</v>
      </c>
      <c r="U41" s="148">
        <f t="shared" si="21"/>
        <v>1</v>
      </c>
      <c r="V41" s="148">
        <f t="shared" si="21"/>
        <v>1</v>
      </c>
      <c r="W41" s="148">
        <f t="shared" si="21"/>
        <v>0.95376190476190481</v>
      </c>
      <c r="X41" s="148">
        <f t="shared" si="21"/>
        <v>0.77128571428571424</v>
      </c>
      <c r="Y41" s="148">
        <f t="shared" si="21"/>
        <v>0.9552857142857144</v>
      </c>
      <c r="Z41" s="148">
        <f t="shared" si="21"/>
        <v>0.99721428571428583</v>
      </c>
      <c r="AA41" s="148">
        <f t="shared" si="21"/>
        <v>0</v>
      </c>
      <c r="AB41" s="149">
        <f t="shared" si="21"/>
        <v>1.0087311672377899</v>
      </c>
      <c r="AC41" s="148">
        <f t="shared" si="21"/>
        <v>1</v>
      </c>
      <c r="AD41" s="148">
        <f t="shared" si="21"/>
        <v>1</v>
      </c>
      <c r="AE41" s="148">
        <f t="shared" si="21"/>
        <v>1</v>
      </c>
      <c r="AF41" s="148">
        <f t="shared" si="21"/>
        <v>1</v>
      </c>
      <c r="AG41" s="148">
        <f t="shared" si="21"/>
        <v>1</v>
      </c>
      <c r="AH41" s="149">
        <f t="shared" si="21"/>
        <v>1.0070712663424017</v>
      </c>
      <c r="BE41" s="108"/>
      <c r="BF41" s="101"/>
      <c r="BG41" s="108"/>
      <c r="BH41" s="108"/>
      <c r="BI41" s="108"/>
      <c r="BJ41" s="109"/>
      <c r="BK41" s="108"/>
      <c r="BL41" s="108"/>
      <c r="BM41" s="108"/>
      <c r="BN41" s="108"/>
    </row>
    <row r="42" spans="1:66" ht="12" customHeight="1" x14ac:dyDescent="0.2">
      <c r="A42" s="138" t="s">
        <v>75</v>
      </c>
      <c r="B42" s="139" t="e">
        <f t="shared" ref="B42:AH43" si="22">+B30</f>
        <v>#N/A</v>
      </c>
      <c r="C42" s="139" t="e">
        <f t="shared" si="22"/>
        <v>#N/A</v>
      </c>
      <c r="D42" s="140" t="e">
        <f t="shared" si="22"/>
        <v>#N/A</v>
      </c>
      <c r="E42" s="139" t="e">
        <f t="shared" si="22"/>
        <v>#N/A</v>
      </c>
      <c r="F42" s="139" t="e">
        <f t="shared" si="22"/>
        <v>#N/A</v>
      </c>
      <c r="G42" s="139" t="e">
        <f t="shared" si="22"/>
        <v>#N/A</v>
      </c>
      <c r="H42" s="139" t="e">
        <f t="shared" si="22"/>
        <v>#N/A</v>
      </c>
      <c r="I42" s="139" t="e">
        <f t="shared" si="22"/>
        <v>#N/A</v>
      </c>
      <c r="J42" s="139" t="e">
        <f t="shared" si="22"/>
        <v>#N/A</v>
      </c>
      <c r="K42" s="139" t="e">
        <f t="shared" si="22"/>
        <v>#N/A</v>
      </c>
      <c r="L42" s="140" t="e">
        <f t="shared" si="22"/>
        <v>#N/A</v>
      </c>
      <c r="M42" s="139" t="e">
        <f t="shared" si="22"/>
        <v>#N/A</v>
      </c>
      <c r="N42" s="139" t="e">
        <f t="shared" si="22"/>
        <v>#N/A</v>
      </c>
      <c r="O42" s="139" t="e">
        <f t="shared" si="22"/>
        <v>#N/A</v>
      </c>
      <c r="P42" s="139" t="e">
        <f t="shared" si="22"/>
        <v>#N/A</v>
      </c>
      <c r="Q42" s="139" t="e">
        <f t="shared" si="22"/>
        <v>#N/A</v>
      </c>
      <c r="R42" s="139" t="e">
        <f t="shared" si="22"/>
        <v>#N/A</v>
      </c>
      <c r="S42" s="139" t="e">
        <f t="shared" si="22"/>
        <v>#N/A</v>
      </c>
      <c r="T42" s="140" t="e">
        <f t="shared" si="22"/>
        <v>#N/A</v>
      </c>
      <c r="U42" s="139" t="e">
        <f t="shared" si="22"/>
        <v>#N/A</v>
      </c>
      <c r="V42" s="139">
        <f t="shared" si="22"/>
        <v>63</v>
      </c>
      <c r="W42" s="139">
        <f t="shared" si="22"/>
        <v>63</v>
      </c>
      <c r="X42" s="139">
        <f t="shared" si="22"/>
        <v>63</v>
      </c>
      <c r="Y42" s="139">
        <f t="shared" si="22"/>
        <v>63</v>
      </c>
      <c r="Z42" s="139">
        <f t="shared" si="22"/>
        <v>63</v>
      </c>
      <c r="AA42" s="139">
        <f t="shared" si="22"/>
        <v>59.85</v>
      </c>
      <c r="AB42" s="140" t="e">
        <f t="shared" si="22"/>
        <v>#N/A</v>
      </c>
      <c r="AC42" s="139">
        <f t="shared" si="22"/>
        <v>59.85</v>
      </c>
      <c r="AD42" s="139">
        <f t="shared" si="22"/>
        <v>63</v>
      </c>
      <c r="AE42" s="139">
        <f t="shared" si="22"/>
        <v>63</v>
      </c>
      <c r="AF42" s="139">
        <f t="shared" si="22"/>
        <v>56.7</v>
      </c>
      <c r="AG42" s="139">
        <f t="shared" si="22"/>
        <v>0</v>
      </c>
      <c r="AH42" s="140" t="e">
        <f t="shared" si="22"/>
        <v>#N/A</v>
      </c>
      <c r="BE42" s="108"/>
      <c r="BF42" s="101"/>
      <c r="BG42" s="108"/>
      <c r="BH42" s="108"/>
      <c r="BI42" s="108"/>
      <c r="BJ42" s="109"/>
      <c r="BK42" s="108"/>
      <c r="BL42" s="108"/>
      <c r="BM42" s="108"/>
      <c r="BN42" s="108"/>
    </row>
    <row r="43" spans="1:66" ht="12" customHeight="1" x14ac:dyDescent="0.2">
      <c r="A43" s="141" t="s">
        <v>76</v>
      </c>
      <c r="B43" s="142">
        <f t="shared" si="22"/>
        <v>22.05</v>
      </c>
      <c r="C43" s="142">
        <f t="shared" si="22"/>
        <v>72.45</v>
      </c>
      <c r="D43" s="143">
        <f t="shared" si="22"/>
        <v>94.5</v>
      </c>
      <c r="E43" s="142">
        <f t="shared" si="22"/>
        <v>72.45</v>
      </c>
      <c r="F43" s="142">
        <f t="shared" si="22"/>
        <v>44.1</v>
      </c>
      <c r="G43" s="142">
        <f t="shared" si="22"/>
        <v>63</v>
      </c>
      <c r="H43" s="142">
        <f t="shared" si="22"/>
        <v>12.48</v>
      </c>
      <c r="I43" s="142">
        <f t="shared" si="22"/>
        <v>50.52</v>
      </c>
      <c r="J43" s="142">
        <f t="shared" si="22"/>
        <v>53.52</v>
      </c>
      <c r="K43" s="142">
        <f t="shared" si="22"/>
        <v>0</v>
      </c>
      <c r="L43" s="143">
        <f t="shared" si="22"/>
        <v>390.57</v>
      </c>
      <c r="M43" s="142">
        <f t="shared" si="22"/>
        <v>28.35</v>
      </c>
      <c r="N43" s="142">
        <f t="shared" si="22"/>
        <v>66.150000000000006</v>
      </c>
      <c r="O43" s="142">
        <f t="shared" si="22"/>
        <v>66.150000000000006</v>
      </c>
      <c r="P43" s="142">
        <f t="shared" si="22"/>
        <v>66.150000000000006</v>
      </c>
      <c r="Q43" s="142">
        <f t="shared" si="22"/>
        <v>69.3</v>
      </c>
      <c r="R43" s="142">
        <f t="shared" si="22"/>
        <v>50.4</v>
      </c>
      <c r="S43" s="142">
        <f t="shared" si="22"/>
        <v>15.75</v>
      </c>
      <c r="T43" s="143">
        <f t="shared" si="22"/>
        <v>752.81999999999994</v>
      </c>
      <c r="U43" s="142">
        <f t="shared" si="22"/>
        <v>47.25</v>
      </c>
      <c r="V43" s="142">
        <f t="shared" si="22"/>
        <v>63</v>
      </c>
      <c r="W43" s="142">
        <f t="shared" si="22"/>
        <v>63</v>
      </c>
      <c r="X43" s="142">
        <f t="shared" si="22"/>
        <v>56.7</v>
      </c>
      <c r="Y43" s="142">
        <f t="shared" si="22"/>
        <v>50.4</v>
      </c>
      <c r="Z43" s="142">
        <f t="shared" si="22"/>
        <v>44.1</v>
      </c>
      <c r="AA43" s="142">
        <f t="shared" si="22"/>
        <v>53.55</v>
      </c>
      <c r="AB43" s="143">
        <f t="shared" si="22"/>
        <v>1130.82</v>
      </c>
      <c r="AC43" s="142">
        <f t="shared" si="22"/>
        <v>59.85</v>
      </c>
      <c r="AD43" s="142">
        <f t="shared" si="22"/>
        <v>63</v>
      </c>
      <c r="AE43" s="142">
        <f t="shared" si="22"/>
        <v>63</v>
      </c>
      <c r="AF43" s="142">
        <f t="shared" si="22"/>
        <v>56.7</v>
      </c>
      <c r="AG43" s="142">
        <f t="shared" si="22"/>
        <v>0</v>
      </c>
      <c r="AH43" s="143">
        <f t="shared" si="22"/>
        <v>1373.37</v>
      </c>
      <c r="BE43" s="108"/>
      <c r="BF43" s="101"/>
      <c r="BG43" s="108"/>
      <c r="BH43" s="108"/>
      <c r="BI43" s="108"/>
      <c r="BJ43" s="109"/>
      <c r="BK43" s="108"/>
      <c r="BL43" s="108"/>
      <c r="BM43" s="108"/>
      <c r="BN43" s="108"/>
    </row>
    <row r="44" spans="1:66" ht="12" customHeight="1" thickBot="1" x14ac:dyDescent="0.25">
      <c r="A44" s="147" t="s">
        <v>3</v>
      </c>
      <c r="B44" s="148">
        <f>IFERROR(+B43/B42,0)</f>
        <v>0</v>
      </c>
      <c r="C44" s="148">
        <f>IFERROR(+C43/C42,0)</f>
        <v>0</v>
      </c>
      <c r="D44" s="149">
        <f>IFERROR(+D43/D42,0)</f>
        <v>0</v>
      </c>
      <c r="E44" s="148">
        <f>IFERROR(+E43/E42,0)</f>
        <v>0</v>
      </c>
      <c r="F44" s="148">
        <f t="shared" ref="F44:AH44" si="23">IFERROR(+F43/F42,0)</f>
        <v>0</v>
      </c>
      <c r="G44" s="148">
        <f t="shared" si="23"/>
        <v>0</v>
      </c>
      <c r="H44" s="148">
        <f t="shared" si="23"/>
        <v>0</v>
      </c>
      <c r="I44" s="148">
        <f t="shared" si="23"/>
        <v>0</v>
      </c>
      <c r="J44" s="148">
        <f t="shared" si="23"/>
        <v>0</v>
      </c>
      <c r="K44" s="148">
        <f t="shared" si="23"/>
        <v>0</v>
      </c>
      <c r="L44" s="149">
        <f t="shared" si="23"/>
        <v>0</v>
      </c>
      <c r="M44" s="148">
        <f t="shared" si="23"/>
        <v>0</v>
      </c>
      <c r="N44" s="148">
        <f t="shared" si="23"/>
        <v>0</v>
      </c>
      <c r="O44" s="148">
        <f t="shared" si="23"/>
        <v>0</v>
      </c>
      <c r="P44" s="148">
        <f t="shared" si="23"/>
        <v>0</v>
      </c>
      <c r="Q44" s="148">
        <f t="shared" si="23"/>
        <v>0</v>
      </c>
      <c r="R44" s="148">
        <f t="shared" si="23"/>
        <v>0</v>
      </c>
      <c r="S44" s="148">
        <f t="shared" si="23"/>
        <v>0</v>
      </c>
      <c r="T44" s="149">
        <f t="shared" si="23"/>
        <v>0</v>
      </c>
      <c r="U44" s="148">
        <f t="shared" si="23"/>
        <v>0</v>
      </c>
      <c r="V44" s="148">
        <f t="shared" si="23"/>
        <v>1</v>
      </c>
      <c r="W44" s="148">
        <f t="shared" si="23"/>
        <v>1</v>
      </c>
      <c r="X44" s="148">
        <f t="shared" si="23"/>
        <v>0.9</v>
      </c>
      <c r="Y44" s="148">
        <f t="shared" si="23"/>
        <v>0.79999999999999993</v>
      </c>
      <c r="Z44" s="148">
        <f t="shared" si="23"/>
        <v>0.70000000000000007</v>
      </c>
      <c r="AA44" s="148">
        <f t="shared" si="23"/>
        <v>0.89473684210526305</v>
      </c>
      <c r="AB44" s="149">
        <f t="shared" si="23"/>
        <v>0</v>
      </c>
      <c r="AC44" s="148">
        <f t="shared" si="23"/>
        <v>1</v>
      </c>
      <c r="AD44" s="148">
        <f t="shared" si="23"/>
        <v>1</v>
      </c>
      <c r="AE44" s="148">
        <f t="shared" si="23"/>
        <v>1</v>
      </c>
      <c r="AF44" s="148">
        <f t="shared" si="23"/>
        <v>1</v>
      </c>
      <c r="AG44" s="148">
        <f t="shared" si="23"/>
        <v>0</v>
      </c>
      <c r="AH44" s="149">
        <f t="shared" si="23"/>
        <v>0</v>
      </c>
      <c r="BE44" s="108"/>
      <c r="BF44" s="101"/>
      <c r="BG44" s="108"/>
      <c r="BH44" s="108"/>
      <c r="BI44" s="108"/>
      <c r="BJ44" s="109"/>
      <c r="BK44" s="108"/>
      <c r="BL44" s="108"/>
      <c r="BM44" s="108"/>
      <c r="BN44" s="108"/>
    </row>
    <row r="45" spans="1:66" ht="35.25" customHeight="1" thickBot="1" x14ac:dyDescent="0.25">
      <c r="A45" s="108"/>
      <c r="B45" s="150" t="s">
        <v>28</v>
      </c>
      <c r="C45" s="151" t="s">
        <v>77</v>
      </c>
      <c r="D45" s="150" t="s">
        <v>78</v>
      </c>
      <c r="E45" s="152" t="s">
        <v>31</v>
      </c>
      <c r="F45" s="152" t="s">
        <v>32</v>
      </c>
      <c r="J45" s="150" t="s">
        <v>28</v>
      </c>
      <c r="K45" s="151" t="s">
        <v>77</v>
      </c>
      <c r="L45" s="150" t="s">
        <v>78</v>
      </c>
      <c r="M45" s="152" t="s">
        <v>31</v>
      </c>
      <c r="N45" s="152" t="s">
        <v>32</v>
      </c>
      <c r="R45" s="150" t="s">
        <v>28</v>
      </c>
      <c r="S45" s="153" t="s">
        <v>77</v>
      </c>
      <c r="T45" s="150" t="s">
        <v>78</v>
      </c>
      <c r="U45" s="152" t="s">
        <v>31</v>
      </c>
      <c r="V45" s="152" t="s">
        <v>32</v>
      </c>
      <c r="Z45" s="150" t="s">
        <v>28</v>
      </c>
      <c r="AA45" s="153" t="s">
        <v>77</v>
      </c>
      <c r="AB45" s="150" t="s">
        <v>78</v>
      </c>
      <c r="AC45" s="152" t="s">
        <v>31</v>
      </c>
      <c r="AD45" s="152" t="s">
        <v>32</v>
      </c>
      <c r="AF45" s="150" t="s">
        <v>28</v>
      </c>
      <c r="AG45" s="153" t="s">
        <v>77</v>
      </c>
      <c r="AH45" s="150" t="s">
        <v>78</v>
      </c>
      <c r="AI45" s="152" t="s">
        <v>31</v>
      </c>
      <c r="AJ45" s="152" t="s">
        <v>32</v>
      </c>
      <c r="BF45" s="101"/>
      <c r="BG45" s="152"/>
      <c r="BH45" s="152"/>
      <c r="BI45" s="152"/>
      <c r="BJ45" s="155" t="s">
        <v>28</v>
      </c>
      <c r="BK45" s="156" t="s">
        <v>77</v>
      </c>
      <c r="BL45" s="157" t="s">
        <v>78</v>
      </c>
      <c r="BM45" s="152" t="s">
        <v>31</v>
      </c>
      <c r="BN45" s="152" t="s">
        <v>32</v>
      </c>
    </row>
    <row r="46" spans="1:66" ht="35.25" customHeight="1" x14ac:dyDescent="0.2">
      <c r="A46" s="152"/>
      <c r="B46" s="158" t="s">
        <v>79</v>
      </c>
      <c r="C46" s="159">
        <f>+D33</f>
        <v>605.97900000000004</v>
      </c>
      <c r="D46" s="160">
        <f>+D34</f>
        <v>605.97900000000004</v>
      </c>
      <c r="E46" s="161">
        <f>IFERROR(D46/C46,0)</f>
        <v>1</v>
      </c>
      <c r="F46" s="154">
        <f>+D46-C46</f>
        <v>0</v>
      </c>
      <c r="J46" s="158" t="s">
        <v>79</v>
      </c>
      <c r="K46" s="162">
        <f>+L33</f>
        <v>3059.0969999999998</v>
      </c>
      <c r="L46" s="160">
        <f>+L34</f>
        <v>3059.0969999999998</v>
      </c>
      <c r="M46" s="161">
        <f>IFERROR(L46/K46,0)</f>
        <v>1</v>
      </c>
      <c r="N46" s="154">
        <f>+L46-K46</f>
        <v>0</v>
      </c>
      <c r="R46" s="158" t="s">
        <v>79</v>
      </c>
      <c r="S46" s="162">
        <f>+T33</f>
        <v>5635.335</v>
      </c>
      <c r="T46" s="160">
        <f>+T34</f>
        <v>5635.335</v>
      </c>
      <c r="U46" s="161">
        <f>IFERROR(T46/S46,0)</f>
        <v>1</v>
      </c>
      <c r="V46" s="154">
        <f>+T46-S46</f>
        <v>0</v>
      </c>
      <c r="Z46" s="158" t="s">
        <v>79</v>
      </c>
      <c r="AA46" s="162">
        <f>+AB33</f>
        <v>8037.6390000000001</v>
      </c>
      <c r="AB46" s="160">
        <f>+AB34</f>
        <v>8053.12</v>
      </c>
      <c r="AC46" s="161">
        <f>IFERROR(AB46/AA46,0)</f>
        <v>1.0019260631138074</v>
      </c>
      <c r="AD46" s="154">
        <f>+AB46-AA46</f>
        <v>15.480999999999767</v>
      </c>
      <c r="AF46" s="158" t="s">
        <v>79</v>
      </c>
      <c r="AG46" s="162">
        <f>+AH33</f>
        <v>9862.6389999999992</v>
      </c>
      <c r="AH46" s="160">
        <f>+AH34</f>
        <v>9878.119999999999</v>
      </c>
      <c r="AI46" s="161">
        <f>IFERROR(AH46/AG46,0)</f>
        <v>1.001569661020747</v>
      </c>
      <c r="AJ46" s="154">
        <f>+AH46-AG46</f>
        <v>15.480999999999767</v>
      </c>
      <c r="BF46" s="101"/>
      <c r="BG46" s="154"/>
      <c r="BH46" s="154"/>
      <c r="BI46" s="154"/>
      <c r="BJ46" s="163" t="s">
        <v>79</v>
      </c>
      <c r="BK46" s="164">
        <f>+AH33</f>
        <v>9862.6389999999992</v>
      </c>
      <c r="BL46" s="165">
        <f>+AH34</f>
        <v>9878.119999999999</v>
      </c>
      <c r="BM46" s="161">
        <f>IFERROR(BL46/BK46,0)</f>
        <v>1.001569661020747</v>
      </c>
      <c r="BN46" s="154">
        <f>+BL46-BK46</f>
        <v>15.480999999999767</v>
      </c>
    </row>
    <row r="47" spans="1:66" ht="35.25" customHeight="1" x14ac:dyDescent="0.2">
      <c r="A47" s="166"/>
      <c r="B47" s="163" t="s">
        <v>80</v>
      </c>
      <c r="C47" s="167">
        <f>+D36</f>
        <v>56.557000000000002</v>
      </c>
      <c r="D47" s="165">
        <f>+D37</f>
        <v>56.557000000000002</v>
      </c>
      <c r="E47" s="161">
        <f>IFERROR(D47/C47,0)</f>
        <v>1</v>
      </c>
      <c r="F47" s="154">
        <f>+D47-C47</f>
        <v>0</v>
      </c>
      <c r="J47" s="163" t="s">
        <v>80</v>
      </c>
      <c r="K47" s="164">
        <f>+L36</f>
        <v>269.69800000000004</v>
      </c>
      <c r="L47" s="165">
        <f>+L37</f>
        <v>269.69800000000004</v>
      </c>
      <c r="M47" s="161">
        <f>IFERROR(L47/K47,0)</f>
        <v>1</v>
      </c>
      <c r="N47" s="154">
        <f>+L47-K47</f>
        <v>0</v>
      </c>
      <c r="R47" s="163" t="s">
        <v>80</v>
      </c>
      <c r="S47" s="164">
        <f>+T36</f>
        <v>521.54500000000007</v>
      </c>
      <c r="T47" s="165">
        <f>+T37</f>
        <v>521.54500000000007</v>
      </c>
      <c r="U47" s="161">
        <f>IFERROR(T47/S47,0)</f>
        <v>1</v>
      </c>
      <c r="V47" s="154">
        <f>+T47-S47</f>
        <v>0</v>
      </c>
      <c r="Z47" s="163" t="s">
        <v>80</v>
      </c>
      <c r="AA47" s="164">
        <f>+AB36</f>
        <v>796.423</v>
      </c>
      <c r="AB47" s="165">
        <f>+AB37</f>
        <v>738.95600000000013</v>
      </c>
      <c r="AC47" s="161">
        <f>IFERROR(AB47/AA47,0)</f>
        <v>0.92784362078945504</v>
      </c>
      <c r="AD47" s="154">
        <f>+AB47-AA47</f>
        <v>-57.466999999999871</v>
      </c>
      <c r="AF47" s="163" t="s">
        <v>80</v>
      </c>
      <c r="AG47" s="164">
        <f>+AH36</f>
        <v>1001.423</v>
      </c>
      <c r="AH47" s="165">
        <f>+AH37</f>
        <v>943.95600000000013</v>
      </c>
      <c r="AI47" s="161">
        <f>IFERROR(AH47/AG47,0)</f>
        <v>0.94261465933975963</v>
      </c>
      <c r="AJ47" s="154">
        <f>+AH47-AG47</f>
        <v>-57.466999999999871</v>
      </c>
      <c r="BF47" s="154"/>
      <c r="BG47" s="154"/>
      <c r="BH47" s="154"/>
      <c r="BI47" s="154"/>
      <c r="BJ47" s="163" t="s">
        <v>80</v>
      </c>
      <c r="BK47" s="164">
        <f>+AH36</f>
        <v>1001.423</v>
      </c>
      <c r="BL47" s="165">
        <f>+AH37</f>
        <v>943.95600000000013</v>
      </c>
      <c r="BM47" s="161">
        <f>IFERROR(BL47/BK47,0)</f>
        <v>0.94261465933975963</v>
      </c>
      <c r="BN47" s="154">
        <f>+BL47-BK47</f>
        <v>-57.466999999999871</v>
      </c>
    </row>
    <row r="48" spans="1:66" ht="35.25" customHeight="1" x14ac:dyDescent="0.2">
      <c r="A48" s="166"/>
      <c r="B48" s="163" t="s">
        <v>81</v>
      </c>
      <c r="C48" s="167">
        <f>+D39</f>
        <v>449.48</v>
      </c>
      <c r="D48" s="165">
        <f>+D40</f>
        <v>449.48</v>
      </c>
      <c r="E48" s="161">
        <f>IFERROR(D48/C48,0)</f>
        <v>1</v>
      </c>
      <c r="F48" s="154">
        <f>+D48-C48</f>
        <v>0</v>
      </c>
      <c r="J48" s="163" t="s">
        <v>81</v>
      </c>
      <c r="K48" s="154">
        <f>+L39</f>
        <v>2012.4740000000002</v>
      </c>
      <c r="L48" s="165">
        <f>+L40</f>
        <v>2012.4740000000002</v>
      </c>
      <c r="M48" s="161">
        <f>IFERROR(L48/K48,0)</f>
        <v>1</v>
      </c>
      <c r="N48" s="154">
        <f>+L48-K48</f>
        <v>0</v>
      </c>
      <c r="R48" s="163" t="s">
        <v>81</v>
      </c>
      <c r="S48" s="154">
        <f>+T39</f>
        <v>3187.096</v>
      </c>
      <c r="T48" s="165">
        <f>+T40</f>
        <v>3187.096</v>
      </c>
      <c r="U48" s="161">
        <f>IFERROR(T48/S48,0)</f>
        <v>1</v>
      </c>
      <c r="V48" s="154">
        <f>+T48-S48</f>
        <v>0</v>
      </c>
      <c r="Z48" s="163" t="s">
        <v>81</v>
      </c>
      <c r="AA48" s="154">
        <f>+AB39</f>
        <v>4473.0560000000005</v>
      </c>
      <c r="AB48" s="165">
        <f>+AB40</f>
        <v>4512.1109999999999</v>
      </c>
      <c r="AC48" s="161">
        <f>IFERROR(AB48/AA48,0)</f>
        <v>1.0087311672377899</v>
      </c>
      <c r="AD48" s="154">
        <f>+AB48-AA48</f>
        <v>39.054999999999382</v>
      </c>
      <c r="AF48" s="163" t="s">
        <v>81</v>
      </c>
      <c r="AG48" s="154">
        <f>+AH39</f>
        <v>5523.0560000000005</v>
      </c>
      <c r="AH48" s="165">
        <f>+AH40</f>
        <v>5562.1109999999999</v>
      </c>
      <c r="AI48" s="161">
        <f>IFERROR(AH48/AG48,0)</f>
        <v>1.0070712663424017</v>
      </c>
      <c r="AJ48" s="154">
        <f>+AH48-AG48</f>
        <v>39.054999999999382</v>
      </c>
      <c r="BF48" s="154"/>
      <c r="BG48" s="154"/>
      <c r="BH48" s="154"/>
      <c r="BI48" s="154"/>
      <c r="BJ48" s="163" t="s">
        <v>81</v>
      </c>
      <c r="BK48" s="154">
        <f>+AH39</f>
        <v>5523.0560000000005</v>
      </c>
      <c r="BL48" s="165">
        <f>+AH40</f>
        <v>5562.1109999999999</v>
      </c>
      <c r="BM48" s="161">
        <f>IFERROR(BL48/BK48,0)</f>
        <v>1.0070712663424017</v>
      </c>
      <c r="BN48" s="154">
        <f>+BL48-BK48</f>
        <v>39.054999999999382</v>
      </c>
    </row>
    <row r="49" spans="1:66" ht="35.25" customHeight="1" thickBot="1" x14ac:dyDescent="0.25">
      <c r="A49" s="166"/>
      <c r="B49" s="168" t="s">
        <v>82</v>
      </c>
      <c r="C49" s="169" t="e">
        <f>+D42</f>
        <v>#N/A</v>
      </c>
      <c r="D49" s="170">
        <f>+D43</f>
        <v>94.5</v>
      </c>
      <c r="E49" s="161">
        <f>IFERROR(D49/C49,0)</f>
        <v>0</v>
      </c>
      <c r="F49" s="154" t="e">
        <f>+D49-C49</f>
        <v>#N/A</v>
      </c>
      <c r="J49" s="168" t="s">
        <v>82</v>
      </c>
      <c r="K49" s="171" t="e">
        <f>+L42</f>
        <v>#N/A</v>
      </c>
      <c r="L49" s="170">
        <f>+L43</f>
        <v>390.57</v>
      </c>
      <c r="M49" s="161">
        <f>IFERROR(L49/K49,0)</f>
        <v>0</v>
      </c>
      <c r="N49" s="154" t="e">
        <f>+L49-K49</f>
        <v>#N/A</v>
      </c>
      <c r="R49" s="168" t="s">
        <v>82</v>
      </c>
      <c r="S49" s="171" t="e">
        <f>+T42</f>
        <v>#N/A</v>
      </c>
      <c r="T49" s="170">
        <f>+T43</f>
        <v>752.81999999999994</v>
      </c>
      <c r="U49" s="161">
        <f>IFERROR(T49/S49,0)</f>
        <v>0</v>
      </c>
      <c r="V49" s="154" t="e">
        <f>+T49-S49</f>
        <v>#N/A</v>
      </c>
      <c r="Z49" s="168" t="s">
        <v>82</v>
      </c>
      <c r="AA49" s="171" t="e">
        <f>+AB42</f>
        <v>#N/A</v>
      </c>
      <c r="AB49" s="170">
        <f>+AB43</f>
        <v>1130.82</v>
      </c>
      <c r="AC49" s="161">
        <f>IFERROR(AB49/AA49,0)</f>
        <v>0</v>
      </c>
      <c r="AD49" s="154" t="e">
        <f>+AB49-AA49</f>
        <v>#N/A</v>
      </c>
      <c r="AF49" s="168" t="s">
        <v>82</v>
      </c>
      <c r="AG49" s="171" t="e">
        <f>+AH42</f>
        <v>#N/A</v>
      </c>
      <c r="AH49" s="170">
        <f>+AH43</f>
        <v>1373.37</v>
      </c>
      <c r="AI49" s="161">
        <f>IFERROR(AH49/AG49,0)</f>
        <v>0</v>
      </c>
      <c r="AJ49" s="154" t="e">
        <f>+AH49-AG49</f>
        <v>#N/A</v>
      </c>
      <c r="BF49" s="154"/>
      <c r="BG49" s="154"/>
      <c r="BH49" s="154"/>
      <c r="BI49" s="154"/>
      <c r="BJ49" s="168" t="s">
        <v>82</v>
      </c>
      <c r="BK49" s="171" t="e">
        <f>+AH42</f>
        <v>#N/A</v>
      </c>
      <c r="BL49" s="170">
        <f>+AH43</f>
        <v>1373.37</v>
      </c>
      <c r="BM49" s="161">
        <f>IFERROR(BL49/BK49,0)</f>
        <v>0</v>
      </c>
      <c r="BN49" s="154" t="e">
        <f>+BL49-BK49</f>
        <v>#N/A</v>
      </c>
    </row>
    <row r="50" spans="1:66" ht="35.25" customHeight="1" thickBot="1" x14ac:dyDescent="0.25">
      <c r="A50" s="166"/>
      <c r="B50" s="172" t="s">
        <v>38</v>
      </c>
      <c r="C50" s="173" t="e">
        <f>SUM(C46:C49)</f>
        <v>#N/A</v>
      </c>
      <c r="D50" s="174">
        <f>SUM(D46:D49)</f>
        <v>1206.5160000000001</v>
      </c>
      <c r="E50" s="175">
        <f>IFERROR(D50/C50,0)</f>
        <v>0</v>
      </c>
      <c r="F50" s="176" t="e">
        <f>+D50-C50</f>
        <v>#N/A</v>
      </c>
      <c r="J50" s="172" t="s">
        <v>38</v>
      </c>
      <c r="K50" s="173" t="e">
        <f>SUM(K46:K49)</f>
        <v>#N/A</v>
      </c>
      <c r="L50" s="174">
        <f>SUM(L46:L49)</f>
        <v>5731.8389999999999</v>
      </c>
      <c r="M50" s="175">
        <f>IFERROR(L50/K50,0)</f>
        <v>0</v>
      </c>
      <c r="N50" s="176" t="e">
        <f>+L50-K50</f>
        <v>#N/A</v>
      </c>
      <c r="R50" s="172" t="s">
        <v>38</v>
      </c>
      <c r="S50" s="173" t="e">
        <f>SUM(S46:S49)</f>
        <v>#N/A</v>
      </c>
      <c r="T50" s="174">
        <f>SUM(T46:T49)</f>
        <v>10096.796</v>
      </c>
      <c r="U50" s="175">
        <f>IFERROR(T50/S50,0)</f>
        <v>0</v>
      </c>
      <c r="V50" s="176" t="e">
        <f>+T50-S50</f>
        <v>#N/A</v>
      </c>
      <c r="Z50" s="172" t="s">
        <v>38</v>
      </c>
      <c r="AA50" s="173" t="e">
        <f>SUM(AA46:AA49)</f>
        <v>#N/A</v>
      </c>
      <c r="AB50" s="174">
        <f>SUM(AB46:AB49)</f>
        <v>14435.007000000001</v>
      </c>
      <c r="AC50" s="175">
        <f>IFERROR(AB50/AA50,0)</f>
        <v>0</v>
      </c>
      <c r="AD50" s="176" t="e">
        <f>+AB50-AA50</f>
        <v>#N/A</v>
      </c>
      <c r="AF50" s="172" t="s">
        <v>38</v>
      </c>
      <c r="AG50" s="173" t="e">
        <f>SUM(AG46:AG49)</f>
        <v>#N/A</v>
      </c>
      <c r="AH50" s="174">
        <f>SUM(AH46:AH49)</f>
        <v>17757.556999999997</v>
      </c>
      <c r="AI50" s="175">
        <f>IFERROR(AH50/AG50,0)</f>
        <v>0</v>
      </c>
      <c r="AJ50" s="176" t="e">
        <f>+AH50-AG50</f>
        <v>#N/A</v>
      </c>
      <c r="BF50" s="177"/>
      <c r="BG50" s="177"/>
      <c r="BH50" s="177"/>
      <c r="BI50" s="177"/>
      <c r="BJ50" s="172" t="s">
        <v>38</v>
      </c>
      <c r="BK50" s="173" t="e">
        <f>SUM(BK46:BK49)</f>
        <v>#N/A</v>
      </c>
      <c r="BL50" s="174">
        <f>SUM(BL46:BL49)</f>
        <v>17757.556999999997</v>
      </c>
      <c r="BM50" s="175">
        <f>IFERROR(BL50/BK50,0)</f>
        <v>0</v>
      </c>
      <c r="BN50" s="176" t="e">
        <f>+BL50-BK50</f>
        <v>#N/A</v>
      </c>
    </row>
    <row r="51" spans="1:66" ht="18" customHeight="1" x14ac:dyDescent="0.2">
      <c r="A51" s="166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78"/>
      <c r="O51" s="178"/>
      <c r="P51" s="178"/>
      <c r="Q51" s="108"/>
      <c r="R51" s="108"/>
      <c r="S51" s="178"/>
      <c r="T51" s="178"/>
      <c r="U51" s="178"/>
      <c r="V51" s="107">
        <f t="shared" ref="V51:V61" si="24">+R51-Q51</f>
        <v>0</v>
      </c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54"/>
      <c r="AS51" s="154"/>
      <c r="AT51" s="154"/>
      <c r="AU51" s="154"/>
      <c r="AV51" s="177"/>
      <c r="AW51" s="177"/>
      <c r="AX51" s="108"/>
      <c r="AY51" s="108"/>
      <c r="AZ51" s="108"/>
      <c r="BA51" s="177"/>
      <c r="BB51" s="177"/>
      <c r="BC51" s="177"/>
      <c r="BD51" s="177"/>
      <c r="BE51" s="108"/>
      <c r="BF51" s="154"/>
      <c r="BG51" s="154"/>
      <c r="BH51" s="108"/>
      <c r="BI51" s="108"/>
      <c r="BJ51" s="108"/>
      <c r="BK51" s="109"/>
      <c r="BL51" s="108"/>
      <c r="BM51" s="108"/>
      <c r="BN51" s="108"/>
    </row>
    <row r="52" spans="1:66" ht="12" customHeight="1" x14ac:dyDescent="0.2">
      <c r="A52" s="179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78"/>
      <c r="O52" s="178"/>
      <c r="P52" s="178"/>
      <c r="Q52" s="154"/>
      <c r="R52" s="154"/>
      <c r="S52" s="178"/>
      <c r="T52" s="178"/>
      <c r="U52" s="178"/>
      <c r="V52" s="107">
        <f t="shared" si="24"/>
        <v>0</v>
      </c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54"/>
      <c r="AS52" s="154"/>
      <c r="AT52" s="154"/>
      <c r="AU52" s="154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9"/>
      <c r="BL52" s="108"/>
      <c r="BM52" s="108"/>
      <c r="BN52" s="108"/>
    </row>
    <row r="53" spans="1:66" ht="12" customHeight="1" x14ac:dyDescent="0.2">
      <c r="A53" s="179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78"/>
      <c r="O53" s="178"/>
      <c r="P53" s="178"/>
      <c r="Q53" s="108"/>
      <c r="R53" s="108"/>
      <c r="S53" s="178"/>
      <c r="T53" s="178"/>
      <c r="U53" s="178"/>
      <c r="V53" s="107">
        <f t="shared" si="24"/>
        <v>0</v>
      </c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54"/>
      <c r="AS53" s="154"/>
      <c r="AT53" s="154"/>
      <c r="AU53" s="154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54"/>
      <c r="BG53" s="154"/>
      <c r="BH53" s="108"/>
      <c r="BI53" s="108"/>
      <c r="BJ53" s="108"/>
      <c r="BK53" s="109"/>
      <c r="BL53" s="108"/>
      <c r="BM53" s="108"/>
      <c r="BN53" s="108"/>
    </row>
    <row r="54" spans="1:66" ht="12" customHeight="1" x14ac:dyDescent="0.2">
      <c r="A54" s="179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78"/>
      <c r="O54" s="178"/>
      <c r="P54" s="178"/>
      <c r="Q54" s="154"/>
      <c r="R54" s="154"/>
      <c r="S54" s="178"/>
      <c r="T54" s="178"/>
      <c r="U54" s="178"/>
      <c r="V54" s="107">
        <f t="shared" si="24"/>
        <v>0</v>
      </c>
      <c r="W54" s="108"/>
      <c r="X54" s="108"/>
      <c r="Y54" s="108"/>
      <c r="Z54" s="108"/>
      <c r="AA54" s="108"/>
      <c r="AB54" s="108"/>
      <c r="AC54" s="108"/>
      <c r="AD54" s="108"/>
      <c r="AE54" s="108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2"/>
      <c r="BG54" s="108"/>
      <c r="BH54" s="108"/>
      <c r="BI54" s="108"/>
      <c r="BJ54" s="108"/>
      <c r="BK54" s="109"/>
      <c r="BL54" s="108"/>
      <c r="BM54" s="108"/>
      <c r="BN54" s="108"/>
    </row>
    <row r="55" spans="1:66" ht="12" customHeight="1" x14ac:dyDescent="0.2">
      <c r="A55" s="179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78"/>
      <c r="O55" s="178"/>
      <c r="P55" s="178"/>
      <c r="Q55" s="108"/>
      <c r="R55" s="108"/>
      <c r="S55" s="178"/>
      <c r="T55" s="178"/>
      <c r="U55" s="178"/>
      <c r="V55" s="107">
        <f t="shared" si="24"/>
        <v>0</v>
      </c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54"/>
      <c r="BF55" s="108"/>
      <c r="BG55" s="180"/>
      <c r="BH55" s="108"/>
      <c r="BI55" s="108"/>
      <c r="BJ55" s="108"/>
      <c r="BK55" s="109"/>
      <c r="BL55" s="108"/>
      <c r="BM55" s="108"/>
      <c r="BN55" s="108"/>
    </row>
    <row r="56" spans="1:66" ht="12" customHeight="1" x14ac:dyDescent="0.2">
      <c r="A56" s="179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78"/>
      <c r="O56" s="178"/>
      <c r="P56" s="178"/>
      <c r="Q56" s="154"/>
      <c r="R56" s="154"/>
      <c r="S56" s="178"/>
      <c r="T56" s="178"/>
      <c r="U56" s="178"/>
      <c r="V56" s="107">
        <f t="shared" si="24"/>
        <v>0</v>
      </c>
      <c r="W56" s="108"/>
      <c r="X56" s="108"/>
      <c r="Y56" s="108"/>
      <c r="Z56" s="108"/>
      <c r="AA56" s="108"/>
      <c r="AB56" s="108"/>
      <c r="AC56" s="108"/>
      <c r="AD56" s="108"/>
      <c r="AE56" s="108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08"/>
      <c r="BG56" s="108"/>
      <c r="BH56" s="108"/>
      <c r="BI56" s="108"/>
      <c r="BJ56" s="108"/>
      <c r="BK56" s="109"/>
      <c r="BL56" s="108"/>
      <c r="BM56" s="108"/>
      <c r="BN56" s="108"/>
    </row>
    <row r="57" spans="1:66" ht="12" customHeight="1" x14ac:dyDescent="0.2">
      <c r="A57" s="179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78"/>
      <c r="O57" s="178"/>
      <c r="P57" s="178"/>
      <c r="Q57" s="108"/>
      <c r="R57" s="108"/>
      <c r="S57" s="178"/>
      <c r="T57" s="178"/>
      <c r="U57" s="178"/>
      <c r="V57" s="107">
        <f t="shared" si="24"/>
        <v>0</v>
      </c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9"/>
      <c r="BL57" s="108"/>
      <c r="BM57" s="108"/>
      <c r="BN57" s="108"/>
    </row>
    <row r="58" spans="1:66" ht="12" customHeight="1" x14ac:dyDescent="0.2">
      <c r="A58" s="179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78"/>
      <c r="O58" s="178"/>
      <c r="P58" s="178"/>
      <c r="Q58" s="154"/>
      <c r="R58" s="154"/>
      <c r="S58" s="178"/>
      <c r="T58" s="178"/>
      <c r="U58" s="178"/>
      <c r="V58" s="107">
        <f t="shared" si="24"/>
        <v>0</v>
      </c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9"/>
      <c r="BL58" s="108"/>
      <c r="BM58" s="108"/>
      <c r="BN58" s="108"/>
    </row>
    <row r="59" spans="1:66" ht="12" customHeight="1" x14ac:dyDescent="0.2">
      <c r="A59" s="179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78"/>
      <c r="O59" s="178"/>
      <c r="P59" s="178"/>
      <c r="Q59" s="178"/>
      <c r="R59" s="178"/>
      <c r="S59" s="178"/>
      <c r="T59" s="178"/>
      <c r="U59" s="178"/>
      <c r="V59" s="107">
        <f t="shared" si="24"/>
        <v>0</v>
      </c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9"/>
      <c r="BL59" s="108"/>
      <c r="BM59" s="108"/>
      <c r="BN59" s="108"/>
    </row>
    <row r="60" spans="1:66" ht="12" customHeight="1" x14ac:dyDescent="0.2">
      <c r="A60" s="17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78"/>
      <c r="O60" s="178"/>
      <c r="P60" s="178"/>
      <c r="Q60" s="178"/>
      <c r="R60" s="178"/>
      <c r="S60" s="178"/>
      <c r="T60" s="178"/>
      <c r="U60" s="178"/>
      <c r="V60" s="107">
        <f t="shared" si="24"/>
        <v>0</v>
      </c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9"/>
      <c r="BL60" s="108"/>
      <c r="BM60" s="108"/>
      <c r="BN60" s="108"/>
    </row>
    <row r="61" spans="1:66" ht="12" customHeight="1" x14ac:dyDescent="0.2">
      <c r="A61" s="179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78"/>
      <c r="O61" s="178"/>
      <c r="P61" s="178"/>
      <c r="Q61" s="107">
        <f>+SUM(Q52:Q58)</f>
        <v>0</v>
      </c>
      <c r="R61" s="107">
        <f>+SUM(R52:R58)</f>
        <v>0</v>
      </c>
      <c r="S61" s="178"/>
      <c r="T61" s="178"/>
      <c r="U61" s="178"/>
      <c r="V61" s="107">
        <f t="shared" si="24"/>
        <v>0</v>
      </c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9"/>
      <c r="BL61" s="108"/>
      <c r="BM61" s="108"/>
      <c r="BN61" s="108"/>
    </row>
    <row r="62" spans="1:66" ht="12" customHeight="1" x14ac:dyDescent="0.2">
      <c r="A62" s="17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9"/>
      <c r="BL62" s="108"/>
      <c r="BM62" s="108"/>
      <c r="BN62" s="108"/>
    </row>
    <row r="63" spans="1:66" ht="12" customHeight="1" x14ac:dyDescent="0.2">
      <c r="A63" s="179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9"/>
      <c r="BL63" s="108"/>
      <c r="BM63" s="108"/>
      <c r="BN63" s="108"/>
    </row>
    <row r="64" spans="1:66" ht="12" customHeight="1" x14ac:dyDescent="0.2">
      <c r="A64" s="17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9"/>
      <c r="BL64" s="108"/>
      <c r="BM64" s="108"/>
      <c r="BN64" s="108"/>
    </row>
    <row r="65" spans="1:66" ht="12" customHeight="1" x14ac:dyDescent="0.2">
      <c r="A65" s="17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9"/>
      <c r="BL65" s="108"/>
      <c r="BM65" s="108"/>
      <c r="BN65" s="108"/>
    </row>
    <row r="66" spans="1:66" ht="12" customHeight="1" x14ac:dyDescent="0.2">
      <c r="A66" s="17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9"/>
      <c r="BL66" s="108"/>
      <c r="BM66" s="108"/>
      <c r="BN66" s="108"/>
    </row>
    <row r="67" spans="1:66" ht="12" customHeight="1" x14ac:dyDescent="0.2">
      <c r="A67" s="17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9"/>
      <c r="BL67" s="108"/>
      <c r="BM67" s="108"/>
      <c r="BN67" s="108"/>
    </row>
    <row r="68" spans="1:66" ht="12" customHeight="1" x14ac:dyDescent="0.2">
      <c r="A68" s="179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9"/>
      <c r="BL68" s="108"/>
      <c r="BM68" s="108"/>
      <c r="BN68" s="108"/>
    </row>
    <row r="69" spans="1:66" ht="12" customHeight="1" x14ac:dyDescent="0.2">
      <c r="A69" s="179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9"/>
      <c r="BL69" s="108"/>
      <c r="BM69" s="108"/>
      <c r="BN69" s="108"/>
    </row>
    <row r="70" spans="1:66" ht="12" customHeight="1" x14ac:dyDescent="0.2">
      <c r="A70" s="179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9"/>
      <c r="BL70" s="108"/>
      <c r="BM70" s="108"/>
      <c r="BN70" s="108"/>
    </row>
    <row r="71" spans="1:66" ht="12" customHeight="1" x14ac:dyDescent="0.2">
      <c r="A71" s="17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9"/>
      <c r="BL71" s="108"/>
      <c r="BM71" s="108"/>
      <c r="BN71" s="108"/>
    </row>
    <row r="72" spans="1:66" ht="12" customHeight="1" x14ac:dyDescent="0.2">
      <c r="A72" s="17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9"/>
      <c r="BL72" s="108"/>
      <c r="BM72" s="108"/>
      <c r="BN72" s="108"/>
    </row>
    <row r="73" spans="1:66" ht="12" customHeight="1" x14ac:dyDescent="0.2">
      <c r="A73" s="17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9"/>
      <c r="BL73" s="108"/>
      <c r="BM73" s="108"/>
      <c r="BN73" s="108"/>
    </row>
    <row r="74" spans="1:66" ht="12" customHeight="1" x14ac:dyDescent="0.2">
      <c r="A74" s="17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9"/>
      <c r="BL74" s="108"/>
      <c r="BM74" s="108"/>
      <c r="BN74" s="108"/>
    </row>
    <row r="75" spans="1:66" ht="12" customHeight="1" x14ac:dyDescent="0.2">
      <c r="A75" s="17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9"/>
      <c r="BL75" s="108"/>
      <c r="BM75" s="108"/>
      <c r="BN75" s="108"/>
    </row>
    <row r="76" spans="1:66" ht="12" customHeight="1" x14ac:dyDescent="0.2">
      <c r="A76" s="179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9"/>
      <c r="BL76" s="108"/>
      <c r="BM76" s="108"/>
      <c r="BN76" s="108"/>
    </row>
    <row r="77" spans="1:66" ht="12" customHeight="1" x14ac:dyDescent="0.2">
      <c r="A77" s="179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9"/>
      <c r="BL77" s="108"/>
      <c r="BM77" s="108"/>
      <c r="BN77" s="108"/>
    </row>
    <row r="78" spans="1:66" ht="12" customHeight="1" x14ac:dyDescent="0.2">
      <c r="A78" s="179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9"/>
      <c r="BL78" s="108"/>
      <c r="BM78" s="108"/>
      <c r="BN78" s="108"/>
    </row>
    <row r="79" spans="1:66" ht="12" customHeight="1" x14ac:dyDescent="0.2">
      <c r="A79" s="17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9"/>
      <c r="BL79" s="108"/>
      <c r="BM79" s="108"/>
      <c r="BN79" s="108"/>
    </row>
    <row r="80" spans="1:66" ht="12" customHeight="1" x14ac:dyDescent="0.2">
      <c r="A80" s="17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9"/>
      <c r="BL80" s="108"/>
      <c r="BM80" s="108"/>
      <c r="BN80" s="108"/>
    </row>
    <row r="81" spans="1:66" ht="12" customHeight="1" x14ac:dyDescent="0.2">
      <c r="A81" s="17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9"/>
      <c r="BL81" s="108"/>
      <c r="BM81" s="108"/>
      <c r="BN81" s="108"/>
    </row>
    <row r="82" spans="1:66" ht="12" customHeight="1" x14ac:dyDescent="0.2">
      <c r="A82" s="179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9"/>
      <c r="BL82" s="108"/>
      <c r="BM82" s="108"/>
      <c r="BN82" s="108"/>
    </row>
    <row r="83" spans="1:66" ht="12" customHeight="1" x14ac:dyDescent="0.2">
      <c r="A83" s="179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9"/>
      <c r="BL83" s="108"/>
      <c r="BM83" s="108"/>
      <c r="BN83" s="108"/>
    </row>
    <row r="84" spans="1:66" ht="12" customHeight="1" x14ac:dyDescent="0.2">
      <c r="A84" s="179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9"/>
      <c r="BL84" s="108"/>
      <c r="BM84" s="108"/>
      <c r="BN84" s="108"/>
    </row>
    <row r="85" spans="1:66" ht="12" customHeight="1" x14ac:dyDescent="0.2">
      <c r="A85" s="179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9"/>
      <c r="BL85" s="108"/>
      <c r="BM85" s="108"/>
      <c r="BN85" s="108"/>
    </row>
    <row r="86" spans="1:66" ht="12" customHeight="1" x14ac:dyDescent="0.2">
      <c r="A86" s="179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9"/>
      <c r="BL86" s="108"/>
      <c r="BM86" s="108"/>
      <c r="BN86" s="108"/>
    </row>
    <row r="87" spans="1:66" ht="12" customHeight="1" x14ac:dyDescent="0.2">
      <c r="A87" s="179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9"/>
      <c r="BL87" s="108"/>
      <c r="BM87" s="108"/>
      <c r="BN87" s="108"/>
    </row>
    <row r="88" spans="1:66" ht="12" customHeight="1" x14ac:dyDescent="0.2">
      <c r="A88" s="179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9"/>
      <c r="BL88" s="108"/>
      <c r="BM88" s="108"/>
      <c r="BN88" s="108"/>
    </row>
    <row r="89" spans="1:66" ht="12" customHeight="1" x14ac:dyDescent="0.2">
      <c r="A89" s="179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9"/>
      <c r="BL89" s="108"/>
      <c r="BM89" s="108"/>
      <c r="BN89" s="108"/>
    </row>
    <row r="90" spans="1:66" ht="12" customHeight="1" x14ac:dyDescent="0.2">
      <c r="A90" s="179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9"/>
      <c r="BL90" s="108"/>
      <c r="BM90" s="108"/>
      <c r="BN90" s="108"/>
    </row>
    <row r="91" spans="1:66" ht="12" customHeight="1" x14ac:dyDescent="0.2">
      <c r="A91" s="179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9"/>
      <c r="BL91" s="108"/>
      <c r="BM91" s="108"/>
      <c r="BN91" s="108"/>
    </row>
    <row r="92" spans="1:66" ht="12" customHeight="1" x14ac:dyDescent="0.2">
      <c r="A92" s="179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9"/>
      <c r="BL92" s="108"/>
      <c r="BM92" s="108"/>
      <c r="BN92" s="108"/>
    </row>
    <row r="93" spans="1:66" ht="12" customHeight="1" x14ac:dyDescent="0.2">
      <c r="A93" s="179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9"/>
      <c r="BL93" s="108"/>
      <c r="BM93" s="108"/>
      <c r="BN93" s="108"/>
    </row>
    <row r="94" spans="1:66" ht="12" customHeight="1" x14ac:dyDescent="0.2">
      <c r="A94" s="179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9"/>
      <c r="BL94" s="108"/>
      <c r="BM94" s="108"/>
      <c r="BN94" s="108"/>
    </row>
    <row r="95" spans="1:66" ht="12" customHeight="1" x14ac:dyDescent="0.2">
      <c r="A95" s="179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9"/>
      <c r="BL95" s="108"/>
      <c r="BM95" s="108"/>
      <c r="BN95" s="108"/>
    </row>
    <row r="96" spans="1:66" ht="12" customHeight="1" x14ac:dyDescent="0.2">
      <c r="A96" s="179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9"/>
      <c r="BL96" s="108"/>
      <c r="BM96" s="108"/>
      <c r="BN96" s="108"/>
    </row>
    <row r="97" spans="1:66" ht="12" customHeight="1" x14ac:dyDescent="0.2">
      <c r="A97" s="179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9"/>
      <c r="BL97" s="108"/>
      <c r="BM97" s="108"/>
      <c r="BN97" s="108"/>
    </row>
    <row r="98" spans="1:66" ht="12" customHeight="1" x14ac:dyDescent="0.2">
      <c r="A98" s="179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9"/>
      <c r="BL98" s="108"/>
      <c r="BM98" s="108"/>
      <c r="BN98" s="108"/>
    </row>
    <row r="99" spans="1:66" ht="12" customHeight="1" x14ac:dyDescent="0.2">
      <c r="A99" s="179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9"/>
      <c r="BL99" s="108"/>
      <c r="BM99" s="108"/>
      <c r="BN99" s="108"/>
    </row>
    <row r="100" spans="1:66" ht="12" customHeight="1" x14ac:dyDescent="0.2">
      <c r="A100" s="179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9"/>
      <c r="BL100" s="108"/>
      <c r="BM100" s="108"/>
      <c r="BN100" s="108"/>
    </row>
    <row r="101" spans="1:66" ht="12" customHeight="1" x14ac:dyDescent="0.2">
      <c r="A101" s="179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9"/>
      <c r="BL101" s="108"/>
      <c r="BM101" s="108"/>
      <c r="BN101" s="108"/>
    </row>
    <row r="102" spans="1:66" ht="12" customHeight="1" x14ac:dyDescent="0.2">
      <c r="A102" s="179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9"/>
      <c r="BL102" s="108"/>
      <c r="BM102" s="108"/>
      <c r="BN102" s="108"/>
    </row>
    <row r="103" spans="1:66" ht="12" customHeight="1" x14ac:dyDescent="0.2">
      <c r="A103" s="179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9"/>
      <c r="BL103" s="108"/>
      <c r="BM103" s="108"/>
      <c r="BN103" s="108"/>
    </row>
    <row r="104" spans="1:66" ht="12" customHeight="1" x14ac:dyDescent="0.2">
      <c r="A104" s="179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9"/>
      <c r="BL104" s="108"/>
      <c r="BM104" s="108"/>
      <c r="BN104" s="108"/>
    </row>
    <row r="105" spans="1:66" ht="12" customHeight="1" x14ac:dyDescent="0.2">
      <c r="A105" s="179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9"/>
      <c r="BL105" s="108"/>
      <c r="BM105" s="108"/>
      <c r="BN105" s="108"/>
    </row>
    <row r="106" spans="1:66" ht="12" customHeight="1" x14ac:dyDescent="0.2">
      <c r="A106" s="179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9"/>
      <c r="BL106" s="108"/>
      <c r="BM106" s="108"/>
      <c r="BN106" s="108"/>
    </row>
    <row r="107" spans="1:66" ht="12" customHeight="1" x14ac:dyDescent="0.2">
      <c r="A107" s="179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9"/>
      <c r="BL107" s="108"/>
      <c r="BM107" s="108"/>
      <c r="BN107" s="108"/>
    </row>
    <row r="108" spans="1:66" ht="12" customHeight="1" x14ac:dyDescent="0.2">
      <c r="A108" s="179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9"/>
      <c r="BL108" s="108"/>
      <c r="BM108" s="108"/>
      <c r="BN108" s="108"/>
    </row>
    <row r="109" spans="1:66" ht="12" customHeight="1" x14ac:dyDescent="0.2">
      <c r="A109" s="179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9"/>
      <c r="BL109" s="108"/>
      <c r="BM109" s="108"/>
      <c r="BN109" s="108"/>
    </row>
    <row r="110" spans="1:66" ht="12" customHeight="1" x14ac:dyDescent="0.2">
      <c r="A110" s="179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9"/>
      <c r="BL110" s="108"/>
      <c r="BM110" s="108"/>
      <c r="BN110" s="108"/>
    </row>
    <row r="111" spans="1:66" ht="12" customHeight="1" x14ac:dyDescent="0.2">
      <c r="A111" s="179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9"/>
      <c r="BL111" s="108"/>
      <c r="BM111" s="108"/>
      <c r="BN111" s="108"/>
    </row>
    <row r="112" spans="1:66" ht="12" customHeight="1" x14ac:dyDescent="0.2">
      <c r="A112" s="179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9"/>
      <c r="BL112" s="108"/>
      <c r="BM112" s="108"/>
      <c r="BN112" s="108"/>
    </row>
    <row r="113" spans="1:66" ht="12" customHeight="1" x14ac:dyDescent="0.2">
      <c r="A113" s="179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9"/>
      <c r="BL113" s="108"/>
      <c r="BM113" s="108"/>
      <c r="BN113" s="108"/>
    </row>
    <row r="114" spans="1:66" ht="12" customHeight="1" x14ac:dyDescent="0.2">
      <c r="A114" s="179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9"/>
      <c r="BL114" s="108"/>
      <c r="BM114" s="108"/>
      <c r="BN114" s="108"/>
    </row>
    <row r="115" spans="1:66" ht="12" customHeight="1" x14ac:dyDescent="0.2">
      <c r="A115" s="179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9"/>
      <c r="BL115" s="108"/>
      <c r="BM115" s="108"/>
      <c r="BN115" s="108"/>
    </row>
    <row r="116" spans="1:66" ht="12" customHeight="1" x14ac:dyDescent="0.2">
      <c r="A116" s="179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9"/>
      <c r="BL116" s="108"/>
      <c r="BM116" s="108"/>
      <c r="BN116" s="108"/>
    </row>
    <row r="117" spans="1:66" ht="12" customHeight="1" x14ac:dyDescent="0.2">
      <c r="A117" s="179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9"/>
      <c r="BL117" s="108"/>
      <c r="BM117" s="108"/>
      <c r="BN117" s="108"/>
    </row>
    <row r="118" spans="1:66" ht="12" customHeight="1" x14ac:dyDescent="0.2">
      <c r="A118" s="179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9"/>
      <c r="BL118" s="108"/>
      <c r="BM118" s="108"/>
      <c r="BN118" s="108"/>
    </row>
    <row r="119" spans="1:66" ht="12" customHeight="1" x14ac:dyDescent="0.2">
      <c r="A119" s="179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9"/>
      <c r="BL119" s="108"/>
      <c r="BM119" s="108"/>
      <c r="BN119" s="108"/>
    </row>
    <row r="120" spans="1:66" ht="12" customHeight="1" x14ac:dyDescent="0.2">
      <c r="A120" s="179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9"/>
      <c r="BL120" s="108"/>
      <c r="BM120" s="108"/>
      <c r="BN120" s="108"/>
    </row>
    <row r="121" spans="1:66" ht="12" customHeight="1" x14ac:dyDescent="0.2">
      <c r="A121" s="179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9"/>
      <c r="BL121" s="108"/>
      <c r="BM121" s="108"/>
      <c r="BN121" s="108"/>
    </row>
    <row r="122" spans="1:66" ht="12" customHeight="1" x14ac:dyDescent="0.2">
      <c r="A122" s="179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9"/>
      <c r="BL122" s="108"/>
      <c r="BM122" s="108"/>
      <c r="BN122" s="108"/>
    </row>
    <row r="123" spans="1:66" ht="12" customHeight="1" x14ac:dyDescent="0.2">
      <c r="A123" s="179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9"/>
      <c r="BL123" s="108"/>
      <c r="BM123" s="108"/>
      <c r="BN123" s="108"/>
    </row>
    <row r="124" spans="1:66" ht="12" customHeight="1" x14ac:dyDescent="0.2">
      <c r="A124" s="179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9"/>
      <c r="BL124" s="108"/>
      <c r="BM124" s="108"/>
      <c r="BN124" s="108"/>
    </row>
    <row r="125" spans="1:66" ht="12" customHeight="1" x14ac:dyDescent="0.2">
      <c r="A125" s="179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9"/>
      <c r="BL125" s="108"/>
      <c r="BM125" s="108"/>
      <c r="BN125" s="108"/>
    </row>
    <row r="126" spans="1:66" ht="12" customHeight="1" x14ac:dyDescent="0.2">
      <c r="A126" s="179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9"/>
      <c r="BL126" s="108"/>
      <c r="BM126" s="108"/>
      <c r="BN126" s="108"/>
    </row>
    <row r="127" spans="1:66" ht="12" customHeight="1" x14ac:dyDescent="0.2">
      <c r="A127" s="179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9"/>
      <c r="BL127" s="108"/>
      <c r="BM127" s="108"/>
      <c r="BN127" s="108"/>
    </row>
    <row r="128" spans="1:66" ht="12" customHeight="1" x14ac:dyDescent="0.2">
      <c r="A128" s="179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9"/>
      <c r="BL128" s="108"/>
      <c r="BM128" s="108"/>
      <c r="BN128" s="108"/>
    </row>
    <row r="129" spans="1:66" ht="12" customHeight="1" x14ac:dyDescent="0.2">
      <c r="A129" s="179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9"/>
      <c r="BL129" s="108"/>
      <c r="BM129" s="108"/>
      <c r="BN129" s="108"/>
    </row>
    <row r="130" spans="1:66" ht="12" customHeight="1" x14ac:dyDescent="0.2">
      <c r="A130" s="179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9"/>
      <c r="BL130" s="108"/>
      <c r="BM130" s="108"/>
      <c r="BN130" s="108"/>
    </row>
    <row r="131" spans="1:66" ht="12" customHeight="1" x14ac:dyDescent="0.2">
      <c r="A131" s="179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9"/>
      <c r="BL131" s="108"/>
      <c r="BM131" s="108"/>
      <c r="BN131" s="108"/>
    </row>
    <row r="132" spans="1:66" ht="12" customHeight="1" x14ac:dyDescent="0.2">
      <c r="A132" s="179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9"/>
      <c r="BL132" s="108"/>
      <c r="BM132" s="108"/>
      <c r="BN132" s="108"/>
    </row>
    <row r="133" spans="1:66" ht="12" customHeight="1" x14ac:dyDescent="0.2">
      <c r="A133" s="179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9"/>
      <c r="BL133" s="108"/>
      <c r="BM133" s="108"/>
      <c r="BN133" s="108"/>
    </row>
    <row r="134" spans="1:66" ht="12" customHeight="1" x14ac:dyDescent="0.2">
      <c r="A134" s="179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9"/>
      <c r="BL134" s="108"/>
      <c r="BM134" s="108"/>
      <c r="BN134" s="108"/>
    </row>
    <row r="135" spans="1:66" ht="12" customHeight="1" x14ac:dyDescent="0.2">
      <c r="A135" s="179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9"/>
      <c r="BL135" s="108"/>
      <c r="BM135" s="108"/>
      <c r="BN135" s="108"/>
    </row>
    <row r="136" spans="1:66" ht="12" customHeight="1" x14ac:dyDescent="0.2">
      <c r="A136" s="179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9"/>
      <c r="BL136" s="108"/>
      <c r="BM136" s="108"/>
      <c r="BN136" s="108"/>
    </row>
    <row r="137" spans="1:66" ht="12" customHeight="1" x14ac:dyDescent="0.2">
      <c r="A137" s="179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9"/>
      <c r="BL137" s="108"/>
      <c r="BM137" s="108"/>
      <c r="BN137" s="108"/>
    </row>
    <row r="138" spans="1:66" ht="12" customHeight="1" x14ac:dyDescent="0.2">
      <c r="A138" s="179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9"/>
      <c r="BL138" s="108"/>
      <c r="BM138" s="108"/>
      <c r="BN138" s="108"/>
    </row>
    <row r="139" spans="1:66" ht="12" customHeight="1" x14ac:dyDescent="0.2">
      <c r="A139" s="179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9"/>
      <c r="BL139" s="108"/>
      <c r="BM139" s="108"/>
      <c r="BN139" s="108"/>
    </row>
    <row r="140" spans="1:66" ht="12" customHeight="1" x14ac:dyDescent="0.2">
      <c r="A140" s="179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9"/>
      <c r="BL140" s="108"/>
      <c r="BM140" s="108"/>
      <c r="BN140" s="108"/>
    </row>
    <row r="141" spans="1:66" ht="12" customHeight="1" x14ac:dyDescent="0.2">
      <c r="A141" s="179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9"/>
      <c r="BL141" s="108"/>
      <c r="BM141" s="108"/>
      <c r="BN141" s="108"/>
    </row>
    <row r="142" spans="1:66" ht="12" customHeight="1" x14ac:dyDescent="0.2">
      <c r="A142" s="179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9"/>
      <c r="BL142" s="108"/>
      <c r="BM142" s="108"/>
      <c r="BN142" s="108"/>
    </row>
    <row r="143" spans="1:66" ht="12" customHeight="1" x14ac:dyDescent="0.2">
      <c r="A143" s="179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9"/>
      <c r="BL143" s="108"/>
      <c r="BM143" s="108"/>
      <c r="BN143" s="108"/>
    </row>
    <row r="144" spans="1:66" ht="12" customHeight="1" x14ac:dyDescent="0.2">
      <c r="A144" s="179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9"/>
      <c r="BL144" s="108"/>
      <c r="BM144" s="108"/>
      <c r="BN144" s="108"/>
    </row>
    <row r="145" spans="1:66" ht="12" customHeight="1" x14ac:dyDescent="0.2">
      <c r="A145" s="179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9"/>
      <c r="BL145" s="108"/>
      <c r="BM145" s="108"/>
      <c r="BN145" s="108"/>
    </row>
    <row r="146" spans="1:66" ht="12" customHeight="1" x14ac:dyDescent="0.2">
      <c r="A146" s="179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9"/>
      <c r="BL146" s="108"/>
      <c r="BM146" s="108"/>
      <c r="BN146" s="108"/>
    </row>
    <row r="147" spans="1:66" ht="12" customHeight="1" x14ac:dyDescent="0.2">
      <c r="A147" s="179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9"/>
      <c r="BL147" s="108"/>
      <c r="BM147" s="108"/>
      <c r="BN147" s="108"/>
    </row>
    <row r="148" spans="1:66" ht="12" customHeight="1" x14ac:dyDescent="0.2">
      <c r="A148" s="179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9"/>
      <c r="BL148" s="108"/>
      <c r="BM148" s="108"/>
      <c r="BN148" s="108"/>
    </row>
    <row r="149" spans="1:66" ht="12" customHeight="1" x14ac:dyDescent="0.2">
      <c r="A149" s="179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9"/>
      <c r="BL149" s="108"/>
      <c r="BM149" s="108"/>
      <c r="BN149" s="108"/>
    </row>
    <row r="150" spans="1:66" ht="12" customHeight="1" x14ac:dyDescent="0.2">
      <c r="A150" s="179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9"/>
      <c r="BL150" s="108"/>
      <c r="BM150" s="108"/>
      <c r="BN150" s="108"/>
    </row>
    <row r="151" spans="1:66" ht="12" customHeight="1" x14ac:dyDescent="0.2">
      <c r="A151" s="179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9"/>
      <c r="BL151" s="108"/>
      <c r="BM151" s="108"/>
      <c r="BN151" s="108"/>
    </row>
    <row r="152" spans="1:66" ht="12" customHeight="1" x14ac:dyDescent="0.2">
      <c r="A152" s="179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9"/>
      <c r="BL152" s="108"/>
      <c r="BM152" s="108"/>
      <c r="BN152" s="108"/>
    </row>
    <row r="153" spans="1:66" ht="12" customHeight="1" x14ac:dyDescent="0.2">
      <c r="A153" s="179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9"/>
      <c r="BL153" s="108"/>
      <c r="BM153" s="108"/>
      <c r="BN153" s="108"/>
    </row>
    <row r="154" spans="1:66" ht="12" customHeight="1" x14ac:dyDescent="0.2">
      <c r="A154" s="179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9"/>
      <c r="BL154" s="108"/>
      <c r="BM154" s="108"/>
      <c r="BN154" s="108"/>
    </row>
    <row r="155" spans="1:66" ht="12" customHeight="1" x14ac:dyDescent="0.2">
      <c r="A155" s="179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9"/>
      <c r="BL155" s="108"/>
      <c r="BM155" s="108"/>
      <c r="BN155" s="108"/>
    </row>
    <row r="156" spans="1:66" ht="12" customHeight="1" x14ac:dyDescent="0.2">
      <c r="A156" s="179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9"/>
      <c r="BL156" s="108"/>
      <c r="BM156" s="108"/>
      <c r="BN156" s="108"/>
    </row>
    <row r="157" spans="1:66" ht="12" customHeight="1" x14ac:dyDescent="0.2">
      <c r="A157" s="179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9"/>
      <c r="BL157" s="108"/>
      <c r="BM157" s="108"/>
      <c r="BN157" s="108"/>
    </row>
    <row r="158" spans="1:66" ht="12" customHeight="1" x14ac:dyDescent="0.2">
      <c r="A158" s="179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9"/>
      <c r="BL158" s="108"/>
      <c r="BM158" s="108"/>
      <c r="BN158" s="108"/>
    </row>
    <row r="159" spans="1:66" ht="12" customHeight="1" x14ac:dyDescent="0.2">
      <c r="A159" s="179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9"/>
      <c r="BL159" s="108"/>
      <c r="BM159" s="108"/>
      <c r="BN159" s="108"/>
    </row>
    <row r="160" spans="1:66" ht="12" customHeight="1" x14ac:dyDescent="0.2">
      <c r="A160" s="179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9"/>
      <c r="BL160" s="108"/>
      <c r="BM160" s="108"/>
      <c r="BN160" s="108"/>
    </row>
    <row r="161" spans="1:66" ht="12" customHeight="1" x14ac:dyDescent="0.2">
      <c r="A161" s="179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9"/>
      <c r="BL161" s="108"/>
      <c r="BM161" s="108"/>
      <c r="BN161" s="108"/>
    </row>
    <row r="162" spans="1:66" ht="12" customHeight="1" x14ac:dyDescent="0.2">
      <c r="A162" s="179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9"/>
      <c r="BL162" s="108"/>
      <c r="BM162" s="108"/>
      <c r="BN162" s="108"/>
    </row>
    <row r="163" spans="1:66" ht="12" customHeight="1" x14ac:dyDescent="0.2">
      <c r="A163" s="179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9"/>
      <c r="BL163" s="108"/>
      <c r="BM163" s="108"/>
      <c r="BN163" s="108"/>
    </row>
    <row r="164" spans="1:66" ht="12" customHeight="1" x14ac:dyDescent="0.2">
      <c r="A164" s="179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9"/>
      <c r="BL164" s="108"/>
      <c r="BM164" s="108"/>
      <c r="BN164" s="108"/>
    </row>
    <row r="165" spans="1:66" ht="12" customHeight="1" x14ac:dyDescent="0.2">
      <c r="A165" s="179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9"/>
      <c r="BL165" s="108"/>
      <c r="BM165" s="108"/>
      <c r="BN165" s="108"/>
    </row>
    <row r="166" spans="1:66" ht="12" customHeight="1" x14ac:dyDescent="0.2">
      <c r="A166" s="179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9"/>
      <c r="BL166" s="108"/>
      <c r="BM166" s="108"/>
      <c r="BN166" s="108"/>
    </row>
    <row r="167" spans="1:66" ht="12" customHeight="1" x14ac:dyDescent="0.2">
      <c r="A167" s="179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9"/>
      <c r="BL167" s="108"/>
      <c r="BM167" s="108"/>
      <c r="BN167" s="108"/>
    </row>
    <row r="168" spans="1:66" ht="12" customHeight="1" x14ac:dyDescent="0.2">
      <c r="A168" s="179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9"/>
      <c r="BL168" s="108"/>
      <c r="BM168" s="108"/>
      <c r="BN168" s="108"/>
    </row>
    <row r="169" spans="1:66" ht="12" customHeight="1" x14ac:dyDescent="0.2">
      <c r="A169" s="179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9"/>
      <c r="BL169" s="108"/>
      <c r="BM169" s="108"/>
      <c r="BN169" s="108"/>
    </row>
    <row r="170" spans="1:66" ht="12" customHeight="1" x14ac:dyDescent="0.2">
      <c r="A170" s="179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9"/>
      <c r="BL170" s="108"/>
      <c r="BM170" s="108"/>
      <c r="BN170" s="108"/>
    </row>
    <row r="171" spans="1:66" ht="12" customHeight="1" x14ac:dyDescent="0.2">
      <c r="A171" s="179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9"/>
      <c r="BL171" s="108"/>
      <c r="BM171" s="108"/>
      <c r="BN171" s="108"/>
    </row>
    <row r="172" spans="1:66" ht="12" customHeight="1" x14ac:dyDescent="0.2">
      <c r="A172" s="179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9"/>
      <c r="BL172" s="108"/>
      <c r="BM172" s="108"/>
      <c r="BN172" s="108"/>
    </row>
    <row r="173" spans="1:66" ht="12" customHeight="1" x14ac:dyDescent="0.2">
      <c r="A173" s="179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9"/>
      <c r="BL173" s="108"/>
      <c r="BM173" s="108"/>
      <c r="BN173" s="108"/>
    </row>
    <row r="174" spans="1:66" ht="12" customHeight="1" x14ac:dyDescent="0.2">
      <c r="A174" s="179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9"/>
      <c r="BL174" s="108"/>
      <c r="BM174" s="108"/>
      <c r="BN174" s="108"/>
    </row>
    <row r="175" spans="1:66" ht="12" customHeight="1" x14ac:dyDescent="0.2">
      <c r="A175" s="179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9"/>
      <c r="BL175" s="108"/>
      <c r="BM175" s="108"/>
      <c r="BN175" s="108"/>
    </row>
    <row r="176" spans="1:66" ht="12" customHeight="1" x14ac:dyDescent="0.2">
      <c r="A176" s="179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9"/>
      <c r="BL176" s="108"/>
      <c r="BM176" s="108"/>
      <c r="BN176" s="108"/>
    </row>
    <row r="177" spans="1:66" ht="12" customHeight="1" x14ac:dyDescent="0.2">
      <c r="A177" s="179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9"/>
      <c r="BL177" s="108"/>
      <c r="BM177" s="108"/>
      <c r="BN177" s="108"/>
    </row>
    <row r="178" spans="1:66" ht="12" customHeight="1" x14ac:dyDescent="0.2">
      <c r="A178" s="179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9"/>
      <c r="BL178" s="108"/>
      <c r="BM178" s="108"/>
      <c r="BN178" s="108"/>
    </row>
    <row r="179" spans="1:66" ht="12" customHeight="1" x14ac:dyDescent="0.2">
      <c r="A179" s="179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9"/>
      <c r="BL179" s="108"/>
      <c r="BM179" s="108"/>
      <c r="BN179" s="108"/>
    </row>
    <row r="180" spans="1:66" ht="12" customHeight="1" x14ac:dyDescent="0.2">
      <c r="A180" s="179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9"/>
      <c r="BL180" s="108"/>
      <c r="BM180" s="108"/>
      <c r="BN180" s="108"/>
    </row>
    <row r="181" spans="1:66" ht="12" customHeight="1" x14ac:dyDescent="0.2">
      <c r="A181" s="179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9"/>
      <c r="BL181" s="108"/>
      <c r="BM181" s="108"/>
      <c r="BN181" s="108"/>
    </row>
    <row r="182" spans="1:66" ht="12" customHeight="1" x14ac:dyDescent="0.2">
      <c r="A182" s="179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9"/>
      <c r="BL182" s="108"/>
      <c r="BM182" s="108"/>
      <c r="BN182" s="108"/>
    </row>
    <row r="183" spans="1:66" ht="12" customHeight="1" x14ac:dyDescent="0.2">
      <c r="A183" s="179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9"/>
      <c r="BL183" s="108"/>
      <c r="BM183" s="108"/>
      <c r="BN183" s="108"/>
    </row>
    <row r="184" spans="1:66" ht="12" customHeight="1" x14ac:dyDescent="0.2">
      <c r="A184" s="179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9"/>
      <c r="BL184" s="108"/>
      <c r="BM184" s="108"/>
      <c r="BN184" s="108"/>
    </row>
    <row r="185" spans="1:66" ht="12" customHeight="1" x14ac:dyDescent="0.2">
      <c r="A185" s="179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9"/>
      <c r="BL185" s="108"/>
      <c r="BM185" s="108"/>
      <c r="BN185" s="108"/>
    </row>
    <row r="186" spans="1:66" ht="12" customHeight="1" x14ac:dyDescent="0.2">
      <c r="A186" s="179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9"/>
      <c r="BL186" s="108"/>
      <c r="BM186" s="108"/>
      <c r="BN186" s="108"/>
    </row>
    <row r="187" spans="1:66" ht="12" customHeight="1" x14ac:dyDescent="0.2">
      <c r="A187" s="179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9"/>
      <c r="BL187" s="108"/>
      <c r="BM187" s="108"/>
      <c r="BN187" s="108"/>
    </row>
    <row r="188" spans="1:66" ht="12" customHeight="1" x14ac:dyDescent="0.2">
      <c r="A188" s="179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9"/>
      <c r="BL188" s="108"/>
      <c r="BM188" s="108"/>
      <c r="BN188" s="108"/>
    </row>
    <row r="189" spans="1:66" ht="12" customHeight="1" x14ac:dyDescent="0.2">
      <c r="A189" s="179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9"/>
      <c r="BL189" s="108"/>
      <c r="BM189" s="108"/>
      <c r="BN189" s="108"/>
    </row>
    <row r="190" spans="1:66" ht="12" customHeight="1" x14ac:dyDescent="0.2">
      <c r="A190" s="179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9"/>
      <c r="BL190" s="108"/>
      <c r="BM190" s="108"/>
      <c r="BN190" s="108"/>
    </row>
    <row r="191" spans="1:66" ht="12" customHeight="1" x14ac:dyDescent="0.2">
      <c r="A191" s="179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9"/>
      <c r="BL191" s="108"/>
      <c r="BM191" s="108"/>
      <c r="BN191" s="108"/>
    </row>
    <row r="192" spans="1:66" ht="12" customHeight="1" x14ac:dyDescent="0.2">
      <c r="A192" s="179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9"/>
      <c r="BL192" s="108"/>
      <c r="BM192" s="108"/>
      <c r="BN192" s="108"/>
    </row>
    <row r="193" spans="1:66" ht="12" customHeight="1" x14ac:dyDescent="0.2">
      <c r="A193" s="179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9"/>
      <c r="BL193" s="108"/>
      <c r="BM193" s="108"/>
      <c r="BN193" s="108"/>
    </row>
    <row r="194" spans="1:66" ht="12" customHeight="1" x14ac:dyDescent="0.2">
      <c r="A194" s="179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9"/>
      <c r="BL194" s="108"/>
      <c r="BM194" s="108"/>
      <c r="BN194" s="108"/>
    </row>
    <row r="195" spans="1:66" ht="12" customHeight="1" x14ac:dyDescent="0.2">
      <c r="A195" s="179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9"/>
      <c r="BL195" s="108"/>
      <c r="BM195" s="108"/>
      <c r="BN195" s="108"/>
    </row>
    <row r="196" spans="1:66" ht="12" customHeight="1" x14ac:dyDescent="0.2">
      <c r="A196" s="179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9"/>
      <c r="BL196" s="108"/>
      <c r="BM196" s="108"/>
      <c r="BN196" s="108"/>
    </row>
    <row r="197" spans="1:66" ht="12" customHeight="1" x14ac:dyDescent="0.2">
      <c r="A197" s="179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9"/>
      <c r="BL197" s="108"/>
      <c r="BM197" s="108"/>
      <c r="BN197" s="108"/>
    </row>
    <row r="198" spans="1:66" ht="12" customHeight="1" x14ac:dyDescent="0.2">
      <c r="A198" s="179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9"/>
      <c r="BL198" s="108"/>
      <c r="BM198" s="108"/>
      <c r="BN198" s="108"/>
    </row>
    <row r="199" spans="1:66" ht="12" customHeight="1" x14ac:dyDescent="0.2">
      <c r="A199" s="179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9"/>
      <c r="BL199" s="108"/>
      <c r="BM199" s="108"/>
      <c r="BN199" s="108"/>
    </row>
    <row r="200" spans="1:66" ht="12" customHeight="1" x14ac:dyDescent="0.2">
      <c r="A200" s="179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9"/>
      <c r="BL200" s="108"/>
      <c r="BM200" s="108"/>
      <c r="BN200" s="108"/>
    </row>
    <row r="201" spans="1:66" ht="12" customHeight="1" x14ac:dyDescent="0.2">
      <c r="A201" s="179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9"/>
      <c r="BL201" s="108"/>
      <c r="BM201" s="108"/>
      <c r="BN201" s="108"/>
    </row>
    <row r="202" spans="1:66" ht="12" customHeight="1" x14ac:dyDescent="0.2">
      <c r="A202" s="179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9"/>
      <c r="BL202" s="108"/>
      <c r="BM202" s="108"/>
      <c r="BN202" s="108"/>
    </row>
    <row r="203" spans="1:66" ht="12" customHeight="1" x14ac:dyDescent="0.2">
      <c r="A203" s="179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9"/>
      <c r="BL203" s="108"/>
      <c r="BM203" s="108"/>
      <c r="BN203" s="108"/>
    </row>
    <row r="204" spans="1:66" ht="12" customHeight="1" x14ac:dyDescent="0.2">
      <c r="A204" s="179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9"/>
      <c r="BL204" s="108"/>
      <c r="BM204" s="108"/>
      <c r="BN204" s="108"/>
    </row>
    <row r="205" spans="1:66" ht="12" customHeight="1" x14ac:dyDescent="0.2">
      <c r="A205" s="179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9"/>
      <c r="BL205" s="108"/>
      <c r="BM205" s="108"/>
      <c r="BN205" s="108"/>
    </row>
    <row r="206" spans="1:66" ht="12" customHeight="1" x14ac:dyDescent="0.2">
      <c r="A206" s="179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9"/>
      <c r="BL206" s="108"/>
      <c r="BM206" s="108"/>
      <c r="BN206" s="108"/>
    </row>
    <row r="207" spans="1:66" ht="12" customHeight="1" x14ac:dyDescent="0.2">
      <c r="A207" s="179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9"/>
      <c r="BL207" s="108"/>
      <c r="BM207" s="108"/>
      <c r="BN207" s="108"/>
    </row>
    <row r="208" spans="1:66" ht="12" customHeight="1" x14ac:dyDescent="0.2">
      <c r="A208" s="179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9"/>
      <c r="BL208" s="108"/>
      <c r="BM208" s="108"/>
      <c r="BN208" s="108"/>
    </row>
    <row r="209" spans="1:66" ht="12" customHeight="1" x14ac:dyDescent="0.2">
      <c r="A209" s="179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9"/>
      <c r="BL209" s="108"/>
      <c r="BM209" s="108"/>
      <c r="BN209" s="108"/>
    </row>
    <row r="210" spans="1:66" ht="12" customHeight="1" x14ac:dyDescent="0.2">
      <c r="A210" s="179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9"/>
      <c r="BL210" s="108"/>
      <c r="BM210" s="108"/>
      <c r="BN210" s="108"/>
    </row>
    <row r="211" spans="1:66" ht="12" customHeight="1" x14ac:dyDescent="0.2">
      <c r="A211" s="179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9"/>
      <c r="BL211" s="108"/>
      <c r="BM211" s="108"/>
      <c r="BN211" s="108"/>
    </row>
    <row r="212" spans="1:66" ht="12" customHeight="1" x14ac:dyDescent="0.2">
      <c r="A212" s="179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9"/>
      <c r="BL212" s="108"/>
      <c r="BM212" s="108"/>
      <c r="BN212" s="108"/>
    </row>
    <row r="213" spans="1:66" ht="12" customHeight="1" x14ac:dyDescent="0.2">
      <c r="A213" s="179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9"/>
      <c r="BL213" s="108"/>
      <c r="BM213" s="108"/>
      <c r="BN213" s="108"/>
    </row>
    <row r="214" spans="1:66" ht="12" customHeight="1" x14ac:dyDescent="0.2">
      <c r="A214" s="179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9"/>
      <c r="BL214" s="108"/>
      <c r="BM214" s="108"/>
      <c r="BN214" s="108"/>
    </row>
    <row r="215" spans="1:66" ht="12" customHeight="1" x14ac:dyDescent="0.2">
      <c r="A215" s="179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9"/>
      <c r="BL215" s="108"/>
      <c r="BM215" s="108"/>
      <c r="BN215" s="108"/>
    </row>
    <row r="216" spans="1:66" ht="12" customHeight="1" x14ac:dyDescent="0.2">
      <c r="A216" s="179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9"/>
      <c r="BL216" s="108"/>
      <c r="BM216" s="108"/>
      <c r="BN216" s="108"/>
    </row>
    <row r="217" spans="1:66" ht="12" customHeight="1" x14ac:dyDescent="0.2">
      <c r="A217" s="179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9"/>
      <c r="BL217" s="108"/>
      <c r="BM217" s="108"/>
      <c r="BN217" s="108"/>
    </row>
    <row r="218" spans="1:66" ht="12" customHeight="1" x14ac:dyDescent="0.2">
      <c r="A218" s="179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9"/>
      <c r="BL218" s="108"/>
      <c r="BM218" s="108"/>
      <c r="BN218" s="108"/>
    </row>
    <row r="219" spans="1:66" ht="12" customHeight="1" x14ac:dyDescent="0.2">
      <c r="A219" s="179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9"/>
      <c r="BL219" s="108"/>
      <c r="BM219" s="108"/>
      <c r="BN219" s="108"/>
    </row>
    <row r="220" spans="1:66" ht="12" customHeight="1" x14ac:dyDescent="0.2">
      <c r="A220" s="179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9"/>
      <c r="BL220" s="108"/>
      <c r="BM220" s="108"/>
      <c r="BN220" s="108"/>
    </row>
    <row r="221" spans="1:66" ht="12" customHeight="1" x14ac:dyDescent="0.2">
      <c r="A221" s="179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9"/>
      <c r="BL221" s="108"/>
      <c r="BM221" s="108"/>
      <c r="BN221" s="108"/>
    </row>
    <row r="222" spans="1:66" ht="12" customHeight="1" x14ac:dyDescent="0.2">
      <c r="A222" s="179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9"/>
      <c r="BL222" s="108"/>
      <c r="BM222" s="108"/>
      <c r="BN222" s="108"/>
    </row>
    <row r="223" spans="1:66" ht="12" customHeight="1" x14ac:dyDescent="0.2">
      <c r="A223" s="179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9"/>
      <c r="BL223" s="108"/>
      <c r="BM223" s="108"/>
      <c r="BN223" s="108"/>
    </row>
    <row r="224" spans="1:66" ht="12" customHeight="1" x14ac:dyDescent="0.2">
      <c r="A224" s="179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9"/>
      <c r="BL224" s="108"/>
      <c r="BM224" s="108"/>
      <c r="BN224" s="108"/>
    </row>
    <row r="225" spans="1:66" ht="12" customHeight="1" x14ac:dyDescent="0.2">
      <c r="A225" s="179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9"/>
      <c r="BL225" s="108"/>
      <c r="BM225" s="108"/>
      <c r="BN225" s="108"/>
    </row>
    <row r="226" spans="1:66" ht="12" customHeight="1" x14ac:dyDescent="0.2">
      <c r="A226" s="179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9"/>
      <c r="BL226" s="108"/>
      <c r="BM226" s="108"/>
      <c r="BN226" s="108"/>
    </row>
    <row r="227" spans="1:66" ht="12" customHeight="1" x14ac:dyDescent="0.2">
      <c r="A227" s="179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9"/>
      <c r="BL227" s="108"/>
      <c r="BM227" s="108"/>
      <c r="BN227" s="108"/>
    </row>
    <row r="228" spans="1:66" ht="12" customHeight="1" x14ac:dyDescent="0.2">
      <c r="A228" s="179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9"/>
      <c r="BL228" s="108"/>
      <c r="BM228" s="108"/>
      <c r="BN228" s="108"/>
    </row>
    <row r="229" spans="1:66" ht="12" customHeight="1" x14ac:dyDescent="0.2">
      <c r="A229" s="179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9"/>
      <c r="BL229" s="108"/>
      <c r="BM229" s="108"/>
      <c r="BN229" s="108"/>
    </row>
    <row r="230" spans="1:66" ht="12" customHeight="1" x14ac:dyDescent="0.2">
      <c r="A230" s="179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9"/>
      <c r="BL230" s="108"/>
      <c r="BM230" s="108"/>
      <c r="BN230" s="108"/>
    </row>
    <row r="231" spans="1:66" ht="12" customHeight="1" x14ac:dyDescent="0.2">
      <c r="A231" s="179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9"/>
      <c r="BL231" s="108"/>
      <c r="BM231" s="108"/>
      <c r="BN231" s="108"/>
    </row>
    <row r="232" spans="1:66" ht="12" customHeight="1" x14ac:dyDescent="0.2">
      <c r="A232" s="179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9"/>
      <c r="BL232" s="108"/>
      <c r="BM232" s="108"/>
      <c r="BN232" s="108"/>
    </row>
    <row r="233" spans="1:66" ht="12" customHeight="1" x14ac:dyDescent="0.2">
      <c r="A233" s="179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9"/>
      <c r="BL233" s="108"/>
      <c r="BM233" s="108"/>
      <c r="BN233" s="108"/>
    </row>
    <row r="234" spans="1:66" ht="12" customHeight="1" x14ac:dyDescent="0.2">
      <c r="A234" s="179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9"/>
      <c r="BL234" s="108"/>
      <c r="BM234" s="108"/>
      <c r="BN234" s="108"/>
    </row>
    <row r="235" spans="1:66" ht="12" customHeight="1" x14ac:dyDescent="0.2">
      <c r="A235" s="179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9"/>
      <c r="BL235" s="108"/>
      <c r="BM235" s="108"/>
      <c r="BN235" s="108"/>
    </row>
    <row r="236" spans="1:66" ht="12" customHeight="1" x14ac:dyDescent="0.2">
      <c r="A236" s="179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9"/>
      <c r="BL236" s="108"/>
      <c r="BM236" s="108"/>
      <c r="BN236" s="108"/>
    </row>
    <row r="237" spans="1:66" ht="12" customHeight="1" x14ac:dyDescent="0.2">
      <c r="A237" s="179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9"/>
      <c r="BL237" s="108"/>
      <c r="BM237" s="108"/>
      <c r="BN237" s="108"/>
    </row>
    <row r="238" spans="1:66" ht="12" customHeight="1" x14ac:dyDescent="0.2">
      <c r="A238" s="179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9"/>
      <c r="BL238" s="108"/>
      <c r="BM238" s="108"/>
      <c r="BN238" s="108"/>
    </row>
    <row r="239" spans="1:66" ht="12" customHeight="1" x14ac:dyDescent="0.2">
      <c r="A239" s="179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9"/>
      <c r="BL239" s="108"/>
      <c r="BM239" s="108"/>
      <c r="BN239" s="108"/>
    </row>
    <row r="240" spans="1:66" ht="12" customHeight="1" x14ac:dyDescent="0.2">
      <c r="A240" s="179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9"/>
      <c r="BL240" s="108"/>
      <c r="BM240" s="108"/>
      <c r="BN240" s="108"/>
    </row>
    <row r="241" spans="1:66" ht="12" customHeight="1" x14ac:dyDescent="0.2">
      <c r="A241" s="179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9"/>
      <c r="BL241" s="108"/>
      <c r="BM241" s="108"/>
      <c r="BN241" s="108"/>
    </row>
    <row r="242" spans="1:66" ht="12" customHeight="1" x14ac:dyDescent="0.2">
      <c r="A242" s="179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9"/>
      <c r="BL242" s="108"/>
      <c r="BM242" s="108"/>
      <c r="BN242" s="108"/>
    </row>
    <row r="243" spans="1:66" ht="12" customHeight="1" x14ac:dyDescent="0.2">
      <c r="A243" s="179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9"/>
      <c r="BL243" s="108"/>
      <c r="BM243" s="108"/>
      <c r="BN243" s="108"/>
    </row>
    <row r="244" spans="1:66" ht="12" customHeight="1" x14ac:dyDescent="0.2">
      <c r="A244" s="179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9"/>
      <c r="BL244" s="108"/>
      <c r="BM244" s="108"/>
      <c r="BN244" s="108"/>
    </row>
    <row r="245" spans="1:66" ht="12" customHeight="1" x14ac:dyDescent="0.2">
      <c r="A245" s="179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9"/>
      <c r="BL245" s="108"/>
      <c r="BM245" s="108"/>
      <c r="BN245" s="108"/>
    </row>
    <row r="246" spans="1:66" ht="12" customHeight="1" x14ac:dyDescent="0.2">
      <c r="A246" s="179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9"/>
      <c r="BL246" s="108"/>
      <c r="BM246" s="108"/>
      <c r="BN246" s="108"/>
    </row>
    <row r="247" spans="1:66" ht="12" customHeight="1" x14ac:dyDescent="0.2">
      <c r="A247" s="179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9"/>
      <c r="BL247" s="108"/>
      <c r="BM247" s="108"/>
      <c r="BN247" s="108"/>
    </row>
    <row r="248" spans="1:66" ht="12" customHeight="1" x14ac:dyDescent="0.2">
      <c r="A248" s="179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9"/>
      <c r="BL248" s="108"/>
      <c r="BM248" s="108"/>
      <c r="BN248" s="108"/>
    </row>
    <row r="249" spans="1:66" ht="12" customHeight="1" x14ac:dyDescent="0.2">
      <c r="A249" s="179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9"/>
      <c r="BL249" s="108"/>
      <c r="BM249" s="108"/>
      <c r="BN249" s="108"/>
    </row>
    <row r="250" spans="1:66" ht="12" customHeight="1" x14ac:dyDescent="0.2">
      <c r="A250" s="179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9"/>
      <c r="BL250" s="108"/>
      <c r="BM250" s="108"/>
      <c r="BN250" s="108"/>
    </row>
    <row r="251" spans="1:66" ht="12" customHeight="1" x14ac:dyDescent="0.2">
      <c r="A251" s="179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9"/>
      <c r="BL251" s="108"/>
      <c r="BM251" s="108"/>
      <c r="BN251" s="108"/>
    </row>
    <row r="252" spans="1:66" ht="12" customHeight="1" x14ac:dyDescent="0.2">
      <c r="A252" s="179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9"/>
      <c r="BL252" s="108"/>
      <c r="BM252" s="108"/>
      <c r="BN252" s="108"/>
    </row>
    <row r="253" spans="1:66" ht="12" customHeight="1" x14ac:dyDescent="0.2">
      <c r="A253" s="179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9"/>
      <c r="BL253" s="108"/>
      <c r="BM253" s="108"/>
      <c r="BN253" s="108"/>
    </row>
    <row r="254" spans="1:66" ht="12" customHeight="1" x14ac:dyDescent="0.2">
      <c r="A254" s="179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9"/>
      <c r="BL254" s="108"/>
      <c r="BM254" s="108"/>
      <c r="BN254" s="108"/>
    </row>
    <row r="255" spans="1:66" ht="12" customHeight="1" x14ac:dyDescent="0.2">
      <c r="A255" s="179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9"/>
      <c r="BL255" s="108"/>
      <c r="BM255" s="108"/>
      <c r="BN255" s="108"/>
    </row>
    <row r="256" spans="1:66" ht="12" customHeight="1" x14ac:dyDescent="0.2">
      <c r="A256" s="179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9"/>
      <c r="BL256" s="108"/>
      <c r="BM256" s="108"/>
      <c r="BN256" s="108"/>
    </row>
    <row r="257" spans="1:66" ht="12" customHeight="1" x14ac:dyDescent="0.2">
      <c r="A257" s="179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9"/>
      <c r="BL257" s="108"/>
      <c r="BM257" s="108"/>
      <c r="BN257" s="108"/>
    </row>
    <row r="258" spans="1:66" ht="12" customHeight="1" x14ac:dyDescent="0.2">
      <c r="A258" s="179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9"/>
      <c r="BL258" s="108"/>
      <c r="BM258" s="108"/>
      <c r="BN258" s="108"/>
    </row>
    <row r="259" spans="1:66" ht="12" customHeight="1" x14ac:dyDescent="0.2">
      <c r="A259" s="179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9"/>
      <c r="BL259" s="108"/>
      <c r="BM259" s="108"/>
      <c r="BN259" s="108"/>
    </row>
    <row r="260" spans="1:66" ht="12" customHeight="1" x14ac:dyDescent="0.2">
      <c r="A260" s="179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9"/>
      <c r="BL260" s="108"/>
      <c r="BM260" s="108"/>
      <c r="BN260" s="108"/>
    </row>
    <row r="261" spans="1:66" ht="12" customHeight="1" x14ac:dyDescent="0.2">
      <c r="A261" s="179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9"/>
      <c r="BL261" s="108"/>
      <c r="BM261" s="108"/>
      <c r="BN261" s="108"/>
    </row>
    <row r="262" spans="1:66" ht="12" customHeight="1" x14ac:dyDescent="0.2">
      <c r="A262" s="179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9"/>
      <c r="BL262" s="108"/>
      <c r="BM262" s="108"/>
      <c r="BN262" s="108"/>
    </row>
    <row r="263" spans="1:66" ht="12" customHeight="1" x14ac:dyDescent="0.2">
      <c r="A263" s="179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9"/>
      <c r="BL263" s="108"/>
      <c r="BM263" s="108"/>
      <c r="BN263" s="108"/>
    </row>
    <row r="264" spans="1:66" ht="12" customHeight="1" x14ac:dyDescent="0.2">
      <c r="A264" s="179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9"/>
      <c r="BL264" s="108"/>
      <c r="BM264" s="108"/>
      <c r="BN264" s="108"/>
    </row>
    <row r="265" spans="1:66" ht="12" customHeight="1" x14ac:dyDescent="0.2">
      <c r="A265" s="179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9"/>
      <c r="BL265" s="108"/>
      <c r="BM265" s="108"/>
      <c r="BN265" s="108"/>
    </row>
    <row r="266" spans="1:66" ht="12" customHeight="1" x14ac:dyDescent="0.2">
      <c r="A266" s="179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9"/>
      <c r="BL266" s="108"/>
      <c r="BM266" s="108"/>
      <c r="BN266" s="108"/>
    </row>
    <row r="267" spans="1:66" ht="12" customHeight="1" x14ac:dyDescent="0.2">
      <c r="A267" s="179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9"/>
      <c r="BL267" s="108"/>
      <c r="BM267" s="108"/>
      <c r="BN267" s="108"/>
    </row>
    <row r="268" spans="1:66" ht="12" customHeight="1" x14ac:dyDescent="0.2">
      <c r="A268" s="179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9"/>
      <c r="BL268" s="108"/>
      <c r="BM268" s="108"/>
      <c r="BN268" s="108"/>
    </row>
    <row r="269" spans="1:66" ht="12" customHeight="1" x14ac:dyDescent="0.2">
      <c r="A269" s="179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9"/>
      <c r="BL269" s="108"/>
      <c r="BM269" s="108"/>
      <c r="BN269" s="108"/>
    </row>
    <row r="270" spans="1:66" ht="12" customHeight="1" x14ac:dyDescent="0.2">
      <c r="A270" s="179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9"/>
      <c r="BL270" s="108"/>
      <c r="BM270" s="108"/>
      <c r="BN270" s="108"/>
    </row>
    <row r="271" spans="1:66" ht="12" customHeight="1" x14ac:dyDescent="0.2">
      <c r="A271" s="179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9"/>
      <c r="BL271" s="108"/>
      <c r="BM271" s="108"/>
      <c r="BN271" s="108"/>
    </row>
    <row r="272" spans="1:66" ht="12" customHeight="1" x14ac:dyDescent="0.2">
      <c r="A272" s="179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9"/>
      <c r="BL272" s="108"/>
      <c r="BM272" s="108"/>
      <c r="BN272" s="108"/>
    </row>
    <row r="273" spans="1:66" ht="12" customHeight="1" x14ac:dyDescent="0.2">
      <c r="A273" s="179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9"/>
      <c r="BL273" s="108"/>
      <c r="BM273" s="108"/>
      <c r="BN273" s="108"/>
    </row>
    <row r="274" spans="1:66" ht="12" customHeight="1" x14ac:dyDescent="0.2">
      <c r="A274" s="179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9"/>
      <c r="BL274" s="108"/>
      <c r="BM274" s="108"/>
      <c r="BN274" s="108"/>
    </row>
    <row r="275" spans="1:66" ht="12" customHeight="1" x14ac:dyDescent="0.2">
      <c r="A275" s="179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9"/>
      <c r="BL275" s="108"/>
      <c r="BM275" s="108"/>
      <c r="BN275" s="108"/>
    </row>
    <row r="276" spans="1:66" ht="12" customHeight="1" x14ac:dyDescent="0.2">
      <c r="A276" s="179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9"/>
      <c r="BL276" s="108"/>
      <c r="BM276" s="108"/>
      <c r="BN276" s="108"/>
    </row>
    <row r="277" spans="1:66" ht="12" customHeight="1" x14ac:dyDescent="0.2">
      <c r="A277" s="179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9"/>
      <c r="BL277" s="108"/>
      <c r="BM277" s="108"/>
      <c r="BN277" s="108"/>
    </row>
    <row r="278" spans="1:66" ht="12" customHeight="1" x14ac:dyDescent="0.2">
      <c r="A278" s="179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9"/>
      <c r="BL278" s="108"/>
      <c r="BM278" s="108"/>
      <c r="BN278" s="108"/>
    </row>
    <row r="279" spans="1:66" ht="12" customHeight="1" x14ac:dyDescent="0.2">
      <c r="A279" s="179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9"/>
      <c r="BL279" s="108"/>
      <c r="BM279" s="108"/>
      <c r="BN279" s="108"/>
    </row>
    <row r="280" spans="1:66" ht="12" customHeight="1" x14ac:dyDescent="0.2">
      <c r="A280" s="179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9"/>
      <c r="BL280" s="108"/>
      <c r="BM280" s="108"/>
      <c r="BN280" s="108"/>
    </row>
    <row r="281" spans="1:66" ht="12" customHeight="1" x14ac:dyDescent="0.2">
      <c r="A281" s="179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9"/>
      <c r="BL281" s="108"/>
      <c r="BM281" s="108"/>
      <c r="BN281" s="108"/>
    </row>
    <row r="282" spans="1:66" ht="12" customHeight="1" x14ac:dyDescent="0.2">
      <c r="A282" s="179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9"/>
      <c r="BL282" s="108"/>
      <c r="BM282" s="108"/>
      <c r="BN282" s="108"/>
    </row>
    <row r="283" spans="1:66" ht="12" customHeight="1" x14ac:dyDescent="0.2">
      <c r="A283" s="179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9"/>
      <c r="BL283" s="108"/>
      <c r="BM283" s="108"/>
      <c r="BN283" s="108"/>
    </row>
    <row r="284" spans="1:66" ht="12" customHeight="1" x14ac:dyDescent="0.2">
      <c r="A284" s="179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9"/>
      <c r="BL284" s="108"/>
      <c r="BM284" s="108"/>
      <c r="BN284" s="108"/>
    </row>
    <row r="285" spans="1:66" ht="12" customHeight="1" x14ac:dyDescent="0.2">
      <c r="A285" s="179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9"/>
      <c r="BL285" s="108"/>
      <c r="BM285" s="108"/>
      <c r="BN285" s="108"/>
    </row>
    <row r="286" spans="1:66" ht="12" customHeight="1" x14ac:dyDescent="0.2">
      <c r="A286" s="179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9"/>
      <c r="BL286" s="108"/>
      <c r="BM286" s="108"/>
      <c r="BN286" s="108"/>
    </row>
    <row r="287" spans="1:66" ht="12" customHeight="1" x14ac:dyDescent="0.2">
      <c r="A287" s="179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9"/>
      <c r="BL287" s="108"/>
      <c r="BM287" s="108"/>
      <c r="BN287" s="108"/>
    </row>
    <row r="288" spans="1:66" ht="12" customHeight="1" x14ac:dyDescent="0.2">
      <c r="A288" s="179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9"/>
      <c r="BL288" s="108"/>
      <c r="BM288" s="108"/>
      <c r="BN288" s="108"/>
    </row>
    <row r="289" spans="1:66" ht="12" customHeight="1" x14ac:dyDescent="0.2">
      <c r="A289" s="179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9"/>
      <c r="BL289" s="108"/>
      <c r="BM289" s="108"/>
      <c r="BN289" s="108"/>
    </row>
    <row r="290" spans="1:66" ht="12" customHeight="1" x14ac:dyDescent="0.2">
      <c r="A290" s="179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9"/>
      <c r="BL290" s="108"/>
      <c r="BM290" s="108"/>
      <c r="BN290" s="108"/>
    </row>
    <row r="291" spans="1:66" ht="12" customHeight="1" x14ac:dyDescent="0.2">
      <c r="A291" s="179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9"/>
      <c r="BL291" s="108"/>
      <c r="BM291" s="108"/>
      <c r="BN291" s="108"/>
    </row>
    <row r="292" spans="1:66" ht="12" customHeight="1" x14ac:dyDescent="0.2">
      <c r="A292" s="179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/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9"/>
      <c r="BL292" s="108"/>
      <c r="BM292" s="108"/>
      <c r="BN292" s="108"/>
    </row>
    <row r="293" spans="1:66" ht="12" customHeight="1" x14ac:dyDescent="0.2">
      <c r="A293" s="179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  <c r="BA293" s="108"/>
      <c r="BB293" s="108"/>
      <c r="BC293" s="108"/>
      <c r="BD293" s="108"/>
      <c r="BE293" s="108"/>
      <c r="BF293" s="108"/>
      <c r="BG293" s="108"/>
      <c r="BH293" s="108"/>
      <c r="BI293" s="108"/>
      <c r="BJ293" s="108"/>
      <c r="BK293" s="109"/>
      <c r="BL293" s="108"/>
      <c r="BM293" s="108"/>
      <c r="BN293" s="108"/>
    </row>
    <row r="294" spans="1:66" ht="12" customHeight="1" x14ac:dyDescent="0.2">
      <c r="A294" s="179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  <c r="BA294" s="108"/>
      <c r="BB294" s="108"/>
      <c r="BC294" s="108"/>
      <c r="BD294" s="108"/>
      <c r="BE294" s="108"/>
      <c r="BF294" s="108"/>
      <c r="BG294" s="108"/>
      <c r="BH294" s="108"/>
      <c r="BI294" s="108"/>
      <c r="BJ294" s="108"/>
      <c r="BK294" s="109"/>
      <c r="BL294" s="108"/>
      <c r="BM294" s="108"/>
      <c r="BN294" s="108"/>
    </row>
    <row r="295" spans="1:66" ht="12" customHeight="1" x14ac:dyDescent="0.2">
      <c r="A295" s="179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  <c r="BA295" s="108"/>
      <c r="BB295" s="108"/>
      <c r="BC295" s="108"/>
      <c r="BD295" s="108"/>
      <c r="BE295" s="108"/>
      <c r="BF295" s="108"/>
      <c r="BG295" s="108"/>
      <c r="BH295" s="108"/>
      <c r="BI295" s="108"/>
      <c r="BJ295" s="108"/>
      <c r="BK295" s="109"/>
      <c r="BL295" s="108"/>
      <c r="BM295" s="108"/>
      <c r="BN295" s="108"/>
    </row>
    <row r="296" spans="1:66" ht="12" customHeight="1" x14ac:dyDescent="0.2">
      <c r="A296" s="179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  <c r="BA296" s="108"/>
      <c r="BB296" s="108"/>
      <c r="BC296" s="108"/>
      <c r="BD296" s="108"/>
      <c r="BE296" s="108"/>
      <c r="BF296" s="108"/>
      <c r="BG296" s="108"/>
      <c r="BH296" s="108"/>
      <c r="BI296" s="108"/>
      <c r="BJ296" s="108"/>
      <c r="BK296" s="109"/>
      <c r="BL296" s="108"/>
      <c r="BM296" s="108"/>
      <c r="BN296" s="108"/>
    </row>
    <row r="297" spans="1:66" ht="12" customHeight="1" x14ac:dyDescent="0.2">
      <c r="A297" s="179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9"/>
      <c r="BL297" s="108"/>
      <c r="BM297" s="108"/>
      <c r="BN297" s="108"/>
    </row>
    <row r="298" spans="1:66" ht="12" customHeight="1" x14ac:dyDescent="0.2">
      <c r="A298" s="179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  <c r="BA298" s="108"/>
      <c r="BB298" s="108"/>
      <c r="BC298" s="108"/>
      <c r="BD298" s="108"/>
      <c r="BE298" s="108"/>
      <c r="BF298" s="108"/>
      <c r="BG298" s="108"/>
      <c r="BH298" s="108"/>
      <c r="BI298" s="108"/>
      <c r="BJ298" s="108"/>
      <c r="BK298" s="109"/>
      <c r="BL298" s="108"/>
      <c r="BM298" s="108"/>
      <c r="BN298" s="108"/>
    </row>
    <row r="299" spans="1:66" ht="12" customHeight="1" x14ac:dyDescent="0.2">
      <c r="A299" s="179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  <c r="BB299" s="108"/>
      <c r="BC299" s="108"/>
      <c r="BD299" s="108"/>
      <c r="BE299" s="108"/>
      <c r="BF299" s="108"/>
      <c r="BG299" s="108"/>
      <c r="BH299" s="108"/>
      <c r="BI299" s="108"/>
      <c r="BJ299" s="108"/>
      <c r="BK299" s="109"/>
      <c r="BL299" s="108"/>
      <c r="BM299" s="108"/>
      <c r="BN299" s="108"/>
    </row>
    <row r="300" spans="1:66" ht="12" customHeight="1" x14ac:dyDescent="0.2">
      <c r="A300" s="179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  <c r="BA300" s="108"/>
      <c r="BB300" s="108"/>
      <c r="BC300" s="108"/>
      <c r="BD300" s="108"/>
      <c r="BE300" s="108"/>
      <c r="BF300" s="108"/>
      <c r="BG300" s="108"/>
      <c r="BH300" s="108"/>
      <c r="BI300" s="108"/>
      <c r="BJ300" s="108"/>
      <c r="BK300" s="109"/>
      <c r="BL300" s="108"/>
      <c r="BM300" s="108"/>
      <c r="BN300" s="108"/>
    </row>
    <row r="301" spans="1:66" ht="12" customHeight="1" x14ac:dyDescent="0.2">
      <c r="A301" s="179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  <c r="BA301" s="108"/>
      <c r="BB301" s="108"/>
      <c r="BC301" s="108"/>
      <c r="BD301" s="108"/>
      <c r="BE301" s="108"/>
      <c r="BF301" s="108"/>
      <c r="BG301" s="108"/>
      <c r="BH301" s="108"/>
      <c r="BI301" s="108"/>
      <c r="BJ301" s="108"/>
      <c r="BK301" s="109"/>
      <c r="BL301" s="108"/>
      <c r="BM301" s="108"/>
      <c r="BN301" s="108"/>
    </row>
    <row r="302" spans="1:66" ht="12" customHeight="1" x14ac:dyDescent="0.2">
      <c r="A302" s="179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9"/>
      <c r="BL302" s="108"/>
      <c r="BM302" s="108"/>
      <c r="BN302" s="108"/>
    </row>
    <row r="303" spans="1:66" ht="12" customHeight="1" x14ac:dyDescent="0.2">
      <c r="A303" s="179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9"/>
      <c r="BL303" s="108"/>
      <c r="BM303" s="108"/>
      <c r="BN303" s="108"/>
    </row>
    <row r="304" spans="1:66" ht="12" customHeight="1" x14ac:dyDescent="0.2">
      <c r="A304" s="179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9"/>
      <c r="BL304" s="108"/>
      <c r="BM304" s="108"/>
      <c r="BN304" s="108"/>
    </row>
    <row r="305" spans="1:66" ht="12" customHeight="1" x14ac:dyDescent="0.2">
      <c r="A305" s="179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9"/>
      <c r="BL305" s="108"/>
      <c r="BM305" s="108"/>
      <c r="BN305" s="108"/>
    </row>
    <row r="306" spans="1:66" ht="12" customHeight="1" x14ac:dyDescent="0.2">
      <c r="A306" s="179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9"/>
      <c r="BL306" s="108"/>
      <c r="BM306" s="108"/>
      <c r="BN306" s="108"/>
    </row>
    <row r="307" spans="1:66" ht="12" customHeight="1" x14ac:dyDescent="0.2">
      <c r="A307" s="179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9"/>
      <c r="BL307" s="108"/>
      <c r="BM307" s="108"/>
      <c r="BN307" s="108"/>
    </row>
    <row r="308" spans="1:66" ht="12" customHeight="1" x14ac:dyDescent="0.2">
      <c r="A308" s="179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08"/>
      <c r="BF308" s="108"/>
      <c r="BG308" s="108"/>
      <c r="BH308" s="108"/>
      <c r="BI308" s="108"/>
      <c r="BJ308" s="108"/>
      <c r="BK308" s="109"/>
      <c r="BL308" s="108"/>
      <c r="BM308" s="108"/>
      <c r="BN308" s="108"/>
    </row>
    <row r="309" spans="1:66" ht="12" customHeight="1" x14ac:dyDescent="0.2">
      <c r="A309" s="179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  <c r="BA309" s="108"/>
      <c r="BB309" s="108"/>
      <c r="BC309" s="108"/>
      <c r="BD309" s="108"/>
      <c r="BE309" s="108"/>
      <c r="BF309" s="108"/>
      <c r="BG309" s="108"/>
      <c r="BH309" s="108"/>
      <c r="BI309" s="108"/>
      <c r="BJ309" s="108"/>
      <c r="BK309" s="109"/>
      <c r="BL309" s="108"/>
      <c r="BM309" s="108"/>
      <c r="BN309" s="108"/>
    </row>
    <row r="310" spans="1:66" ht="12" customHeight="1" x14ac:dyDescent="0.2">
      <c r="A310" s="179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9"/>
      <c r="BL310" s="108"/>
      <c r="BM310" s="108"/>
      <c r="BN310" s="108"/>
    </row>
    <row r="311" spans="1:66" ht="12" customHeight="1" x14ac:dyDescent="0.2">
      <c r="A311" s="179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9"/>
      <c r="BL311" s="108"/>
      <c r="BM311" s="108"/>
      <c r="BN311" s="108"/>
    </row>
    <row r="312" spans="1:66" ht="12" customHeight="1" x14ac:dyDescent="0.2">
      <c r="A312" s="179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  <c r="BA312" s="108"/>
      <c r="BB312" s="108"/>
      <c r="BC312" s="108"/>
      <c r="BD312" s="108"/>
      <c r="BE312" s="108"/>
      <c r="BF312" s="108"/>
      <c r="BG312" s="108"/>
      <c r="BH312" s="108"/>
      <c r="BI312" s="108"/>
      <c r="BJ312" s="108"/>
      <c r="BK312" s="109"/>
      <c r="BL312" s="108"/>
      <c r="BM312" s="108"/>
      <c r="BN312" s="108"/>
    </row>
    <row r="313" spans="1:66" ht="12" customHeight="1" x14ac:dyDescent="0.2">
      <c r="A313" s="179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  <c r="BA313" s="108"/>
      <c r="BB313" s="108"/>
      <c r="BC313" s="108"/>
      <c r="BD313" s="108"/>
      <c r="BE313" s="108"/>
      <c r="BF313" s="108"/>
      <c r="BG313" s="108"/>
      <c r="BH313" s="108"/>
      <c r="BI313" s="108"/>
      <c r="BJ313" s="108"/>
      <c r="BK313" s="109"/>
      <c r="BL313" s="108"/>
      <c r="BM313" s="108"/>
      <c r="BN313" s="108"/>
    </row>
    <row r="314" spans="1:66" ht="12" customHeight="1" x14ac:dyDescent="0.2">
      <c r="A314" s="179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  <c r="BA314" s="108"/>
      <c r="BB314" s="108"/>
      <c r="BC314" s="108"/>
      <c r="BD314" s="108"/>
      <c r="BE314" s="108"/>
      <c r="BF314" s="108"/>
      <c r="BG314" s="108"/>
      <c r="BH314" s="108"/>
      <c r="BI314" s="108"/>
      <c r="BJ314" s="108"/>
      <c r="BK314" s="109"/>
      <c r="BL314" s="108"/>
      <c r="BM314" s="108"/>
      <c r="BN314" s="108"/>
    </row>
    <row r="315" spans="1:66" ht="12" customHeight="1" x14ac:dyDescent="0.2">
      <c r="A315" s="179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  <c r="BA315" s="108"/>
      <c r="BB315" s="108"/>
      <c r="BC315" s="108"/>
      <c r="BD315" s="108"/>
      <c r="BE315" s="108"/>
      <c r="BF315" s="108"/>
      <c r="BG315" s="108"/>
      <c r="BH315" s="108"/>
      <c r="BI315" s="108"/>
      <c r="BJ315" s="108"/>
      <c r="BK315" s="109"/>
      <c r="BL315" s="108"/>
      <c r="BM315" s="108"/>
      <c r="BN315" s="108"/>
    </row>
    <row r="316" spans="1:66" ht="12" customHeight="1" x14ac:dyDescent="0.2">
      <c r="A316" s="179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9"/>
      <c r="BL316" s="108"/>
      <c r="BM316" s="108"/>
      <c r="BN316" s="108"/>
    </row>
    <row r="317" spans="1:66" ht="12" customHeight="1" x14ac:dyDescent="0.2">
      <c r="A317" s="179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9"/>
      <c r="BL317" s="108"/>
      <c r="BM317" s="108"/>
      <c r="BN317" s="108"/>
    </row>
    <row r="318" spans="1:66" ht="12" customHeight="1" x14ac:dyDescent="0.2">
      <c r="A318" s="179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9"/>
      <c r="BL318" s="108"/>
      <c r="BM318" s="108"/>
      <c r="BN318" s="108"/>
    </row>
    <row r="319" spans="1:66" ht="12" customHeight="1" x14ac:dyDescent="0.2">
      <c r="A319" s="179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109"/>
      <c r="BL319" s="108"/>
      <c r="BM319" s="108"/>
      <c r="BN319" s="108"/>
    </row>
    <row r="320" spans="1:66" ht="12" customHeight="1" x14ac:dyDescent="0.2">
      <c r="A320" s="179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9"/>
      <c r="BL320" s="108"/>
      <c r="BM320" s="108"/>
      <c r="BN320" s="108"/>
    </row>
    <row r="321" spans="1:66" ht="12" customHeight="1" x14ac:dyDescent="0.2">
      <c r="A321" s="179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9"/>
      <c r="BL321" s="108"/>
      <c r="BM321" s="108"/>
      <c r="BN321" s="108"/>
    </row>
    <row r="322" spans="1:66" ht="12" customHeight="1" x14ac:dyDescent="0.2">
      <c r="A322" s="179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9"/>
      <c r="BL322" s="108"/>
      <c r="BM322" s="108"/>
      <c r="BN322" s="108"/>
    </row>
    <row r="323" spans="1:66" ht="12" customHeight="1" x14ac:dyDescent="0.2">
      <c r="A323" s="179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9"/>
      <c r="BL323" s="108"/>
      <c r="BM323" s="108"/>
      <c r="BN323" s="108"/>
    </row>
    <row r="324" spans="1:66" ht="12" customHeight="1" x14ac:dyDescent="0.2">
      <c r="A324" s="179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9"/>
      <c r="BL324" s="108"/>
      <c r="BM324" s="108"/>
      <c r="BN324" s="108"/>
    </row>
    <row r="325" spans="1:66" ht="12" customHeight="1" x14ac:dyDescent="0.2">
      <c r="A325" s="179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9"/>
      <c r="BL325" s="108"/>
      <c r="BM325" s="108"/>
      <c r="BN325" s="108"/>
    </row>
    <row r="326" spans="1:66" ht="12" customHeight="1" x14ac:dyDescent="0.2">
      <c r="A326" s="179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9"/>
      <c r="BL326" s="108"/>
      <c r="BM326" s="108"/>
      <c r="BN326" s="108"/>
    </row>
    <row r="327" spans="1:66" ht="12" customHeight="1" x14ac:dyDescent="0.2">
      <c r="A327" s="179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9"/>
      <c r="BL327" s="108"/>
      <c r="BM327" s="108"/>
      <c r="BN327" s="108"/>
    </row>
    <row r="328" spans="1:66" ht="12" customHeight="1" x14ac:dyDescent="0.2">
      <c r="A328" s="179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  <c r="BA328" s="108"/>
      <c r="BB328" s="108"/>
      <c r="BC328" s="108"/>
      <c r="BD328" s="108"/>
      <c r="BE328" s="108"/>
      <c r="BF328" s="108"/>
      <c r="BG328" s="108"/>
      <c r="BH328" s="108"/>
      <c r="BI328" s="108"/>
      <c r="BJ328" s="108"/>
      <c r="BK328" s="109"/>
      <c r="BL328" s="108"/>
      <c r="BM328" s="108"/>
      <c r="BN328" s="108"/>
    </row>
    <row r="329" spans="1:66" ht="12" customHeight="1" x14ac:dyDescent="0.2">
      <c r="A329" s="179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  <c r="BA329" s="108"/>
      <c r="BB329" s="108"/>
      <c r="BC329" s="108"/>
      <c r="BD329" s="108"/>
      <c r="BE329" s="108"/>
      <c r="BF329" s="108"/>
      <c r="BG329" s="108"/>
      <c r="BH329" s="108"/>
      <c r="BI329" s="108"/>
      <c r="BJ329" s="108"/>
      <c r="BK329" s="109"/>
      <c r="BL329" s="108"/>
      <c r="BM329" s="108"/>
      <c r="BN329" s="108"/>
    </row>
    <row r="330" spans="1:66" ht="12" customHeight="1" x14ac:dyDescent="0.2">
      <c r="A330" s="179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/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9"/>
      <c r="BL330" s="108"/>
      <c r="BM330" s="108"/>
      <c r="BN330" s="108"/>
    </row>
    <row r="331" spans="1:66" ht="12" customHeight="1" x14ac:dyDescent="0.2">
      <c r="A331" s="179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  <c r="BA331" s="108"/>
      <c r="BB331" s="108"/>
      <c r="BC331" s="108"/>
      <c r="BD331" s="108"/>
      <c r="BE331" s="108"/>
      <c r="BF331" s="108"/>
      <c r="BG331" s="108"/>
      <c r="BH331" s="108"/>
      <c r="BI331" s="108"/>
      <c r="BJ331" s="108"/>
      <c r="BK331" s="109"/>
      <c r="BL331" s="108"/>
      <c r="BM331" s="108"/>
      <c r="BN331" s="108"/>
    </row>
    <row r="332" spans="1:66" ht="12" customHeight="1" x14ac:dyDescent="0.2">
      <c r="A332" s="179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  <c r="BA332" s="108"/>
      <c r="BB332" s="108"/>
      <c r="BC332" s="108"/>
      <c r="BD332" s="108"/>
      <c r="BE332" s="108"/>
      <c r="BF332" s="108"/>
      <c r="BG332" s="108"/>
      <c r="BH332" s="108"/>
      <c r="BI332" s="108"/>
      <c r="BJ332" s="108"/>
      <c r="BK332" s="109"/>
      <c r="BL332" s="108"/>
      <c r="BM332" s="108"/>
      <c r="BN332" s="108"/>
    </row>
    <row r="333" spans="1:66" ht="12" customHeight="1" x14ac:dyDescent="0.2">
      <c r="A333" s="179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  <c r="BA333" s="108"/>
      <c r="BB333" s="108"/>
      <c r="BC333" s="108"/>
      <c r="BD333" s="108"/>
      <c r="BE333" s="108"/>
      <c r="BF333" s="108"/>
      <c r="BG333" s="108"/>
      <c r="BH333" s="108"/>
      <c r="BI333" s="108"/>
      <c r="BJ333" s="108"/>
      <c r="BK333" s="109"/>
      <c r="BL333" s="108"/>
      <c r="BM333" s="108"/>
      <c r="BN333" s="108"/>
    </row>
    <row r="334" spans="1:66" ht="12" customHeight="1" x14ac:dyDescent="0.2">
      <c r="A334" s="179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  <c r="BA334" s="108"/>
      <c r="BB334" s="108"/>
      <c r="BC334" s="108"/>
      <c r="BD334" s="108"/>
      <c r="BE334" s="108"/>
      <c r="BF334" s="108"/>
      <c r="BG334" s="108"/>
      <c r="BH334" s="108"/>
      <c r="BI334" s="108"/>
      <c r="BJ334" s="108"/>
      <c r="BK334" s="109"/>
      <c r="BL334" s="108"/>
      <c r="BM334" s="108"/>
      <c r="BN334" s="108"/>
    </row>
    <row r="335" spans="1:66" ht="12" customHeight="1" x14ac:dyDescent="0.2">
      <c r="A335" s="179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  <c r="BA335" s="108"/>
      <c r="BB335" s="108"/>
      <c r="BC335" s="108"/>
      <c r="BD335" s="108"/>
      <c r="BE335" s="108"/>
      <c r="BF335" s="108"/>
      <c r="BG335" s="108"/>
      <c r="BH335" s="108"/>
      <c r="BI335" s="108"/>
      <c r="BJ335" s="108"/>
      <c r="BK335" s="109"/>
      <c r="BL335" s="108"/>
      <c r="BM335" s="108"/>
      <c r="BN335" s="108"/>
    </row>
    <row r="336" spans="1:66" ht="12" customHeight="1" x14ac:dyDescent="0.2">
      <c r="A336" s="179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  <c r="BA336" s="108"/>
      <c r="BB336" s="108"/>
      <c r="BC336" s="108"/>
      <c r="BD336" s="108"/>
      <c r="BE336" s="108"/>
      <c r="BF336" s="108"/>
      <c r="BG336" s="108"/>
      <c r="BH336" s="108"/>
      <c r="BI336" s="108"/>
      <c r="BJ336" s="108"/>
      <c r="BK336" s="109"/>
      <c r="BL336" s="108"/>
      <c r="BM336" s="108"/>
      <c r="BN336" s="108"/>
    </row>
    <row r="337" spans="1:66" ht="12" customHeight="1" x14ac:dyDescent="0.2">
      <c r="A337" s="179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8"/>
      <c r="BD337" s="108"/>
      <c r="BE337" s="108"/>
      <c r="BF337" s="108"/>
      <c r="BG337" s="108"/>
      <c r="BH337" s="108"/>
      <c r="BI337" s="108"/>
      <c r="BJ337" s="108"/>
      <c r="BK337" s="109"/>
      <c r="BL337" s="108"/>
      <c r="BM337" s="108"/>
      <c r="BN337" s="108"/>
    </row>
    <row r="338" spans="1:66" ht="12" customHeight="1" x14ac:dyDescent="0.2">
      <c r="A338" s="179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9"/>
      <c r="BL338" s="108"/>
      <c r="BM338" s="108"/>
      <c r="BN338" s="108"/>
    </row>
    <row r="339" spans="1:66" ht="12" customHeight="1" x14ac:dyDescent="0.2">
      <c r="A339" s="179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9"/>
      <c r="BL339" s="108"/>
      <c r="BM339" s="108"/>
      <c r="BN339" s="108"/>
    </row>
    <row r="340" spans="1:66" ht="12" customHeight="1" x14ac:dyDescent="0.2">
      <c r="A340" s="179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9"/>
      <c r="BL340" s="108"/>
      <c r="BM340" s="108"/>
      <c r="BN340" s="108"/>
    </row>
    <row r="341" spans="1:66" ht="12" customHeight="1" x14ac:dyDescent="0.2">
      <c r="A341" s="179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  <c r="BA341" s="108"/>
      <c r="BB341" s="108"/>
      <c r="BC341" s="108"/>
      <c r="BD341" s="108"/>
      <c r="BE341" s="108"/>
      <c r="BF341" s="108"/>
      <c r="BG341" s="108"/>
      <c r="BH341" s="108"/>
      <c r="BI341" s="108"/>
      <c r="BJ341" s="108"/>
      <c r="BK341" s="109"/>
      <c r="BL341" s="108"/>
      <c r="BM341" s="108"/>
      <c r="BN341" s="108"/>
    </row>
    <row r="342" spans="1:66" ht="12" customHeight="1" x14ac:dyDescent="0.2">
      <c r="A342" s="179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8"/>
      <c r="BD342" s="108"/>
      <c r="BE342" s="108"/>
      <c r="BF342" s="108"/>
      <c r="BG342" s="108"/>
      <c r="BH342" s="108"/>
      <c r="BI342" s="108"/>
      <c r="BJ342" s="108"/>
      <c r="BK342" s="109"/>
      <c r="BL342" s="108"/>
      <c r="BM342" s="108"/>
      <c r="BN342" s="108"/>
    </row>
    <row r="343" spans="1:66" ht="12" customHeight="1" x14ac:dyDescent="0.2">
      <c r="A343" s="179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9"/>
      <c r="BL343" s="108"/>
      <c r="BM343" s="108"/>
      <c r="BN343" s="108"/>
    </row>
    <row r="344" spans="1:66" ht="12" customHeight="1" x14ac:dyDescent="0.2">
      <c r="A344" s="179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9"/>
      <c r="BL344" s="108"/>
      <c r="BM344" s="108"/>
      <c r="BN344" s="108"/>
    </row>
    <row r="345" spans="1:66" ht="12" customHeight="1" x14ac:dyDescent="0.2">
      <c r="A345" s="179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  <c r="BB345" s="108"/>
      <c r="BC345" s="108"/>
      <c r="BD345" s="108"/>
      <c r="BE345" s="108"/>
      <c r="BF345" s="108"/>
      <c r="BG345" s="108"/>
      <c r="BH345" s="108"/>
      <c r="BI345" s="108"/>
      <c r="BJ345" s="108"/>
      <c r="BK345" s="109"/>
      <c r="BL345" s="108"/>
      <c r="BM345" s="108"/>
      <c r="BN345" s="108"/>
    </row>
    <row r="346" spans="1:66" ht="12" customHeight="1" x14ac:dyDescent="0.2">
      <c r="A346" s="179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  <c r="BK346" s="109"/>
      <c r="BL346" s="108"/>
      <c r="BM346" s="108"/>
      <c r="BN346" s="108"/>
    </row>
    <row r="347" spans="1:66" ht="12" customHeight="1" x14ac:dyDescent="0.2">
      <c r="A347" s="179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  <c r="BA347" s="108"/>
      <c r="BB347" s="108"/>
      <c r="BC347" s="108"/>
      <c r="BD347" s="108"/>
      <c r="BE347" s="108"/>
      <c r="BF347" s="108"/>
      <c r="BG347" s="108"/>
      <c r="BH347" s="108"/>
      <c r="BI347" s="108"/>
      <c r="BJ347" s="108"/>
      <c r="BK347" s="109"/>
      <c r="BL347" s="108"/>
      <c r="BM347" s="108"/>
      <c r="BN347" s="108"/>
    </row>
    <row r="348" spans="1:66" ht="12" customHeight="1" x14ac:dyDescent="0.2">
      <c r="A348" s="179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  <c r="BA348" s="108"/>
      <c r="BB348" s="108"/>
      <c r="BC348" s="108"/>
      <c r="BD348" s="108"/>
      <c r="BE348" s="108"/>
      <c r="BF348" s="108"/>
      <c r="BG348" s="108"/>
      <c r="BH348" s="108"/>
      <c r="BI348" s="108"/>
      <c r="BJ348" s="108"/>
      <c r="BK348" s="109"/>
      <c r="BL348" s="108"/>
      <c r="BM348" s="108"/>
      <c r="BN348" s="108"/>
    </row>
    <row r="349" spans="1:66" ht="12" customHeight="1" x14ac:dyDescent="0.2">
      <c r="A349" s="179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  <c r="BA349" s="108"/>
      <c r="BB349" s="108"/>
      <c r="BC349" s="108"/>
      <c r="BD349" s="108"/>
      <c r="BE349" s="108"/>
      <c r="BF349" s="108"/>
      <c r="BG349" s="108"/>
      <c r="BH349" s="108"/>
      <c r="BI349" s="108"/>
      <c r="BJ349" s="108"/>
      <c r="BK349" s="109"/>
      <c r="BL349" s="108"/>
      <c r="BM349" s="108"/>
      <c r="BN349" s="108"/>
    </row>
    <row r="350" spans="1:66" ht="12" customHeight="1" x14ac:dyDescent="0.2">
      <c r="A350" s="179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  <c r="BA350" s="108"/>
      <c r="BB350" s="108"/>
      <c r="BC350" s="108"/>
      <c r="BD350" s="108"/>
      <c r="BE350" s="108"/>
      <c r="BF350" s="108"/>
      <c r="BG350" s="108"/>
      <c r="BH350" s="108"/>
      <c r="BI350" s="108"/>
      <c r="BJ350" s="108"/>
      <c r="BK350" s="109"/>
      <c r="BL350" s="108"/>
      <c r="BM350" s="108"/>
      <c r="BN350" s="108"/>
    </row>
    <row r="351" spans="1:66" ht="12" customHeight="1" x14ac:dyDescent="0.2">
      <c r="A351" s="179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  <c r="AS351" s="108"/>
      <c r="AT351" s="108"/>
      <c r="AU351" s="108"/>
      <c r="AV351" s="108"/>
      <c r="AW351" s="108"/>
      <c r="AX351" s="108"/>
      <c r="AY351" s="108"/>
      <c r="AZ351" s="108"/>
      <c r="BA351" s="108"/>
      <c r="BB351" s="108"/>
      <c r="BC351" s="108"/>
      <c r="BD351" s="108"/>
      <c r="BE351" s="108"/>
      <c r="BF351" s="108"/>
      <c r="BG351" s="108"/>
      <c r="BH351" s="108"/>
      <c r="BI351" s="108"/>
      <c r="BJ351" s="108"/>
      <c r="BK351" s="109"/>
      <c r="BL351" s="108"/>
      <c r="BM351" s="108"/>
      <c r="BN351" s="108"/>
    </row>
    <row r="352" spans="1:66" ht="12" customHeight="1" x14ac:dyDescent="0.2">
      <c r="A352" s="179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  <c r="AS352" s="108"/>
      <c r="AT352" s="108"/>
      <c r="AU352" s="108"/>
      <c r="AV352" s="108"/>
      <c r="AW352" s="108"/>
      <c r="AX352" s="108"/>
      <c r="AY352" s="108"/>
      <c r="AZ352" s="108"/>
      <c r="BA352" s="108"/>
      <c r="BB352" s="108"/>
      <c r="BC352" s="108"/>
      <c r="BD352" s="108"/>
      <c r="BE352" s="108"/>
      <c r="BF352" s="108"/>
      <c r="BG352" s="108"/>
      <c r="BH352" s="108"/>
      <c r="BI352" s="108"/>
      <c r="BJ352" s="108"/>
      <c r="BK352" s="109"/>
      <c r="BL352" s="108"/>
      <c r="BM352" s="108"/>
      <c r="BN352" s="108"/>
    </row>
    <row r="353" spans="1:66" ht="12" customHeight="1" x14ac:dyDescent="0.2">
      <c r="A353" s="179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  <c r="AS353" s="108"/>
      <c r="AT353" s="108"/>
      <c r="AU353" s="108"/>
      <c r="AV353" s="108"/>
      <c r="AW353" s="108"/>
      <c r="AX353" s="108"/>
      <c r="AY353" s="108"/>
      <c r="AZ353" s="108"/>
      <c r="BA353" s="108"/>
      <c r="BB353" s="108"/>
      <c r="BC353" s="108"/>
      <c r="BD353" s="108"/>
      <c r="BE353" s="108"/>
      <c r="BF353" s="108"/>
      <c r="BG353" s="108"/>
      <c r="BH353" s="108"/>
      <c r="BI353" s="108"/>
      <c r="BJ353" s="108"/>
      <c r="BK353" s="109"/>
      <c r="BL353" s="108"/>
      <c r="BM353" s="108"/>
      <c r="BN353" s="108"/>
    </row>
    <row r="354" spans="1:66" ht="12" customHeight="1" x14ac:dyDescent="0.2">
      <c r="A354" s="179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  <c r="AS354" s="108"/>
      <c r="AT354" s="108"/>
      <c r="AU354" s="108"/>
      <c r="AV354" s="108"/>
      <c r="AW354" s="108"/>
      <c r="AX354" s="108"/>
      <c r="AY354" s="108"/>
      <c r="AZ354" s="108"/>
      <c r="BA354" s="108"/>
      <c r="BB354" s="108"/>
      <c r="BC354" s="108"/>
      <c r="BD354" s="108"/>
      <c r="BE354" s="108"/>
      <c r="BF354" s="108"/>
      <c r="BG354" s="108"/>
      <c r="BH354" s="108"/>
      <c r="BI354" s="108"/>
      <c r="BJ354" s="108"/>
      <c r="BK354" s="109"/>
      <c r="BL354" s="108"/>
      <c r="BM354" s="108"/>
      <c r="BN354" s="108"/>
    </row>
    <row r="355" spans="1:66" ht="12" customHeight="1" x14ac:dyDescent="0.2">
      <c r="A355" s="179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  <c r="AS355" s="108"/>
      <c r="AT355" s="108"/>
      <c r="AU355" s="108"/>
      <c r="AV355" s="108"/>
      <c r="AW355" s="108"/>
      <c r="AX355" s="108"/>
      <c r="AY355" s="108"/>
      <c r="AZ355" s="108"/>
      <c r="BA355" s="108"/>
      <c r="BB355" s="108"/>
      <c r="BC355" s="108"/>
      <c r="BD355" s="108"/>
      <c r="BE355" s="108"/>
      <c r="BF355" s="108"/>
      <c r="BG355" s="108"/>
      <c r="BH355" s="108"/>
      <c r="BI355" s="108"/>
      <c r="BJ355" s="108"/>
      <c r="BK355" s="109"/>
      <c r="BL355" s="108"/>
      <c r="BM355" s="108"/>
      <c r="BN355" s="108"/>
    </row>
    <row r="356" spans="1:66" ht="12" customHeight="1" x14ac:dyDescent="0.2">
      <c r="A356" s="179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  <c r="BA356" s="108"/>
      <c r="BB356" s="108"/>
      <c r="BC356" s="108"/>
      <c r="BD356" s="108"/>
      <c r="BE356" s="108"/>
      <c r="BF356" s="108"/>
      <c r="BG356" s="108"/>
      <c r="BH356" s="108"/>
      <c r="BI356" s="108"/>
      <c r="BJ356" s="108"/>
      <c r="BK356" s="109"/>
      <c r="BL356" s="108"/>
      <c r="BM356" s="108"/>
      <c r="BN356" s="108"/>
    </row>
    <row r="357" spans="1:66" ht="12" customHeight="1" x14ac:dyDescent="0.2">
      <c r="A357" s="179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  <c r="AS357" s="108"/>
      <c r="AT357" s="108"/>
      <c r="AU357" s="108"/>
      <c r="AV357" s="108"/>
      <c r="AW357" s="108"/>
      <c r="AX357" s="108"/>
      <c r="AY357" s="108"/>
      <c r="AZ357" s="108"/>
      <c r="BA357" s="108"/>
      <c r="BB357" s="108"/>
      <c r="BC357" s="108"/>
      <c r="BD357" s="108"/>
      <c r="BE357" s="108"/>
      <c r="BF357" s="108"/>
      <c r="BG357" s="108"/>
      <c r="BH357" s="108"/>
      <c r="BI357" s="108"/>
      <c r="BJ357" s="108"/>
      <c r="BK357" s="109"/>
      <c r="BL357" s="108"/>
      <c r="BM357" s="108"/>
      <c r="BN357" s="108"/>
    </row>
    <row r="358" spans="1:66" ht="12" customHeight="1" x14ac:dyDescent="0.2">
      <c r="A358" s="179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  <c r="AS358" s="108"/>
      <c r="AT358" s="108"/>
      <c r="AU358" s="108"/>
      <c r="AV358" s="108"/>
      <c r="AW358" s="108"/>
      <c r="AX358" s="108"/>
      <c r="AY358" s="108"/>
      <c r="AZ358" s="108"/>
      <c r="BA358" s="108"/>
      <c r="BB358" s="108"/>
      <c r="BC358" s="108"/>
      <c r="BD358" s="108"/>
      <c r="BE358" s="108"/>
      <c r="BF358" s="108"/>
      <c r="BG358" s="108"/>
      <c r="BH358" s="108"/>
      <c r="BI358" s="108"/>
      <c r="BJ358" s="108"/>
      <c r="BK358" s="109"/>
      <c r="BL358" s="108"/>
      <c r="BM358" s="108"/>
      <c r="BN358" s="108"/>
    </row>
    <row r="359" spans="1:66" ht="12" customHeight="1" x14ac:dyDescent="0.2">
      <c r="A359" s="179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  <c r="BA359" s="108"/>
      <c r="BB359" s="108"/>
      <c r="BC359" s="108"/>
      <c r="BD359" s="108"/>
      <c r="BE359" s="108"/>
      <c r="BF359" s="108"/>
      <c r="BG359" s="108"/>
      <c r="BH359" s="108"/>
      <c r="BI359" s="108"/>
      <c r="BJ359" s="108"/>
      <c r="BK359" s="109"/>
      <c r="BL359" s="108"/>
      <c r="BM359" s="108"/>
      <c r="BN359" s="108"/>
    </row>
    <row r="360" spans="1:66" ht="12" customHeight="1" x14ac:dyDescent="0.2">
      <c r="A360" s="179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08"/>
      <c r="BB360" s="108"/>
      <c r="BC360" s="108"/>
      <c r="BD360" s="108"/>
      <c r="BE360" s="108"/>
      <c r="BF360" s="108"/>
      <c r="BG360" s="108"/>
      <c r="BH360" s="108"/>
      <c r="BI360" s="108"/>
      <c r="BJ360" s="108"/>
      <c r="BK360" s="109"/>
      <c r="BL360" s="108"/>
      <c r="BM360" s="108"/>
      <c r="BN360" s="108"/>
    </row>
    <row r="361" spans="1:66" ht="12" customHeight="1" x14ac:dyDescent="0.2">
      <c r="A361" s="179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  <c r="AS361" s="108"/>
      <c r="AT361" s="108"/>
      <c r="AU361" s="108"/>
      <c r="AV361" s="108"/>
      <c r="AW361" s="108"/>
      <c r="AX361" s="108"/>
      <c r="AY361" s="108"/>
      <c r="AZ361" s="108"/>
      <c r="BA361" s="108"/>
      <c r="BB361" s="108"/>
      <c r="BC361" s="108"/>
      <c r="BD361" s="108"/>
      <c r="BE361" s="108"/>
      <c r="BF361" s="108"/>
      <c r="BG361" s="108"/>
      <c r="BH361" s="108"/>
      <c r="BI361" s="108"/>
      <c r="BJ361" s="108"/>
      <c r="BK361" s="109"/>
      <c r="BL361" s="108"/>
      <c r="BM361" s="108"/>
      <c r="BN361" s="108"/>
    </row>
    <row r="362" spans="1:66" ht="12" customHeight="1" x14ac:dyDescent="0.2">
      <c r="A362" s="179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  <c r="BC362" s="108"/>
      <c r="BD362" s="108"/>
      <c r="BE362" s="108"/>
      <c r="BF362" s="108"/>
      <c r="BG362" s="108"/>
      <c r="BH362" s="108"/>
      <c r="BI362" s="108"/>
      <c r="BJ362" s="108"/>
      <c r="BK362" s="109"/>
      <c r="BL362" s="108"/>
      <c r="BM362" s="108"/>
      <c r="BN362" s="108"/>
    </row>
    <row r="363" spans="1:66" ht="12" customHeight="1" x14ac:dyDescent="0.2">
      <c r="A363" s="179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  <c r="BG363" s="108"/>
      <c r="BH363" s="108"/>
      <c r="BI363" s="108"/>
      <c r="BJ363" s="108"/>
      <c r="BK363" s="109"/>
      <c r="BL363" s="108"/>
      <c r="BM363" s="108"/>
      <c r="BN363" s="108"/>
    </row>
    <row r="364" spans="1:66" ht="12" customHeight="1" x14ac:dyDescent="0.2">
      <c r="A364" s="179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  <c r="BC364" s="108"/>
      <c r="BD364" s="108"/>
      <c r="BE364" s="108"/>
      <c r="BF364" s="108"/>
      <c r="BG364" s="108"/>
      <c r="BH364" s="108"/>
      <c r="BI364" s="108"/>
      <c r="BJ364" s="108"/>
      <c r="BK364" s="109"/>
      <c r="BL364" s="108"/>
      <c r="BM364" s="108"/>
      <c r="BN364" s="108"/>
    </row>
    <row r="365" spans="1:66" ht="12" customHeight="1" x14ac:dyDescent="0.2">
      <c r="A365" s="179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9"/>
      <c r="BL365" s="108"/>
      <c r="BM365" s="108"/>
      <c r="BN365" s="108"/>
    </row>
    <row r="366" spans="1:66" ht="12" customHeight="1" x14ac:dyDescent="0.2">
      <c r="A366" s="179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  <c r="BC366" s="108"/>
      <c r="BD366" s="108"/>
      <c r="BE366" s="108"/>
      <c r="BF366" s="108"/>
      <c r="BG366" s="108"/>
      <c r="BH366" s="108"/>
      <c r="BI366" s="108"/>
      <c r="BJ366" s="108"/>
      <c r="BK366" s="109"/>
      <c r="BL366" s="108"/>
      <c r="BM366" s="108"/>
      <c r="BN366" s="108"/>
    </row>
    <row r="367" spans="1:66" ht="12" customHeight="1" x14ac:dyDescent="0.2">
      <c r="A367" s="179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  <c r="BG367" s="108"/>
      <c r="BH367" s="108"/>
      <c r="BI367" s="108"/>
      <c r="BJ367" s="108"/>
      <c r="BK367" s="109"/>
      <c r="BL367" s="108"/>
      <c r="BM367" s="108"/>
      <c r="BN367" s="108"/>
    </row>
    <row r="368" spans="1:66" ht="12" customHeight="1" x14ac:dyDescent="0.2">
      <c r="A368" s="179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9"/>
      <c r="BL368" s="108"/>
      <c r="BM368" s="108"/>
      <c r="BN368" s="108"/>
    </row>
    <row r="369" spans="1:66" ht="12" customHeight="1" x14ac:dyDescent="0.2">
      <c r="A369" s="179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  <c r="BC369" s="108"/>
      <c r="BD369" s="108"/>
      <c r="BE369" s="108"/>
      <c r="BF369" s="108"/>
      <c r="BG369" s="108"/>
      <c r="BH369" s="108"/>
      <c r="BI369" s="108"/>
      <c r="BJ369" s="108"/>
      <c r="BK369" s="109"/>
      <c r="BL369" s="108"/>
      <c r="BM369" s="108"/>
      <c r="BN369" s="108"/>
    </row>
    <row r="370" spans="1:66" ht="12" customHeight="1" x14ac:dyDescent="0.2">
      <c r="A370" s="179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  <c r="BC370" s="108"/>
      <c r="BD370" s="108"/>
      <c r="BE370" s="108"/>
      <c r="BF370" s="108"/>
      <c r="BG370" s="108"/>
      <c r="BH370" s="108"/>
      <c r="BI370" s="108"/>
      <c r="BJ370" s="108"/>
      <c r="BK370" s="109"/>
      <c r="BL370" s="108"/>
      <c r="BM370" s="108"/>
      <c r="BN370" s="108"/>
    </row>
    <row r="371" spans="1:66" ht="12" customHeight="1" x14ac:dyDescent="0.2">
      <c r="A371" s="179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  <c r="BC371" s="108"/>
      <c r="BD371" s="108"/>
      <c r="BE371" s="108"/>
      <c r="BF371" s="108"/>
      <c r="BG371" s="108"/>
      <c r="BH371" s="108"/>
      <c r="BI371" s="108"/>
      <c r="BJ371" s="108"/>
      <c r="BK371" s="109"/>
      <c r="BL371" s="108"/>
      <c r="BM371" s="108"/>
      <c r="BN371" s="108"/>
    </row>
    <row r="372" spans="1:66" ht="12" customHeight="1" x14ac:dyDescent="0.2">
      <c r="A372" s="179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  <c r="BC372" s="108"/>
      <c r="BD372" s="108"/>
      <c r="BE372" s="108"/>
      <c r="BF372" s="108"/>
      <c r="BG372" s="108"/>
      <c r="BH372" s="108"/>
      <c r="BI372" s="108"/>
      <c r="BJ372" s="108"/>
      <c r="BK372" s="109"/>
      <c r="BL372" s="108"/>
      <c r="BM372" s="108"/>
      <c r="BN372" s="108"/>
    </row>
    <row r="373" spans="1:66" ht="12" customHeight="1" x14ac:dyDescent="0.2">
      <c r="A373" s="179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  <c r="BC373" s="108"/>
      <c r="BD373" s="108"/>
      <c r="BE373" s="108"/>
      <c r="BF373" s="108"/>
      <c r="BG373" s="108"/>
      <c r="BH373" s="108"/>
      <c r="BI373" s="108"/>
      <c r="BJ373" s="108"/>
      <c r="BK373" s="109"/>
      <c r="BL373" s="108"/>
      <c r="BM373" s="108"/>
      <c r="BN373" s="108"/>
    </row>
    <row r="374" spans="1:66" ht="12" customHeight="1" x14ac:dyDescent="0.2">
      <c r="A374" s="179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  <c r="BC374" s="108"/>
      <c r="BD374" s="108"/>
      <c r="BE374" s="108"/>
      <c r="BF374" s="108"/>
      <c r="BG374" s="108"/>
      <c r="BH374" s="108"/>
      <c r="BI374" s="108"/>
      <c r="BJ374" s="108"/>
      <c r="BK374" s="109"/>
      <c r="BL374" s="108"/>
      <c r="BM374" s="108"/>
      <c r="BN374" s="108"/>
    </row>
    <row r="375" spans="1:66" ht="12" customHeight="1" x14ac:dyDescent="0.2">
      <c r="A375" s="179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  <c r="BC375" s="108"/>
      <c r="BD375" s="108"/>
      <c r="BE375" s="108"/>
      <c r="BF375" s="108"/>
      <c r="BG375" s="108"/>
      <c r="BH375" s="108"/>
      <c r="BI375" s="108"/>
      <c r="BJ375" s="108"/>
      <c r="BK375" s="109"/>
      <c r="BL375" s="108"/>
      <c r="BM375" s="108"/>
      <c r="BN375" s="108"/>
    </row>
    <row r="376" spans="1:66" ht="12" customHeight="1" x14ac:dyDescent="0.2">
      <c r="A376" s="179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  <c r="BC376" s="108"/>
      <c r="BD376" s="108"/>
      <c r="BE376" s="108"/>
      <c r="BF376" s="108"/>
      <c r="BG376" s="108"/>
      <c r="BH376" s="108"/>
      <c r="BI376" s="108"/>
      <c r="BJ376" s="108"/>
      <c r="BK376" s="109"/>
      <c r="BL376" s="108"/>
      <c r="BM376" s="108"/>
      <c r="BN376" s="108"/>
    </row>
    <row r="377" spans="1:66" ht="12" customHeight="1" x14ac:dyDescent="0.2">
      <c r="A377" s="179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8"/>
      <c r="BE377" s="108"/>
      <c r="BF377" s="108"/>
      <c r="BG377" s="108"/>
      <c r="BH377" s="108"/>
      <c r="BI377" s="108"/>
      <c r="BJ377" s="108"/>
      <c r="BK377" s="109"/>
      <c r="BL377" s="108"/>
      <c r="BM377" s="108"/>
      <c r="BN377" s="108"/>
    </row>
    <row r="378" spans="1:66" ht="12" customHeight="1" x14ac:dyDescent="0.2">
      <c r="A378" s="179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  <c r="BG378" s="108"/>
      <c r="BH378" s="108"/>
      <c r="BI378" s="108"/>
      <c r="BJ378" s="108"/>
      <c r="BK378" s="109"/>
      <c r="BL378" s="108"/>
      <c r="BM378" s="108"/>
      <c r="BN378" s="108"/>
    </row>
    <row r="379" spans="1:66" ht="12" customHeight="1" x14ac:dyDescent="0.2">
      <c r="A379" s="179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  <c r="BC379" s="108"/>
      <c r="BD379" s="108"/>
      <c r="BE379" s="108"/>
      <c r="BF379" s="108"/>
      <c r="BG379" s="108"/>
      <c r="BH379" s="108"/>
      <c r="BI379" s="108"/>
      <c r="BJ379" s="108"/>
      <c r="BK379" s="109"/>
      <c r="BL379" s="108"/>
      <c r="BM379" s="108"/>
      <c r="BN379" s="108"/>
    </row>
    <row r="380" spans="1:66" ht="12" customHeight="1" x14ac:dyDescent="0.2">
      <c r="A380" s="179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  <c r="BC380" s="108"/>
      <c r="BD380" s="108"/>
      <c r="BE380" s="108"/>
      <c r="BF380" s="108"/>
      <c r="BG380" s="108"/>
      <c r="BH380" s="108"/>
      <c r="BI380" s="108"/>
      <c r="BJ380" s="108"/>
      <c r="BK380" s="109"/>
      <c r="BL380" s="108"/>
      <c r="BM380" s="108"/>
      <c r="BN380" s="108"/>
    </row>
    <row r="381" spans="1:66" ht="12" customHeight="1" x14ac:dyDescent="0.2">
      <c r="A381" s="179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  <c r="BC381" s="108"/>
      <c r="BD381" s="108"/>
      <c r="BE381" s="108"/>
      <c r="BF381" s="108"/>
      <c r="BG381" s="108"/>
      <c r="BH381" s="108"/>
      <c r="BI381" s="108"/>
      <c r="BJ381" s="108"/>
      <c r="BK381" s="109"/>
      <c r="BL381" s="108"/>
      <c r="BM381" s="108"/>
      <c r="BN381" s="108"/>
    </row>
    <row r="382" spans="1:66" ht="12" customHeight="1" x14ac:dyDescent="0.2">
      <c r="A382" s="179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  <c r="BG382" s="108"/>
      <c r="BH382" s="108"/>
      <c r="BI382" s="108"/>
      <c r="BJ382" s="108"/>
      <c r="BK382" s="109"/>
      <c r="BL382" s="108"/>
      <c r="BM382" s="108"/>
      <c r="BN382" s="108"/>
    </row>
    <row r="383" spans="1:66" ht="12" customHeight="1" x14ac:dyDescent="0.2">
      <c r="A383" s="179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  <c r="BC383" s="108"/>
      <c r="BD383" s="108"/>
      <c r="BE383" s="108"/>
      <c r="BF383" s="108"/>
      <c r="BG383" s="108"/>
      <c r="BH383" s="108"/>
      <c r="BI383" s="108"/>
      <c r="BJ383" s="108"/>
      <c r="BK383" s="109"/>
      <c r="BL383" s="108"/>
      <c r="BM383" s="108"/>
      <c r="BN383" s="108"/>
    </row>
    <row r="384" spans="1:66" ht="12" customHeight="1" x14ac:dyDescent="0.2">
      <c r="A384" s="179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  <c r="BC384" s="108"/>
      <c r="BD384" s="108"/>
      <c r="BE384" s="108"/>
      <c r="BF384" s="108"/>
      <c r="BG384" s="108"/>
      <c r="BH384" s="108"/>
      <c r="BI384" s="108"/>
      <c r="BJ384" s="108"/>
      <c r="BK384" s="109"/>
      <c r="BL384" s="108"/>
      <c r="BM384" s="108"/>
      <c r="BN384" s="108"/>
    </row>
    <row r="385" spans="1:66" ht="12" customHeight="1" x14ac:dyDescent="0.2">
      <c r="A385" s="179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  <c r="BC385" s="108"/>
      <c r="BD385" s="108"/>
      <c r="BE385" s="108"/>
      <c r="BF385" s="108"/>
      <c r="BG385" s="108"/>
      <c r="BH385" s="108"/>
      <c r="BI385" s="108"/>
      <c r="BJ385" s="108"/>
      <c r="BK385" s="109"/>
      <c r="BL385" s="108"/>
      <c r="BM385" s="108"/>
      <c r="BN385" s="108"/>
    </row>
    <row r="386" spans="1:66" ht="12" customHeight="1" x14ac:dyDescent="0.2">
      <c r="A386" s="179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  <c r="BG386" s="108"/>
      <c r="BH386" s="108"/>
      <c r="BI386" s="108"/>
      <c r="BJ386" s="108"/>
      <c r="BK386" s="109"/>
      <c r="BL386" s="108"/>
      <c r="BM386" s="108"/>
      <c r="BN386" s="108"/>
    </row>
    <row r="387" spans="1:66" ht="12" customHeight="1" x14ac:dyDescent="0.2">
      <c r="A387" s="179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  <c r="BG387" s="108"/>
      <c r="BH387" s="108"/>
      <c r="BI387" s="108"/>
      <c r="BJ387" s="108"/>
      <c r="BK387" s="109"/>
      <c r="BL387" s="108"/>
      <c r="BM387" s="108"/>
      <c r="BN387" s="108"/>
    </row>
    <row r="388" spans="1:66" ht="12" customHeight="1" x14ac:dyDescent="0.2">
      <c r="A388" s="179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  <c r="BG388" s="108"/>
      <c r="BH388" s="108"/>
      <c r="BI388" s="108"/>
      <c r="BJ388" s="108"/>
      <c r="BK388" s="109"/>
      <c r="BL388" s="108"/>
      <c r="BM388" s="108"/>
      <c r="BN388" s="108"/>
    </row>
    <row r="389" spans="1:66" ht="12" customHeight="1" x14ac:dyDescent="0.2">
      <c r="A389" s="179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9"/>
      <c r="BL389" s="108"/>
      <c r="BM389" s="108"/>
      <c r="BN389" s="108"/>
    </row>
    <row r="390" spans="1:66" ht="12" customHeight="1" x14ac:dyDescent="0.2">
      <c r="A390" s="179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  <c r="BG390" s="108"/>
      <c r="BH390" s="108"/>
      <c r="BI390" s="108"/>
      <c r="BJ390" s="108"/>
      <c r="BK390" s="109"/>
      <c r="BL390" s="108"/>
      <c r="BM390" s="108"/>
      <c r="BN390" s="108"/>
    </row>
    <row r="391" spans="1:66" ht="12" customHeight="1" x14ac:dyDescent="0.2">
      <c r="A391" s="179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  <c r="BG391" s="108"/>
      <c r="BH391" s="108"/>
      <c r="BI391" s="108"/>
      <c r="BJ391" s="108"/>
      <c r="BK391" s="109"/>
      <c r="BL391" s="108"/>
      <c r="BM391" s="108"/>
      <c r="BN391" s="108"/>
    </row>
    <row r="392" spans="1:66" ht="12" customHeight="1" x14ac:dyDescent="0.2">
      <c r="A392" s="179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  <c r="BC392" s="108"/>
      <c r="BD392" s="108"/>
      <c r="BE392" s="108"/>
      <c r="BF392" s="108"/>
      <c r="BG392" s="108"/>
      <c r="BH392" s="108"/>
      <c r="BI392" s="108"/>
      <c r="BJ392" s="108"/>
      <c r="BK392" s="109"/>
      <c r="BL392" s="108"/>
      <c r="BM392" s="108"/>
      <c r="BN392" s="108"/>
    </row>
    <row r="393" spans="1:66" ht="12" customHeight="1" x14ac:dyDescent="0.2">
      <c r="A393" s="179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  <c r="BC393" s="108"/>
      <c r="BD393" s="108"/>
      <c r="BE393" s="108"/>
      <c r="BF393" s="108"/>
      <c r="BG393" s="108"/>
      <c r="BH393" s="108"/>
      <c r="BI393" s="108"/>
      <c r="BJ393" s="108"/>
      <c r="BK393" s="109"/>
      <c r="BL393" s="108"/>
      <c r="BM393" s="108"/>
      <c r="BN393" s="108"/>
    </row>
    <row r="394" spans="1:66" ht="12" customHeight="1" x14ac:dyDescent="0.2">
      <c r="A394" s="179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  <c r="BC394" s="108"/>
      <c r="BD394" s="108"/>
      <c r="BE394" s="108"/>
      <c r="BF394" s="108"/>
      <c r="BG394" s="108"/>
      <c r="BH394" s="108"/>
      <c r="BI394" s="108"/>
      <c r="BJ394" s="108"/>
      <c r="BK394" s="109"/>
      <c r="BL394" s="108"/>
      <c r="BM394" s="108"/>
      <c r="BN394" s="108"/>
    </row>
    <row r="395" spans="1:66" ht="12" customHeight="1" x14ac:dyDescent="0.2">
      <c r="A395" s="179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  <c r="BK395" s="109"/>
      <c r="BL395" s="108"/>
      <c r="BM395" s="108"/>
      <c r="BN395" s="108"/>
    </row>
    <row r="396" spans="1:66" ht="12" customHeight="1" x14ac:dyDescent="0.2">
      <c r="A396" s="179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  <c r="BG396" s="108"/>
      <c r="BH396" s="108"/>
      <c r="BI396" s="108"/>
      <c r="BJ396" s="108"/>
      <c r="BK396" s="109"/>
      <c r="BL396" s="108"/>
      <c r="BM396" s="108"/>
      <c r="BN396" s="108"/>
    </row>
    <row r="397" spans="1:66" ht="12" customHeight="1" x14ac:dyDescent="0.2">
      <c r="A397" s="179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  <c r="BC397" s="108"/>
      <c r="BD397" s="108"/>
      <c r="BE397" s="108"/>
      <c r="BF397" s="108"/>
      <c r="BG397" s="108"/>
      <c r="BH397" s="108"/>
      <c r="BI397" s="108"/>
      <c r="BJ397" s="108"/>
      <c r="BK397" s="109"/>
      <c r="BL397" s="108"/>
      <c r="BM397" s="108"/>
      <c r="BN397" s="108"/>
    </row>
    <row r="398" spans="1:66" ht="12" customHeight="1" x14ac:dyDescent="0.2">
      <c r="A398" s="179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  <c r="BG398" s="108"/>
      <c r="BH398" s="108"/>
      <c r="BI398" s="108"/>
      <c r="BJ398" s="108"/>
      <c r="BK398" s="109"/>
      <c r="BL398" s="108"/>
      <c r="BM398" s="108"/>
      <c r="BN398" s="108"/>
    </row>
    <row r="399" spans="1:66" ht="12" customHeight="1" x14ac:dyDescent="0.2">
      <c r="A399" s="179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  <c r="BC399" s="108"/>
      <c r="BD399" s="108"/>
      <c r="BE399" s="108"/>
      <c r="BF399" s="108"/>
      <c r="BG399" s="108"/>
      <c r="BH399" s="108"/>
      <c r="BI399" s="108"/>
      <c r="BJ399" s="108"/>
      <c r="BK399" s="109"/>
      <c r="BL399" s="108"/>
      <c r="BM399" s="108"/>
      <c r="BN399" s="108"/>
    </row>
    <row r="400" spans="1:66" ht="12" customHeight="1" x14ac:dyDescent="0.2">
      <c r="A400" s="179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  <c r="BC400" s="108"/>
      <c r="BD400" s="108"/>
      <c r="BE400" s="108"/>
      <c r="BF400" s="108"/>
      <c r="BG400" s="108"/>
      <c r="BH400" s="108"/>
      <c r="BI400" s="108"/>
      <c r="BJ400" s="108"/>
      <c r="BK400" s="109"/>
      <c r="BL400" s="108"/>
      <c r="BM400" s="108"/>
      <c r="BN400" s="108"/>
    </row>
    <row r="401" spans="1:66" ht="12" customHeight="1" x14ac:dyDescent="0.2">
      <c r="A401" s="179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  <c r="BC401" s="108"/>
      <c r="BD401" s="108"/>
      <c r="BE401" s="108"/>
      <c r="BF401" s="108"/>
      <c r="BG401" s="108"/>
      <c r="BH401" s="108"/>
      <c r="BI401" s="108"/>
      <c r="BJ401" s="108"/>
      <c r="BK401" s="109"/>
      <c r="BL401" s="108"/>
      <c r="BM401" s="108"/>
      <c r="BN401" s="108"/>
    </row>
    <row r="402" spans="1:66" ht="12" customHeight="1" x14ac:dyDescent="0.2">
      <c r="A402" s="179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  <c r="BC402" s="108"/>
      <c r="BD402" s="108"/>
      <c r="BE402" s="108"/>
      <c r="BF402" s="108"/>
      <c r="BG402" s="108"/>
      <c r="BH402" s="108"/>
      <c r="BI402" s="108"/>
      <c r="BJ402" s="108"/>
      <c r="BK402" s="109"/>
      <c r="BL402" s="108"/>
      <c r="BM402" s="108"/>
      <c r="BN402" s="108"/>
    </row>
    <row r="403" spans="1:66" ht="12" customHeight="1" x14ac:dyDescent="0.2">
      <c r="A403" s="179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9"/>
      <c r="BL403" s="108"/>
      <c r="BM403" s="108"/>
      <c r="BN403" s="108"/>
    </row>
    <row r="404" spans="1:66" ht="12" customHeight="1" x14ac:dyDescent="0.2">
      <c r="A404" s="179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  <c r="BC404" s="108"/>
      <c r="BD404" s="108"/>
      <c r="BE404" s="108"/>
      <c r="BF404" s="108"/>
      <c r="BG404" s="108"/>
      <c r="BH404" s="108"/>
      <c r="BI404" s="108"/>
      <c r="BJ404" s="108"/>
      <c r="BK404" s="109"/>
      <c r="BL404" s="108"/>
      <c r="BM404" s="108"/>
      <c r="BN404" s="108"/>
    </row>
    <row r="405" spans="1:66" ht="12" customHeight="1" x14ac:dyDescent="0.2">
      <c r="A405" s="179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  <c r="BG405" s="108"/>
      <c r="BH405" s="108"/>
      <c r="BI405" s="108"/>
      <c r="BJ405" s="108"/>
      <c r="BK405" s="109"/>
      <c r="BL405" s="108"/>
      <c r="BM405" s="108"/>
      <c r="BN405" s="108"/>
    </row>
    <row r="406" spans="1:66" ht="12" customHeight="1" x14ac:dyDescent="0.2">
      <c r="A406" s="179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9"/>
      <c r="BL406" s="108"/>
      <c r="BM406" s="108"/>
      <c r="BN406" s="108"/>
    </row>
    <row r="407" spans="1:66" ht="12" customHeight="1" x14ac:dyDescent="0.2">
      <c r="A407" s="179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  <c r="BG407" s="108"/>
      <c r="BH407" s="108"/>
      <c r="BI407" s="108"/>
      <c r="BJ407" s="108"/>
      <c r="BK407" s="109"/>
      <c r="BL407" s="108"/>
      <c r="BM407" s="108"/>
      <c r="BN407" s="108"/>
    </row>
    <row r="408" spans="1:66" ht="12" customHeight="1" x14ac:dyDescent="0.2">
      <c r="A408" s="179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  <c r="BC408" s="108"/>
      <c r="BD408" s="108"/>
      <c r="BE408" s="108"/>
      <c r="BF408" s="108"/>
      <c r="BG408" s="108"/>
      <c r="BH408" s="108"/>
      <c r="BI408" s="108"/>
      <c r="BJ408" s="108"/>
      <c r="BK408" s="109"/>
      <c r="BL408" s="108"/>
      <c r="BM408" s="108"/>
      <c r="BN408" s="108"/>
    </row>
    <row r="409" spans="1:66" ht="12" customHeight="1" x14ac:dyDescent="0.2">
      <c r="A409" s="179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  <c r="BG409" s="108"/>
      <c r="BH409" s="108"/>
      <c r="BI409" s="108"/>
      <c r="BJ409" s="108"/>
      <c r="BK409" s="109"/>
      <c r="BL409" s="108"/>
      <c r="BM409" s="108"/>
      <c r="BN409" s="108"/>
    </row>
    <row r="410" spans="1:66" ht="12" customHeight="1" x14ac:dyDescent="0.2">
      <c r="A410" s="179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  <c r="BG410" s="108"/>
      <c r="BH410" s="108"/>
      <c r="BI410" s="108"/>
      <c r="BJ410" s="108"/>
      <c r="BK410" s="109"/>
      <c r="BL410" s="108"/>
      <c r="BM410" s="108"/>
      <c r="BN410" s="108"/>
    </row>
    <row r="411" spans="1:66" ht="12" customHeight="1" x14ac:dyDescent="0.2">
      <c r="A411" s="179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  <c r="BC411" s="108"/>
      <c r="BD411" s="108"/>
      <c r="BE411" s="108"/>
      <c r="BF411" s="108"/>
      <c r="BG411" s="108"/>
      <c r="BH411" s="108"/>
      <c r="BI411" s="108"/>
      <c r="BJ411" s="108"/>
      <c r="BK411" s="109"/>
      <c r="BL411" s="108"/>
      <c r="BM411" s="108"/>
      <c r="BN411" s="108"/>
    </row>
    <row r="412" spans="1:66" ht="12" customHeight="1" x14ac:dyDescent="0.2">
      <c r="A412" s="179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  <c r="BG412" s="108"/>
      <c r="BH412" s="108"/>
      <c r="BI412" s="108"/>
      <c r="BJ412" s="108"/>
      <c r="BK412" s="109"/>
      <c r="BL412" s="108"/>
      <c r="BM412" s="108"/>
      <c r="BN412" s="108"/>
    </row>
    <row r="413" spans="1:66" ht="12" customHeight="1" x14ac:dyDescent="0.2">
      <c r="A413" s="179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  <c r="BG413" s="108"/>
      <c r="BH413" s="108"/>
      <c r="BI413" s="108"/>
      <c r="BJ413" s="108"/>
      <c r="BK413" s="109"/>
      <c r="BL413" s="108"/>
      <c r="BM413" s="108"/>
      <c r="BN413" s="108"/>
    </row>
    <row r="414" spans="1:66" ht="12" customHeight="1" x14ac:dyDescent="0.2">
      <c r="A414" s="179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  <c r="BC414" s="108"/>
      <c r="BD414" s="108"/>
      <c r="BE414" s="108"/>
      <c r="BF414" s="108"/>
      <c r="BG414" s="108"/>
      <c r="BH414" s="108"/>
      <c r="BI414" s="108"/>
      <c r="BJ414" s="108"/>
      <c r="BK414" s="109"/>
      <c r="BL414" s="108"/>
      <c r="BM414" s="108"/>
      <c r="BN414" s="108"/>
    </row>
    <row r="415" spans="1:66" ht="12" customHeight="1" x14ac:dyDescent="0.2">
      <c r="A415" s="179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8"/>
      <c r="BI415" s="108"/>
      <c r="BJ415" s="108"/>
      <c r="BK415" s="109"/>
      <c r="BL415" s="108"/>
      <c r="BM415" s="108"/>
      <c r="BN415" s="108"/>
    </row>
    <row r="416" spans="1:66" ht="12" customHeight="1" x14ac:dyDescent="0.2">
      <c r="A416" s="179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  <c r="BG416" s="108"/>
      <c r="BH416" s="108"/>
      <c r="BI416" s="108"/>
      <c r="BJ416" s="108"/>
      <c r="BK416" s="109"/>
      <c r="BL416" s="108"/>
      <c r="BM416" s="108"/>
      <c r="BN416" s="108"/>
    </row>
    <row r="417" spans="1:66" ht="12" customHeight="1" x14ac:dyDescent="0.2">
      <c r="A417" s="179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  <c r="BG417" s="108"/>
      <c r="BH417" s="108"/>
      <c r="BI417" s="108"/>
      <c r="BJ417" s="108"/>
      <c r="BK417" s="109"/>
      <c r="BL417" s="108"/>
      <c r="BM417" s="108"/>
      <c r="BN417" s="108"/>
    </row>
    <row r="418" spans="1:66" ht="12" customHeight="1" x14ac:dyDescent="0.2">
      <c r="A418" s="179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  <c r="BG418" s="108"/>
      <c r="BH418" s="108"/>
      <c r="BI418" s="108"/>
      <c r="BJ418" s="108"/>
      <c r="BK418" s="109"/>
      <c r="BL418" s="108"/>
      <c r="BM418" s="108"/>
      <c r="BN418" s="108"/>
    </row>
    <row r="419" spans="1:66" ht="12" customHeight="1" x14ac:dyDescent="0.2">
      <c r="A419" s="179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8"/>
      <c r="BI419" s="108"/>
      <c r="BJ419" s="108"/>
      <c r="BK419" s="109"/>
      <c r="BL419" s="108"/>
      <c r="BM419" s="108"/>
      <c r="BN419" s="108"/>
    </row>
    <row r="420" spans="1:66" ht="12" customHeight="1" x14ac:dyDescent="0.2">
      <c r="A420" s="179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8"/>
      <c r="BI420" s="108"/>
      <c r="BJ420" s="108"/>
      <c r="BK420" s="109"/>
      <c r="BL420" s="108"/>
      <c r="BM420" s="108"/>
      <c r="BN420" s="108"/>
    </row>
    <row r="421" spans="1:66" ht="12" customHeight="1" x14ac:dyDescent="0.2">
      <c r="A421" s="179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8"/>
      <c r="BI421" s="108"/>
      <c r="BJ421" s="108"/>
      <c r="BK421" s="109"/>
      <c r="BL421" s="108"/>
      <c r="BM421" s="108"/>
      <c r="BN421" s="108"/>
    </row>
    <row r="422" spans="1:66" ht="12" customHeight="1" x14ac:dyDescent="0.2">
      <c r="A422" s="179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109"/>
      <c r="BL422" s="108"/>
      <c r="BM422" s="108"/>
      <c r="BN422" s="108"/>
    </row>
    <row r="423" spans="1:66" ht="12" customHeight="1" x14ac:dyDescent="0.2">
      <c r="A423" s="179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8"/>
      <c r="BI423" s="108"/>
      <c r="BJ423" s="108"/>
      <c r="BK423" s="109"/>
      <c r="BL423" s="108"/>
      <c r="BM423" s="108"/>
      <c r="BN423" s="108"/>
    </row>
    <row r="424" spans="1:66" ht="12" customHeight="1" x14ac:dyDescent="0.2">
      <c r="A424" s="179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8"/>
      <c r="BI424" s="108"/>
      <c r="BJ424" s="108"/>
      <c r="BK424" s="109"/>
      <c r="BL424" s="108"/>
      <c r="BM424" s="108"/>
      <c r="BN424" s="108"/>
    </row>
    <row r="425" spans="1:66" ht="12" customHeight="1" x14ac:dyDescent="0.2">
      <c r="A425" s="179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8"/>
      <c r="BI425" s="108"/>
      <c r="BJ425" s="108"/>
      <c r="BK425" s="109"/>
      <c r="BL425" s="108"/>
      <c r="BM425" s="108"/>
      <c r="BN425" s="108"/>
    </row>
    <row r="426" spans="1:66" ht="12" customHeight="1" x14ac:dyDescent="0.2">
      <c r="A426" s="179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8"/>
      <c r="BI426" s="108"/>
      <c r="BJ426" s="108"/>
      <c r="BK426" s="109"/>
      <c r="BL426" s="108"/>
      <c r="BM426" s="108"/>
      <c r="BN426" s="108"/>
    </row>
    <row r="427" spans="1:66" ht="12" customHeight="1" x14ac:dyDescent="0.2">
      <c r="A427" s="179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8"/>
      <c r="BI427" s="108"/>
      <c r="BJ427" s="108"/>
      <c r="BK427" s="109"/>
      <c r="BL427" s="108"/>
      <c r="BM427" s="108"/>
      <c r="BN427" s="108"/>
    </row>
    <row r="428" spans="1:66" ht="12" customHeight="1" x14ac:dyDescent="0.2">
      <c r="A428" s="179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8"/>
      <c r="BI428" s="108"/>
      <c r="BJ428" s="108"/>
      <c r="BK428" s="109"/>
      <c r="BL428" s="108"/>
      <c r="BM428" s="108"/>
      <c r="BN428" s="108"/>
    </row>
    <row r="429" spans="1:66" ht="12" customHeight="1" x14ac:dyDescent="0.2">
      <c r="A429" s="179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  <c r="BG429" s="108"/>
      <c r="BH429" s="108"/>
      <c r="BI429" s="108"/>
      <c r="BJ429" s="108"/>
      <c r="BK429" s="109"/>
      <c r="BL429" s="108"/>
      <c r="BM429" s="108"/>
      <c r="BN429" s="108"/>
    </row>
    <row r="430" spans="1:66" ht="12" customHeight="1" x14ac:dyDescent="0.2">
      <c r="A430" s="179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  <c r="BG430" s="108"/>
      <c r="BH430" s="108"/>
      <c r="BI430" s="108"/>
      <c r="BJ430" s="108"/>
      <c r="BK430" s="109"/>
      <c r="BL430" s="108"/>
      <c r="BM430" s="108"/>
      <c r="BN430" s="108"/>
    </row>
    <row r="431" spans="1:66" ht="12" customHeight="1" x14ac:dyDescent="0.2">
      <c r="A431" s="179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8"/>
      <c r="BI431" s="108"/>
      <c r="BJ431" s="108"/>
      <c r="BK431" s="109"/>
      <c r="BL431" s="108"/>
      <c r="BM431" s="108"/>
      <c r="BN431" s="108"/>
    </row>
    <row r="432" spans="1:66" ht="12" customHeight="1" x14ac:dyDescent="0.2">
      <c r="A432" s="179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  <c r="BG432" s="108"/>
      <c r="BH432" s="108"/>
      <c r="BI432" s="108"/>
      <c r="BJ432" s="108"/>
      <c r="BK432" s="109"/>
      <c r="BL432" s="108"/>
      <c r="BM432" s="108"/>
      <c r="BN432" s="108"/>
    </row>
    <row r="433" spans="1:66" ht="12" customHeight="1" x14ac:dyDescent="0.2">
      <c r="A433" s="179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  <c r="BG433" s="108"/>
      <c r="BH433" s="108"/>
      <c r="BI433" s="108"/>
      <c r="BJ433" s="108"/>
      <c r="BK433" s="109"/>
      <c r="BL433" s="108"/>
      <c r="BM433" s="108"/>
      <c r="BN433" s="108"/>
    </row>
    <row r="434" spans="1:66" ht="12" customHeight="1" x14ac:dyDescent="0.2">
      <c r="A434" s="179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8"/>
      <c r="BI434" s="108"/>
      <c r="BJ434" s="108"/>
      <c r="BK434" s="109"/>
      <c r="BL434" s="108"/>
      <c r="BM434" s="108"/>
      <c r="BN434" s="108"/>
    </row>
    <row r="435" spans="1:66" ht="12" customHeight="1" x14ac:dyDescent="0.2">
      <c r="A435" s="179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8"/>
      <c r="BI435" s="108"/>
      <c r="BJ435" s="108"/>
      <c r="BK435" s="109"/>
      <c r="BL435" s="108"/>
      <c r="BM435" s="108"/>
      <c r="BN435" s="108"/>
    </row>
    <row r="436" spans="1:66" ht="12" customHeight="1" x14ac:dyDescent="0.2">
      <c r="A436" s="179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109"/>
      <c r="BL436" s="108"/>
      <c r="BM436" s="108"/>
      <c r="BN436" s="108"/>
    </row>
    <row r="437" spans="1:66" ht="12" customHeight="1" x14ac:dyDescent="0.2">
      <c r="A437" s="179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109"/>
      <c r="BL437" s="108"/>
      <c r="BM437" s="108"/>
      <c r="BN437" s="108"/>
    </row>
    <row r="438" spans="1:66" ht="12" customHeight="1" x14ac:dyDescent="0.2">
      <c r="A438" s="179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109"/>
      <c r="BL438" s="108"/>
      <c r="BM438" s="108"/>
      <c r="BN438" s="108"/>
    </row>
    <row r="439" spans="1:66" ht="12" customHeight="1" x14ac:dyDescent="0.2">
      <c r="A439" s="179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8"/>
      <c r="BI439" s="108"/>
      <c r="BJ439" s="108"/>
      <c r="BK439" s="109"/>
      <c r="BL439" s="108"/>
      <c r="BM439" s="108"/>
      <c r="BN439" s="108"/>
    </row>
    <row r="440" spans="1:66" ht="12" customHeight="1" x14ac:dyDescent="0.2">
      <c r="A440" s="179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8"/>
      <c r="BI440" s="108"/>
      <c r="BJ440" s="108"/>
      <c r="BK440" s="109"/>
      <c r="BL440" s="108"/>
      <c r="BM440" s="108"/>
      <c r="BN440" s="108"/>
    </row>
    <row r="441" spans="1:66" ht="12" customHeight="1" x14ac:dyDescent="0.2">
      <c r="A441" s="179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9"/>
      <c r="BL441" s="108"/>
      <c r="BM441" s="108"/>
      <c r="BN441" s="108"/>
    </row>
    <row r="442" spans="1:66" ht="12" customHeight="1" x14ac:dyDescent="0.2">
      <c r="A442" s="179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  <c r="BG442" s="108"/>
      <c r="BH442" s="108"/>
      <c r="BI442" s="108"/>
      <c r="BJ442" s="108"/>
      <c r="BK442" s="109"/>
      <c r="BL442" s="108"/>
      <c r="BM442" s="108"/>
      <c r="BN442" s="108"/>
    </row>
    <row r="443" spans="1:66" ht="12" customHeight="1" x14ac:dyDescent="0.2">
      <c r="A443" s="179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  <c r="BG443" s="108"/>
      <c r="BH443" s="108"/>
      <c r="BI443" s="108"/>
      <c r="BJ443" s="108"/>
      <c r="BK443" s="109"/>
      <c r="BL443" s="108"/>
      <c r="BM443" s="108"/>
      <c r="BN443" s="108"/>
    </row>
    <row r="444" spans="1:66" ht="12" customHeight="1" x14ac:dyDescent="0.2">
      <c r="A444" s="179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9"/>
      <c r="BL444" s="108"/>
      <c r="BM444" s="108"/>
      <c r="BN444" s="108"/>
    </row>
    <row r="445" spans="1:66" ht="12" customHeight="1" x14ac:dyDescent="0.2">
      <c r="A445" s="179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  <c r="BG445" s="108"/>
      <c r="BH445" s="108"/>
      <c r="BI445" s="108"/>
      <c r="BJ445" s="108"/>
      <c r="BK445" s="109"/>
      <c r="BL445" s="108"/>
      <c r="BM445" s="108"/>
      <c r="BN445" s="108"/>
    </row>
    <row r="446" spans="1:66" ht="12" customHeight="1" x14ac:dyDescent="0.2">
      <c r="A446" s="179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  <c r="BG446" s="108"/>
      <c r="BH446" s="108"/>
      <c r="BI446" s="108"/>
      <c r="BJ446" s="108"/>
      <c r="BK446" s="109"/>
      <c r="BL446" s="108"/>
      <c r="BM446" s="108"/>
      <c r="BN446" s="108"/>
    </row>
    <row r="447" spans="1:66" ht="12" customHeight="1" x14ac:dyDescent="0.2">
      <c r="A447" s="179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  <c r="BG447" s="108"/>
      <c r="BH447" s="108"/>
      <c r="BI447" s="108"/>
      <c r="BJ447" s="108"/>
      <c r="BK447" s="109"/>
      <c r="BL447" s="108"/>
      <c r="BM447" s="108"/>
      <c r="BN447" s="108"/>
    </row>
    <row r="448" spans="1:66" ht="12" customHeight="1" x14ac:dyDescent="0.2">
      <c r="A448" s="179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  <c r="BG448" s="108"/>
      <c r="BH448" s="108"/>
      <c r="BI448" s="108"/>
      <c r="BJ448" s="108"/>
      <c r="BK448" s="109"/>
      <c r="BL448" s="108"/>
      <c r="BM448" s="108"/>
      <c r="BN448" s="108"/>
    </row>
    <row r="449" spans="1:66" ht="12" customHeight="1" x14ac:dyDescent="0.2">
      <c r="A449" s="179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  <c r="BG449" s="108"/>
      <c r="BH449" s="108"/>
      <c r="BI449" s="108"/>
      <c r="BJ449" s="108"/>
      <c r="BK449" s="109"/>
      <c r="BL449" s="108"/>
      <c r="BM449" s="108"/>
      <c r="BN449" s="108"/>
    </row>
    <row r="450" spans="1:66" ht="12" customHeight="1" x14ac:dyDescent="0.2">
      <c r="A450" s="179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  <c r="BG450" s="108"/>
      <c r="BH450" s="108"/>
      <c r="BI450" s="108"/>
      <c r="BJ450" s="108"/>
      <c r="BK450" s="109"/>
      <c r="BL450" s="108"/>
      <c r="BM450" s="108"/>
      <c r="BN450" s="108"/>
    </row>
    <row r="451" spans="1:66" ht="12" customHeight="1" x14ac:dyDescent="0.2">
      <c r="A451" s="179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  <c r="BG451" s="108"/>
      <c r="BH451" s="108"/>
      <c r="BI451" s="108"/>
      <c r="BJ451" s="108"/>
      <c r="BK451" s="109"/>
      <c r="BL451" s="108"/>
      <c r="BM451" s="108"/>
      <c r="BN451" s="108"/>
    </row>
    <row r="452" spans="1:66" ht="12" customHeight="1" x14ac:dyDescent="0.2">
      <c r="A452" s="179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  <c r="BC452" s="108"/>
      <c r="BD452" s="108"/>
      <c r="BE452" s="108"/>
      <c r="BF452" s="108"/>
      <c r="BG452" s="108"/>
      <c r="BH452" s="108"/>
      <c r="BI452" s="108"/>
      <c r="BJ452" s="108"/>
      <c r="BK452" s="109"/>
      <c r="BL452" s="108"/>
      <c r="BM452" s="108"/>
      <c r="BN452" s="108"/>
    </row>
    <row r="453" spans="1:66" ht="12" customHeight="1" x14ac:dyDescent="0.2">
      <c r="A453" s="179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  <c r="BG453" s="108"/>
      <c r="BH453" s="108"/>
      <c r="BI453" s="108"/>
      <c r="BJ453" s="108"/>
      <c r="BK453" s="109"/>
      <c r="BL453" s="108"/>
      <c r="BM453" s="108"/>
      <c r="BN453" s="108"/>
    </row>
    <row r="454" spans="1:66" ht="12" customHeight="1" x14ac:dyDescent="0.2">
      <c r="A454" s="179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  <c r="BC454" s="108"/>
      <c r="BD454" s="108"/>
      <c r="BE454" s="108"/>
      <c r="BF454" s="108"/>
      <c r="BG454" s="108"/>
      <c r="BH454" s="108"/>
      <c r="BI454" s="108"/>
      <c r="BJ454" s="108"/>
      <c r="BK454" s="109"/>
      <c r="BL454" s="108"/>
      <c r="BM454" s="108"/>
      <c r="BN454" s="108"/>
    </row>
    <row r="455" spans="1:66" ht="12" customHeight="1" x14ac:dyDescent="0.2">
      <c r="A455" s="179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  <c r="BC455" s="108"/>
      <c r="BD455" s="108"/>
      <c r="BE455" s="108"/>
      <c r="BF455" s="108"/>
      <c r="BG455" s="108"/>
      <c r="BH455" s="108"/>
      <c r="BI455" s="108"/>
      <c r="BJ455" s="108"/>
      <c r="BK455" s="109"/>
      <c r="BL455" s="108"/>
      <c r="BM455" s="108"/>
      <c r="BN455" s="108"/>
    </row>
    <row r="456" spans="1:66" ht="12" customHeight="1" x14ac:dyDescent="0.2">
      <c r="A456" s="179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8"/>
      <c r="BI456" s="108"/>
      <c r="BJ456" s="108"/>
      <c r="BK456" s="109"/>
      <c r="BL456" s="108"/>
      <c r="BM456" s="108"/>
      <c r="BN456" s="108"/>
    </row>
    <row r="457" spans="1:66" ht="12" customHeight="1" x14ac:dyDescent="0.2">
      <c r="A457" s="179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  <c r="BC457" s="108"/>
      <c r="BD457" s="108"/>
      <c r="BE457" s="108"/>
      <c r="BF457" s="108"/>
      <c r="BG457" s="108"/>
      <c r="BH457" s="108"/>
      <c r="BI457" s="108"/>
      <c r="BJ457" s="108"/>
      <c r="BK457" s="109"/>
      <c r="BL457" s="108"/>
      <c r="BM457" s="108"/>
      <c r="BN457" s="108"/>
    </row>
    <row r="458" spans="1:66" ht="12" customHeight="1" x14ac:dyDescent="0.2">
      <c r="A458" s="179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  <c r="BC458" s="108"/>
      <c r="BD458" s="108"/>
      <c r="BE458" s="108"/>
      <c r="BF458" s="108"/>
      <c r="BG458" s="108"/>
      <c r="BH458" s="108"/>
      <c r="BI458" s="108"/>
      <c r="BJ458" s="108"/>
      <c r="BK458" s="109"/>
      <c r="BL458" s="108"/>
      <c r="BM458" s="108"/>
      <c r="BN458" s="108"/>
    </row>
    <row r="459" spans="1:66" ht="12" customHeight="1" x14ac:dyDescent="0.2">
      <c r="A459" s="179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  <c r="BC459" s="108"/>
      <c r="BD459" s="108"/>
      <c r="BE459" s="108"/>
      <c r="BF459" s="108"/>
      <c r="BG459" s="108"/>
      <c r="BH459" s="108"/>
      <c r="BI459" s="108"/>
      <c r="BJ459" s="108"/>
      <c r="BK459" s="109"/>
      <c r="BL459" s="108"/>
      <c r="BM459" s="108"/>
      <c r="BN459" s="108"/>
    </row>
    <row r="460" spans="1:66" ht="12" customHeight="1" x14ac:dyDescent="0.2">
      <c r="A460" s="179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  <c r="BC460" s="108"/>
      <c r="BD460" s="108"/>
      <c r="BE460" s="108"/>
      <c r="BF460" s="108"/>
      <c r="BG460" s="108"/>
      <c r="BH460" s="108"/>
      <c r="BI460" s="108"/>
      <c r="BJ460" s="108"/>
      <c r="BK460" s="109"/>
      <c r="BL460" s="108"/>
      <c r="BM460" s="108"/>
      <c r="BN460" s="108"/>
    </row>
    <row r="461" spans="1:66" ht="12" customHeight="1" x14ac:dyDescent="0.2">
      <c r="A461" s="179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  <c r="BC461" s="108"/>
      <c r="BD461" s="108"/>
      <c r="BE461" s="108"/>
      <c r="BF461" s="108"/>
      <c r="BG461" s="108"/>
      <c r="BH461" s="108"/>
      <c r="BI461" s="108"/>
      <c r="BJ461" s="108"/>
      <c r="BK461" s="109"/>
      <c r="BL461" s="108"/>
      <c r="BM461" s="108"/>
      <c r="BN461" s="108"/>
    </row>
    <row r="462" spans="1:66" ht="12" customHeight="1" x14ac:dyDescent="0.2">
      <c r="A462" s="179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  <c r="BC462" s="108"/>
      <c r="BD462" s="108"/>
      <c r="BE462" s="108"/>
      <c r="BF462" s="108"/>
      <c r="BG462" s="108"/>
      <c r="BH462" s="108"/>
      <c r="BI462" s="108"/>
      <c r="BJ462" s="108"/>
      <c r="BK462" s="109"/>
      <c r="BL462" s="108"/>
      <c r="BM462" s="108"/>
      <c r="BN462" s="108"/>
    </row>
    <row r="463" spans="1:66" ht="12" customHeight="1" x14ac:dyDescent="0.2">
      <c r="A463" s="179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  <c r="BG463" s="108"/>
      <c r="BH463" s="108"/>
      <c r="BI463" s="108"/>
      <c r="BJ463" s="108"/>
      <c r="BK463" s="109"/>
      <c r="BL463" s="108"/>
      <c r="BM463" s="108"/>
      <c r="BN463" s="108"/>
    </row>
    <row r="464" spans="1:66" ht="12" customHeight="1" x14ac:dyDescent="0.2">
      <c r="A464" s="179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  <c r="BG464" s="108"/>
      <c r="BH464" s="108"/>
      <c r="BI464" s="108"/>
      <c r="BJ464" s="108"/>
      <c r="BK464" s="109"/>
      <c r="BL464" s="108"/>
      <c r="BM464" s="108"/>
      <c r="BN464" s="108"/>
    </row>
    <row r="465" spans="1:66" ht="12" customHeight="1" x14ac:dyDescent="0.2">
      <c r="A465" s="179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  <c r="BG465" s="108"/>
      <c r="BH465" s="108"/>
      <c r="BI465" s="108"/>
      <c r="BJ465" s="108"/>
      <c r="BK465" s="109"/>
      <c r="BL465" s="108"/>
      <c r="BM465" s="108"/>
      <c r="BN465" s="108"/>
    </row>
    <row r="466" spans="1:66" ht="12" customHeight="1" x14ac:dyDescent="0.2">
      <c r="A466" s="179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  <c r="BG466" s="108"/>
      <c r="BH466" s="108"/>
      <c r="BI466" s="108"/>
      <c r="BJ466" s="108"/>
      <c r="BK466" s="109"/>
      <c r="BL466" s="108"/>
      <c r="BM466" s="108"/>
      <c r="BN466" s="108"/>
    </row>
    <row r="467" spans="1:66" ht="12" customHeight="1" x14ac:dyDescent="0.2">
      <c r="A467" s="179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  <c r="BG467" s="108"/>
      <c r="BH467" s="108"/>
      <c r="BI467" s="108"/>
      <c r="BJ467" s="108"/>
      <c r="BK467" s="109"/>
      <c r="BL467" s="108"/>
      <c r="BM467" s="108"/>
      <c r="BN467" s="108"/>
    </row>
    <row r="468" spans="1:66" ht="12" customHeight="1" x14ac:dyDescent="0.2">
      <c r="A468" s="179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  <c r="BG468" s="108"/>
      <c r="BH468" s="108"/>
      <c r="BI468" s="108"/>
      <c r="BJ468" s="108"/>
      <c r="BK468" s="109"/>
      <c r="BL468" s="108"/>
      <c r="BM468" s="108"/>
      <c r="BN468" s="108"/>
    </row>
    <row r="469" spans="1:66" ht="12" customHeight="1" x14ac:dyDescent="0.2">
      <c r="A469" s="179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8"/>
      <c r="BI469" s="108"/>
      <c r="BJ469" s="108"/>
      <c r="BK469" s="109"/>
      <c r="BL469" s="108"/>
      <c r="BM469" s="108"/>
      <c r="BN469" s="108"/>
    </row>
    <row r="470" spans="1:66" ht="12" customHeight="1" x14ac:dyDescent="0.2">
      <c r="A470" s="179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8"/>
      <c r="BI470" s="108"/>
      <c r="BJ470" s="108"/>
      <c r="BK470" s="109"/>
      <c r="BL470" s="108"/>
      <c r="BM470" s="108"/>
      <c r="BN470" s="108"/>
    </row>
    <row r="471" spans="1:66" ht="12" customHeight="1" x14ac:dyDescent="0.2">
      <c r="A471" s="179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/>
      <c r="BH471" s="108"/>
      <c r="BI471" s="108"/>
      <c r="BJ471" s="108"/>
      <c r="BK471" s="109"/>
      <c r="BL471" s="108"/>
      <c r="BM471" s="108"/>
      <c r="BN471" s="108"/>
    </row>
    <row r="472" spans="1:66" ht="12" customHeight="1" x14ac:dyDescent="0.2">
      <c r="A472" s="179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109"/>
      <c r="BL472" s="108"/>
      <c r="BM472" s="108"/>
      <c r="BN472" s="108"/>
    </row>
    <row r="473" spans="1:66" ht="12" customHeight="1" x14ac:dyDescent="0.2">
      <c r="A473" s="179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  <c r="BG473" s="108"/>
      <c r="BH473" s="108"/>
      <c r="BI473" s="108"/>
      <c r="BJ473" s="108"/>
      <c r="BK473" s="109"/>
      <c r="BL473" s="108"/>
      <c r="BM473" s="108"/>
      <c r="BN473" s="108"/>
    </row>
    <row r="474" spans="1:66" ht="12" customHeight="1" x14ac:dyDescent="0.2">
      <c r="A474" s="179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  <c r="BG474" s="108"/>
      <c r="BH474" s="108"/>
      <c r="BI474" s="108"/>
      <c r="BJ474" s="108"/>
      <c r="BK474" s="109"/>
      <c r="BL474" s="108"/>
      <c r="BM474" s="108"/>
      <c r="BN474" s="108"/>
    </row>
    <row r="475" spans="1:66" ht="12" customHeight="1" x14ac:dyDescent="0.2">
      <c r="A475" s="179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  <c r="BG475" s="108"/>
      <c r="BH475" s="108"/>
      <c r="BI475" s="108"/>
      <c r="BJ475" s="108"/>
      <c r="BK475" s="109"/>
      <c r="BL475" s="108"/>
      <c r="BM475" s="108"/>
      <c r="BN475" s="108"/>
    </row>
    <row r="476" spans="1:66" ht="12" customHeight="1" x14ac:dyDescent="0.2">
      <c r="A476" s="179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8"/>
      <c r="BI476" s="108"/>
      <c r="BJ476" s="108"/>
      <c r="BK476" s="109"/>
      <c r="BL476" s="108"/>
      <c r="BM476" s="108"/>
      <c r="BN476" s="108"/>
    </row>
    <row r="477" spans="1:66" ht="12" customHeight="1" x14ac:dyDescent="0.2">
      <c r="A477" s="179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/>
      <c r="BG477" s="108"/>
      <c r="BH477" s="108"/>
      <c r="BI477" s="108"/>
      <c r="BJ477" s="108"/>
      <c r="BK477" s="109"/>
      <c r="BL477" s="108"/>
      <c r="BM477" s="108"/>
      <c r="BN477" s="108"/>
    </row>
    <row r="478" spans="1:66" ht="12" customHeight="1" x14ac:dyDescent="0.2">
      <c r="A478" s="179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/>
      <c r="BG478" s="108"/>
      <c r="BH478" s="108"/>
      <c r="BI478" s="108"/>
      <c r="BJ478" s="108"/>
      <c r="BK478" s="109"/>
      <c r="BL478" s="108"/>
      <c r="BM478" s="108"/>
      <c r="BN478" s="108"/>
    </row>
    <row r="479" spans="1:66" ht="12" customHeight="1" x14ac:dyDescent="0.2">
      <c r="A479" s="179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9"/>
      <c r="BL479" s="108"/>
      <c r="BM479" s="108"/>
      <c r="BN479" s="108"/>
    </row>
    <row r="480" spans="1:66" ht="12" customHeight="1" x14ac:dyDescent="0.2">
      <c r="A480" s="179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  <c r="BC480" s="108"/>
      <c r="BD480" s="108"/>
      <c r="BE480" s="108"/>
      <c r="BF480" s="108"/>
      <c r="BG480" s="108"/>
      <c r="BH480" s="108"/>
      <c r="BI480" s="108"/>
      <c r="BJ480" s="108"/>
      <c r="BK480" s="109"/>
      <c r="BL480" s="108"/>
      <c r="BM480" s="108"/>
      <c r="BN480" s="108"/>
    </row>
    <row r="481" spans="1:66" ht="12" customHeight="1" x14ac:dyDescent="0.2">
      <c r="A481" s="179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  <c r="BC481" s="108"/>
      <c r="BD481" s="108"/>
      <c r="BE481" s="108"/>
      <c r="BF481" s="108"/>
      <c r="BG481" s="108"/>
      <c r="BH481" s="108"/>
      <c r="BI481" s="108"/>
      <c r="BJ481" s="108"/>
      <c r="BK481" s="109"/>
      <c r="BL481" s="108"/>
      <c r="BM481" s="108"/>
      <c r="BN481" s="108"/>
    </row>
    <row r="482" spans="1:66" ht="12" customHeight="1" x14ac:dyDescent="0.2">
      <c r="A482" s="179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9"/>
      <c r="BL482" s="108"/>
      <c r="BM482" s="108"/>
      <c r="BN482" s="108"/>
    </row>
    <row r="483" spans="1:66" ht="12" customHeight="1" x14ac:dyDescent="0.2">
      <c r="A483" s="179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  <c r="BC483" s="108"/>
      <c r="BD483" s="108"/>
      <c r="BE483" s="108"/>
      <c r="BF483" s="108"/>
      <c r="BG483" s="108"/>
      <c r="BH483" s="108"/>
      <c r="BI483" s="108"/>
      <c r="BJ483" s="108"/>
      <c r="BK483" s="109"/>
      <c r="BL483" s="108"/>
      <c r="BM483" s="108"/>
      <c r="BN483" s="108"/>
    </row>
    <row r="484" spans="1:66" ht="12" customHeight="1" x14ac:dyDescent="0.2">
      <c r="A484" s="179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  <c r="BG484" s="108"/>
      <c r="BH484" s="108"/>
      <c r="BI484" s="108"/>
      <c r="BJ484" s="108"/>
      <c r="BK484" s="109"/>
      <c r="BL484" s="108"/>
      <c r="BM484" s="108"/>
      <c r="BN484" s="108"/>
    </row>
    <row r="485" spans="1:66" ht="12" customHeight="1" x14ac:dyDescent="0.2">
      <c r="A485" s="179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  <c r="BG485" s="108"/>
      <c r="BH485" s="108"/>
      <c r="BI485" s="108"/>
      <c r="BJ485" s="108"/>
      <c r="BK485" s="109"/>
      <c r="BL485" s="108"/>
      <c r="BM485" s="108"/>
      <c r="BN485" s="108"/>
    </row>
    <row r="486" spans="1:66" ht="12" customHeight="1" x14ac:dyDescent="0.2">
      <c r="A486" s="179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  <c r="BG486" s="108"/>
      <c r="BH486" s="108"/>
      <c r="BI486" s="108"/>
      <c r="BJ486" s="108"/>
      <c r="BK486" s="109"/>
      <c r="BL486" s="108"/>
      <c r="BM486" s="108"/>
      <c r="BN486" s="108"/>
    </row>
    <row r="487" spans="1:66" ht="12" customHeight="1" x14ac:dyDescent="0.2">
      <c r="A487" s="179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  <c r="BG487" s="108"/>
      <c r="BH487" s="108"/>
      <c r="BI487" s="108"/>
      <c r="BJ487" s="108"/>
      <c r="BK487" s="109"/>
      <c r="BL487" s="108"/>
      <c r="BM487" s="108"/>
      <c r="BN487" s="108"/>
    </row>
    <row r="488" spans="1:66" ht="12" customHeight="1" x14ac:dyDescent="0.2">
      <c r="A488" s="179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  <c r="BG488" s="108"/>
      <c r="BH488" s="108"/>
      <c r="BI488" s="108"/>
      <c r="BJ488" s="108"/>
      <c r="BK488" s="109"/>
      <c r="BL488" s="108"/>
      <c r="BM488" s="108"/>
      <c r="BN488" s="108"/>
    </row>
    <row r="489" spans="1:66" ht="12" customHeight="1" x14ac:dyDescent="0.2">
      <c r="A489" s="179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09"/>
      <c r="BL489" s="108"/>
      <c r="BM489" s="108"/>
      <c r="BN489" s="108"/>
    </row>
    <row r="490" spans="1:66" ht="12" customHeight="1" x14ac:dyDescent="0.2">
      <c r="A490" s="179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  <c r="BG490" s="108"/>
      <c r="BH490" s="108"/>
      <c r="BI490" s="108"/>
      <c r="BJ490" s="108"/>
      <c r="BK490" s="109"/>
      <c r="BL490" s="108"/>
      <c r="BM490" s="108"/>
      <c r="BN490" s="108"/>
    </row>
    <row r="491" spans="1:66" ht="12" customHeight="1" x14ac:dyDescent="0.2">
      <c r="A491" s="179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  <c r="BG491" s="108"/>
      <c r="BH491" s="108"/>
      <c r="BI491" s="108"/>
      <c r="BJ491" s="108"/>
      <c r="BK491" s="109"/>
      <c r="BL491" s="108"/>
      <c r="BM491" s="108"/>
      <c r="BN491" s="108"/>
    </row>
    <row r="492" spans="1:66" ht="12" customHeight="1" x14ac:dyDescent="0.2">
      <c r="A492" s="179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  <c r="BG492" s="108"/>
      <c r="BH492" s="108"/>
      <c r="BI492" s="108"/>
      <c r="BJ492" s="108"/>
      <c r="BK492" s="109"/>
      <c r="BL492" s="108"/>
      <c r="BM492" s="108"/>
      <c r="BN492" s="108"/>
    </row>
    <row r="493" spans="1:66" ht="12" customHeight="1" x14ac:dyDescent="0.2">
      <c r="A493" s="179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  <c r="BK493" s="109"/>
      <c r="BL493" s="108"/>
      <c r="BM493" s="108"/>
      <c r="BN493" s="108"/>
    </row>
    <row r="494" spans="1:66" ht="12" customHeight="1" x14ac:dyDescent="0.2">
      <c r="A494" s="179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  <c r="BG494" s="108"/>
      <c r="BH494" s="108"/>
      <c r="BI494" s="108"/>
      <c r="BJ494" s="108"/>
      <c r="BK494" s="109"/>
      <c r="BL494" s="108"/>
      <c r="BM494" s="108"/>
      <c r="BN494" s="108"/>
    </row>
    <row r="495" spans="1:66" ht="12" customHeight="1" x14ac:dyDescent="0.2">
      <c r="A495" s="179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  <c r="BG495" s="108"/>
      <c r="BH495" s="108"/>
      <c r="BI495" s="108"/>
      <c r="BJ495" s="108"/>
      <c r="BK495" s="109"/>
      <c r="BL495" s="108"/>
      <c r="BM495" s="108"/>
      <c r="BN495" s="108"/>
    </row>
    <row r="496" spans="1:66" ht="12" customHeight="1" x14ac:dyDescent="0.2">
      <c r="A496" s="179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  <c r="BC496" s="108"/>
      <c r="BD496" s="108"/>
      <c r="BE496" s="108"/>
      <c r="BF496" s="108"/>
      <c r="BG496" s="108"/>
      <c r="BH496" s="108"/>
      <c r="BI496" s="108"/>
      <c r="BJ496" s="108"/>
      <c r="BK496" s="109"/>
      <c r="BL496" s="108"/>
      <c r="BM496" s="108"/>
      <c r="BN496" s="108"/>
    </row>
    <row r="497" spans="1:66" ht="12" customHeight="1" x14ac:dyDescent="0.2">
      <c r="A497" s="179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  <c r="BC497" s="108"/>
      <c r="BD497" s="108"/>
      <c r="BE497" s="108"/>
      <c r="BF497" s="108"/>
      <c r="BG497" s="108"/>
      <c r="BH497" s="108"/>
      <c r="BI497" s="108"/>
      <c r="BJ497" s="108"/>
      <c r="BK497" s="109"/>
      <c r="BL497" s="108"/>
      <c r="BM497" s="108"/>
      <c r="BN497" s="108"/>
    </row>
    <row r="498" spans="1:66" ht="12" customHeight="1" x14ac:dyDescent="0.2">
      <c r="A498" s="179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  <c r="BC498" s="108"/>
      <c r="BD498" s="108"/>
      <c r="BE498" s="108"/>
      <c r="BF498" s="108"/>
      <c r="BG498" s="108"/>
      <c r="BH498" s="108"/>
      <c r="BI498" s="108"/>
      <c r="BJ498" s="108"/>
      <c r="BK498" s="109"/>
      <c r="BL498" s="108"/>
      <c r="BM498" s="108"/>
      <c r="BN498" s="108"/>
    </row>
    <row r="499" spans="1:66" ht="12" customHeight="1" x14ac:dyDescent="0.2">
      <c r="A499" s="179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  <c r="BC499" s="108"/>
      <c r="BD499" s="108"/>
      <c r="BE499" s="108"/>
      <c r="BF499" s="108"/>
      <c r="BG499" s="108"/>
      <c r="BH499" s="108"/>
      <c r="BI499" s="108"/>
      <c r="BJ499" s="108"/>
      <c r="BK499" s="109"/>
      <c r="BL499" s="108"/>
      <c r="BM499" s="108"/>
      <c r="BN499" s="108"/>
    </row>
    <row r="500" spans="1:66" ht="12" customHeight="1" x14ac:dyDescent="0.2">
      <c r="A500" s="179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  <c r="BC500" s="108"/>
      <c r="BD500" s="108"/>
      <c r="BE500" s="108"/>
      <c r="BF500" s="108"/>
      <c r="BG500" s="108"/>
      <c r="BH500" s="108"/>
      <c r="BI500" s="108"/>
      <c r="BJ500" s="108"/>
      <c r="BK500" s="109"/>
      <c r="BL500" s="108"/>
      <c r="BM500" s="108"/>
      <c r="BN500" s="108"/>
    </row>
    <row r="501" spans="1:66" ht="12" customHeight="1" x14ac:dyDescent="0.2">
      <c r="A501" s="179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  <c r="BC501" s="108"/>
      <c r="BD501" s="108"/>
      <c r="BE501" s="108"/>
      <c r="BF501" s="108"/>
      <c r="BG501" s="108"/>
      <c r="BH501" s="108"/>
      <c r="BI501" s="108"/>
      <c r="BJ501" s="108"/>
      <c r="BK501" s="109"/>
      <c r="BL501" s="108"/>
      <c r="BM501" s="108"/>
      <c r="BN501" s="108"/>
    </row>
    <row r="502" spans="1:66" ht="12" customHeight="1" x14ac:dyDescent="0.2">
      <c r="A502" s="179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  <c r="BC502" s="108"/>
      <c r="BD502" s="108"/>
      <c r="BE502" s="108"/>
      <c r="BF502" s="108"/>
      <c r="BG502" s="108"/>
      <c r="BH502" s="108"/>
      <c r="BI502" s="108"/>
      <c r="BJ502" s="108"/>
      <c r="BK502" s="109"/>
      <c r="BL502" s="108"/>
      <c r="BM502" s="108"/>
      <c r="BN502" s="108"/>
    </row>
    <row r="503" spans="1:66" ht="12" customHeight="1" x14ac:dyDescent="0.2">
      <c r="A503" s="179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  <c r="BC503" s="108"/>
      <c r="BD503" s="108"/>
      <c r="BE503" s="108"/>
      <c r="BF503" s="108"/>
      <c r="BG503" s="108"/>
      <c r="BH503" s="108"/>
      <c r="BI503" s="108"/>
      <c r="BJ503" s="108"/>
      <c r="BK503" s="109"/>
      <c r="BL503" s="108"/>
      <c r="BM503" s="108"/>
      <c r="BN503" s="108"/>
    </row>
    <row r="504" spans="1:66" ht="12" customHeight="1" x14ac:dyDescent="0.2">
      <c r="A504" s="179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  <c r="BC504" s="108"/>
      <c r="BD504" s="108"/>
      <c r="BE504" s="108"/>
      <c r="BF504" s="108"/>
      <c r="BG504" s="108"/>
      <c r="BH504" s="108"/>
      <c r="BI504" s="108"/>
      <c r="BJ504" s="108"/>
      <c r="BK504" s="109"/>
      <c r="BL504" s="108"/>
      <c r="BM504" s="108"/>
      <c r="BN504" s="108"/>
    </row>
    <row r="505" spans="1:66" ht="12" customHeight="1" x14ac:dyDescent="0.2">
      <c r="A505" s="179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  <c r="BC505" s="108"/>
      <c r="BD505" s="108"/>
      <c r="BE505" s="108"/>
      <c r="BF505" s="108"/>
      <c r="BG505" s="108"/>
      <c r="BH505" s="108"/>
      <c r="BI505" s="108"/>
      <c r="BJ505" s="108"/>
      <c r="BK505" s="109"/>
      <c r="BL505" s="108"/>
      <c r="BM505" s="108"/>
      <c r="BN505" s="108"/>
    </row>
    <row r="506" spans="1:66" ht="12" customHeight="1" x14ac:dyDescent="0.2">
      <c r="A506" s="179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  <c r="BC506" s="108"/>
      <c r="BD506" s="108"/>
      <c r="BE506" s="108"/>
      <c r="BF506" s="108"/>
      <c r="BG506" s="108"/>
      <c r="BH506" s="108"/>
      <c r="BI506" s="108"/>
      <c r="BJ506" s="108"/>
      <c r="BK506" s="109"/>
      <c r="BL506" s="108"/>
      <c r="BM506" s="108"/>
      <c r="BN506" s="108"/>
    </row>
    <row r="507" spans="1:66" ht="12" customHeight="1" x14ac:dyDescent="0.2">
      <c r="A507" s="179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  <c r="BC507" s="108"/>
      <c r="BD507" s="108"/>
      <c r="BE507" s="108"/>
      <c r="BF507" s="108"/>
      <c r="BG507" s="108"/>
      <c r="BH507" s="108"/>
      <c r="BI507" s="108"/>
      <c r="BJ507" s="108"/>
      <c r="BK507" s="109"/>
      <c r="BL507" s="108"/>
      <c r="BM507" s="108"/>
      <c r="BN507" s="108"/>
    </row>
    <row r="508" spans="1:66" ht="12" customHeight="1" x14ac:dyDescent="0.2">
      <c r="A508" s="179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  <c r="BC508" s="108"/>
      <c r="BD508" s="108"/>
      <c r="BE508" s="108"/>
      <c r="BF508" s="108"/>
      <c r="BG508" s="108"/>
      <c r="BH508" s="108"/>
      <c r="BI508" s="108"/>
      <c r="BJ508" s="108"/>
      <c r="BK508" s="109"/>
      <c r="BL508" s="108"/>
      <c r="BM508" s="108"/>
      <c r="BN508" s="108"/>
    </row>
    <row r="509" spans="1:66" ht="12" customHeight="1" x14ac:dyDescent="0.2">
      <c r="A509" s="179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  <c r="BC509" s="108"/>
      <c r="BD509" s="108"/>
      <c r="BE509" s="108"/>
      <c r="BF509" s="108"/>
      <c r="BG509" s="108"/>
      <c r="BH509" s="108"/>
      <c r="BI509" s="108"/>
      <c r="BJ509" s="108"/>
      <c r="BK509" s="109"/>
      <c r="BL509" s="108"/>
      <c r="BM509" s="108"/>
      <c r="BN509" s="108"/>
    </row>
    <row r="510" spans="1:66" ht="12" customHeight="1" x14ac:dyDescent="0.2">
      <c r="A510" s="179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  <c r="BC510" s="108"/>
      <c r="BD510" s="108"/>
      <c r="BE510" s="108"/>
      <c r="BF510" s="108"/>
      <c r="BG510" s="108"/>
      <c r="BH510" s="108"/>
      <c r="BI510" s="108"/>
      <c r="BJ510" s="108"/>
      <c r="BK510" s="109"/>
      <c r="BL510" s="108"/>
      <c r="BM510" s="108"/>
      <c r="BN510" s="108"/>
    </row>
    <row r="511" spans="1:66" ht="12" customHeight="1" x14ac:dyDescent="0.2">
      <c r="A511" s="179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  <c r="BC511" s="108"/>
      <c r="BD511" s="108"/>
      <c r="BE511" s="108"/>
      <c r="BF511" s="108"/>
      <c r="BG511" s="108"/>
      <c r="BH511" s="108"/>
      <c r="BI511" s="108"/>
      <c r="BJ511" s="108"/>
      <c r="BK511" s="109"/>
      <c r="BL511" s="108"/>
      <c r="BM511" s="108"/>
      <c r="BN511" s="108"/>
    </row>
    <row r="512" spans="1:66" ht="12" customHeight="1" x14ac:dyDescent="0.2">
      <c r="A512" s="179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  <c r="BC512" s="108"/>
      <c r="BD512" s="108"/>
      <c r="BE512" s="108"/>
      <c r="BF512" s="108"/>
      <c r="BG512" s="108"/>
      <c r="BH512" s="108"/>
      <c r="BI512" s="108"/>
      <c r="BJ512" s="108"/>
      <c r="BK512" s="109"/>
      <c r="BL512" s="108"/>
      <c r="BM512" s="108"/>
      <c r="BN512" s="108"/>
    </row>
    <row r="513" spans="1:66" ht="12" customHeight="1" x14ac:dyDescent="0.2">
      <c r="A513" s="179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  <c r="BC513" s="108"/>
      <c r="BD513" s="108"/>
      <c r="BE513" s="108"/>
      <c r="BF513" s="108"/>
      <c r="BG513" s="108"/>
      <c r="BH513" s="108"/>
      <c r="BI513" s="108"/>
      <c r="BJ513" s="108"/>
      <c r="BK513" s="109"/>
      <c r="BL513" s="108"/>
      <c r="BM513" s="108"/>
      <c r="BN513" s="108"/>
    </row>
    <row r="514" spans="1:66" ht="12" customHeight="1" x14ac:dyDescent="0.2">
      <c r="A514" s="179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  <c r="BG514" s="108"/>
      <c r="BH514" s="108"/>
      <c r="BI514" s="108"/>
      <c r="BJ514" s="108"/>
      <c r="BK514" s="109"/>
      <c r="BL514" s="108"/>
      <c r="BM514" s="108"/>
      <c r="BN514" s="108"/>
    </row>
    <row r="515" spans="1:66" ht="12" customHeight="1" x14ac:dyDescent="0.2">
      <c r="A515" s="179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  <c r="BG515" s="108"/>
      <c r="BH515" s="108"/>
      <c r="BI515" s="108"/>
      <c r="BJ515" s="108"/>
      <c r="BK515" s="109"/>
      <c r="BL515" s="108"/>
      <c r="BM515" s="108"/>
      <c r="BN515" s="108"/>
    </row>
    <row r="516" spans="1:66" ht="12" customHeight="1" x14ac:dyDescent="0.2">
      <c r="A516" s="179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  <c r="BG516" s="108"/>
      <c r="BH516" s="108"/>
      <c r="BI516" s="108"/>
      <c r="BJ516" s="108"/>
      <c r="BK516" s="109"/>
      <c r="BL516" s="108"/>
      <c r="BM516" s="108"/>
      <c r="BN516" s="108"/>
    </row>
    <row r="517" spans="1:66" ht="12" customHeight="1" x14ac:dyDescent="0.2">
      <c r="A517" s="179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9"/>
      <c r="BL517" s="108"/>
      <c r="BM517" s="108"/>
      <c r="BN517" s="108"/>
    </row>
    <row r="518" spans="1:66" ht="12" customHeight="1" x14ac:dyDescent="0.2">
      <c r="A518" s="179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  <c r="BG518" s="108"/>
      <c r="BH518" s="108"/>
      <c r="BI518" s="108"/>
      <c r="BJ518" s="108"/>
      <c r="BK518" s="109"/>
      <c r="BL518" s="108"/>
      <c r="BM518" s="108"/>
      <c r="BN518" s="108"/>
    </row>
    <row r="519" spans="1:66" ht="12" customHeight="1" x14ac:dyDescent="0.2">
      <c r="A519" s="179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  <c r="BG519" s="108"/>
      <c r="BH519" s="108"/>
      <c r="BI519" s="108"/>
      <c r="BJ519" s="108"/>
      <c r="BK519" s="109"/>
      <c r="BL519" s="108"/>
      <c r="BM519" s="108"/>
      <c r="BN519" s="108"/>
    </row>
    <row r="520" spans="1:66" ht="12" customHeight="1" x14ac:dyDescent="0.2">
      <c r="A520" s="179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9"/>
      <c r="BL520" s="108"/>
      <c r="BM520" s="108"/>
      <c r="BN520" s="108"/>
    </row>
    <row r="521" spans="1:66" ht="12" customHeight="1" x14ac:dyDescent="0.2">
      <c r="A521" s="179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  <c r="BG521" s="108"/>
      <c r="BH521" s="108"/>
      <c r="BI521" s="108"/>
      <c r="BJ521" s="108"/>
      <c r="BK521" s="109"/>
      <c r="BL521" s="108"/>
      <c r="BM521" s="108"/>
      <c r="BN521" s="108"/>
    </row>
    <row r="522" spans="1:66" ht="12" customHeight="1" x14ac:dyDescent="0.2">
      <c r="A522" s="179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  <c r="BG522" s="108"/>
      <c r="BH522" s="108"/>
      <c r="BI522" s="108"/>
      <c r="BJ522" s="108"/>
      <c r="BK522" s="109"/>
      <c r="BL522" s="108"/>
      <c r="BM522" s="108"/>
      <c r="BN522" s="108"/>
    </row>
    <row r="523" spans="1:66" ht="12" customHeight="1" x14ac:dyDescent="0.2">
      <c r="A523" s="179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  <c r="BG523" s="108"/>
      <c r="BH523" s="108"/>
      <c r="BI523" s="108"/>
      <c r="BJ523" s="108"/>
      <c r="BK523" s="109"/>
      <c r="BL523" s="108"/>
      <c r="BM523" s="108"/>
      <c r="BN523" s="108"/>
    </row>
    <row r="524" spans="1:66" ht="12" customHeight="1" x14ac:dyDescent="0.2">
      <c r="A524" s="179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  <c r="BG524" s="108"/>
      <c r="BH524" s="108"/>
      <c r="BI524" s="108"/>
      <c r="BJ524" s="108"/>
      <c r="BK524" s="109"/>
      <c r="BL524" s="108"/>
      <c r="BM524" s="108"/>
      <c r="BN524" s="108"/>
    </row>
    <row r="525" spans="1:66" ht="12" customHeight="1" x14ac:dyDescent="0.2">
      <c r="A525" s="179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  <c r="BG525" s="108"/>
      <c r="BH525" s="108"/>
      <c r="BI525" s="108"/>
      <c r="BJ525" s="108"/>
      <c r="BK525" s="109"/>
      <c r="BL525" s="108"/>
      <c r="BM525" s="108"/>
      <c r="BN525" s="108"/>
    </row>
    <row r="526" spans="1:66" ht="12" customHeight="1" x14ac:dyDescent="0.2">
      <c r="A526" s="179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  <c r="BG526" s="108"/>
      <c r="BH526" s="108"/>
      <c r="BI526" s="108"/>
      <c r="BJ526" s="108"/>
      <c r="BK526" s="109"/>
      <c r="BL526" s="108"/>
      <c r="BM526" s="108"/>
      <c r="BN526" s="108"/>
    </row>
    <row r="527" spans="1:66" ht="12" customHeight="1" x14ac:dyDescent="0.2">
      <c r="A527" s="179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  <c r="BC527" s="108"/>
      <c r="BD527" s="108"/>
      <c r="BE527" s="108"/>
      <c r="BF527" s="108"/>
      <c r="BG527" s="108"/>
      <c r="BH527" s="108"/>
      <c r="BI527" s="108"/>
      <c r="BJ527" s="108"/>
      <c r="BK527" s="109"/>
      <c r="BL527" s="108"/>
      <c r="BM527" s="108"/>
      <c r="BN527" s="108"/>
    </row>
    <row r="528" spans="1:66" ht="12" customHeight="1" x14ac:dyDescent="0.2">
      <c r="A528" s="179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  <c r="BC528" s="108"/>
      <c r="BD528" s="108"/>
      <c r="BE528" s="108"/>
      <c r="BF528" s="108"/>
      <c r="BG528" s="108"/>
      <c r="BH528" s="108"/>
      <c r="BI528" s="108"/>
      <c r="BJ528" s="108"/>
      <c r="BK528" s="109"/>
      <c r="BL528" s="108"/>
      <c r="BM528" s="108"/>
      <c r="BN528" s="108"/>
    </row>
    <row r="529" spans="1:66" ht="12" customHeight="1" x14ac:dyDescent="0.2">
      <c r="A529" s="179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  <c r="BC529" s="108"/>
      <c r="BD529" s="108"/>
      <c r="BE529" s="108"/>
      <c r="BF529" s="108"/>
      <c r="BG529" s="108"/>
      <c r="BH529" s="108"/>
      <c r="BI529" s="108"/>
      <c r="BJ529" s="108"/>
      <c r="BK529" s="109"/>
      <c r="BL529" s="108"/>
      <c r="BM529" s="108"/>
      <c r="BN529" s="108"/>
    </row>
    <row r="530" spans="1:66" ht="12" customHeight="1" x14ac:dyDescent="0.2">
      <c r="A530" s="179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  <c r="BC530" s="108"/>
      <c r="BD530" s="108"/>
      <c r="BE530" s="108"/>
      <c r="BF530" s="108"/>
      <c r="BG530" s="108"/>
      <c r="BH530" s="108"/>
      <c r="BI530" s="108"/>
      <c r="BJ530" s="108"/>
      <c r="BK530" s="109"/>
      <c r="BL530" s="108"/>
      <c r="BM530" s="108"/>
      <c r="BN530" s="108"/>
    </row>
    <row r="531" spans="1:66" ht="12" customHeight="1" x14ac:dyDescent="0.2">
      <c r="A531" s="179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  <c r="BC531" s="108"/>
      <c r="BD531" s="108"/>
      <c r="BE531" s="108"/>
      <c r="BF531" s="108"/>
      <c r="BG531" s="108"/>
      <c r="BH531" s="108"/>
      <c r="BI531" s="108"/>
      <c r="BJ531" s="108"/>
      <c r="BK531" s="109"/>
      <c r="BL531" s="108"/>
      <c r="BM531" s="108"/>
      <c r="BN531" s="108"/>
    </row>
    <row r="532" spans="1:66" ht="12" customHeight="1" x14ac:dyDescent="0.2">
      <c r="A532" s="179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  <c r="BC532" s="108"/>
      <c r="BD532" s="108"/>
      <c r="BE532" s="108"/>
      <c r="BF532" s="108"/>
      <c r="BG532" s="108"/>
      <c r="BH532" s="108"/>
      <c r="BI532" s="108"/>
      <c r="BJ532" s="108"/>
      <c r="BK532" s="109"/>
      <c r="BL532" s="108"/>
      <c r="BM532" s="108"/>
      <c r="BN532" s="108"/>
    </row>
    <row r="533" spans="1:66" ht="12" customHeight="1" x14ac:dyDescent="0.2">
      <c r="A533" s="179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  <c r="BC533" s="108"/>
      <c r="BD533" s="108"/>
      <c r="BE533" s="108"/>
      <c r="BF533" s="108"/>
      <c r="BG533" s="108"/>
      <c r="BH533" s="108"/>
      <c r="BI533" s="108"/>
      <c r="BJ533" s="108"/>
      <c r="BK533" s="109"/>
      <c r="BL533" s="108"/>
      <c r="BM533" s="108"/>
      <c r="BN533" s="108"/>
    </row>
    <row r="534" spans="1:66" ht="12" customHeight="1" x14ac:dyDescent="0.2">
      <c r="A534" s="179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  <c r="BC534" s="108"/>
      <c r="BD534" s="108"/>
      <c r="BE534" s="108"/>
      <c r="BF534" s="108"/>
      <c r="BG534" s="108"/>
      <c r="BH534" s="108"/>
      <c r="BI534" s="108"/>
      <c r="BJ534" s="108"/>
      <c r="BK534" s="109"/>
      <c r="BL534" s="108"/>
      <c r="BM534" s="108"/>
      <c r="BN534" s="108"/>
    </row>
    <row r="535" spans="1:66" ht="12" customHeight="1" x14ac:dyDescent="0.2">
      <c r="A535" s="179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  <c r="BC535" s="108"/>
      <c r="BD535" s="108"/>
      <c r="BE535" s="108"/>
      <c r="BF535" s="108"/>
      <c r="BG535" s="108"/>
      <c r="BH535" s="108"/>
      <c r="BI535" s="108"/>
      <c r="BJ535" s="108"/>
      <c r="BK535" s="109"/>
      <c r="BL535" s="108"/>
      <c r="BM535" s="108"/>
      <c r="BN535" s="108"/>
    </row>
    <row r="536" spans="1:66" ht="12" customHeight="1" x14ac:dyDescent="0.2">
      <c r="A536" s="179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  <c r="BC536" s="108"/>
      <c r="BD536" s="108"/>
      <c r="BE536" s="108"/>
      <c r="BF536" s="108"/>
      <c r="BG536" s="108"/>
      <c r="BH536" s="108"/>
      <c r="BI536" s="108"/>
      <c r="BJ536" s="108"/>
      <c r="BK536" s="109"/>
      <c r="BL536" s="108"/>
      <c r="BM536" s="108"/>
      <c r="BN536" s="108"/>
    </row>
    <row r="537" spans="1:66" ht="12" customHeight="1" x14ac:dyDescent="0.2">
      <c r="A537" s="179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  <c r="BC537" s="108"/>
      <c r="BD537" s="108"/>
      <c r="BE537" s="108"/>
      <c r="BF537" s="108"/>
      <c r="BG537" s="108"/>
      <c r="BH537" s="108"/>
      <c r="BI537" s="108"/>
      <c r="BJ537" s="108"/>
      <c r="BK537" s="109"/>
      <c r="BL537" s="108"/>
      <c r="BM537" s="108"/>
      <c r="BN537" s="108"/>
    </row>
    <row r="538" spans="1:66" ht="12" customHeight="1" x14ac:dyDescent="0.2">
      <c r="A538" s="179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  <c r="BC538" s="108"/>
      <c r="BD538" s="108"/>
      <c r="BE538" s="108"/>
      <c r="BF538" s="108"/>
      <c r="BG538" s="108"/>
      <c r="BH538" s="108"/>
      <c r="BI538" s="108"/>
      <c r="BJ538" s="108"/>
      <c r="BK538" s="109"/>
      <c r="BL538" s="108"/>
      <c r="BM538" s="108"/>
      <c r="BN538" s="108"/>
    </row>
    <row r="539" spans="1:66" ht="12" customHeight="1" x14ac:dyDescent="0.2">
      <c r="A539" s="179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  <c r="BC539" s="108"/>
      <c r="BD539" s="108"/>
      <c r="BE539" s="108"/>
      <c r="BF539" s="108"/>
      <c r="BG539" s="108"/>
      <c r="BH539" s="108"/>
      <c r="BI539" s="108"/>
      <c r="BJ539" s="108"/>
      <c r="BK539" s="109"/>
      <c r="BL539" s="108"/>
      <c r="BM539" s="108"/>
      <c r="BN539" s="108"/>
    </row>
    <row r="540" spans="1:66" ht="12" customHeight="1" x14ac:dyDescent="0.2">
      <c r="A540" s="179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  <c r="BC540" s="108"/>
      <c r="BD540" s="108"/>
      <c r="BE540" s="108"/>
      <c r="BF540" s="108"/>
      <c r="BG540" s="108"/>
      <c r="BH540" s="108"/>
      <c r="BI540" s="108"/>
      <c r="BJ540" s="108"/>
      <c r="BK540" s="109"/>
      <c r="BL540" s="108"/>
      <c r="BM540" s="108"/>
      <c r="BN540" s="108"/>
    </row>
    <row r="541" spans="1:66" ht="12" customHeight="1" x14ac:dyDescent="0.2">
      <c r="A541" s="179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  <c r="BG541" s="108"/>
      <c r="BH541" s="108"/>
      <c r="BI541" s="108"/>
      <c r="BJ541" s="108"/>
      <c r="BK541" s="109"/>
      <c r="BL541" s="108"/>
      <c r="BM541" s="108"/>
      <c r="BN541" s="108"/>
    </row>
    <row r="542" spans="1:66" ht="12" customHeight="1" x14ac:dyDescent="0.2">
      <c r="A542" s="179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  <c r="BG542" s="108"/>
      <c r="BH542" s="108"/>
      <c r="BI542" s="108"/>
      <c r="BJ542" s="108"/>
      <c r="BK542" s="109"/>
      <c r="BL542" s="108"/>
      <c r="BM542" s="108"/>
      <c r="BN542" s="108"/>
    </row>
    <row r="543" spans="1:66" ht="12" customHeight="1" x14ac:dyDescent="0.2">
      <c r="A543" s="179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  <c r="BC543" s="108"/>
      <c r="BD543" s="108"/>
      <c r="BE543" s="108"/>
      <c r="BF543" s="108"/>
      <c r="BG543" s="108"/>
      <c r="BH543" s="108"/>
      <c r="BI543" s="108"/>
      <c r="BJ543" s="108"/>
      <c r="BK543" s="109"/>
      <c r="BL543" s="108"/>
      <c r="BM543" s="108"/>
      <c r="BN543" s="108"/>
    </row>
    <row r="544" spans="1:66" ht="12" customHeight="1" x14ac:dyDescent="0.2">
      <c r="A544" s="179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  <c r="BC544" s="108"/>
      <c r="BD544" s="108"/>
      <c r="BE544" s="108"/>
      <c r="BF544" s="108"/>
      <c r="BG544" s="108"/>
      <c r="BH544" s="108"/>
      <c r="BI544" s="108"/>
      <c r="BJ544" s="108"/>
      <c r="BK544" s="109"/>
      <c r="BL544" s="108"/>
      <c r="BM544" s="108"/>
      <c r="BN544" s="108"/>
    </row>
    <row r="545" spans="1:66" ht="12" customHeight="1" x14ac:dyDescent="0.2">
      <c r="A545" s="179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  <c r="BK545" s="109"/>
      <c r="BL545" s="108"/>
      <c r="BM545" s="108"/>
      <c r="BN545" s="108"/>
    </row>
    <row r="546" spans="1:66" ht="12" customHeight="1" x14ac:dyDescent="0.2">
      <c r="A546" s="179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  <c r="BG546" s="108"/>
      <c r="BH546" s="108"/>
      <c r="BI546" s="108"/>
      <c r="BJ546" s="108"/>
      <c r="BK546" s="109"/>
      <c r="BL546" s="108"/>
      <c r="BM546" s="108"/>
      <c r="BN546" s="108"/>
    </row>
    <row r="547" spans="1:66" ht="12" customHeight="1" x14ac:dyDescent="0.2">
      <c r="A547" s="179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  <c r="BC547" s="108"/>
      <c r="BD547" s="108"/>
      <c r="BE547" s="108"/>
      <c r="BF547" s="108"/>
      <c r="BG547" s="108"/>
      <c r="BH547" s="108"/>
      <c r="BI547" s="108"/>
      <c r="BJ547" s="108"/>
      <c r="BK547" s="109"/>
      <c r="BL547" s="108"/>
      <c r="BM547" s="108"/>
      <c r="BN547" s="108"/>
    </row>
    <row r="548" spans="1:66" ht="12" customHeight="1" x14ac:dyDescent="0.2">
      <c r="A548" s="179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  <c r="BC548" s="108"/>
      <c r="BD548" s="108"/>
      <c r="BE548" s="108"/>
      <c r="BF548" s="108"/>
      <c r="BG548" s="108"/>
      <c r="BH548" s="108"/>
      <c r="BI548" s="108"/>
      <c r="BJ548" s="108"/>
      <c r="BK548" s="109"/>
      <c r="BL548" s="108"/>
      <c r="BM548" s="108"/>
      <c r="BN548" s="108"/>
    </row>
    <row r="549" spans="1:66" ht="12" customHeight="1" x14ac:dyDescent="0.2">
      <c r="A549" s="179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  <c r="BG549" s="108"/>
      <c r="BH549" s="108"/>
      <c r="BI549" s="108"/>
      <c r="BJ549" s="108"/>
      <c r="BK549" s="109"/>
      <c r="BL549" s="108"/>
      <c r="BM549" s="108"/>
      <c r="BN549" s="108"/>
    </row>
    <row r="550" spans="1:66" ht="12" customHeight="1" x14ac:dyDescent="0.2">
      <c r="A550" s="179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  <c r="BG550" s="108"/>
      <c r="BH550" s="108"/>
      <c r="BI550" s="108"/>
      <c r="BJ550" s="108"/>
      <c r="BK550" s="109"/>
      <c r="BL550" s="108"/>
      <c r="BM550" s="108"/>
      <c r="BN550" s="108"/>
    </row>
    <row r="551" spans="1:66" ht="12" customHeight="1" x14ac:dyDescent="0.2">
      <c r="A551" s="179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  <c r="BG551" s="108"/>
      <c r="BH551" s="108"/>
      <c r="BI551" s="108"/>
      <c r="BJ551" s="108"/>
      <c r="BK551" s="109"/>
      <c r="BL551" s="108"/>
      <c r="BM551" s="108"/>
      <c r="BN551" s="108"/>
    </row>
    <row r="552" spans="1:66" ht="12" customHeight="1" x14ac:dyDescent="0.2">
      <c r="A552" s="179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  <c r="BC552" s="108"/>
      <c r="BD552" s="108"/>
      <c r="BE552" s="108"/>
      <c r="BF552" s="108"/>
      <c r="BG552" s="108"/>
      <c r="BH552" s="108"/>
      <c r="BI552" s="108"/>
      <c r="BJ552" s="108"/>
      <c r="BK552" s="109"/>
      <c r="BL552" s="108"/>
      <c r="BM552" s="108"/>
      <c r="BN552" s="108"/>
    </row>
    <row r="553" spans="1:66" ht="12" customHeight="1" x14ac:dyDescent="0.2">
      <c r="A553" s="179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  <c r="BG553" s="108"/>
      <c r="BH553" s="108"/>
      <c r="BI553" s="108"/>
      <c r="BJ553" s="108"/>
      <c r="BK553" s="109"/>
      <c r="BL553" s="108"/>
      <c r="BM553" s="108"/>
      <c r="BN553" s="108"/>
    </row>
    <row r="554" spans="1:66" ht="12" customHeight="1" x14ac:dyDescent="0.2">
      <c r="A554" s="179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109"/>
      <c r="BL554" s="108"/>
      <c r="BM554" s="108"/>
      <c r="BN554" s="108"/>
    </row>
    <row r="555" spans="1:66" ht="12" customHeight="1" x14ac:dyDescent="0.2">
      <c r="A555" s="179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9"/>
      <c r="BL555" s="108"/>
      <c r="BM555" s="108"/>
      <c r="BN555" s="108"/>
    </row>
    <row r="556" spans="1:66" ht="12" customHeight="1" x14ac:dyDescent="0.2">
      <c r="A556" s="179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  <c r="BG556" s="108"/>
      <c r="BH556" s="108"/>
      <c r="BI556" s="108"/>
      <c r="BJ556" s="108"/>
      <c r="BK556" s="109"/>
      <c r="BL556" s="108"/>
      <c r="BM556" s="108"/>
      <c r="BN556" s="108"/>
    </row>
    <row r="557" spans="1:66" ht="12" customHeight="1" x14ac:dyDescent="0.2">
      <c r="A557" s="179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109"/>
      <c r="BL557" s="108"/>
      <c r="BM557" s="108"/>
      <c r="BN557" s="108"/>
    </row>
    <row r="558" spans="1:66" ht="12" customHeight="1" x14ac:dyDescent="0.2">
      <c r="A558" s="179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9"/>
      <c r="BL558" s="108"/>
      <c r="BM558" s="108"/>
      <c r="BN558" s="108"/>
    </row>
    <row r="559" spans="1:66" ht="12" customHeight="1" x14ac:dyDescent="0.2">
      <c r="A559" s="179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109"/>
      <c r="BL559" s="108"/>
      <c r="BM559" s="108"/>
      <c r="BN559" s="108"/>
    </row>
    <row r="560" spans="1:66" ht="12" customHeight="1" x14ac:dyDescent="0.2">
      <c r="A560" s="179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109"/>
      <c r="BL560" s="108"/>
      <c r="BM560" s="108"/>
      <c r="BN560" s="108"/>
    </row>
    <row r="561" spans="1:66" ht="12" customHeight="1" x14ac:dyDescent="0.2">
      <c r="A561" s="179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  <c r="BG561" s="108"/>
      <c r="BH561" s="108"/>
      <c r="BI561" s="108"/>
      <c r="BJ561" s="108"/>
      <c r="BK561" s="109"/>
      <c r="BL561" s="108"/>
      <c r="BM561" s="108"/>
      <c r="BN561" s="108"/>
    </row>
    <row r="562" spans="1:66" ht="12" customHeight="1" x14ac:dyDescent="0.2">
      <c r="A562" s="179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  <c r="BG562" s="108"/>
      <c r="BH562" s="108"/>
      <c r="BI562" s="108"/>
      <c r="BJ562" s="108"/>
      <c r="BK562" s="109"/>
      <c r="BL562" s="108"/>
      <c r="BM562" s="108"/>
      <c r="BN562" s="108"/>
    </row>
    <row r="563" spans="1:66" ht="12" customHeight="1" x14ac:dyDescent="0.2">
      <c r="A563" s="179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  <c r="BG563" s="108"/>
      <c r="BH563" s="108"/>
      <c r="BI563" s="108"/>
      <c r="BJ563" s="108"/>
      <c r="BK563" s="109"/>
      <c r="BL563" s="108"/>
      <c r="BM563" s="108"/>
      <c r="BN563" s="108"/>
    </row>
    <row r="564" spans="1:66" ht="12" customHeight="1" x14ac:dyDescent="0.2">
      <c r="A564" s="179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  <c r="BG564" s="108"/>
      <c r="BH564" s="108"/>
      <c r="BI564" s="108"/>
      <c r="BJ564" s="108"/>
      <c r="BK564" s="109"/>
      <c r="BL564" s="108"/>
      <c r="BM564" s="108"/>
      <c r="BN564" s="108"/>
    </row>
    <row r="565" spans="1:66" ht="12" customHeight="1" x14ac:dyDescent="0.2">
      <c r="A565" s="179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  <c r="BG565" s="108"/>
      <c r="BH565" s="108"/>
      <c r="BI565" s="108"/>
      <c r="BJ565" s="108"/>
      <c r="BK565" s="109"/>
      <c r="BL565" s="108"/>
      <c r="BM565" s="108"/>
      <c r="BN565" s="108"/>
    </row>
    <row r="566" spans="1:66" ht="12" customHeight="1" x14ac:dyDescent="0.2">
      <c r="A566" s="179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  <c r="BG566" s="108"/>
      <c r="BH566" s="108"/>
      <c r="BI566" s="108"/>
      <c r="BJ566" s="108"/>
      <c r="BK566" s="109"/>
      <c r="BL566" s="108"/>
      <c r="BM566" s="108"/>
      <c r="BN566" s="108"/>
    </row>
    <row r="567" spans="1:66" ht="12" customHeight="1" x14ac:dyDescent="0.2">
      <c r="A567" s="179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  <c r="BG567" s="108"/>
      <c r="BH567" s="108"/>
      <c r="BI567" s="108"/>
      <c r="BJ567" s="108"/>
      <c r="BK567" s="109"/>
      <c r="BL567" s="108"/>
      <c r="BM567" s="108"/>
      <c r="BN567" s="108"/>
    </row>
    <row r="568" spans="1:66" ht="12" customHeight="1" x14ac:dyDescent="0.2">
      <c r="A568" s="179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  <c r="BC568" s="108"/>
      <c r="BD568" s="108"/>
      <c r="BE568" s="108"/>
      <c r="BF568" s="108"/>
      <c r="BG568" s="108"/>
      <c r="BH568" s="108"/>
      <c r="BI568" s="108"/>
      <c r="BJ568" s="108"/>
      <c r="BK568" s="109"/>
      <c r="BL568" s="108"/>
      <c r="BM568" s="108"/>
      <c r="BN568" s="108"/>
    </row>
    <row r="569" spans="1:66" ht="12" customHeight="1" x14ac:dyDescent="0.2">
      <c r="A569" s="179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  <c r="BG569" s="108"/>
      <c r="BH569" s="108"/>
      <c r="BI569" s="108"/>
      <c r="BJ569" s="108"/>
      <c r="BK569" s="109"/>
      <c r="BL569" s="108"/>
      <c r="BM569" s="108"/>
      <c r="BN569" s="108"/>
    </row>
    <row r="570" spans="1:66" ht="12" customHeight="1" x14ac:dyDescent="0.2">
      <c r="A570" s="179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  <c r="BC570" s="108"/>
      <c r="BD570" s="108"/>
      <c r="BE570" s="108"/>
      <c r="BF570" s="108"/>
      <c r="BG570" s="108"/>
      <c r="BH570" s="108"/>
      <c r="BI570" s="108"/>
      <c r="BJ570" s="108"/>
      <c r="BK570" s="109"/>
      <c r="BL570" s="108"/>
      <c r="BM570" s="108"/>
      <c r="BN570" s="108"/>
    </row>
    <row r="571" spans="1:66" ht="12" customHeight="1" x14ac:dyDescent="0.2">
      <c r="A571" s="179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  <c r="BC571" s="108"/>
      <c r="BD571" s="108"/>
      <c r="BE571" s="108"/>
      <c r="BF571" s="108"/>
      <c r="BG571" s="108"/>
      <c r="BH571" s="108"/>
      <c r="BI571" s="108"/>
      <c r="BJ571" s="108"/>
      <c r="BK571" s="109"/>
      <c r="BL571" s="108"/>
      <c r="BM571" s="108"/>
      <c r="BN571" s="108"/>
    </row>
    <row r="572" spans="1:66" ht="12" customHeight="1" x14ac:dyDescent="0.2">
      <c r="A572" s="179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  <c r="BC572" s="108"/>
      <c r="BD572" s="108"/>
      <c r="BE572" s="108"/>
      <c r="BF572" s="108"/>
      <c r="BG572" s="108"/>
      <c r="BH572" s="108"/>
      <c r="BI572" s="108"/>
      <c r="BJ572" s="108"/>
      <c r="BK572" s="109"/>
      <c r="BL572" s="108"/>
      <c r="BM572" s="108"/>
      <c r="BN572" s="108"/>
    </row>
    <row r="573" spans="1:66" ht="12" customHeight="1" x14ac:dyDescent="0.2">
      <c r="A573" s="179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  <c r="BG573" s="108"/>
      <c r="BH573" s="108"/>
      <c r="BI573" s="108"/>
      <c r="BJ573" s="108"/>
      <c r="BK573" s="109"/>
      <c r="BL573" s="108"/>
      <c r="BM573" s="108"/>
      <c r="BN573" s="108"/>
    </row>
    <row r="574" spans="1:66" ht="12" customHeight="1" x14ac:dyDescent="0.2">
      <c r="A574" s="179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  <c r="BC574" s="108"/>
      <c r="BD574" s="108"/>
      <c r="BE574" s="108"/>
      <c r="BF574" s="108"/>
      <c r="BG574" s="108"/>
      <c r="BH574" s="108"/>
      <c r="BI574" s="108"/>
      <c r="BJ574" s="108"/>
      <c r="BK574" s="109"/>
      <c r="BL574" s="108"/>
      <c r="BM574" s="108"/>
      <c r="BN574" s="108"/>
    </row>
    <row r="575" spans="1:66" ht="12" customHeight="1" x14ac:dyDescent="0.2">
      <c r="A575" s="179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  <c r="BC575" s="108"/>
      <c r="BD575" s="108"/>
      <c r="BE575" s="108"/>
      <c r="BF575" s="108"/>
      <c r="BG575" s="108"/>
      <c r="BH575" s="108"/>
      <c r="BI575" s="108"/>
      <c r="BJ575" s="108"/>
      <c r="BK575" s="109"/>
      <c r="BL575" s="108"/>
      <c r="BM575" s="108"/>
      <c r="BN575" s="108"/>
    </row>
    <row r="576" spans="1:66" ht="12" customHeight="1" x14ac:dyDescent="0.2">
      <c r="A576" s="179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  <c r="BC576" s="108"/>
      <c r="BD576" s="108"/>
      <c r="BE576" s="108"/>
      <c r="BF576" s="108"/>
      <c r="BG576" s="108"/>
      <c r="BH576" s="108"/>
      <c r="BI576" s="108"/>
      <c r="BJ576" s="108"/>
      <c r="BK576" s="109"/>
      <c r="BL576" s="108"/>
      <c r="BM576" s="108"/>
      <c r="BN576" s="108"/>
    </row>
    <row r="577" spans="1:66" ht="12" customHeight="1" x14ac:dyDescent="0.2">
      <c r="A577" s="179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  <c r="BC577" s="108"/>
      <c r="BD577" s="108"/>
      <c r="BE577" s="108"/>
      <c r="BF577" s="108"/>
      <c r="BG577" s="108"/>
      <c r="BH577" s="108"/>
      <c r="BI577" s="108"/>
      <c r="BJ577" s="108"/>
      <c r="BK577" s="109"/>
      <c r="BL577" s="108"/>
      <c r="BM577" s="108"/>
      <c r="BN577" s="108"/>
    </row>
    <row r="578" spans="1:66" ht="12" customHeight="1" x14ac:dyDescent="0.2">
      <c r="A578" s="179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  <c r="BC578" s="108"/>
      <c r="BD578" s="108"/>
      <c r="BE578" s="108"/>
      <c r="BF578" s="108"/>
      <c r="BG578" s="108"/>
      <c r="BH578" s="108"/>
      <c r="BI578" s="108"/>
      <c r="BJ578" s="108"/>
      <c r="BK578" s="109"/>
      <c r="BL578" s="108"/>
      <c r="BM578" s="108"/>
      <c r="BN578" s="108"/>
    </row>
    <row r="579" spans="1:66" ht="12" customHeight="1" x14ac:dyDescent="0.2">
      <c r="A579" s="179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  <c r="BC579" s="108"/>
      <c r="BD579" s="108"/>
      <c r="BE579" s="108"/>
      <c r="BF579" s="108"/>
      <c r="BG579" s="108"/>
      <c r="BH579" s="108"/>
      <c r="BI579" s="108"/>
      <c r="BJ579" s="108"/>
      <c r="BK579" s="109"/>
      <c r="BL579" s="108"/>
      <c r="BM579" s="108"/>
      <c r="BN579" s="108"/>
    </row>
    <row r="580" spans="1:66" ht="12" customHeight="1" x14ac:dyDescent="0.2">
      <c r="A580" s="179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  <c r="BC580" s="108"/>
      <c r="BD580" s="108"/>
      <c r="BE580" s="108"/>
      <c r="BF580" s="108"/>
      <c r="BG580" s="108"/>
      <c r="BH580" s="108"/>
      <c r="BI580" s="108"/>
      <c r="BJ580" s="108"/>
      <c r="BK580" s="109"/>
      <c r="BL580" s="108"/>
      <c r="BM580" s="108"/>
      <c r="BN580" s="108"/>
    </row>
    <row r="581" spans="1:66" ht="12" customHeight="1" x14ac:dyDescent="0.2">
      <c r="A581" s="179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  <c r="BC581" s="108"/>
      <c r="BD581" s="108"/>
      <c r="BE581" s="108"/>
      <c r="BF581" s="108"/>
      <c r="BG581" s="108"/>
      <c r="BH581" s="108"/>
      <c r="BI581" s="108"/>
      <c r="BJ581" s="108"/>
      <c r="BK581" s="109"/>
      <c r="BL581" s="108"/>
      <c r="BM581" s="108"/>
      <c r="BN581" s="108"/>
    </row>
    <row r="582" spans="1:66" ht="12" customHeight="1" x14ac:dyDescent="0.2">
      <c r="A582" s="179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  <c r="BC582" s="108"/>
      <c r="BD582" s="108"/>
      <c r="BE582" s="108"/>
      <c r="BF582" s="108"/>
      <c r="BG582" s="108"/>
      <c r="BH582" s="108"/>
      <c r="BI582" s="108"/>
      <c r="BJ582" s="108"/>
      <c r="BK582" s="109"/>
      <c r="BL582" s="108"/>
      <c r="BM582" s="108"/>
      <c r="BN582" s="108"/>
    </row>
    <row r="583" spans="1:66" ht="12" customHeight="1" x14ac:dyDescent="0.2">
      <c r="A583" s="179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  <c r="BC583" s="108"/>
      <c r="BD583" s="108"/>
      <c r="BE583" s="108"/>
      <c r="BF583" s="108"/>
      <c r="BG583" s="108"/>
      <c r="BH583" s="108"/>
      <c r="BI583" s="108"/>
      <c r="BJ583" s="108"/>
      <c r="BK583" s="109"/>
      <c r="BL583" s="108"/>
      <c r="BM583" s="108"/>
      <c r="BN583" s="108"/>
    </row>
    <row r="584" spans="1:66" ht="12" customHeight="1" x14ac:dyDescent="0.2">
      <c r="A584" s="179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  <c r="BC584" s="108"/>
      <c r="BD584" s="108"/>
      <c r="BE584" s="108"/>
      <c r="BF584" s="108"/>
      <c r="BG584" s="108"/>
      <c r="BH584" s="108"/>
      <c r="BI584" s="108"/>
      <c r="BJ584" s="108"/>
      <c r="BK584" s="109"/>
      <c r="BL584" s="108"/>
      <c r="BM584" s="108"/>
      <c r="BN584" s="108"/>
    </row>
    <row r="585" spans="1:66" ht="12" customHeight="1" x14ac:dyDescent="0.2">
      <c r="A585" s="179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  <c r="BC585" s="108"/>
      <c r="BD585" s="108"/>
      <c r="BE585" s="108"/>
      <c r="BF585" s="108"/>
      <c r="BG585" s="108"/>
      <c r="BH585" s="108"/>
      <c r="BI585" s="108"/>
      <c r="BJ585" s="108"/>
      <c r="BK585" s="109"/>
      <c r="BL585" s="108"/>
      <c r="BM585" s="108"/>
      <c r="BN585" s="108"/>
    </row>
    <row r="586" spans="1:66" ht="12" customHeight="1" x14ac:dyDescent="0.2">
      <c r="A586" s="179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  <c r="BC586" s="108"/>
      <c r="BD586" s="108"/>
      <c r="BE586" s="108"/>
      <c r="BF586" s="108"/>
      <c r="BG586" s="108"/>
      <c r="BH586" s="108"/>
      <c r="BI586" s="108"/>
      <c r="BJ586" s="108"/>
      <c r="BK586" s="109"/>
      <c r="BL586" s="108"/>
      <c r="BM586" s="108"/>
      <c r="BN586" s="108"/>
    </row>
    <row r="587" spans="1:66" ht="12" customHeight="1" x14ac:dyDescent="0.2">
      <c r="A587" s="179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  <c r="BC587" s="108"/>
      <c r="BD587" s="108"/>
      <c r="BE587" s="108"/>
      <c r="BF587" s="108"/>
      <c r="BG587" s="108"/>
      <c r="BH587" s="108"/>
      <c r="BI587" s="108"/>
      <c r="BJ587" s="108"/>
      <c r="BK587" s="109"/>
      <c r="BL587" s="108"/>
      <c r="BM587" s="108"/>
      <c r="BN587" s="108"/>
    </row>
    <row r="588" spans="1:66" ht="12" customHeight="1" x14ac:dyDescent="0.2">
      <c r="A588" s="179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  <c r="BC588" s="108"/>
      <c r="BD588" s="108"/>
      <c r="BE588" s="108"/>
      <c r="BF588" s="108"/>
      <c r="BG588" s="108"/>
      <c r="BH588" s="108"/>
      <c r="BI588" s="108"/>
      <c r="BJ588" s="108"/>
      <c r="BK588" s="109"/>
      <c r="BL588" s="108"/>
      <c r="BM588" s="108"/>
      <c r="BN588" s="108"/>
    </row>
    <row r="589" spans="1:66" ht="12" customHeight="1" x14ac:dyDescent="0.2">
      <c r="A589" s="179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  <c r="BC589" s="108"/>
      <c r="BD589" s="108"/>
      <c r="BE589" s="108"/>
      <c r="BF589" s="108"/>
      <c r="BG589" s="108"/>
      <c r="BH589" s="108"/>
      <c r="BI589" s="108"/>
      <c r="BJ589" s="108"/>
      <c r="BK589" s="109"/>
      <c r="BL589" s="108"/>
      <c r="BM589" s="108"/>
      <c r="BN589" s="108"/>
    </row>
    <row r="590" spans="1:66" ht="12" customHeight="1" x14ac:dyDescent="0.2">
      <c r="A590" s="179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  <c r="BC590" s="108"/>
      <c r="BD590" s="108"/>
      <c r="BE590" s="108"/>
      <c r="BF590" s="108"/>
      <c r="BG590" s="108"/>
      <c r="BH590" s="108"/>
      <c r="BI590" s="108"/>
      <c r="BJ590" s="108"/>
      <c r="BK590" s="109"/>
      <c r="BL590" s="108"/>
      <c r="BM590" s="108"/>
      <c r="BN590" s="108"/>
    </row>
    <row r="591" spans="1:66" ht="12" customHeight="1" x14ac:dyDescent="0.2">
      <c r="A591" s="179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  <c r="BG591" s="108"/>
      <c r="BH591" s="108"/>
      <c r="BI591" s="108"/>
      <c r="BJ591" s="108"/>
      <c r="BK591" s="109"/>
      <c r="BL591" s="108"/>
      <c r="BM591" s="108"/>
      <c r="BN591" s="108"/>
    </row>
    <row r="592" spans="1:66" ht="12" customHeight="1" x14ac:dyDescent="0.2">
      <c r="A592" s="179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  <c r="BH592" s="108"/>
      <c r="BI592" s="108"/>
      <c r="BJ592" s="108"/>
      <c r="BK592" s="109"/>
      <c r="BL592" s="108"/>
      <c r="BM592" s="108"/>
      <c r="BN592" s="108"/>
    </row>
    <row r="593" spans="1:66" ht="12" customHeight="1" x14ac:dyDescent="0.2">
      <c r="A593" s="179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9"/>
      <c r="BL593" s="108"/>
      <c r="BM593" s="108"/>
      <c r="BN593" s="108"/>
    </row>
    <row r="594" spans="1:66" ht="12" customHeight="1" x14ac:dyDescent="0.2">
      <c r="A594" s="179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  <c r="BC594" s="108"/>
      <c r="BD594" s="108"/>
      <c r="BE594" s="108"/>
      <c r="BF594" s="108"/>
      <c r="BG594" s="108"/>
      <c r="BH594" s="108"/>
      <c r="BI594" s="108"/>
      <c r="BJ594" s="108"/>
      <c r="BK594" s="109"/>
      <c r="BL594" s="108"/>
      <c r="BM594" s="108"/>
      <c r="BN594" s="108"/>
    </row>
    <row r="595" spans="1:66" ht="12" customHeight="1" x14ac:dyDescent="0.2">
      <c r="A595" s="179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  <c r="BC595" s="108"/>
      <c r="BD595" s="108"/>
      <c r="BE595" s="108"/>
      <c r="BF595" s="108"/>
      <c r="BG595" s="108"/>
      <c r="BH595" s="108"/>
      <c r="BI595" s="108"/>
      <c r="BJ595" s="108"/>
      <c r="BK595" s="109"/>
      <c r="BL595" s="108"/>
      <c r="BM595" s="108"/>
      <c r="BN595" s="108"/>
    </row>
    <row r="596" spans="1:66" ht="12" customHeight="1" x14ac:dyDescent="0.2">
      <c r="A596" s="179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9"/>
      <c r="BL596" s="108"/>
      <c r="BM596" s="108"/>
      <c r="BN596" s="108"/>
    </row>
    <row r="597" spans="1:66" ht="12" customHeight="1" x14ac:dyDescent="0.2">
      <c r="A597" s="179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  <c r="BC597" s="108"/>
      <c r="BD597" s="108"/>
      <c r="BE597" s="108"/>
      <c r="BF597" s="108"/>
      <c r="BG597" s="108"/>
      <c r="BH597" s="108"/>
      <c r="BI597" s="108"/>
      <c r="BJ597" s="108"/>
      <c r="BK597" s="109"/>
      <c r="BL597" s="108"/>
      <c r="BM597" s="108"/>
      <c r="BN597" s="108"/>
    </row>
    <row r="598" spans="1:66" ht="12" customHeight="1" x14ac:dyDescent="0.2">
      <c r="A598" s="179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  <c r="BC598" s="108"/>
      <c r="BD598" s="108"/>
      <c r="BE598" s="108"/>
      <c r="BF598" s="108"/>
      <c r="BG598" s="108"/>
      <c r="BH598" s="108"/>
      <c r="BI598" s="108"/>
      <c r="BJ598" s="108"/>
      <c r="BK598" s="109"/>
      <c r="BL598" s="108"/>
      <c r="BM598" s="108"/>
      <c r="BN598" s="108"/>
    </row>
    <row r="599" spans="1:66" ht="12" customHeight="1" x14ac:dyDescent="0.2">
      <c r="A599" s="179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  <c r="BC599" s="108"/>
      <c r="BD599" s="108"/>
      <c r="BE599" s="108"/>
      <c r="BF599" s="108"/>
      <c r="BG599" s="108"/>
      <c r="BH599" s="108"/>
      <c r="BI599" s="108"/>
      <c r="BJ599" s="108"/>
      <c r="BK599" s="109"/>
      <c r="BL599" s="108"/>
      <c r="BM599" s="108"/>
      <c r="BN599" s="108"/>
    </row>
    <row r="600" spans="1:66" ht="12" customHeight="1" x14ac:dyDescent="0.2">
      <c r="A600" s="179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  <c r="BC600" s="108"/>
      <c r="BD600" s="108"/>
      <c r="BE600" s="108"/>
      <c r="BF600" s="108"/>
      <c r="BG600" s="108"/>
      <c r="BH600" s="108"/>
      <c r="BI600" s="108"/>
      <c r="BJ600" s="108"/>
      <c r="BK600" s="109"/>
      <c r="BL600" s="108"/>
      <c r="BM600" s="108"/>
      <c r="BN600" s="108"/>
    </row>
    <row r="601" spans="1:66" ht="12" customHeight="1" x14ac:dyDescent="0.2">
      <c r="A601" s="179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9"/>
      <c r="BL601" s="108"/>
      <c r="BM601" s="108"/>
      <c r="BN601" s="108"/>
    </row>
    <row r="602" spans="1:66" ht="12" customHeight="1" x14ac:dyDescent="0.2">
      <c r="A602" s="179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  <c r="BC602" s="108"/>
      <c r="BD602" s="108"/>
      <c r="BE602" s="108"/>
      <c r="BF602" s="108"/>
      <c r="BG602" s="108"/>
      <c r="BH602" s="108"/>
      <c r="BI602" s="108"/>
      <c r="BJ602" s="108"/>
      <c r="BK602" s="109"/>
      <c r="BL602" s="108"/>
      <c r="BM602" s="108"/>
      <c r="BN602" s="108"/>
    </row>
    <row r="603" spans="1:66" ht="12" customHeight="1" x14ac:dyDescent="0.2">
      <c r="A603" s="179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  <c r="BC603" s="108"/>
      <c r="BD603" s="108"/>
      <c r="BE603" s="108"/>
      <c r="BF603" s="108"/>
      <c r="BG603" s="108"/>
      <c r="BH603" s="108"/>
      <c r="BI603" s="108"/>
      <c r="BJ603" s="108"/>
      <c r="BK603" s="109"/>
      <c r="BL603" s="108"/>
      <c r="BM603" s="108"/>
      <c r="BN603" s="108"/>
    </row>
    <row r="604" spans="1:66" ht="12" customHeight="1" x14ac:dyDescent="0.2">
      <c r="A604" s="179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  <c r="BC604" s="108"/>
      <c r="BD604" s="108"/>
      <c r="BE604" s="108"/>
      <c r="BF604" s="108"/>
      <c r="BG604" s="108"/>
      <c r="BH604" s="108"/>
      <c r="BI604" s="108"/>
      <c r="BJ604" s="108"/>
      <c r="BK604" s="109"/>
      <c r="BL604" s="108"/>
      <c r="BM604" s="108"/>
      <c r="BN604" s="108"/>
    </row>
    <row r="605" spans="1:66" ht="12" customHeight="1" x14ac:dyDescent="0.2">
      <c r="A605" s="179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  <c r="BC605" s="108"/>
      <c r="BD605" s="108"/>
      <c r="BE605" s="108"/>
      <c r="BF605" s="108"/>
      <c r="BG605" s="108"/>
      <c r="BH605" s="108"/>
      <c r="BI605" s="108"/>
      <c r="BJ605" s="108"/>
      <c r="BK605" s="109"/>
      <c r="BL605" s="108"/>
      <c r="BM605" s="108"/>
      <c r="BN605" s="108"/>
    </row>
    <row r="606" spans="1:66" ht="12" customHeight="1" x14ac:dyDescent="0.2">
      <c r="A606" s="179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  <c r="BC606" s="108"/>
      <c r="BD606" s="108"/>
      <c r="BE606" s="108"/>
      <c r="BF606" s="108"/>
      <c r="BG606" s="108"/>
      <c r="BH606" s="108"/>
      <c r="BI606" s="108"/>
      <c r="BJ606" s="108"/>
      <c r="BK606" s="109"/>
      <c r="BL606" s="108"/>
      <c r="BM606" s="108"/>
      <c r="BN606" s="108"/>
    </row>
    <row r="607" spans="1:66" ht="12" customHeight="1" x14ac:dyDescent="0.2">
      <c r="A607" s="179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  <c r="BC607" s="108"/>
      <c r="BD607" s="108"/>
      <c r="BE607" s="108"/>
      <c r="BF607" s="108"/>
      <c r="BG607" s="108"/>
      <c r="BH607" s="108"/>
      <c r="BI607" s="108"/>
      <c r="BJ607" s="108"/>
      <c r="BK607" s="109"/>
      <c r="BL607" s="108"/>
      <c r="BM607" s="108"/>
      <c r="BN607" s="108"/>
    </row>
    <row r="608" spans="1:66" ht="12" customHeight="1" x14ac:dyDescent="0.2">
      <c r="A608" s="179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  <c r="BG608" s="108"/>
      <c r="BH608" s="108"/>
      <c r="BI608" s="108"/>
      <c r="BJ608" s="108"/>
      <c r="BK608" s="109"/>
      <c r="BL608" s="108"/>
      <c r="BM608" s="108"/>
      <c r="BN608" s="108"/>
    </row>
    <row r="609" spans="1:66" ht="12" customHeight="1" x14ac:dyDescent="0.2">
      <c r="A609" s="179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  <c r="BC609" s="108"/>
      <c r="BD609" s="108"/>
      <c r="BE609" s="108"/>
      <c r="BF609" s="108"/>
      <c r="BG609" s="108"/>
      <c r="BH609" s="108"/>
      <c r="BI609" s="108"/>
      <c r="BJ609" s="108"/>
      <c r="BK609" s="109"/>
      <c r="BL609" s="108"/>
      <c r="BM609" s="108"/>
      <c r="BN609" s="108"/>
    </row>
    <row r="610" spans="1:66" ht="12" customHeight="1" x14ac:dyDescent="0.2">
      <c r="A610" s="179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  <c r="BC610" s="108"/>
      <c r="BD610" s="108"/>
      <c r="BE610" s="108"/>
      <c r="BF610" s="108"/>
      <c r="BG610" s="108"/>
      <c r="BH610" s="108"/>
      <c r="BI610" s="108"/>
      <c r="BJ610" s="108"/>
      <c r="BK610" s="109"/>
      <c r="BL610" s="108"/>
      <c r="BM610" s="108"/>
      <c r="BN610" s="108"/>
    </row>
    <row r="611" spans="1:66" ht="12" customHeight="1" x14ac:dyDescent="0.2">
      <c r="A611" s="179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  <c r="BC611" s="108"/>
      <c r="BD611" s="108"/>
      <c r="BE611" s="108"/>
      <c r="BF611" s="108"/>
      <c r="BG611" s="108"/>
      <c r="BH611" s="108"/>
      <c r="BI611" s="108"/>
      <c r="BJ611" s="108"/>
      <c r="BK611" s="109"/>
      <c r="BL611" s="108"/>
      <c r="BM611" s="108"/>
      <c r="BN611" s="108"/>
    </row>
    <row r="612" spans="1:66" ht="12" customHeight="1" x14ac:dyDescent="0.2">
      <c r="A612" s="179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  <c r="BC612" s="108"/>
      <c r="BD612" s="108"/>
      <c r="BE612" s="108"/>
      <c r="BF612" s="108"/>
      <c r="BG612" s="108"/>
      <c r="BH612" s="108"/>
      <c r="BI612" s="108"/>
      <c r="BJ612" s="108"/>
      <c r="BK612" s="109"/>
      <c r="BL612" s="108"/>
      <c r="BM612" s="108"/>
      <c r="BN612" s="108"/>
    </row>
    <row r="613" spans="1:66" ht="12" customHeight="1" x14ac:dyDescent="0.2">
      <c r="A613" s="179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  <c r="BC613" s="108"/>
      <c r="BD613" s="108"/>
      <c r="BE613" s="108"/>
      <c r="BF613" s="108"/>
      <c r="BG613" s="108"/>
      <c r="BH613" s="108"/>
      <c r="BI613" s="108"/>
      <c r="BJ613" s="108"/>
      <c r="BK613" s="109"/>
      <c r="BL613" s="108"/>
      <c r="BM613" s="108"/>
      <c r="BN613" s="108"/>
    </row>
    <row r="614" spans="1:66" ht="12" customHeight="1" x14ac:dyDescent="0.2">
      <c r="A614" s="179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  <c r="BC614" s="108"/>
      <c r="BD614" s="108"/>
      <c r="BE614" s="108"/>
      <c r="BF614" s="108"/>
      <c r="BG614" s="108"/>
      <c r="BH614" s="108"/>
      <c r="BI614" s="108"/>
      <c r="BJ614" s="108"/>
      <c r="BK614" s="109"/>
      <c r="BL614" s="108"/>
      <c r="BM614" s="108"/>
      <c r="BN614" s="108"/>
    </row>
    <row r="615" spans="1:66" ht="12" customHeight="1" x14ac:dyDescent="0.2">
      <c r="A615" s="179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  <c r="BC615" s="108"/>
      <c r="BD615" s="108"/>
      <c r="BE615" s="108"/>
      <c r="BF615" s="108"/>
      <c r="BG615" s="108"/>
      <c r="BH615" s="108"/>
      <c r="BI615" s="108"/>
      <c r="BJ615" s="108"/>
      <c r="BK615" s="109"/>
      <c r="BL615" s="108"/>
      <c r="BM615" s="108"/>
      <c r="BN615" s="108"/>
    </row>
    <row r="616" spans="1:66" ht="12" customHeight="1" x14ac:dyDescent="0.2">
      <c r="A616" s="179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  <c r="BC616" s="108"/>
      <c r="BD616" s="108"/>
      <c r="BE616" s="108"/>
      <c r="BF616" s="108"/>
      <c r="BG616" s="108"/>
      <c r="BH616" s="108"/>
      <c r="BI616" s="108"/>
      <c r="BJ616" s="108"/>
      <c r="BK616" s="109"/>
      <c r="BL616" s="108"/>
      <c r="BM616" s="108"/>
      <c r="BN616" s="108"/>
    </row>
    <row r="617" spans="1:66" ht="12" customHeight="1" x14ac:dyDescent="0.2">
      <c r="A617" s="179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  <c r="BG617" s="108"/>
      <c r="BH617" s="108"/>
      <c r="BI617" s="108"/>
      <c r="BJ617" s="108"/>
      <c r="BK617" s="109"/>
      <c r="BL617" s="108"/>
      <c r="BM617" s="108"/>
      <c r="BN617" s="108"/>
    </row>
    <row r="618" spans="1:66" ht="12" customHeight="1" x14ac:dyDescent="0.2">
      <c r="A618" s="179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  <c r="BC618" s="108"/>
      <c r="BD618" s="108"/>
      <c r="BE618" s="108"/>
      <c r="BF618" s="108"/>
      <c r="BG618" s="108"/>
      <c r="BH618" s="108"/>
      <c r="BI618" s="108"/>
      <c r="BJ618" s="108"/>
      <c r="BK618" s="109"/>
      <c r="BL618" s="108"/>
      <c r="BM618" s="108"/>
      <c r="BN618" s="108"/>
    </row>
    <row r="619" spans="1:66" ht="12" customHeight="1" x14ac:dyDescent="0.2">
      <c r="A619" s="179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  <c r="BC619" s="108"/>
      <c r="BD619" s="108"/>
      <c r="BE619" s="108"/>
      <c r="BF619" s="108"/>
      <c r="BG619" s="108"/>
      <c r="BH619" s="108"/>
      <c r="BI619" s="108"/>
      <c r="BJ619" s="108"/>
      <c r="BK619" s="109"/>
      <c r="BL619" s="108"/>
      <c r="BM619" s="108"/>
      <c r="BN619" s="108"/>
    </row>
    <row r="620" spans="1:66" ht="12" customHeight="1" x14ac:dyDescent="0.2">
      <c r="A620" s="179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  <c r="BC620" s="108"/>
      <c r="BD620" s="108"/>
      <c r="BE620" s="108"/>
      <c r="BF620" s="108"/>
      <c r="BG620" s="108"/>
      <c r="BH620" s="108"/>
      <c r="BI620" s="108"/>
      <c r="BJ620" s="108"/>
      <c r="BK620" s="109"/>
      <c r="BL620" s="108"/>
      <c r="BM620" s="108"/>
      <c r="BN620" s="108"/>
    </row>
    <row r="621" spans="1:66" ht="12" customHeight="1" x14ac:dyDescent="0.2">
      <c r="A621" s="179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  <c r="BC621" s="108"/>
      <c r="BD621" s="108"/>
      <c r="BE621" s="108"/>
      <c r="BF621" s="108"/>
      <c r="BG621" s="108"/>
      <c r="BH621" s="108"/>
      <c r="BI621" s="108"/>
      <c r="BJ621" s="108"/>
      <c r="BK621" s="109"/>
      <c r="BL621" s="108"/>
      <c r="BM621" s="108"/>
      <c r="BN621" s="108"/>
    </row>
    <row r="622" spans="1:66" ht="12" customHeight="1" x14ac:dyDescent="0.2">
      <c r="A622" s="179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  <c r="BC622" s="108"/>
      <c r="BD622" s="108"/>
      <c r="BE622" s="108"/>
      <c r="BF622" s="108"/>
      <c r="BG622" s="108"/>
      <c r="BH622" s="108"/>
      <c r="BI622" s="108"/>
      <c r="BJ622" s="108"/>
      <c r="BK622" s="109"/>
      <c r="BL622" s="108"/>
      <c r="BM622" s="108"/>
      <c r="BN622" s="108"/>
    </row>
    <row r="623" spans="1:66" ht="12" customHeight="1" x14ac:dyDescent="0.2">
      <c r="A623" s="179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  <c r="BC623" s="108"/>
      <c r="BD623" s="108"/>
      <c r="BE623" s="108"/>
      <c r="BF623" s="108"/>
      <c r="BG623" s="108"/>
      <c r="BH623" s="108"/>
      <c r="BI623" s="108"/>
      <c r="BJ623" s="108"/>
      <c r="BK623" s="109"/>
      <c r="BL623" s="108"/>
      <c r="BM623" s="108"/>
      <c r="BN623" s="108"/>
    </row>
    <row r="624" spans="1:66" ht="12" customHeight="1" x14ac:dyDescent="0.2">
      <c r="A624" s="179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  <c r="BC624" s="108"/>
      <c r="BD624" s="108"/>
      <c r="BE624" s="108"/>
      <c r="BF624" s="108"/>
      <c r="BG624" s="108"/>
      <c r="BH624" s="108"/>
      <c r="BI624" s="108"/>
      <c r="BJ624" s="108"/>
      <c r="BK624" s="109"/>
      <c r="BL624" s="108"/>
      <c r="BM624" s="108"/>
      <c r="BN624" s="108"/>
    </row>
    <row r="625" spans="1:66" ht="12" customHeight="1" x14ac:dyDescent="0.2">
      <c r="A625" s="179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  <c r="BC625" s="108"/>
      <c r="BD625" s="108"/>
      <c r="BE625" s="108"/>
      <c r="BF625" s="108"/>
      <c r="BG625" s="108"/>
      <c r="BH625" s="108"/>
      <c r="BI625" s="108"/>
      <c r="BJ625" s="108"/>
      <c r="BK625" s="109"/>
      <c r="BL625" s="108"/>
      <c r="BM625" s="108"/>
      <c r="BN625" s="108"/>
    </row>
    <row r="626" spans="1:66" ht="12" customHeight="1" x14ac:dyDescent="0.2">
      <c r="A626" s="179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  <c r="BD626" s="108"/>
      <c r="BE626" s="108"/>
      <c r="BF626" s="108"/>
      <c r="BG626" s="108"/>
      <c r="BH626" s="108"/>
      <c r="BI626" s="108"/>
      <c r="BJ626" s="108"/>
      <c r="BK626" s="109"/>
      <c r="BL626" s="108"/>
      <c r="BM626" s="108"/>
      <c r="BN626" s="108"/>
    </row>
    <row r="627" spans="1:66" ht="12" customHeight="1" x14ac:dyDescent="0.2">
      <c r="A627" s="179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  <c r="BC627" s="108"/>
      <c r="BD627" s="108"/>
      <c r="BE627" s="108"/>
      <c r="BF627" s="108"/>
      <c r="BG627" s="108"/>
      <c r="BH627" s="108"/>
      <c r="BI627" s="108"/>
      <c r="BJ627" s="108"/>
      <c r="BK627" s="109"/>
      <c r="BL627" s="108"/>
      <c r="BM627" s="108"/>
      <c r="BN627" s="108"/>
    </row>
    <row r="628" spans="1:66" ht="12" customHeight="1" x14ac:dyDescent="0.2">
      <c r="A628" s="179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  <c r="BC628" s="108"/>
      <c r="BD628" s="108"/>
      <c r="BE628" s="108"/>
      <c r="BF628" s="108"/>
      <c r="BG628" s="108"/>
      <c r="BH628" s="108"/>
      <c r="BI628" s="108"/>
      <c r="BJ628" s="108"/>
      <c r="BK628" s="109"/>
      <c r="BL628" s="108"/>
      <c r="BM628" s="108"/>
      <c r="BN628" s="108"/>
    </row>
    <row r="629" spans="1:66" ht="12" customHeight="1" x14ac:dyDescent="0.2">
      <c r="A629" s="179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  <c r="BC629" s="108"/>
      <c r="BD629" s="108"/>
      <c r="BE629" s="108"/>
      <c r="BF629" s="108"/>
      <c r="BG629" s="108"/>
      <c r="BH629" s="108"/>
      <c r="BI629" s="108"/>
      <c r="BJ629" s="108"/>
      <c r="BK629" s="109"/>
      <c r="BL629" s="108"/>
      <c r="BM629" s="108"/>
      <c r="BN629" s="108"/>
    </row>
    <row r="630" spans="1:66" ht="12" customHeight="1" x14ac:dyDescent="0.2">
      <c r="A630" s="179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  <c r="BC630" s="108"/>
      <c r="BD630" s="108"/>
      <c r="BE630" s="108"/>
      <c r="BF630" s="108"/>
      <c r="BG630" s="108"/>
      <c r="BH630" s="108"/>
      <c r="BI630" s="108"/>
      <c r="BJ630" s="108"/>
      <c r="BK630" s="109"/>
      <c r="BL630" s="108"/>
      <c r="BM630" s="108"/>
      <c r="BN630" s="108"/>
    </row>
    <row r="631" spans="1:66" ht="12" customHeight="1" x14ac:dyDescent="0.2">
      <c r="A631" s="179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9"/>
      <c r="BL631" s="108"/>
      <c r="BM631" s="108"/>
      <c r="BN631" s="108"/>
    </row>
    <row r="632" spans="1:66" ht="12" customHeight="1" x14ac:dyDescent="0.2">
      <c r="A632" s="179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  <c r="BC632" s="108"/>
      <c r="BD632" s="108"/>
      <c r="BE632" s="108"/>
      <c r="BF632" s="108"/>
      <c r="BG632" s="108"/>
      <c r="BH632" s="108"/>
      <c r="BI632" s="108"/>
      <c r="BJ632" s="108"/>
      <c r="BK632" s="109"/>
      <c r="BL632" s="108"/>
      <c r="BM632" s="108"/>
      <c r="BN632" s="108"/>
    </row>
    <row r="633" spans="1:66" ht="12" customHeight="1" x14ac:dyDescent="0.2">
      <c r="A633" s="179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  <c r="BC633" s="108"/>
      <c r="BD633" s="108"/>
      <c r="BE633" s="108"/>
      <c r="BF633" s="108"/>
      <c r="BG633" s="108"/>
      <c r="BH633" s="108"/>
      <c r="BI633" s="108"/>
      <c r="BJ633" s="108"/>
      <c r="BK633" s="109"/>
      <c r="BL633" s="108"/>
      <c r="BM633" s="108"/>
      <c r="BN633" s="108"/>
    </row>
    <row r="634" spans="1:66" ht="12" customHeight="1" x14ac:dyDescent="0.2">
      <c r="A634" s="179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9"/>
      <c r="BL634" s="108"/>
      <c r="BM634" s="108"/>
      <c r="BN634" s="108"/>
    </row>
    <row r="635" spans="1:66" ht="12" customHeight="1" x14ac:dyDescent="0.2">
      <c r="A635" s="179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  <c r="BC635" s="108"/>
      <c r="BD635" s="108"/>
      <c r="BE635" s="108"/>
      <c r="BF635" s="108"/>
      <c r="BG635" s="108"/>
      <c r="BH635" s="108"/>
      <c r="BI635" s="108"/>
      <c r="BJ635" s="108"/>
      <c r="BK635" s="109"/>
      <c r="BL635" s="108"/>
      <c r="BM635" s="108"/>
      <c r="BN635" s="108"/>
    </row>
    <row r="636" spans="1:66" ht="12" customHeight="1" x14ac:dyDescent="0.2">
      <c r="A636" s="179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  <c r="BG636" s="108"/>
      <c r="BH636" s="108"/>
      <c r="BI636" s="108"/>
      <c r="BJ636" s="108"/>
      <c r="BK636" s="109"/>
      <c r="BL636" s="108"/>
      <c r="BM636" s="108"/>
      <c r="BN636" s="108"/>
    </row>
    <row r="637" spans="1:66" ht="12" customHeight="1" x14ac:dyDescent="0.2">
      <c r="A637" s="179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  <c r="BG637" s="108"/>
      <c r="BH637" s="108"/>
      <c r="BI637" s="108"/>
      <c r="BJ637" s="108"/>
      <c r="BK637" s="109"/>
      <c r="BL637" s="108"/>
      <c r="BM637" s="108"/>
      <c r="BN637" s="108"/>
    </row>
    <row r="638" spans="1:66" ht="12" customHeight="1" x14ac:dyDescent="0.2">
      <c r="A638" s="179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  <c r="BD638" s="108"/>
      <c r="BE638" s="108"/>
      <c r="BF638" s="108"/>
      <c r="BG638" s="108"/>
      <c r="BH638" s="108"/>
      <c r="BI638" s="108"/>
      <c r="BJ638" s="108"/>
      <c r="BK638" s="109"/>
      <c r="BL638" s="108"/>
      <c r="BM638" s="108"/>
      <c r="BN638" s="108"/>
    </row>
    <row r="639" spans="1:66" ht="12" customHeight="1" x14ac:dyDescent="0.2">
      <c r="A639" s="179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  <c r="BD639" s="108"/>
      <c r="BE639" s="108"/>
      <c r="BF639" s="108"/>
      <c r="BG639" s="108"/>
      <c r="BH639" s="108"/>
      <c r="BI639" s="108"/>
      <c r="BJ639" s="108"/>
      <c r="BK639" s="109"/>
      <c r="BL639" s="108"/>
      <c r="BM639" s="108"/>
      <c r="BN639" s="108"/>
    </row>
    <row r="640" spans="1:66" ht="12" customHeight="1" x14ac:dyDescent="0.2">
      <c r="A640" s="179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  <c r="BC640" s="108"/>
      <c r="BD640" s="108"/>
      <c r="BE640" s="108"/>
      <c r="BF640" s="108"/>
      <c r="BG640" s="108"/>
      <c r="BH640" s="108"/>
      <c r="BI640" s="108"/>
      <c r="BJ640" s="108"/>
      <c r="BK640" s="109"/>
      <c r="BL640" s="108"/>
      <c r="BM640" s="108"/>
      <c r="BN640" s="108"/>
    </row>
    <row r="641" spans="1:66" ht="12" customHeight="1" x14ac:dyDescent="0.2">
      <c r="A641" s="179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  <c r="BC641" s="108"/>
      <c r="BD641" s="108"/>
      <c r="BE641" s="108"/>
      <c r="BF641" s="108"/>
      <c r="BG641" s="108"/>
      <c r="BH641" s="108"/>
      <c r="BI641" s="108"/>
      <c r="BJ641" s="108"/>
      <c r="BK641" s="109"/>
      <c r="BL641" s="108"/>
      <c r="BM641" s="108"/>
      <c r="BN641" s="108"/>
    </row>
    <row r="642" spans="1:66" ht="12" customHeight="1" x14ac:dyDescent="0.2">
      <c r="A642" s="179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  <c r="BC642" s="108"/>
      <c r="BD642" s="108"/>
      <c r="BE642" s="108"/>
      <c r="BF642" s="108"/>
      <c r="BG642" s="108"/>
      <c r="BH642" s="108"/>
      <c r="BI642" s="108"/>
      <c r="BJ642" s="108"/>
      <c r="BK642" s="109"/>
      <c r="BL642" s="108"/>
      <c r="BM642" s="108"/>
      <c r="BN642" s="108"/>
    </row>
    <row r="643" spans="1:66" ht="12" customHeight="1" x14ac:dyDescent="0.2">
      <c r="A643" s="179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  <c r="BD643" s="108"/>
      <c r="BE643" s="108"/>
      <c r="BF643" s="108"/>
      <c r="BG643" s="108"/>
      <c r="BH643" s="108"/>
      <c r="BI643" s="108"/>
      <c r="BJ643" s="108"/>
      <c r="BK643" s="109"/>
      <c r="BL643" s="108"/>
      <c r="BM643" s="108"/>
      <c r="BN643" s="108"/>
    </row>
    <row r="644" spans="1:66" ht="12" customHeight="1" x14ac:dyDescent="0.2">
      <c r="A644" s="179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  <c r="BC644" s="108"/>
      <c r="BD644" s="108"/>
      <c r="BE644" s="108"/>
      <c r="BF644" s="108"/>
      <c r="BG644" s="108"/>
      <c r="BH644" s="108"/>
      <c r="BI644" s="108"/>
      <c r="BJ644" s="108"/>
      <c r="BK644" s="109"/>
      <c r="BL644" s="108"/>
      <c r="BM644" s="108"/>
      <c r="BN644" s="108"/>
    </row>
    <row r="645" spans="1:66" ht="12" customHeight="1" x14ac:dyDescent="0.2">
      <c r="A645" s="179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  <c r="BC645" s="108"/>
      <c r="BD645" s="108"/>
      <c r="BE645" s="108"/>
      <c r="BF645" s="108"/>
      <c r="BG645" s="108"/>
      <c r="BH645" s="108"/>
      <c r="BI645" s="108"/>
      <c r="BJ645" s="108"/>
      <c r="BK645" s="109"/>
      <c r="BL645" s="108"/>
      <c r="BM645" s="108"/>
      <c r="BN645" s="108"/>
    </row>
    <row r="646" spans="1:66" ht="12" customHeight="1" x14ac:dyDescent="0.2">
      <c r="A646" s="179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  <c r="BC646" s="108"/>
      <c r="BD646" s="108"/>
      <c r="BE646" s="108"/>
      <c r="BF646" s="108"/>
      <c r="BG646" s="108"/>
      <c r="BH646" s="108"/>
      <c r="BI646" s="108"/>
      <c r="BJ646" s="108"/>
      <c r="BK646" s="109"/>
      <c r="BL646" s="108"/>
      <c r="BM646" s="108"/>
      <c r="BN646" s="108"/>
    </row>
    <row r="647" spans="1:66" ht="12" customHeight="1" x14ac:dyDescent="0.2">
      <c r="A647" s="179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  <c r="BC647" s="108"/>
      <c r="BD647" s="108"/>
      <c r="BE647" s="108"/>
      <c r="BF647" s="108"/>
      <c r="BG647" s="108"/>
      <c r="BH647" s="108"/>
      <c r="BI647" s="108"/>
      <c r="BJ647" s="108"/>
      <c r="BK647" s="109"/>
      <c r="BL647" s="108"/>
      <c r="BM647" s="108"/>
      <c r="BN647" s="108"/>
    </row>
    <row r="648" spans="1:66" ht="12" customHeight="1" x14ac:dyDescent="0.2">
      <c r="A648" s="179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  <c r="BC648" s="108"/>
      <c r="BD648" s="108"/>
      <c r="BE648" s="108"/>
      <c r="BF648" s="108"/>
      <c r="BG648" s="108"/>
      <c r="BH648" s="108"/>
      <c r="BI648" s="108"/>
      <c r="BJ648" s="108"/>
      <c r="BK648" s="109"/>
      <c r="BL648" s="108"/>
      <c r="BM648" s="108"/>
      <c r="BN648" s="108"/>
    </row>
    <row r="649" spans="1:66" ht="12" customHeight="1" x14ac:dyDescent="0.2">
      <c r="A649" s="179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  <c r="BC649" s="108"/>
      <c r="BD649" s="108"/>
      <c r="BE649" s="108"/>
      <c r="BF649" s="108"/>
      <c r="BG649" s="108"/>
      <c r="BH649" s="108"/>
      <c r="BI649" s="108"/>
      <c r="BJ649" s="108"/>
      <c r="BK649" s="109"/>
      <c r="BL649" s="108"/>
      <c r="BM649" s="108"/>
      <c r="BN649" s="108"/>
    </row>
    <row r="650" spans="1:66" ht="12" customHeight="1" x14ac:dyDescent="0.2">
      <c r="A650" s="179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  <c r="BC650" s="108"/>
      <c r="BD650" s="108"/>
      <c r="BE650" s="108"/>
      <c r="BF650" s="108"/>
      <c r="BG650" s="108"/>
      <c r="BH650" s="108"/>
      <c r="BI650" s="108"/>
      <c r="BJ650" s="108"/>
      <c r="BK650" s="109"/>
      <c r="BL650" s="108"/>
      <c r="BM650" s="108"/>
      <c r="BN650" s="108"/>
    </row>
    <row r="651" spans="1:66" ht="12" customHeight="1" x14ac:dyDescent="0.2">
      <c r="A651" s="179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  <c r="BD651" s="108"/>
      <c r="BE651" s="108"/>
      <c r="BF651" s="108"/>
      <c r="BG651" s="108"/>
      <c r="BH651" s="108"/>
      <c r="BI651" s="108"/>
      <c r="BJ651" s="108"/>
      <c r="BK651" s="109"/>
      <c r="BL651" s="108"/>
      <c r="BM651" s="108"/>
      <c r="BN651" s="108"/>
    </row>
    <row r="652" spans="1:66" ht="12" customHeight="1" x14ac:dyDescent="0.2">
      <c r="A652" s="179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  <c r="BC652" s="108"/>
      <c r="BD652" s="108"/>
      <c r="BE652" s="108"/>
      <c r="BF652" s="108"/>
      <c r="BG652" s="108"/>
      <c r="BH652" s="108"/>
      <c r="BI652" s="108"/>
      <c r="BJ652" s="108"/>
      <c r="BK652" s="109"/>
      <c r="BL652" s="108"/>
      <c r="BM652" s="108"/>
      <c r="BN652" s="108"/>
    </row>
    <row r="653" spans="1:66" ht="12" customHeight="1" x14ac:dyDescent="0.2">
      <c r="A653" s="179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  <c r="BD653" s="108"/>
      <c r="BE653" s="108"/>
      <c r="BF653" s="108"/>
      <c r="BG653" s="108"/>
      <c r="BH653" s="108"/>
      <c r="BI653" s="108"/>
      <c r="BJ653" s="108"/>
      <c r="BK653" s="109"/>
      <c r="BL653" s="108"/>
      <c r="BM653" s="108"/>
      <c r="BN653" s="108"/>
    </row>
    <row r="654" spans="1:66" ht="12" customHeight="1" x14ac:dyDescent="0.2">
      <c r="A654" s="179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  <c r="BD654" s="108"/>
      <c r="BE654" s="108"/>
      <c r="BF654" s="108"/>
      <c r="BG654" s="108"/>
      <c r="BH654" s="108"/>
      <c r="BI654" s="108"/>
      <c r="BJ654" s="108"/>
      <c r="BK654" s="109"/>
      <c r="BL654" s="108"/>
      <c r="BM654" s="108"/>
      <c r="BN654" s="108"/>
    </row>
    <row r="655" spans="1:66" ht="12" customHeight="1" x14ac:dyDescent="0.2">
      <c r="A655" s="179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  <c r="BD655" s="108"/>
      <c r="BE655" s="108"/>
      <c r="BF655" s="108"/>
      <c r="BG655" s="108"/>
      <c r="BH655" s="108"/>
      <c r="BI655" s="108"/>
      <c r="BJ655" s="108"/>
      <c r="BK655" s="109"/>
      <c r="BL655" s="108"/>
      <c r="BM655" s="108"/>
      <c r="BN655" s="108"/>
    </row>
    <row r="656" spans="1:66" ht="12" customHeight="1" x14ac:dyDescent="0.2">
      <c r="A656" s="179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  <c r="BD656" s="108"/>
      <c r="BE656" s="108"/>
      <c r="BF656" s="108"/>
      <c r="BG656" s="108"/>
      <c r="BH656" s="108"/>
      <c r="BI656" s="108"/>
      <c r="BJ656" s="108"/>
      <c r="BK656" s="109"/>
      <c r="BL656" s="108"/>
      <c r="BM656" s="108"/>
      <c r="BN656" s="108"/>
    </row>
    <row r="657" spans="1:66" ht="12" customHeight="1" x14ac:dyDescent="0.2">
      <c r="A657" s="179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  <c r="BD657" s="108"/>
      <c r="BE657" s="108"/>
      <c r="BF657" s="108"/>
      <c r="BG657" s="108"/>
      <c r="BH657" s="108"/>
      <c r="BI657" s="108"/>
      <c r="BJ657" s="108"/>
      <c r="BK657" s="109"/>
      <c r="BL657" s="108"/>
      <c r="BM657" s="108"/>
      <c r="BN657" s="108"/>
    </row>
    <row r="658" spans="1:66" ht="12" customHeight="1" x14ac:dyDescent="0.2">
      <c r="A658" s="179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  <c r="BD658" s="108"/>
      <c r="BE658" s="108"/>
      <c r="BF658" s="108"/>
      <c r="BG658" s="108"/>
      <c r="BH658" s="108"/>
      <c r="BI658" s="108"/>
      <c r="BJ658" s="108"/>
      <c r="BK658" s="109"/>
      <c r="BL658" s="108"/>
      <c r="BM658" s="108"/>
      <c r="BN658" s="108"/>
    </row>
    <row r="659" spans="1:66" ht="12" customHeight="1" x14ac:dyDescent="0.2">
      <c r="A659" s="179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  <c r="BD659" s="108"/>
      <c r="BE659" s="108"/>
      <c r="BF659" s="108"/>
      <c r="BG659" s="108"/>
      <c r="BH659" s="108"/>
      <c r="BI659" s="108"/>
      <c r="BJ659" s="108"/>
      <c r="BK659" s="109"/>
      <c r="BL659" s="108"/>
      <c r="BM659" s="108"/>
      <c r="BN659" s="108"/>
    </row>
    <row r="660" spans="1:66" ht="12" customHeight="1" x14ac:dyDescent="0.2">
      <c r="A660" s="179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  <c r="BC660" s="108"/>
      <c r="BD660" s="108"/>
      <c r="BE660" s="108"/>
      <c r="BF660" s="108"/>
      <c r="BG660" s="108"/>
      <c r="BH660" s="108"/>
      <c r="BI660" s="108"/>
      <c r="BJ660" s="108"/>
      <c r="BK660" s="109"/>
      <c r="BL660" s="108"/>
      <c r="BM660" s="108"/>
      <c r="BN660" s="108"/>
    </row>
    <row r="661" spans="1:66" ht="12" customHeight="1" x14ac:dyDescent="0.2">
      <c r="A661" s="179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  <c r="BC661" s="108"/>
      <c r="BD661" s="108"/>
      <c r="BE661" s="108"/>
      <c r="BF661" s="108"/>
      <c r="BG661" s="108"/>
      <c r="BH661" s="108"/>
      <c r="BI661" s="108"/>
      <c r="BJ661" s="108"/>
      <c r="BK661" s="109"/>
      <c r="BL661" s="108"/>
      <c r="BM661" s="108"/>
      <c r="BN661" s="108"/>
    </row>
    <row r="662" spans="1:66" ht="12" customHeight="1" x14ac:dyDescent="0.2">
      <c r="A662" s="179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  <c r="BC662" s="108"/>
      <c r="BD662" s="108"/>
      <c r="BE662" s="108"/>
      <c r="BF662" s="108"/>
      <c r="BG662" s="108"/>
      <c r="BH662" s="108"/>
      <c r="BI662" s="108"/>
      <c r="BJ662" s="108"/>
      <c r="BK662" s="109"/>
      <c r="BL662" s="108"/>
      <c r="BM662" s="108"/>
      <c r="BN662" s="108"/>
    </row>
    <row r="663" spans="1:66" ht="12" customHeight="1" x14ac:dyDescent="0.2">
      <c r="A663" s="179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  <c r="BC663" s="108"/>
      <c r="BD663" s="108"/>
      <c r="BE663" s="108"/>
      <c r="BF663" s="108"/>
      <c r="BG663" s="108"/>
      <c r="BH663" s="108"/>
      <c r="BI663" s="108"/>
      <c r="BJ663" s="108"/>
      <c r="BK663" s="109"/>
      <c r="BL663" s="108"/>
      <c r="BM663" s="108"/>
      <c r="BN663" s="108"/>
    </row>
    <row r="664" spans="1:66" ht="12" customHeight="1" x14ac:dyDescent="0.2">
      <c r="A664" s="179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  <c r="BC664" s="108"/>
      <c r="BD664" s="108"/>
      <c r="BE664" s="108"/>
      <c r="BF664" s="108"/>
      <c r="BG664" s="108"/>
      <c r="BH664" s="108"/>
      <c r="BI664" s="108"/>
      <c r="BJ664" s="108"/>
      <c r="BK664" s="109"/>
      <c r="BL664" s="108"/>
      <c r="BM664" s="108"/>
      <c r="BN664" s="108"/>
    </row>
    <row r="665" spans="1:66" ht="12" customHeight="1" x14ac:dyDescent="0.2">
      <c r="A665" s="179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  <c r="BC665" s="108"/>
      <c r="BD665" s="108"/>
      <c r="BE665" s="108"/>
      <c r="BF665" s="108"/>
      <c r="BG665" s="108"/>
      <c r="BH665" s="108"/>
      <c r="BI665" s="108"/>
      <c r="BJ665" s="108"/>
      <c r="BK665" s="109"/>
      <c r="BL665" s="108"/>
      <c r="BM665" s="108"/>
      <c r="BN665" s="108"/>
    </row>
    <row r="666" spans="1:66" ht="12" customHeight="1" x14ac:dyDescent="0.2">
      <c r="A666" s="179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  <c r="BC666" s="108"/>
      <c r="BD666" s="108"/>
      <c r="BE666" s="108"/>
      <c r="BF666" s="108"/>
      <c r="BG666" s="108"/>
      <c r="BH666" s="108"/>
      <c r="BI666" s="108"/>
      <c r="BJ666" s="108"/>
      <c r="BK666" s="109"/>
      <c r="BL666" s="108"/>
      <c r="BM666" s="108"/>
      <c r="BN666" s="108"/>
    </row>
    <row r="667" spans="1:66" ht="12" customHeight="1" x14ac:dyDescent="0.2">
      <c r="A667" s="179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  <c r="BD667" s="108"/>
      <c r="BE667" s="108"/>
      <c r="BF667" s="108"/>
      <c r="BG667" s="108"/>
      <c r="BH667" s="108"/>
      <c r="BI667" s="108"/>
      <c r="BJ667" s="108"/>
      <c r="BK667" s="109"/>
      <c r="BL667" s="108"/>
      <c r="BM667" s="108"/>
      <c r="BN667" s="108"/>
    </row>
    <row r="668" spans="1:66" ht="12" customHeight="1" x14ac:dyDescent="0.2">
      <c r="A668" s="179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  <c r="BC668" s="108"/>
      <c r="BD668" s="108"/>
      <c r="BE668" s="108"/>
      <c r="BF668" s="108"/>
      <c r="BG668" s="108"/>
      <c r="BH668" s="108"/>
      <c r="BI668" s="108"/>
      <c r="BJ668" s="108"/>
      <c r="BK668" s="109"/>
      <c r="BL668" s="108"/>
      <c r="BM668" s="108"/>
      <c r="BN668" s="108"/>
    </row>
    <row r="669" spans="1:66" ht="12" customHeight="1" x14ac:dyDescent="0.2">
      <c r="A669" s="179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9"/>
      <c r="BL669" s="108"/>
      <c r="BM669" s="108"/>
      <c r="BN669" s="108"/>
    </row>
    <row r="670" spans="1:66" ht="12" customHeight="1" x14ac:dyDescent="0.2">
      <c r="A670" s="179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  <c r="BC670" s="108"/>
      <c r="BD670" s="108"/>
      <c r="BE670" s="108"/>
      <c r="BF670" s="108"/>
      <c r="BG670" s="108"/>
      <c r="BH670" s="108"/>
      <c r="BI670" s="108"/>
      <c r="BJ670" s="108"/>
      <c r="BK670" s="109"/>
      <c r="BL670" s="108"/>
      <c r="BM670" s="108"/>
      <c r="BN670" s="108"/>
    </row>
    <row r="671" spans="1:66" ht="12" customHeight="1" x14ac:dyDescent="0.2">
      <c r="A671" s="179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  <c r="BC671" s="108"/>
      <c r="BD671" s="108"/>
      <c r="BE671" s="108"/>
      <c r="BF671" s="108"/>
      <c r="BG671" s="108"/>
      <c r="BH671" s="108"/>
      <c r="BI671" s="108"/>
      <c r="BJ671" s="108"/>
      <c r="BK671" s="109"/>
      <c r="BL671" s="108"/>
      <c r="BM671" s="108"/>
      <c r="BN671" s="108"/>
    </row>
    <row r="672" spans="1:66" ht="12" customHeight="1" x14ac:dyDescent="0.2">
      <c r="A672" s="179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9"/>
      <c r="BL672" s="108"/>
      <c r="BM672" s="108"/>
      <c r="BN672" s="108"/>
    </row>
    <row r="673" spans="1:66" ht="12" customHeight="1" x14ac:dyDescent="0.2">
      <c r="A673" s="179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  <c r="BC673" s="108"/>
      <c r="BD673" s="108"/>
      <c r="BE673" s="108"/>
      <c r="BF673" s="108"/>
      <c r="BG673" s="108"/>
      <c r="BH673" s="108"/>
      <c r="BI673" s="108"/>
      <c r="BJ673" s="108"/>
      <c r="BK673" s="109"/>
      <c r="BL673" s="108"/>
      <c r="BM673" s="108"/>
      <c r="BN673" s="108"/>
    </row>
    <row r="674" spans="1:66" ht="12" customHeight="1" x14ac:dyDescent="0.2">
      <c r="A674" s="179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  <c r="BD674" s="108"/>
      <c r="BE674" s="108"/>
      <c r="BF674" s="108"/>
      <c r="BG674" s="108"/>
      <c r="BH674" s="108"/>
      <c r="BI674" s="108"/>
      <c r="BJ674" s="108"/>
      <c r="BK674" s="109"/>
      <c r="BL674" s="108"/>
      <c r="BM674" s="108"/>
      <c r="BN674" s="108"/>
    </row>
    <row r="675" spans="1:66" ht="12" customHeight="1" x14ac:dyDescent="0.2">
      <c r="A675" s="179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  <c r="BD675" s="108"/>
      <c r="BE675" s="108"/>
      <c r="BF675" s="108"/>
      <c r="BG675" s="108"/>
      <c r="BH675" s="108"/>
      <c r="BI675" s="108"/>
      <c r="BJ675" s="108"/>
      <c r="BK675" s="109"/>
      <c r="BL675" s="108"/>
      <c r="BM675" s="108"/>
      <c r="BN675" s="108"/>
    </row>
    <row r="676" spans="1:66" ht="12" customHeight="1" x14ac:dyDescent="0.2">
      <c r="A676" s="179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  <c r="BD676" s="108"/>
      <c r="BE676" s="108"/>
      <c r="BF676" s="108"/>
      <c r="BG676" s="108"/>
      <c r="BH676" s="108"/>
      <c r="BI676" s="108"/>
      <c r="BJ676" s="108"/>
      <c r="BK676" s="109"/>
      <c r="BL676" s="108"/>
      <c r="BM676" s="108"/>
      <c r="BN676" s="108"/>
    </row>
    <row r="677" spans="1:66" ht="12" customHeight="1" x14ac:dyDescent="0.2">
      <c r="A677" s="179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  <c r="BD677" s="108"/>
      <c r="BE677" s="108"/>
      <c r="BF677" s="108"/>
      <c r="BG677" s="108"/>
      <c r="BH677" s="108"/>
      <c r="BI677" s="108"/>
      <c r="BJ677" s="108"/>
      <c r="BK677" s="109"/>
      <c r="BL677" s="108"/>
      <c r="BM677" s="108"/>
      <c r="BN677" s="108"/>
    </row>
    <row r="678" spans="1:66" ht="12" customHeight="1" x14ac:dyDescent="0.2">
      <c r="A678" s="179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  <c r="BC678" s="108"/>
      <c r="BD678" s="108"/>
      <c r="BE678" s="108"/>
      <c r="BF678" s="108"/>
      <c r="BG678" s="108"/>
      <c r="BH678" s="108"/>
      <c r="BI678" s="108"/>
      <c r="BJ678" s="108"/>
      <c r="BK678" s="109"/>
      <c r="BL678" s="108"/>
      <c r="BM678" s="108"/>
      <c r="BN678" s="108"/>
    </row>
    <row r="679" spans="1:66" ht="12" customHeight="1" x14ac:dyDescent="0.2">
      <c r="A679" s="179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  <c r="BC679" s="108"/>
      <c r="BD679" s="108"/>
      <c r="BE679" s="108"/>
      <c r="BF679" s="108"/>
      <c r="BG679" s="108"/>
      <c r="BH679" s="108"/>
      <c r="BI679" s="108"/>
      <c r="BJ679" s="108"/>
      <c r="BK679" s="109"/>
      <c r="BL679" s="108"/>
      <c r="BM679" s="108"/>
      <c r="BN679" s="108"/>
    </row>
    <row r="680" spans="1:66" ht="12" customHeight="1" x14ac:dyDescent="0.2">
      <c r="A680" s="179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  <c r="BC680" s="108"/>
      <c r="BD680" s="108"/>
      <c r="BE680" s="108"/>
      <c r="BF680" s="108"/>
      <c r="BG680" s="108"/>
      <c r="BH680" s="108"/>
      <c r="BI680" s="108"/>
      <c r="BJ680" s="108"/>
      <c r="BK680" s="109"/>
      <c r="BL680" s="108"/>
      <c r="BM680" s="108"/>
      <c r="BN680" s="108"/>
    </row>
    <row r="681" spans="1:66" ht="12" customHeight="1" x14ac:dyDescent="0.2">
      <c r="A681" s="179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  <c r="BC681" s="108"/>
      <c r="BD681" s="108"/>
      <c r="BE681" s="108"/>
      <c r="BF681" s="108"/>
      <c r="BG681" s="108"/>
      <c r="BH681" s="108"/>
      <c r="BI681" s="108"/>
      <c r="BJ681" s="108"/>
      <c r="BK681" s="109"/>
      <c r="BL681" s="108"/>
      <c r="BM681" s="108"/>
      <c r="BN681" s="108"/>
    </row>
    <row r="682" spans="1:66" ht="12" customHeight="1" x14ac:dyDescent="0.2">
      <c r="A682" s="179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  <c r="BC682" s="108"/>
      <c r="BD682" s="108"/>
      <c r="BE682" s="108"/>
      <c r="BF682" s="108"/>
      <c r="BG682" s="108"/>
      <c r="BH682" s="108"/>
      <c r="BI682" s="108"/>
      <c r="BJ682" s="108"/>
      <c r="BK682" s="109"/>
      <c r="BL682" s="108"/>
      <c r="BM682" s="108"/>
      <c r="BN682" s="108"/>
    </row>
    <row r="683" spans="1:66" ht="12" customHeight="1" x14ac:dyDescent="0.2">
      <c r="A683" s="179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  <c r="BC683" s="108"/>
      <c r="BD683" s="108"/>
      <c r="BE683" s="108"/>
      <c r="BF683" s="108"/>
      <c r="BG683" s="108"/>
      <c r="BH683" s="108"/>
      <c r="BI683" s="108"/>
      <c r="BJ683" s="108"/>
      <c r="BK683" s="109"/>
      <c r="BL683" s="108"/>
      <c r="BM683" s="108"/>
      <c r="BN683" s="108"/>
    </row>
    <row r="684" spans="1:66" ht="12" customHeight="1" x14ac:dyDescent="0.2">
      <c r="A684" s="179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  <c r="BD684" s="108"/>
      <c r="BE684" s="108"/>
      <c r="BF684" s="108"/>
      <c r="BG684" s="108"/>
      <c r="BH684" s="108"/>
      <c r="BI684" s="108"/>
      <c r="BJ684" s="108"/>
      <c r="BK684" s="109"/>
      <c r="BL684" s="108"/>
      <c r="BM684" s="108"/>
      <c r="BN684" s="108"/>
    </row>
    <row r="685" spans="1:66" ht="12" customHeight="1" x14ac:dyDescent="0.2">
      <c r="A685" s="179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  <c r="BC685" s="108"/>
      <c r="BD685" s="108"/>
      <c r="BE685" s="108"/>
      <c r="BF685" s="108"/>
      <c r="BG685" s="108"/>
      <c r="BH685" s="108"/>
      <c r="BI685" s="108"/>
      <c r="BJ685" s="108"/>
      <c r="BK685" s="109"/>
      <c r="BL685" s="108"/>
      <c r="BM685" s="108"/>
      <c r="BN685" s="108"/>
    </row>
    <row r="686" spans="1:66" ht="12" customHeight="1" x14ac:dyDescent="0.2">
      <c r="A686" s="179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  <c r="BC686" s="108"/>
      <c r="BD686" s="108"/>
      <c r="BE686" s="108"/>
      <c r="BF686" s="108"/>
      <c r="BG686" s="108"/>
      <c r="BH686" s="108"/>
      <c r="BI686" s="108"/>
      <c r="BJ686" s="108"/>
      <c r="BK686" s="109"/>
      <c r="BL686" s="108"/>
      <c r="BM686" s="108"/>
      <c r="BN686" s="108"/>
    </row>
    <row r="687" spans="1:66" ht="12" customHeight="1" x14ac:dyDescent="0.2">
      <c r="A687" s="179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  <c r="BC687" s="108"/>
      <c r="BD687" s="108"/>
      <c r="BE687" s="108"/>
      <c r="BF687" s="108"/>
      <c r="BG687" s="108"/>
      <c r="BH687" s="108"/>
      <c r="BI687" s="108"/>
      <c r="BJ687" s="108"/>
      <c r="BK687" s="109"/>
      <c r="BL687" s="108"/>
      <c r="BM687" s="108"/>
      <c r="BN687" s="108"/>
    </row>
    <row r="688" spans="1:66" ht="12" customHeight="1" x14ac:dyDescent="0.2">
      <c r="A688" s="179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  <c r="BC688" s="108"/>
      <c r="BD688" s="108"/>
      <c r="BE688" s="108"/>
      <c r="BF688" s="108"/>
      <c r="BG688" s="108"/>
      <c r="BH688" s="108"/>
      <c r="BI688" s="108"/>
      <c r="BJ688" s="108"/>
      <c r="BK688" s="109"/>
      <c r="BL688" s="108"/>
      <c r="BM688" s="108"/>
      <c r="BN688" s="108"/>
    </row>
    <row r="689" spans="1:66" ht="12" customHeight="1" x14ac:dyDescent="0.2">
      <c r="A689" s="179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  <c r="BD689" s="108"/>
      <c r="BE689" s="108"/>
      <c r="BF689" s="108"/>
      <c r="BG689" s="108"/>
      <c r="BH689" s="108"/>
      <c r="BI689" s="108"/>
      <c r="BJ689" s="108"/>
      <c r="BK689" s="109"/>
      <c r="BL689" s="108"/>
      <c r="BM689" s="108"/>
      <c r="BN689" s="108"/>
    </row>
    <row r="690" spans="1:66" ht="12" customHeight="1" x14ac:dyDescent="0.2">
      <c r="A690" s="179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  <c r="BD690" s="108"/>
      <c r="BE690" s="108"/>
      <c r="BF690" s="108"/>
      <c r="BG690" s="108"/>
      <c r="BH690" s="108"/>
      <c r="BI690" s="108"/>
      <c r="BJ690" s="108"/>
      <c r="BK690" s="109"/>
      <c r="BL690" s="108"/>
      <c r="BM690" s="108"/>
      <c r="BN690" s="108"/>
    </row>
    <row r="691" spans="1:66" ht="12" customHeight="1" x14ac:dyDescent="0.2">
      <c r="A691" s="179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  <c r="BC691" s="108"/>
      <c r="BD691" s="108"/>
      <c r="BE691" s="108"/>
      <c r="BF691" s="108"/>
      <c r="BG691" s="108"/>
      <c r="BH691" s="108"/>
      <c r="BI691" s="108"/>
      <c r="BJ691" s="108"/>
      <c r="BK691" s="109"/>
      <c r="BL691" s="108"/>
      <c r="BM691" s="108"/>
      <c r="BN691" s="108"/>
    </row>
    <row r="692" spans="1:66" ht="12" customHeight="1" x14ac:dyDescent="0.2">
      <c r="A692" s="179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  <c r="BD692" s="108"/>
      <c r="BE692" s="108"/>
      <c r="BF692" s="108"/>
      <c r="BG692" s="108"/>
      <c r="BH692" s="108"/>
      <c r="BI692" s="108"/>
      <c r="BJ692" s="108"/>
      <c r="BK692" s="109"/>
      <c r="BL692" s="108"/>
      <c r="BM692" s="108"/>
      <c r="BN692" s="108"/>
    </row>
    <row r="693" spans="1:66" ht="12" customHeight="1" x14ac:dyDescent="0.2">
      <c r="A693" s="179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  <c r="BG693" s="108"/>
      <c r="BH693" s="108"/>
      <c r="BI693" s="108"/>
      <c r="BJ693" s="108"/>
      <c r="BK693" s="109"/>
      <c r="BL693" s="108"/>
      <c r="BM693" s="108"/>
      <c r="BN693" s="108"/>
    </row>
    <row r="694" spans="1:66" ht="12" customHeight="1" x14ac:dyDescent="0.2">
      <c r="A694" s="179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  <c r="BD694" s="108"/>
      <c r="BE694" s="108"/>
      <c r="BF694" s="108"/>
      <c r="BG694" s="108"/>
      <c r="BH694" s="108"/>
      <c r="BI694" s="108"/>
      <c r="BJ694" s="108"/>
      <c r="BK694" s="109"/>
      <c r="BL694" s="108"/>
      <c r="BM694" s="108"/>
      <c r="BN694" s="108"/>
    </row>
    <row r="695" spans="1:66" ht="12" customHeight="1" x14ac:dyDescent="0.2">
      <c r="A695" s="179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  <c r="BC695" s="108"/>
      <c r="BD695" s="108"/>
      <c r="BE695" s="108"/>
      <c r="BF695" s="108"/>
      <c r="BG695" s="108"/>
      <c r="BH695" s="108"/>
      <c r="BI695" s="108"/>
      <c r="BJ695" s="108"/>
      <c r="BK695" s="109"/>
      <c r="BL695" s="108"/>
      <c r="BM695" s="108"/>
      <c r="BN695" s="108"/>
    </row>
    <row r="696" spans="1:66" ht="12" customHeight="1" x14ac:dyDescent="0.2">
      <c r="A696" s="179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  <c r="BD696" s="108"/>
      <c r="BE696" s="108"/>
      <c r="BF696" s="108"/>
      <c r="BG696" s="108"/>
      <c r="BH696" s="108"/>
      <c r="BI696" s="108"/>
      <c r="BJ696" s="108"/>
      <c r="BK696" s="109"/>
      <c r="BL696" s="108"/>
      <c r="BM696" s="108"/>
      <c r="BN696" s="108"/>
    </row>
    <row r="697" spans="1:66" ht="12" customHeight="1" x14ac:dyDescent="0.2">
      <c r="A697" s="179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  <c r="BC697" s="108"/>
      <c r="BD697" s="108"/>
      <c r="BE697" s="108"/>
      <c r="BF697" s="108"/>
      <c r="BG697" s="108"/>
      <c r="BH697" s="108"/>
      <c r="BI697" s="108"/>
      <c r="BJ697" s="108"/>
      <c r="BK697" s="109"/>
      <c r="BL697" s="108"/>
      <c r="BM697" s="108"/>
      <c r="BN697" s="108"/>
    </row>
    <row r="698" spans="1:66" ht="12" customHeight="1" x14ac:dyDescent="0.2">
      <c r="A698" s="179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  <c r="BD698" s="108"/>
      <c r="BE698" s="108"/>
      <c r="BF698" s="108"/>
      <c r="BG698" s="108"/>
      <c r="BH698" s="108"/>
      <c r="BI698" s="108"/>
      <c r="BJ698" s="108"/>
      <c r="BK698" s="109"/>
      <c r="BL698" s="108"/>
      <c r="BM698" s="108"/>
      <c r="BN698" s="108"/>
    </row>
    <row r="699" spans="1:66" ht="12" customHeight="1" x14ac:dyDescent="0.2">
      <c r="A699" s="179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  <c r="BC699" s="108"/>
      <c r="BD699" s="108"/>
      <c r="BE699" s="108"/>
      <c r="BF699" s="108"/>
      <c r="BG699" s="108"/>
      <c r="BH699" s="108"/>
      <c r="BI699" s="108"/>
      <c r="BJ699" s="108"/>
      <c r="BK699" s="109"/>
      <c r="BL699" s="108"/>
      <c r="BM699" s="108"/>
      <c r="BN699" s="108"/>
    </row>
    <row r="700" spans="1:66" ht="12" customHeight="1" x14ac:dyDescent="0.2">
      <c r="A700" s="179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  <c r="BC700" s="108"/>
      <c r="BD700" s="108"/>
      <c r="BE700" s="108"/>
      <c r="BF700" s="108"/>
      <c r="BG700" s="108"/>
      <c r="BH700" s="108"/>
      <c r="BI700" s="108"/>
      <c r="BJ700" s="108"/>
      <c r="BK700" s="109"/>
      <c r="BL700" s="108"/>
      <c r="BM700" s="108"/>
      <c r="BN700" s="108"/>
    </row>
    <row r="701" spans="1:66" ht="12" customHeight="1" x14ac:dyDescent="0.2">
      <c r="A701" s="179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  <c r="BC701" s="108"/>
      <c r="BD701" s="108"/>
      <c r="BE701" s="108"/>
      <c r="BF701" s="108"/>
      <c r="BG701" s="108"/>
      <c r="BH701" s="108"/>
      <c r="BI701" s="108"/>
      <c r="BJ701" s="108"/>
      <c r="BK701" s="109"/>
      <c r="BL701" s="108"/>
      <c r="BM701" s="108"/>
      <c r="BN701" s="108"/>
    </row>
    <row r="702" spans="1:66" ht="12" customHeight="1" x14ac:dyDescent="0.2">
      <c r="A702" s="179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  <c r="BC702" s="108"/>
      <c r="BD702" s="108"/>
      <c r="BE702" s="108"/>
      <c r="BF702" s="108"/>
      <c r="BG702" s="108"/>
      <c r="BH702" s="108"/>
      <c r="BI702" s="108"/>
      <c r="BJ702" s="108"/>
      <c r="BK702" s="109"/>
      <c r="BL702" s="108"/>
      <c r="BM702" s="108"/>
      <c r="BN702" s="108"/>
    </row>
    <row r="703" spans="1:66" ht="12" customHeight="1" x14ac:dyDescent="0.2">
      <c r="A703" s="179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  <c r="BC703" s="108"/>
      <c r="BD703" s="108"/>
      <c r="BE703" s="108"/>
      <c r="BF703" s="108"/>
      <c r="BG703" s="108"/>
      <c r="BH703" s="108"/>
      <c r="BI703" s="108"/>
      <c r="BJ703" s="108"/>
      <c r="BK703" s="109"/>
      <c r="BL703" s="108"/>
      <c r="BM703" s="108"/>
      <c r="BN703" s="108"/>
    </row>
    <row r="704" spans="1:66" ht="12" customHeight="1" x14ac:dyDescent="0.2">
      <c r="A704" s="179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  <c r="BD704" s="108"/>
      <c r="BE704" s="108"/>
      <c r="BF704" s="108"/>
      <c r="BG704" s="108"/>
      <c r="BH704" s="108"/>
      <c r="BI704" s="108"/>
      <c r="BJ704" s="108"/>
      <c r="BK704" s="109"/>
      <c r="BL704" s="108"/>
      <c r="BM704" s="108"/>
      <c r="BN704" s="108"/>
    </row>
    <row r="705" spans="1:66" ht="12" customHeight="1" x14ac:dyDescent="0.2">
      <c r="A705" s="179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  <c r="BG705" s="108"/>
      <c r="BH705" s="108"/>
      <c r="BI705" s="108"/>
      <c r="BJ705" s="108"/>
      <c r="BK705" s="109"/>
      <c r="BL705" s="108"/>
      <c r="BM705" s="108"/>
      <c r="BN705" s="108"/>
    </row>
    <row r="706" spans="1:66" ht="12" customHeight="1" x14ac:dyDescent="0.2">
      <c r="A706" s="179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  <c r="BG706" s="108"/>
      <c r="BH706" s="108"/>
      <c r="BI706" s="108"/>
      <c r="BJ706" s="108"/>
      <c r="BK706" s="109"/>
      <c r="BL706" s="108"/>
      <c r="BM706" s="108"/>
      <c r="BN706" s="108"/>
    </row>
    <row r="707" spans="1:66" ht="12" customHeight="1" x14ac:dyDescent="0.2">
      <c r="A707" s="179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9"/>
      <c r="BL707" s="108"/>
      <c r="BM707" s="108"/>
      <c r="BN707" s="108"/>
    </row>
    <row r="708" spans="1:66" ht="12" customHeight="1" x14ac:dyDescent="0.2">
      <c r="A708" s="179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  <c r="BD708" s="108"/>
      <c r="BE708" s="108"/>
      <c r="BF708" s="108"/>
      <c r="BG708" s="108"/>
      <c r="BH708" s="108"/>
      <c r="BI708" s="108"/>
      <c r="BJ708" s="108"/>
      <c r="BK708" s="109"/>
      <c r="BL708" s="108"/>
      <c r="BM708" s="108"/>
      <c r="BN708" s="108"/>
    </row>
    <row r="709" spans="1:66" ht="12" customHeight="1" x14ac:dyDescent="0.2">
      <c r="A709" s="179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  <c r="BC709" s="108"/>
      <c r="BD709" s="108"/>
      <c r="BE709" s="108"/>
      <c r="BF709" s="108"/>
      <c r="BG709" s="108"/>
      <c r="BH709" s="108"/>
      <c r="BI709" s="108"/>
      <c r="BJ709" s="108"/>
      <c r="BK709" s="109"/>
      <c r="BL709" s="108"/>
      <c r="BM709" s="108"/>
      <c r="BN709" s="108"/>
    </row>
    <row r="710" spans="1:66" ht="12" customHeight="1" x14ac:dyDescent="0.2">
      <c r="A710" s="179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9"/>
      <c r="BL710" s="108"/>
      <c r="BM710" s="108"/>
      <c r="BN710" s="108"/>
    </row>
    <row r="711" spans="1:66" ht="12" customHeight="1" x14ac:dyDescent="0.2">
      <c r="A711" s="179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  <c r="BC711" s="108"/>
      <c r="BD711" s="108"/>
      <c r="BE711" s="108"/>
      <c r="BF711" s="108"/>
      <c r="BG711" s="108"/>
      <c r="BH711" s="108"/>
      <c r="BI711" s="108"/>
      <c r="BJ711" s="108"/>
      <c r="BK711" s="109"/>
      <c r="BL711" s="108"/>
      <c r="BM711" s="108"/>
      <c r="BN711" s="108"/>
    </row>
    <row r="712" spans="1:66" ht="12" customHeight="1" x14ac:dyDescent="0.2">
      <c r="A712" s="179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  <c r="BD712" s="108"/>
      <c r="BE712" s="108"/>
      <c r="BF712" s="108"/>
      <c r="BG712" s="108"/>
      <c r="BH712" s="108"/>
      <c r="BI712" s="108"/>
      <c r="BJ712" s="108"/>
      <c r="BK712" s="109"/>
      <c r="BL712" s="108"/>
      <c r="BM712" s="108"/>
      <c r="BN712" s="108"/>
    </row>
    <row r="713" spans="1:66" ht="12" customHeight="1" x14ac:dyDescent="0.2">
      <c r="A713" s="179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  <c r="BG713" s="108"/>
      <c r="BH713" s="108"/>
      <c r="BI713" s="108"/>
      <c r="BJ713" s="108"/>
      <c r="BK713" s="109"/>
      <c r="BL713" s="108"/>
      <c r="BM713" s="108"/>
      <c r="BN713" s="108"/>
    </row>
    <row r="714" spans="1:66" ht="12" customHeight="1" x14ac:dyDescent="0.2">
      <c r="A714" s="179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  <c r="BG714" s="108"/>
      <c r="BH714" s="108"/>
      <c r="BI714" s="108"/>
      <c r="BJ714" s="108"/>
      <c r="BK714" s="109"/>
      <c r="BL714" s="108"/>
      <c r="BM714" s="108"/>
      <c r="BN714" s="108"/>
    </row>
    <row r="715" spans="1:66" ht="12" customHeight="1" x14ac:dyDescent="0.2">
      <c r="A715" s="179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  <c r="BC715" s="108"/>
      <c r="BD715" s="108"/>
      <c r="BE715" s="108"/>
      <c r="BF715" s="108"/>
      <c r="BG715" s="108"/>
      <c r="BH715" s="108"/>
      <c r="BI715" s="108"/>
      <c r="BJ715" s="108"/>
      <c r="BK715" s="109"/>
      <c r="BL715" s="108"/>
      <c r="BM715" s="108"/>
      <c r="BN715" s="108"/>
    </row>
    <row r="716" spans="1:66" ht="12" customHeight="1" x14ac:dyDescent="0.2">
      <c r="A716" s="179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  <c r="BC716" s="108"/>
      <c r="BD716" s="108"/>
      <c r="BE716" s="108"/>
      <c r="BF716" s="108"/>
      <c r="BG716" s="108"/>
      <c r="BH716" s="108"/>
      <c r="BI716" s="108"/>
      <c r="BJ716" s="108"/>
      <c r="BK716" s="109"/>
      <c r="BL716" s="108"/>
      <c r="BM716" s="108"/>
      <c r="BN716" s="108"/>
    </row>
    <row r="717" spans="1:66" ht="12" customHeight="1" x14ac:dyDescent="0.2">
      <c r="A717" s="179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  <c r="BG717" s="108"/>
      <c r="BH717" s="108"/>
      <c r="BI717" s="108"/>
      <c r="BJ717" s="108"/>
      <c r="BK717" s="109"/>
      <c r="BL717" s="108"/>
      <c r="BM717" s="108"/>
      <c r="BN717" s="108"/>
    </row>
    <row r="718" spans="1:66" ht="12" customHeight="1" x14ac:dyDescent="0.2">
      <c r="A718" s="179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  <c r="BG718" s="108"/>
      <c r="BH718" s="108"/>
      <c r="BI718" s="108"/>
      <c r="BJ718" s="108"/>
      <c r="BK718" s="109"/>
      <c r="BL718" s="108"/>
      <c r="BM718" s="108"/>
      <c r="BN718" s="108"/>
    </row>
    <row r="719" spans="1:66" ht="12" customHeight="1" x14ac:dyDescent="0.2">
      <c r="A719" s="179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  <c r="BC719" s="108"/>
      <c r="BD719" s="108"/>
      <c r="BE719" s="108"/>
      <c r="BF719" s="108"/>
      <c r="BG719" s="108"/>
      <c r="BH719" s="108"/>
      <c r="BI719" s="108"/>
      <c r="BJ719" s="108"/>
      <c r="BK719" s="109"/>
      <c r="BL719" s="108"/>
      <c r="BM719" s="108"/>
      <c r="BN719" s="108"/>
    </row>
    <row r="720" spans="1:66" ht="12" customHeight="1" x14ac:dyDescent="0.2">
      <c r="A720" s="179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  <c r="BC720" s="108"/>
      <c r="BD720" s="108"/>
      <c r="BE720" s="108"/>
      <c r="BF720" s="108"/>
      <c r="BG720" s="108"/>
      <c r="BH720" s="108"/>
      <c r="BI720" s="108"/>
      <c r="BJ720" s="108"/>
      <c r="BK720" s="109"/>
      <c r="BL720" s="108"/>
      <c r="BM720" s="108"/>
      <c r="BN720" s="108"/>
    </row>
    <row r="721" spans="1:66" ht="12" customHeight="1" x14ac:dyDescent="0.2">
      <c r="A721" s="179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  <c r="BC721" s="108"/>
      <c r="BD721" s="108"/>
      <c r="BE721" s="108"/>
      <c r="BF721" s="108"/>
      <c r="BG721" s="108"/>
      <c r="BH721" s="108"/>
      <c r="BI721" s="108"/>
      <c r="BJ721" s="108"/>
      <c r="BK721" s="109"/>
      <c r="BL721" s="108"/>
      <c r="BM721" s="108"/>
      <c r="BN721" s="108"/>
    </row>
    <row r="722" spans="1:66" ht="12" customHeight="1" x14ac:dyDescent="0.2">
      <c r="A722" s="179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  <c r="BC722" s="108"/>
      <c r="BD722" s="108"/>
      <c r="BE722" s="108"/>
      <c r="BF722" s="108"/>
      <c r="BG722" s="108"/>
      <c r="BH722" s="108"/>
      <c r="BI722" s="108"/>
      <c r="BJ722" s="108"/>
      <c r="BK722" s="109"/>
      <c r="BL722" s="108"/>
      <c r="BM722" s="108"/>
      <c r="BN722" s="108"/>
    </row>
    <row r="723" spans="1:66" ht="12" customHeight="1" x14ac:dyDescent="0.2">
      <c r="A723" s="179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  <c r="BE723" s="108"/>
      <c r="BF723" s="108"/>
      <c r="BG723" s="108"/>
      <c r="BH723" s="108"/>
      <c r="BI723" s="108"/>
      <c r="BJ723" s="108"/>
      <c r="BK723" s="109"/>
      <c r="BL723" s="108"/>
      <c r="BM723" s="108"/>
      <c r="BN723" s="108"/>
    </row>
    <row r="724" spans="1:66" ht="12" customHeight="1" x14ac:dyDescent="0.2">
      <c r="A724" s="179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  <c r="BC724" s="108"/>
      <c r="BD724" s="108"/>
      <c r="BE724" s="108"/>
      <c r="BF724" s="108"/>
      <c r="BG724" s="108"/>
      <c r="BH724" s="108"/>
      <c r="BI724" s="108"/>
      <c r="BJ724" s="108"/>
      <c r="BK724" s="109"/>
      <c r="BL724" s="108"/>
      <c r="BM724" s="108"/>
      <c r="BN724" s="108"/>
    </row>
    <row r="725" spans="1:66" ht="12" customHeight="1" x14ac:dyDescent="0.2">
      <c r="A725" s="179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  <c r="BD725" s="108"/>
      <c r="BE725" s="108"/>
      <c r="BF725" s="108"/>
      <c r="BG725" s="108"/>
      <c r="BH725" s="108"/>
      <c r="BI725" s="108"/>
      <c r="BJ725" s="108"/>
      <c r="BK725" s="109"/>
      <c r="BL725" s="108"/>
      <c r="BM725" s="108"/>
      <c r="BN725" s="108"/>
    </row>
    <row r="726" spans="1:66" ht="12" customHeight="1" x14ac:dyDescent="0.2">
      <c r="A726" s="179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  <c r="BC726" s="108"/>
      <c r="BD726" s="108"/>
      <c r="BE726" s="108"/>
      <c r="BF726" s="108"/>
      <c r="BG726" s="108"/>
      <c r="BH726" s="108"/>
      <c r="BI726" s="108"/>
      <c r="BJ726" s="108"/>
      <c r="BK726" s="109"/>
      <c r="BL726" s="108"/>
      <c r="BM726" s="108"/>
      <c r="BN726" s="108"/>
    </row>
    <row r="727" spans="1:66" ht="12" customHeight="1" x14ac:dyDescent="0.2">
      <c r="A727" s="179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  <c r="BD727" s="108"/>
      <c r="BE727" s="108"/>
      <c r="BF727" s="108"/>
      <c r="BG727" s="108"/>
      <c r="BH727" s="108"/>
      <c r="BI727" s="108"/>
      <c r="BJ727" s="108"/>
      <c r="BK727" s="109"/>
      <c r="BL727" s="108"/>
      <c r="BM727" s="108"/>
      <c r="BN727" s="108"/>
    </row>
    <row r="728" spans="1:66" ht="12" customHeight="1" x14ac:dyDescent="0.2">
      <c r="A728" s="179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  <c r="BC728" s="108"/>
      <c r="BD728" s="108"/>
      <c r="BE728" s="108"/>
      <c r="BF728" s="108"/>
      <c r="BG728" s="108"/>
      <c r="BH728" s="108"/>
      <c r="BI728" s="108"/>
      <c r="BJ728" s="108"/>
      <c r="BK728" s="109"/>
      <c r="BL728" s="108"/>
      <c r="BM728" s="108"/>
      <c r="BN728" s="108"/>
    </row>
    <row r="729" spans="1:66" ht="12" customHeight="1" x14ac:dyDescent="0.2">
      <c r="A729" s="179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  <c r="BD729" s="108"/>
      <c r="BE729" s="108"/>
      <c r="BF729" s="108"/>
      <c r="BG729" s="108"/>
      <c r="BH729" s="108"/>
      <c r="BI729" s="108"/>
      <c r="BJ729" s="108"/>
      <c r="BK729" s="109"/>
      <c r="BL729" s="108"/>
      <c r="BM729" s="108"/>
      <c r="BN729" s="108"/>
    </row>
    <row r="730" spans="1:66" ht="12" customHeight="1" x14ac:dyDescent="0.2">
      <c r="A730" s="179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  <c r="BD730" s="108"/>
      <c r="BE730" s="108"/>
      <c r="BF730" s="108"/>
      <c r="BG730" s="108"/>
      <c r="BH730" s="108"/>
      <c r="BI730" s="108"/>
      <c r="BJ730" s="108"/>
      <c r="BK730" s="109"/>
      <c r="BL730" s="108"/>
      <c r="BM730" s="108"/>
      <c r="BN730" s="108"/>
    </row>
    <row r="731" spans="1:66" ht="12" customHeight="1" x14ac:dyDescent="0.2">
      <c r="A731" s="179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  <c r="BC731" s="108"/>
      <c r="BD731" s="108"/>
      <c r="BE731" s="108"/>
      <c r="BF731" s="108"/>
      <c r="BG731" s="108"/>
      <c r="BH731" s="108"/>
      <c r="BI731" s="108"/>
      <c r="BJ731" s="108"/>
      <c r="BK731" s="109"/>
      <c r="BL731" s="108"/>
      <c r="BM731" s="108"/>
      <c r="BN731" s="108"/>
    </row>
    <row r="732" spans="1:66" ht="12" customHeight="1" x14ac:dyDescent="0.2">
      <c r="A732" s="179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  <c r="BC732" s="108"/>
      <c r="BD732" s="108"/>
      <c r="BE732" s="108"/>
      <c r="BF732" s="108"/>
      <c r="BG732" s="108"/>
      <c r="BH732" s="108"/>
      <c r="BI732" s="108"/>
      <c r="BJ732" s="108"/>
      <c r="BK732" s="109"/>
      <c r="BL732" s="108"/>
      <c r="BM732" s="108"/>
      <c r="BN732" s="108"/>
    </row>
    <row r="733" spans="1:66" ht="12" customHeight="1" x14ac:dyDescent="0.2">
      <c r="A733" s="179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  <c r="BC733" s="108"/>
      <c r="BD733" s="108"/>
      <c r="BE733" s="108"/>
      <c r="BF733" s="108"/>
      <c r="BG733" s="108"/>
      <c r="BH733" s="108"/>
      <c r="BI733" s="108"/>
      <c r="BJ733" s="108"/>
      <c r="BK733" s="109"/>
      <c r="BL733" s="108"/>
      <c r="BM733" s="108"/>
      <c r="BN733" s="108"/>
    </row>
    <row r="734" spans="1:66" ht="12" customHeight="1" x14ac:dyDescent="0.2">
      <c r="A734" s="179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  <c r="BD734" s="108"/>
      <c r="BE734" s="108"/>
      <c r="BF734" s="108"/>
      <c r="BG734" s="108"/>
      <c r="BH734" s="108"/>
      <c r="BI734" s="108"/>
      <c r="BJ734" s="108"/>
      <c r="BK734" s="109"/>
      <c r="BL734" s="108"/>
      <c r="BM734" s="108"/>
      <c r="BN734" s="108"/>
    </row>
    <row r="735" spans="1:66" ht="12" customHeight="1" x14ac:dyDescent="0.2">
      <c r="A735" s="179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  <c r="BD735" s="108"/>
      <c r="BE735" s="108"/>
      <c r="BF735" s="108"/>
      <c r="BG735" s="108"/>
      <c r="BH735" s="108"/>
      <c r="BI735" s="108"/>
      <c r="BJ735" s="108"/>
      <c r="BK735" s="109"/>
      <c r="BL735" s="108"/>
      <c r="BM735" s="108"/>
      <c r="BN735" s="108"/>
    </row>
    <row r="736" spans="1:66" ht="12" customHeight="1" x14ac:dyDescent="0.2">
      <c r="A736" s="179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  <c r="BD736" s="108"/>
      <c r="BE736" s="108"/>
      <c r="BF736" s="108"/>
      <c r="BG736" s="108"/>
      <c r="BH736" s="108"/>
      <c r="BI736" s="108"/>
      <c r="BJ736" s="108"/>
      <c r="BK736" s="109"/>
      <c r="BL736" s="108"/>
      <c r="BM736" s="108"/>
      <c r="BN736" s="108"/>
    </row>
    <row r="737" spans="1:66" ht="12" customHeight="1" x14ac:dyDescent="0.2">
      <c r="A737" s="179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  <c r="BC737" s="108"/>
      <c r="BD737" s="108"/>
      <c r="BE737" s="108"/>
      <c r="BF737" s="108"/>
      <c r="BG737" s="108"/>
      <c r="BH737" s="108"/>
      <c r="BI737" s="108"/>
      <c r="BJ737" s="108"/>
      <c r="BK737" s="109"/>
      <c r="BL737" s="108"/>
      <c r="BM737" s="108"/>
      <c r="BN737" s="108"/>
    </row>
    <row r="738" spans="1:66" ht="12" customHeight="1" x14ac:dyDescent="0.2">
      <c r="A738" s="179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  <c r="BC738" s="108"/>
      <c r="BD738" s="108"/>
      <c r="BE738" s="108"/>
      <c r="BF738" s="108"/>
      <c r="BG738" s="108"/>
      <c r="BH738" s="108"/>
      <c r="BI738" s="108"/>
      <c r="BJ738" s="108"/>
      <c r="BK738" s="109"/>
      <c r="BL738" s="108"/>
      <c r="BM738" s="108"/>
      <c r="BN738" s="108"/>
    </row>
    <row r="739" spans="1:66" ht="12" customHeight="1" x14ac:dyDescent="0.2">
      <c r="A739" s="179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  <c r="BD739" s="108"/>
      <c r="BE739" s="108"/>
      <c r="BF739" s="108"/>
      <c r="BG739" s="108"/>
      <c r="BH739" s="108"/>
      <c r="BI739" s="108"/>
      <c r="BJ739" s="108"/>
      <c r="BK739" s="109"/>
      <c r="BL739" s="108"/>
      <c r="BM739" s="108"/>
      <c r="BN739" s="108"/>
    </row>
    <row r="740" spans="1:66" ht="12" customHeight="1" x14ac:dyDescent="0.2">
      <c r="A740" s="179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  <c r="BD740" s="108"/>
      <c r="BE740" s="108"/>
      <c r="BF740" s="108"/>
      <c r="BG740" s="108"/>
      <c r="BH740" s="108"/>
      <c r="BI740" s="108"/>
      <c r="BJ740" s="108"/>
      <c r="BK740" s="109"/>
      <c r="BL740" s="108"/>
      <c r="BM740" s="108"/>
      <c r="BN740" s="108"/>
    </row>
    <row r="741" spans="1:66" ht="12" customHeight="1" x14ac:dyDescent="0.2">
      <c r="A741" s="179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  <c r="BD741" s="108"/>
      <c r="BE741" s="108"/>
      <c r="BF741" s="108"/>
      <c r="BG741" s="108"/>
      <c r="BH741" s="108"/>
      <c r="BI741" s="108"/>
      <c r="BJ741" s="108"/>
      <c r="BK741" s="109"/>
      <c r="BL741" s="108"/>
      <c r="BM741" s="108"/>
      <c r="BN741" s="108"/>
    </row>
    <row r="742" spans="1:66" ht="12" customHeight="1" x14ac:dyDescent="0.2">
      <c r="A742" s="179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  <c r="BC742" s="108"/>
      <c r="BD742" s="108"/>
      <c r="BE742" s="108"/>
      <c r="BF742" s="108"/>
      <c r="BG742" s="108"/>
      <c r="BH742" s="108"/>
      <c r="BI742" s="108"/>
      <c r="BJ742" s="108"/>
      <c r="BK742" s="109"/>
      <c r="BL742" s="108"/>
      <c r="BM742" s="108"/>
      <c r="BN742" s="108"/>
    </row>
    <row r="743" spans="1:66" ht="12" customHeight="1" x14ac:dyDescent="0.2">
      <c r="A743" s="179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  <c r="BD743" s="108"/>
      <c r="BE743" s="108"/>
      <c r="BF743" s="108"/>
      <c r="BG743" s="108"/>
      <c r="BH743" s="108"/>
      <c r="BI743" s="108"/>
      <c r="BJ743" s="108"/>
      <c r="BK743" s="109"/>
      <c r="BL743" s="108"/>
      <c r="BM743" s="108"/>
      <c r="BN743" s="108"/>
    </row>
    <row r="744" spans="1:66" ht="12" customHeight="1" x14ac:dyDescent="0.2">
      <c r="A744" s="179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  <c r="BD744" s="108"/>
      <c r="BE744" s="108"/>
      <c r="BF744" s="108"/>
      <c r="BG744" s="108"/>
      <c r="BH744" s="108"/>
      <c r="BI744" s="108"/>
      <c r="BJ744" s="108"/>
      <c r="BK744" s="109"/>
      <c r="BL744" s="108"/>
      <c r="BM744" s="108"/>
      <c r="BN744" s="108"/>
    </row>
    <row r="745" spans="1:66" ht="12" customHeight="1" x14ac:dyDescent="0.2">
      <c r="A745" s="179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9"/>
      <c r="BL745" s="108"/>
      <c r="BM745" s="108"/>
      <c r="BN745" s="108"/>
    </row>
    <row r="746" spans="1:66" ht="12" customHeight="1" x14ac:dyDescent="0.2">
      <c r="A746" s="179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  <c r="BD746" s="108"/>
      <c r="BE746" s="108"/>
      <c r="BF746" s="108"/>
      <c r="BG746" s="108"/>
      <c r="BH746" s="108"/>
      <c r="BI746" s="108"/>
      <c r="BJ746" s="108"/>
      <c r="BK746" s="109"/>
      <c r="BL746" s="108"/>
      <c r="BM746" s="108"/>
      <c r="BN746" s="108"/>
    </row>
    <row r="747" spans="1:66" ht="12" customHeight="1" x14ac:dyDescent="0.2">
      <c r="A747" s="179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  <c r="BC747" s="108"/>
      <c r="BD747" s="108"/>
      <c r="BE747" s="108"/>
      <c r="BF747" s="108"/>
      <c r="BG747" s="108"/>
      <c r="BH747" s="108"/>
      <c r="BI747" s="108"/>
      <c r="BJ747" s="108"/>
      <c r="BK747" s="109"/>
      <c r="BL747" s="108"/>
      <c r="BM747" s="108"/>
      <c r="BN747" s="108"/>
    </row>
    <row r="748" spans="1:66" ht="12" customHeight="1" x14ac:dyDescent="0.2">
      <c r="A748" s="179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9"/>
      <c r="BL748" s="108"/>
      <c r="BM748" s="108"/>
      <c r="BN748" s="108"/>
    </row>
    <row r="749" spans="1:66" ht="12" customHeight="1" x14ac:dyDescent="0.2">
      <c r="A749" s="179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  <c r="BC749" s="108"/>
      <c r="BD749" s="108"/>
      <c r="BE749" s="108"/>
      <c r="BF749" s="108"/>
      <c r="BG749" s="108"/>
      <c r="BH749" s="108"/>
      <c r="BI749" s="108"/>
      <c r="BJ749" s="108"/>
      <c r="BK749" s="109"/>
      <c r="BL749" s="108"/>
      <c r="BM749" s="108"/>
      <c r="BN749" s="108"/>
    </row>
    <row r="750" spans="1:66" ht="12" customHeight="1" x14ac:dyDescent="0.2">
      <c r="A750" s="179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  <c r="BD750" s="108"/>
      <c r="BE750" s="108"/>
      <c r="BF750" s="108"/>
      <c r="BG750" s="108"/>
      <c r="BH750" s="108"/>
      <c r="BI750" s="108"/>
      <c r="BJ750" s="108"/>
      <c r="BK750" s="109"/>
      <c r="BL750" s="108"/>
      <c r="BM750" s="108"/>
      <c r="BN750" s="108"/>
    </row>
    <row r="751" spans="1:66" ht="12" customHeight="1" x14ac:dyDescent="0.2">
      <c r="A751" s="179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  <c r="BC751" s="108"/>
      <c r="BD751" s="108"/>
      <c r="BE751" s="108"/>
      <c r="BF751" s="108"/>
      <c r="BG751" s="108"/>
      <c r="BH751" s="108"/>
      <c r="BI751" s="108"/>
      <c r="BJ751" s="108"/>
      <c r="BK751" s="109"/>
      <c r="BL751" s="108"/>
      <c r="BM751" s="108"/>
      <c r="BN751" s="108"/>
    </row>
    <row r="752" spans="1:66" ht="12" customHeight="1" x14ac:dyDescent="0.2">
      <c r="A752" s="179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  <c r="BD752" s="108"/>
      <c r="BE752" s="108"/>
      <c r="BF752" s="108"/>
      <c r="BG752" s="108"/>
      <c r="BH752" s="108"/>
      <c r="BI752" s="108"/>
      <c r="BJ752" s="108"/>
      <c r="BK752" s="109"/>
      <c r="BL752" s="108"/>
      <c r="BM752" s="108"/>
      <c r="BN752" s="108"/>
    </row>
    <row r="753" spans="1:66" ht="12" customHeight="1" x14ac:dyDescent="0.2">
      <c r="A753" s="179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  <c r="BC753" s="108"/>
      <c r="BD753" s="108"/>
      <c r="BE753" s="108"/>
      <c r="BF753" s="108"/>
      <c r="BG753" s="108"/>
      <c r="BH753" s="108"/>
      <c r="BI753" s="108"/>
      <c r="BJ753" s="108"/>
      <c r="BK753" s="109"/>
      <c r="BL753" s="108"/>
      <c r="BM753" s="108"/>
      <c r="BN753" s="108"/>
    </row>
    <row r="754" spans="1:66" ht="12" customHeight="1" x14ac:dyDescent="0.2">
      <c r="A754" s="179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  <c r="BD754" s="108"/>
      <c r="BE754" s="108"/>
      <c r="BF754" s="108"/>
      <c r="BG754" s="108"/>
      <c r="BH754" s="108"/>
      <c r="BI754" s="108"/>
      <c r="BJ754" s="108"/>
      <c r="BK754" s="109"/>
      <c r="BL754" s="108"/>
      <c r="BM754" s="108"/>
      <c r="BN754" s="108"/>
    </row>
    <row r="755" spans="1:66" ht="12" customHeight="1" x14ac:dyDescent="0.2">
      <c r="A755" s="179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  <c r="BD755" s="108"/>
      <c r="BE755" s="108"/>
      <c r="BF755" s="108"/>
      <c r="BG755" s="108"/>
      <c r="BH755" s="108"/>
      <c r="BI755" s="108"/>
      <c r="BJ755" s="108"/>
      <c r="BK755" s="109"/>
      <c r="BL755" s="108"/>
      <c r="BM755" s="108"/>
      <c r="BN755" s="108"/>
    </row>
    <row r="756" spans="1:66" ht="12" customHeight="1" x14ac:dyDescent="0.2">
      <c r="A756" s="179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  <c r="BG756" s="108"/>
      <c r="BH756" s="108"/>
      <c r="BI756" s="108"/>
      <c r="BJ756" s="108"/>
      <c r="BK756" s="109"/>
      <c r="BL756" s="108"/>
      <c r="BM756" s="108"/>
      <c r="BN756" s="108"/>
    </row>
    <row r="757" spans="1:66" ht="12" customHeight="1" x14ac:dyDescent="0.2">
      <c r="A757" s="179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  <c r="BD757" s="108"/>
      <c r="BE757" s="108"/>
      <c r="BF757" s="108"/>
      <c r="BG757" s="108"/>
      <c r="BH757" s="108"/>
      <c r="BI757" s="108"/>
      <c r="BJ757" s="108"/>
      <c r="BK757" s="109"/>
      <c r="BL757" s="108"/>
      <c r="BM757" s="108"/>
      <c r="BN757" s="108"/>
    </row>
    <row r="758" spans="1:66" ht="12" customHeight="1" x14ac:dyDescent="0.2">
      <c r="A758" s="179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  <c r="BD758" s="108"/>
      <c r="BE758" s="108"/>
      <c r="BF758" s="108"/>
      <c r="BG758" s="108"/>
      <c r="BH758" s="108"/>
      <c r="BI758" s="108"/>
      <c r="BJ758" s="108"/>
      <c r="BK758" s="109"/>
      <c r="BL758" s="108"/>
      <c r="BM758" s="108"/>
      <c r="BN758" s="108"/>
    </row>
    <row r="759" spans="1:66" ht="12" customHeight="1" x14ac:dyDescent="0.2">
      <c r="A759" s="179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  <c r="BC759" s="108"/>
      <c r="BD759" s="108"/>
      <c r="BE759" s="108"/>
      <c r="BF759" s="108"/>
      <c r="BG759" s="108"/>
      <c r="BH759" s="108"/>
      <c r="BI759" s="108"/>
      <c r="BJ759" s="108"/>
      <c r="BK759" s="109"/>
      <c r="BL759" s="108"/>
      <c r="BM759" s="108"/>
      <c r="BN759" s="108"/>
    </row>
    <row r="760" spans="1:66" ht="12" customHeight="1" x14ac:dyDescent="0.2">
      <c r="A760" s="179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  <c r="BG760" s="108"/>
      <c r="BH760" s="108"/>
      <c r="BI760" s="108"/>
      <c r="BJ760" s="108"/>
      <c r="BK760" s="109"/>
      <c r="BL760" s="108"/>
      <c r="BM760" s="108"/>
      <c r="BN760" s="108"/>
    </row>
    <row r="761" spans="1:66" ht="12" customHeight="1" x14ac:dyDescent="0.2">
      <c r="A761" s="179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  <c r="BD761" s="108"/>
      <c r="BE761" s="108"/>
      <c r="BF761" s="108"/>
      <c r="BG761" s="108"/>
      <c r="BH761" s="108"/>
      <c r="BI761" s="108"/>
      <c r="BJ761" s="108"/>
      <c r="BK761" s="109"/>
      <c r="BL761" s="108"/>
      <c r="BM761" s="108"/>
      <c r="BN761" s="108"/>
    </row>
    <row r="762" spans="1:66" ht="12" customHeight="1" x14ac:dyDescent="0.2">
      <c r="A762" s="179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  <c r="BC762" s="108"/>
      <c r="BD762" s="108"/>
      <c r="BE762" s="108"/>
      <c r="BF762" s="108"/>
      <c r="BG762" s="108"/>
      <c r="BH762" s="108"/>
      <c r="BI762" s="108"/>
      <c r="BJ762" s="108"/>
      <c r="BK762" s="109"/>
      <c r="BL762" s="108"/>
      <c r="BM762" s="108"/>
      <c r="BN762" s="108"/>
    </row>
    <row r="763" spans="1:66" ht="12" customHeight="1" x14ac:dyDescent="0.2">
      <c r="A763" s="179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  <c r="BD763" s="108"/>
      <c r="BE763" s="108"/>
      <c r="BF763" s="108"/>
      <c r="BG763" s="108"/>
      <c r="BH763" s="108"/>
      <c r="BI763" s="108"/>
      <c r="BJ763" s="108"/>
      <c r="BK763" s="109"/>
      <c r="BL763" s="108"/>
      <c r="BM763" s="108"/>
      <c r="BN763" s="108"/>
    </row>
    <row r="764" spans="1:66" ht="12" customHeight="1" x14ac:dyDescent="0.2">
      <c r="A764" s="179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  <c r="BG764" s="108"/>
      <c r="BH764" s="108"/>
      <c r="BI764" s="108"/>
      <c r="BJ764" s="108"/>
      <c r="BK764" s="109"/>
      <c r="BL764" s="108"/>
      <c r="BM764" s="108"/>
      <c r="BN764" s="108"/>
    </row>
    <row r="765" spans="1:66" ht="12" customHeight="1" x14ac:dyDescent="0.2">
      <c r="A765" s="179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  <c r="BD765" s="108"/>
      <c r="BE765" s="108"/>
      <c r="BF765" s="108"/>
      <c r="BG765" s="108"/>
      <c r="BH765" s="108"/>
      <c r="BI765" s="108"/>
      <c r="BJ765" s="108"/>
      <c r="BK765" s="109"/>
      <c r="BL765" s="108"/>
      <c r="BM765" s="108"/>
      <c r="BN765" s="108"/>
    </row>
    <row r="766" spans="1:66" ht="12" customHeight="1" x14ac:dyDescent="0.2">
      <c r="A766" s="179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  <c r="BD766" s="108"/>
      <c r="BE766" s="108"/>
      <c r="BF766" s="108"/>
      <c r="BG766" s="108"/>
      <c r="BH766" s="108"/>
      <c r="BI766" s="108"/>
      <c r="BJ766" s="108"/>
      <c r="BK766" s="109"/>
      <c r="BL766" s="108"/>
      <c r="BM766" s="108"/>
      <c r="BN766" s="108"/>
    </row>
    <row r="767" spans="1:66" ht="12" customHeight="1" x14ac:dyDescent="0.2">
      <c r="A767" s="179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  <c r="BD767" s="108"/>
      <c r="BE767" s="108"/>
      <c r="BF767" s="108"/>
      <c r="BG767" s="108"/>
      <c r="BH767" s="108"/>
      <c r="BI767" s="108"/>
      <c r="BJ767" s="108"/>
      <c r="BK767" s="109"/>
      <c r="BL767" s="108"/>
      <c r="BM767" s="108"/>
      <c r="BN767" s="108"/>
    </row>
    <row r="768" spans="1:66" ht="12" customHeight="1" x14ac:dyDescent="0.2">
      <c r="A768" s="179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  <c r="BD768" s="108"/>
      <c r="BE768" s="108"/>
      <c r="BF768" s="108"/>
      <c r="BG768" s="108"/>
      <c r="BH768" s="108"/>
      <c r="BI768" s="108"/>
      <c r="BJ768" s="108"/>
      <c r="BK768" s="109"/>
      <c r="BL768" s="108"/>
      <c r="BM768" s="108"/>
      <c r="BN768" s="108"/>
    </row>
    <row r="769" spans="1:66" ht="12" customHeight="1" x14ac:dyDescent="0.2">
      <c r="A769" s="179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  <c r="BC769" s="108"/>
      <c r="BD769" s="108"/>
      <c r="BE769" s="108"/>
      <c r="BF769" s="108"/>
      <c r="BG769" s="108"/>
      <c r="BH769" s="108"/>
      <c r="BI769" s="108"/>
      <c r="BJ769" s="108"/>
      <c r="BK769" s="109"/>
      <c r="BL769" s="108"/>
      <c r="BM769" s="108"/>
      <c r="BN769" s="108"/>
    </row>
    <row r="770" spans="1:66" ht="12" customHeight="1" x14ac:dyDescent="0.2">
      <c r="A770" s="179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  <c r="BD770" s="108"/>
      <c r="BE770" s="108"/>
      <c r="BF770" s="108"/>
      <c r="BG770" s="108"/>
      <c r="BH770" s="108"/>
      <c r="BI770" s="108"/>
      <c r="BJ770" s="108"/>
      <c r="BK770" s="109"/>
      <c r="BL770" s="108"/>
      <c r="BM770" s="108"/>
      <c r="BN770" s="108"/>
    </row>
    <row r="771" spans="1:66" ht="12" customHeight="1" x14ac:dyDescent="0.2">
      <c r="A771" s="179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  <c r="BC771" s="108"/>
      <c r="BD771" s="108"/>
      <c r="BE771" s="108"/>
      <c r="BF771" s="108"/>
      <c r="BG771" s="108"/>
      <c r="BH771" s="108"/>
      <c r="BI771" s="108"/>
      <c r="BJ771" s="108"/>
      <c r="BK771" s="109"/>
      <c r="BL771" s="108"/>
      <c r="BM771" s="108"/>
      <c r="BN771" s="108"/>
    </row>
    <row r="772" spans="1:66" ht="12" customHeight="1" x14ac:dyDescent="0.2">
      <c r="A772" s="179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  <c r="BD772" s="108"/>
      <c r="BE772" s="108"/>
      <c r="BF772" s="108"/>
      <c r="BG772" s="108"/>
      <c r="BH772" s="108"/>
      <c r="BI772" s="108"/>
      <c r="BJ772" s="108"/>
      <c r="BK772" s="109"/>
      <c r="BL772" s="108"/>
      <c r="BM772" s="108"/>
      <c r="BN772" s="108"/>
    </row>
    <row r="773" spans="1:66" ht="12" customHeight="1" x14ac:dyDescent="0.2">
      <c r="A773" s="179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  <c r="BG773" s="108"/>
      <c r="BH773" s="108"/>
      <c r="BI773" s="108"/>
      <c r="BJ773" s="108"/>
      <c r="BK773" s="109"/>
      <c r="BL773" s="108"/>
      <c r="BM773" s="108"/>
      <c r="BN773" s="108"/>
    </row>
    <row r="774" spans="1:66" ht="12" customHeight="1" x14ac:dyDescent="0.2">
      <c r="A774" s="179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  <c r="BD774" s="108"/>
      <c r="BE774" s="108"/>
      <c r="BF774" s="108"/>
      <c r="BG774" s="108"/>
      <c r="BH774" s="108"/>
      <c r="BI774" s="108"/>
      <c r="BJ774" s="108"/>
      <c r="BK774" s="109"/>
      <c r="BL774" s="108"/>
      <c r="BM774" s="108"/>
      <c r="BN774" s="108"/>
    </row>
    <row r="775" spans="1:66" ht="12" customHeight="1" x14ac:dyDescent="0.2">
      <c r="A775" s="179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  <c r="BD775" s="108"/>
      <c r="BE775" s="108"/>
      <c r="BF775" s="108"/>
      <c r="BG775" s="108"/>
      <c r="BH775" s="108"/>
      <c r="BI775" s="108"/>
      <c r="BJ775" s="108"/>
      <c r="BK775" s="109"/>
      <c r="BL775" s="108"/>
      <c r="BM775" s="108"/>
      <c r="BN775" s="108"/>
    </row>
    <row r="776" spans="1:66" ht="12" customHeight="1" x14ac:dyDescent="0.2">
      <c r="A776" s="179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  <c r="BC776" s="108"/>
      <c r="BD776" s="108"/>
      <c r="BE776" s="108"/>
      <c r="BF776" s="108"/>
      <c r="BG776" s="108"/>
      <c r="BH776" s="108"/>
      <c r="BI776" s="108"/>
      <c r="BJ776" s="108"/>
      <c r="BK776" s="109"/>
      <c r="BL776" s="108"/>
      <c r="BM776" s="108"/>
      <c r="BN776" s="108"/>
    </row>
    <row r="777" spans="1:66" ht="12" customHeight="1" x14ac:dyDescent="0.2">
      <c r="A777" s="179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  <c r="BD777" s="108"/>
      <c r="BE777" s="108"/>
      <c r="BF777" s="108"/>
      <c r="BG777" s="108"/>
      <c r="BH777" s="108"/>
      <c r="BI777" s="108"/>
      <c r="BJ777" s="108"/>
      <c r="BK777" s="109"/>
      <c r="BL777" s="108"/>
      <c r="BM777" s="108"/>
      <c r="BN777" s="108"/>
    </row>
    <row r="778" spans="1:66" ht="12" customHeight="1" x14ac:dyDescent="0.2">
      <c r="A778" s="179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  <c r="BD778" s="108"/>
      <c r="BE778" s="108"/>
      <c r="BF778" s="108"/>
      <c r="BG778" s="108"/>
      <c r="BH778" s="108"/>
      <c r="BI778" s="108"/>
      <c r="BJ778" s="108"/>
      <c r="BK778" s="109"/>
      <c r="BL778" s="108"/>
      <c r="BM778" s="108"/>
      <c r="BN778" s="108"/>
    </row>
    <row r="779" spans="1:66" ht="12" customHeight="1" x14ac:dyDescent="0.2">
      <c r="A779" s="179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  <c r="BG779" s="108"/>
      <c r="BH779" s="108"/>
      <c r="BI779" s="108"/>
      <c r="BJ779" s="108"/>
      <c r="BK779" s="109"/>
      <c r="BL779" s="108"/>
      <c r="BM779" s="108"/>
      <c r="BN779" s="108"/>
    </row>
    <row r="780" spans="1:66" ht="12" customHeight="1" x14ac:dyDescent="0.2">
      <c r="A780" s="179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  <c r="BD780" s="108"/>
      <c r="BE780" s="108"/>
      <c r="BF780" s="108"/>
      <c r="BG780" s="108"/>
      <c r="BH780" s="108"/>
      <c r="BI780" s="108"/>
      <c r="BJ780" s="108"/>
      <c r="BK780" s="109"/>
      <c r="BL780" s="108"/>
      <c r="BM780" s="108"/>
      <c r="BN780" s="108"/>
    </row>
    <row r="781" spans="1:66" ht="12" customHeight="1" x14ac:dyDescent="0.2">
      <c r="A781" s="179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  <c r="BC781" s="108"/>
      <c r="BD781" s="108"/>
      <c r="BE781" s="108"/>
      <c r="BF781" s="108"/>
      <c r="BG781" s="108"/>
      <c r="BH781" s="108"/>
      <c r="BI781" s="108"/>
      <c r="BJ781" s="108"/>
      <c r="BK781" s="109"/>
      <c r="BL781" s="108"/>
      <c r="BM781" s="108"/>
      <c r="BN781" s="108"/>
    </row>
    <row r="782" spans="1:66" ht="12" customHeight="1" x14ac:dyDescent="0.2">
      <c r="A782" s="179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  <c r="BD782" s="108"/>
      <c r="BE782" s="108"/>
      <c r="BF782" s="108"/>
      <c r="BG782" s="108"/>
      <c r="BH782" s="108"/>
      <c r="BI782" s="108"/>
      <c r="BJ782" s="108"/>
      <c r="BK782" s="109"/>
      <c r="BL782" s="108"/>
      <c r="BM782" s="108"/>
      <c r="BN782" s="108"/>
    </row>
    <row r="783" spans="1:66" ht="12" customHeight="1" x14ac:dyDescent="0.2">
      <c r="A783" s="179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9"/>
      <c r="BL783" s="108"/>
      <c r="BM783" s="108"/>
      <c r="BN783" s="108"/>
    </row>
    <row r="784" spans="1:66" ht="12" customHeight="1" x14ac:dyDescent="0.2">
      <c r="A784" s="179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  <c r="BD784" s="108"/>
      <c r="BE784" s="108"/>
      <c r="BF784" s="108"/>
      <c r="BG784" s="108"/>
      <c r="BH784" s="108"/>
      <c r="BI784" s="108"/>
      <c r="BJ784" s="108"/>
      <c r="BK784" s="109"/>
      <c r="BL784" s="108"/>
      <c r="BM784" s="108"/>
      <c r="BN784" s="108"/>
    </row>
    <row r="785" spans="1:66" ht="12" customHeight="1" x14ac:dyDescent="0.2">
      <c r="A785" s="179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  <c r="BC785" s="108"/>
      <c r="BD785" s="108"/>
      <c r="BE785" s="108"/>
      <c r="BF785" s="108"/>
      <c r="BG785" s="108"/>
      <c r="BH785" s="108"/>
      <c r="BI785" s="108"/>
      <c r="BJ785" s="108"/>
      <c r="BK785" s="109"/>
      <c r="BL785" s="108"/>
      <c r="BM785" s="108"/>
      <c r="BN785" s="108"/>
    </row>
    <row r="786" spans="1:66" ht="12" customHeight="1" x14ac:dyDescent="0.2">
      <c r="A786" s="179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9"/>
      <c r="BL786" s="108"/>
      <c r="BM786" s="108"/>
      <c r="BN786" s="108"/>
    </row>
    <row r="787" spans="1:66" ht="12" customHeight="1" x14ac:dyDescent="0.2">
      <c r="A787" s="179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  <c r="BD787" s="108"/>
      <c r="BE787" s="108"/>
      <c r="BF787" s="108"/>
      <c r="BG787" s="108"/>
      <c r="BH787" s="108"/>
      <c r="BI787" s="108"/>
      <c r="BJ787" s="108"/>
      <c r="BK787" s="109"/>
      <c r="BL787" s="108"/>
      <c r="BM787" s="108"/>
      <c r="BN787" s="108"/>
    </row>
    <row r="788" spans="1:66" ht="12" customHeight="1" x14ac:dyDescent="0.2">
      <c r="A788" s="179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  <c r="BD788" s="108"/>
      <c r="BE788" s="108"/>
      <c r="BF788" s="108"/>
      <c r="BG788" s="108"/>
      <c r="BH788" s="108"/>
      <c r="BI788" s="108"/>
      <c r="BJ788" s="108"/>
      <c r="BK788" s="109"/>
      <c r="BL788" s="108"/>
      <c r="BM788" s="108"/>
      <c r="BN788" s="108"/>
    </row>
    <row r="789" spans="1:66" ht="12" customHeight="1" x14ac:dyDescent="0.2">
      <c r="A789" s="179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  <c r="BC789" s="108"/>
      <c r="BD789" s="108"/>
      <c r="BE789" s="108"/>
      <c r="BF789" s="108"/>
      <c r="BG789" s="108"/>
      <c r="BH789" s="108"/>
      <c r="BI789" s="108"/>
      <c r="BJ789" s="108"/>
      <c r="BK789" s="109"/>
      <c r="BL789" s="108"/>
      <c r="BM789" s="108"/>
      <c r="BN789" s="108"/>
    </row>
    <row r="790" spans="1:66" ht="12" customHeight="1" x14ac:dyDescent="0.2">
      <c r="A790" s="179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  <c r="BC790" s="108"/>
      <c r="BD790" s="108"/>
      <c r="BE790" s="108"/>
      <c r="BF790" s="108"/>
      <c r="BG790" s="108"/>
      <c r="BH790" s="108"/>
      <c r="BI790" s="108"/>
      <c r="BJ790" s="108"/>
      <c r="BK790" s="109"/>
      <c r="BL790" s="108"/>
      <c r="BM790" s="108"/>
      <c r="BN790" s="108"/>
    </row>
    <row r="791" spans="1:66" ht="12" customHeight="1" x14ac:dyDescent="0.2">
      <c r="A791" s="179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  <c r="BC791" s="108"/>
      <c r="BD791" s="108"/>
      <c r="BE791" s="108"/>
      <c r="BF791" s="108"/>
      <c r="BG791" s="108"/>
      <c r="BH791" s="108"/>
      <c r="BI791" s="108"/>
      <c r="BJ791" s="108"/>
      <c r="BK791" s="109"/>
      <c r="BL791" s="108"/>
      <c r="BM791" s="108"/>
      <c r="BN791" s="108"/>
    </row>
    <row r="792" spans="1:66" ht="12" customHeight="1" x14ac:dyDescent="0.2">
      <c r="A792" s="179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  <c r="BC792" s="108"/>
      <c r="BD792" s="108"/>
      <c r="BE792" s="108"/>
      <c r="BF792" s="108"/>
      <c r="BG792" s="108"/>
      <c r="BH792" s="108"/>
      <c r="BI792" s="108"/>
      <c r="BJ792" s="108"/>
      <c r="BK792" s="109"/>
      <c r="BL792" s="108"/>
      <c r="BM792" s="108"/>
      <c r="BN792" s="108"/>
    </row>
    <row r="793" spans="1:66" ht="12" customHeight="1" x14ac:dyDescent="0.2">
      <c r="A793" s="179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  <c r="BC793" s="108"/>
      <c r="BD793" s="108"/>
      <c r="BE793" s="108"/>
      <c r="BF793" s="108"/>
      <c r="BG793" s="108"/>
      <c r="BH793" s="108"/>
      <c r="BI793" s="108"/>
      <c r="BJ793" s="108"/>
      <c r="BK793" s="109"/>
      <c r="BL793" s="108"/>
      <c r="BM793" s="108"/>
      <c r="BN793" s="108"/>
    </row>
    <row r="794" spans="1:66" ht="12" customHeight="1" x14ac:dyDescent="0.2">
      <c r="A794" s="179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  <c r="BC794" s="108"/>
      <c r="BD794" s="108"/>
      <c r="BE794" s="108"/>
      <c r="BF794" s="108"/>
      <c r="BG794" s="108"/>
      <c r="BH794" s="108"/>
      <c r="BI794" s="108"/>
      <c r="BJ794" s="108"/>
      <c r="BK794" s="109"/>
      <c r="BL794" s="108"/>
      <c r="BM794" s="108"/>
      <c r="BN794" s="108"/>
    </row>
    <row r="795" spans="1:66" ht="12" customHeight="1" x14ac:dyDescent="0.2">
      <c r="A795" s="179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  <c r="BC795" s="108"/>
      <c r="BD795" s="108"/>
      <c r="BE795" s="108"/>
      <c r="BF795" s="108"/>
      <c r="BG795" s="108"/>
      <c r="BH795" s="108"/>
      <c r="BI795" s="108"/>
      <c r="BJ795" s="108"/>
      <c r="BK795" s="109"/>
      <c r="BL795" s="108"/>
      <c r="BM795" s="108"/>
      <c r="BN795" s="108"/>
    </row>
    <row r="796" spans="1:66" ht="12" customHeight="1" x14ac:dyDescent="0.2">
      <c r="A796" s="179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  <c r="BC796" s="108"/>
      <c r="BD796" s="108"/>
      <c r="BE796" s="108"/>
      <c r="BF796" s="108"/>
      <c r="BG796" s="108"/>
      <c r="BH796" s="108"/>
      <c r="BI796" s="108"/>
      <c r="BJ796" s="108"/>
      <c r="BK796" s="109"/>
      <c r="BL796" s="108"/>
      <c r="BM796" s="108"/>
      <c r="BN796" s="108"/>
    </row>
    <row r="797" spans="1:66" ht="12" customHeight="1" x14ac:dyDescent="0.2">
      <c r="A797" s="179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  <c r="BC797" s="108"/>
      <c r="BD797" s="108"/>
      <c r="BE797" s="108"/>
      <c r="BF797" s="108"/>
      <c r="BG797" s="108"/>
      <c r="BH797" s="108"/>
      <c r="BI797" s="108"/>
      <c r="BJ797" s="108"/>
      <c r="BK797" s="109"/>
      <c r="BL797" s="108"/>
      <c r="BM797" s="108"/>
      <c r="BN797" s="108"/>
    </row>
    <row r="798" spans="1:66" ht="12" customHeight="1" x14ac:dyDescent="0.2">
      <c r="A798" s="179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  <c r="BC798" s="108"/>
      <c r="BD798" s="108"/>
      <c r="BE798" s="108"/>
      <c r="BF798" s="108"/>
      <c r="BG798" s="108"/>
      <c r="BH798" s="108"/>
      <c r="BI798" s="108"/>
      <c r="BJ798" s="108"/>
      <c r="BK798" s="109"/>
      <c r="BL798" s="108"/>
      <c r="BM798" s="108"/>
      <c r="BN798" s="108"/>
    </row>
    <row r="799" spans="1:66" ht="12" customHeight="1" x14ac:dyDescent="0.2">
      <c r="A799" s="179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  <c r="BC799" s="108"/>
      <c r="BD799" s="108"/>
      <c r="BE799" s="108"/>
      <c r="BF799" s="108"/>
      <c r="BG799" s="108"/>
      <c r="BH799" s="108"/>
      <c r="BI799" s="108"/>
      <c r="BJ799" s="108"/>
      <c r="BK799" s="109"/>
      <c r="BL799" s="108"/>
      <c r="BM799" s="108"/>
      <c r="BN799" s="108"/>
    </row>
    <row r="800" spans="1:66" ht="12" customHeight="1" x14ac:dyDescent="0.2">
      <c r="A800" s="179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  <c r="BC800" s="108"/>
      <c r="BD800" s="108"/>
      <c r="BE800" s="108"/>
      <c r="BF800" s="108"/>
      <c r="BG800" s="108"/>
      <c r="BH800" s="108"/>
      <c r="BI800" s="108"/>
      <c r="BJ800" s="108"/>
      <c r="BK800" s="109"/>
      <c r="BL800" s="108"/>
      <c r="BM800" s="108"/>
      <c r="BN800" s="108"/>
    </row>
    <row r="801" spans="1:66" ht="12" customHeight="1" x14ac:dyDescent="0.2">
      <c r="A801" s="179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  <c r="BD801" s="108"/>
      <c r="BE801" s="108"/>
      <c r="BF801" s="108"/>
      <c r="BG801" s="108"/>
      <c r="BH801" s="108"/>
      <c r="BI801" s="108"/>
      <c r="BJ801" s="108"/>
      <c r="BK801" s="109"/>
      <c r="BL801" s="108"/>
      <c r="BM801" s="108"/>
      <c r="BN801" s="108"/>
    </row>
    <row r="802" spans="1:66" ht="12" customHeight="1" x14ac:dyDescent="0.2">
      <c r="A802" s="179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  <c r="BC802" s="108"/>
      <c r="BD802" s="108"/>
      <c r="BE802" s="108"/>
      <c r="BF802" s="108"/>
      <c r="BG802" s="108"/>
      <c r="BH802" s="108"/>
      <c r="BI802" s="108"/>
      <c r="BJ802" s="108"/>
      <c r="BK802" s="109"/>
      <c r="BL802" s="108"/>
      <c r="BM802" s="108"/>
      <c r="BN802" s="108"/>
    </row>
    <row r="803" spans="1:66" ht="12" customHeight="1" x14ac:dyDescent="0.2">
      <c r="A803" s="179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  <c r="BC803" s="108"/>
      <c r="BD803" s="108"/>
      <c r="BE803" s="108"/>
      <c r="BF803" s="108"/>
      <c r="BG803" s="108"/>
      <c r="BH803" s="108"/>
      <c r="BI803" s="108"/>
      <c r="BJ803" s="108"/>
      <c r="BK803" s="109"/>
      <c r="BL803" s="108"/>
      <c r="BM803" s="108"/>
      <c r="BN803" s="108"/>
    </row>
    <row r="804" spans="1:66" ht="12" customHeight="1" x14ac:dyDescent="0.2">
      <c r="A804" s="179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  <c r="BC804" s="108"/>
      <c r="BD804" s="108"/>
      <c r="BE804" s="108"/>
      <c r="BF804" s="108"/>
      <c r="BG804" s="108"/>
      <c r="BH804" s="108"/>
      <c r="BI804" s="108"/>
      <c r="BJ804" s="108"/>
      <c r="BK804" s="109"/>
      <c r="BL804" s="108"/>
      <c r="BM804" s="108"/>
      <c r="BN804" s="108"/>
    </row>
    <row r="805" spans="1:66" ht="12" customHeight="1" x14ac:dyDescent="0.2">
      <c r="A805" s="179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  <c r="BC805" s="108"/>
      <c r="BD805" s="108"/>
      <c r="BE805" s="108"/>
      <c r="BF805" s="108"/>
      <c r="BG805" s="108"/>
      <c r="BH805" s="108"/>
      <c r="BI805" s="108"/>
      <c r="BJ805" s="108"/>
      <c r="BK805" s="109"/>
      <c r="BL805" s="108"/>
      <c r="BM805" s="108"/>
      <c r="BN805" s="108"/>
    </row>
    <row r="806" spans="1:66" ht="12" customHeight="1" x14ac:dyDescent="0.2">
      <c r="A806" s="179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  <c r="BC806" s="108"/>
      <c r="BD806" s="108"/>
      <c r="BE806" s="108"/>
      <c r="BF806" s="108"/>
      <c r="BG806" s="108"/>
      <c r="BH806" s="108"/>
      <c r="BI806" s="108"/>
      <c r="BJ806" s="108"/>
      <c r="BK806" s="109"/>
      <c r="BL806" s="108"/>
      <c r="BM806" s="108"/>
      <c r="BN806" s="108"/>
    </row>
    <row r="807" spans="1:66" ht="12" customHeight="1" x14ac:dyDescent="0.2">
      <c r="A807" s="179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  <c r="BC807" s="108"/>
      <c r="BD807" s="108"/>
      <c r="BE807" s="108"/>
      <c r="BF807" s="108"/>
      <c r="BG807" s="108"/>
      <c r="BH807" s="108"/>
      <c r="BI807" s="108"/>
      <c r="BJ807" s="108"/>
      <c r="BK807" s="109"/>
      <c r="BL807" s="108"/>
      <c r="BM807" s="108"/>
      <c r="BN807" s="108"/>
    </row>
    <row r="808" spans="1:66" ht="12" customHeight="1" x14ac:dyDescent="0.2">
      <c r="A808" s="179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  <c r="BC808" s="108"/>
      <c r="BD808" s="108"/>
      <c r="BE808" s="108"/>
      <c r="BF808" s="108"/>
      <c r="BG808" s="108"/>
      <c r="BH808" s="108"/>
      <c r="BI808" s="108"/>
      <c r="BJ808" s="108"/>
      <c r="BK808" s="109"/>
      <c r="BL808" s="108"/>
      <c r="BM808" s="108"/>
      <c r="BN808" s="108"/>
    </row>
    <row r="809" spans="1:66" ht="12" customHeight="1" x14ac:dyDescent="0.2">
      <c r="A809" s="179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  <c r="BC809" s="108"/>
      <c r="BD809" s="108"/>
      <c r="BE809" s="108"/>
      <c r="BF809" s="108"/>
      <c r="BG809" s="108"/>
      <c r="BH809" s="108"/>
      <c r="BI809" s="108"/>
      <c r="BJ809" s="108"/>
      <c r="BK809" s="109"/>
      <c r="BL809" s="108"/>
      <c r="BM809" s="108"/>
      <c r="BN809" s="108"/>
    </row>
    <row r="810" spans="1:66" ht="12" customHeight="1" x14ac:dyDescent="0.2">
      <c r="A810" s="179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  <c r="BC810" s="108"/>
      <c r="BD810" s="108"/>
      <c r="BE810" s="108"/>
      <c r="BF810" s="108"/>
      <c r="BG810" s="108"/>
      <c r="BH810" s="108"/>
      <c r="BI810" s="108"/>
      <c r="BJ810" s="108"/>
      <c r="BK810" s="109"/>
      <c r="BL810" s="108"/>
      <c r="BM810" s="108"/>
      <c r="BN810" s="108"/>
    </row>
    <row r="811" spans="1:66" ht="12" customHeight="1" x14ac:dyDescent="0.2">
      <c r="A811" s="179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  <c r="BC811" s="108"/>
      <c r="BD811" s="108"/>
      <c r="BE811" s="108"/>
      <c r="BF811" s="108"/>
      <c r="BG811" s="108"/>
      <c r="BH811" s="108"/>
      <c r="BI811" s="108"/>
      <c r="BJ811" s="108"/>
      <c r="BK811" s="109"/>
      <c r="BL811" s="108"/>
      <c r="BM811" s="108"/>
      <c r="BN811" s="108"/>
    </row>
    <row r="812" spans="1:66" ht="12" customHeight="1" x14ac:dyDescent="0.2">
      <c r="A812" s="179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  <c r="BC812" s="108"/>
      <c r="BD812" s="108"/>
      <c r="BE812" s="108"/>
      <c r="BF812" s="108"/>
      <c r="BG812" s="108"/>
      <c r="BH812" s="108"/>
      <c r="BI812" s="108"/>
      <c r="BJ812" s="108"/>
      <c r="BK812" s="109"/>
      <c r="BL812" s="108"/>
      <c r="BM812" s="108"/>
      <c r="BN812" s="108"/>
    </row>
    <row r="813" spans="1:66" ht="12" customHeight="1" x14ac:dyDescent="0.2">
      <c r="A813" s="179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  <c r="BC813" s="108"/>
      <c r="BD813" s="108"/>
      <c r="BE813" s="108"/>
      <c r="BF813" s="108"/>
      <c r="BG813" s="108"/>
      <c r="BH813" s="108"/>
      <c r="BI813" s="108"/>
      <c r="BJ813" s="108"/>
      <c r="BK813" s="109"/>
      <c r="BL813" s="108"/>
      <c r="BM813" s="108"/>
      <c r="BN813" s="108"/>
    </row>
    <row r="814" spans="1:66" ht="12" customHeight="1" x14ac:dyDescent="0.2">
      <c r="A814" s="179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  <c r="BC814" s="108"/>
      <c r="BD814" s="108"/>
      <c r="BE814" s="108"/>
      <c r="BF814" s="108"/>
      <c r="BG814" s="108"/>
      <c r="BH814" s="108"/>
      <c r="BI814" s="108"/>
      <c r="BJ814" s="108"/>
      <c r="BK814" s="109"/>
      <c r="BL814" s="108"/>
      <c r="BM814" s="108"/>
      <c r="BN814" s="108"/>
    </row>
    <row r="815" spans="1:66" ht="12" customHeight="1" x14ac:dyDescent="0.2">
      <c r="A815" s="179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  <c r="BC815" s="108"/>
      <c r="BD815" s="108"/>
      <c r="BE815" s="108"/>
      <c r="BF815" s="108"/>
      <c r="BG815" s="108"/>
      <c r="BH815" s="108"/>
      <c r="BI815" s="108"/>
      <c r="BJ815" s="108"/>
      <c r="BK815" s="109"/>
      <c r="BL815" s="108"/>
      <c r="BM815" s="108"/>
      <c r="BN815" s="108"/>
    </row>
    <row r="816" spans="1:66" ht="12" customHeight="1" x14ac:dyDescent="0.2">
      <c r="A816" s="179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  <c r="BC816" s="108"/>
      <c r="BD816" s="108"/>
      <c r="BE816" s="108"/>
      <c r="BF816" s="108"/>
      <c r="BG816" s="108"/>
      <c r="BH816" s="108"/>
      <c r="BI816" s="108"/>
      <c r="BJ816" s="108"/>
      <c r="BK816" s="109"/>
      <c r="BL816" s="108"/>
      <c r="BM816" s="108"/>
      <c r="BN816" s="108"/>
    </row>
    <row r="817" spans="1:66" ht="12" customHeight="1" x14ac:dyDescent="0.2">
      <c r="A817" s="179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  <c r="BC817" s="108"/>
      <c r="BD817" s="108"/>
      <c r="BE817" s="108"/>
      <c r="BF817" s="108"/>
      <c r="BG817" s="108"/>
      <c r="BH817" s="108"/>
      <c r="BI817" s="108"/>
      <c r="BJ817" s="108"/>
      <c r="BK817" s="109"/>
      <c r="BL817" s="108"/>
      <c r="BM817" s="108"/>
      <c r="BN817" s="108"/>
    </row>
    <row r="818" spans="1:66" ht="12" customHeight="1" x14ac:dyDescent="0.2">
      <c r="A818" s="179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  <c r="BC818" s="108"/>
      <c r="BD818" s="108"/>
      <c r="BE818" s="108"/>
      <c r="BF818" s="108"/>
      <c r="BG818" s="108"/>
      <c r="BH818" s="108"/>
      <c r="BI818" s="108"/>
      <c r="BJ818" s="108"/>
      <c r="BK818" s="109"/>
      <c r="BL818" s="108"/>
      <c r="BM818" s="108"/>
      <c r="BN818" s="108"/>
    </row>
    <row r="819" spans="1:66" ht="12" customHeight="1" x14ac:dyDescent="0.2">
      <c r="A819" s="179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  <c r="BC819" s="108"/>
      <c r="BD819" s="108"/>
      <c r="BE819" s="108"/>
      <c r="BF819" s="108"/>
      <c r="BG819" s="108"/>
      <c r="BH819" s="108"/>
      <c r="BI819" s="108"/>
      <c r="BJ819" s="108"/>
      <c r="BK819" s="109"/>
      <c r="BL819" s="108"/>
      <c r="BM819" s="108"/>
      <c r="BN819" s="108"/>
    </row>
    <row r="820" spans="1:66" ht="12" customHeight="1" x14ac:dyDescent="0.2">
      <c r="A820" s="179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  <c r="BC820" s="108"/>
      <c r="BD820" s="108"/>
      <c r="BE820" s="108"/>
      <c r="BF820" s="108"/>
      <c r="BG820" s="108"/>
      <c r="BH820" s="108"/>
      <c r="BI820" s="108"/>
      <c r="BJ820" s="108"/>
      <c r="BK820" s="109"/>
      <c r="BL820" s="108"/>
      <c r="BM820" s="108"/>
      <c r="BN820" s="108"/>
    </row>
    <row r="821" spans="1:66" ht="12" customHeight="1" x14ac:dyDescent="0.2">
      <c r="A821" s="179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9"/>
      <c r="BL821" s="108"/>
      <c r="BM821" s="108"/>
      <c r="BN821" s="108"/>
    </row>
    <row r="822" spans="1:66" ht="12" customHeight="1" x14ac:dyDescent="0.2">
      <c r="A822" s="179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  <c r="BC822" s="108"/>
      <c r="BD822" s="108"/>
      <c r="BE822" s="108"/>
      <c r="BF822" s="108"/>
      <c r="BG822" s="108"/>
      <c r="BH822" s="108"/>
      <c r="BI822" s="108"/>
      <c r="BJ822" s="108"/>
      <c r="BK822" s="109"/>
      <c r="BL822" s="108"/>
      <c r="BM822" s="108"/>
      <c r="BN822" s="108"/>
    </row>
    <row r="823" spans="1:66" ht="12" customHeight="1" x14ac:dyDescent="0.2">
      <c r="A823" s="179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  <c r="BC823" s="108"/>
      <c r="BD823" s="108"/>
      <c r="BE823" s="108"/>
      <c r="BF823" s="108"/>
      <c r="BG823" s="108"/>
      <c r="BH823" s="108"/>
      <c r="BI823" s="108"/>
      <c r="BJ823" s="108"/>
      <c r="BK823" s="109"/>
      <c r="BL823" s="108"/>
      <c r="BM823" s="108"/>
      <c r="BN823" s="108"/>
    </row>
    <row r="824" spans="1:66" ht="12" customHeight="1" x14ac:dyDescent="0.2">
      <c r="A824" s="179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9"/>
      <c r="BL824" s="108"/>
      <c r="BM824" s="108"/>
      <c r="BN824" s="108"/>
    </row>
    <row r="825" spans="1:66" ht="12" customHeight="1" x14ac:dyDescent="0.2">
      <c r="A825" s="179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  <c r="BC825" s="108"/>
      <c r="BD825" s="108"/>
      <c r="BE825" s="108"/>
      <c r="BF825" s="108"/>
      <c r="BG825" s="108"/>
      <c r="BH825" s="108"/>
      <c r="BI825" s="108"/>
      <c r="BJ825" s="108"/>
      <c r="BK825" s="109"/>
      <c r="BL825" s="108"/>
      <c r="BM825" s="108"/>
      <c r="BN825" s="108"/>
    </row>
    <row r="826" spans="1:66" ht="12" customHeight="1" x14ac:dyDescent="0.2">
      <c r="A826" s="179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  <c r="BC826" s="108"/>
      <c r="BD826" s="108"/>
      <c r="BE826" s="108"/>
      <c r="BF826" s="108"/>
      <c r="BG826" s="108"/>
      <c r="BH826" s="108"/>
      <c r="BI826" s="108"/>
      <c r="BJ826" s="108"/>
      <c r="BK826" s="109"/>
      <c r="BL826" s="108"/>
      <c r="BM826" s="108"/>
      <c r="BN826" s="108"/>
    </row>
    <row r="827" spans="1:66" ht="12" customHeight="1" x14ac:dyDescent="0.2">
      <c r="A827" s="179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  <c r="BC827" s="108"/>
      <c r="BD827" s="108"/>
      <c r="BE827" s="108"/>
      <c r="BF827" s="108"/>
      <c r="BG827" s="108"/>
      <c r="BH827" s="108"/>
      <c r="BI827" s="108"/>
      <c r="BJ827" s="108"/>
      <c r="BK827" s="109"/>
      <c r="BL827" s="108"/>
      <c r="BM827" s="108"/>
      <c r="BN827" s="108"/>
    </row>
    <row r="828" spans="1:66" ht="12" customHeight="1" x14ac:dyDescent="0.2">
      <c r="A828" s="179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  <c r="BC828" s="108"/>
      <c r="BD828" s="108"/>
      <c r="BE828" s="108"/>
      <c r="BF828" s="108"/>
      <c r="BG828" s="108"/>
      <c r="BH828" s="108"/>
      <c r="BI828" s="108"/>
      <c r="BJ828" s="108"/>
      <c r="BK828" s="109"/>
      <c r="BL828" s="108"/>
      <c r="BM828" s="108"/>
      <c r="BN828" s="108"/>
    </row>
    <row r="829" spans="1:66" ht="12" customHeight="1" x14ac:dyDescent="0.2">
      <c r="A829" s="179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  <c r="BC829" s="108"/>
      <c r="BD829" s="108"/>
      <c r="BE829" s="108"/>
      <c r="BF829" s="108"/>
      <c r="BG829" s="108"/>
      <c r="BH829" s="108"/>
      <c r="BI829" s="108"/>
      <c r="BJ829" s="108"/>
      <c r="BK829" s="109"/>
      <c r="BL829" s="108"/>
      <c r="BM829" s="108"/>
      <c r="BN829" s="108"/>
    </row>
    <row r="830" spans="1:66" ht="12" customHeight="1" x14ac:dyDescent="0.2">
      <c r="A830" s="179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  <c r="BC830" s="108"/>
      <c r="BD830" s="108"/>
      <c r="BE830" s="108"/>
      <c r="BF830" s="108"/>
      <c r="BG830" s="108"/>
      <c r="BH830" s="108"/>
      <c r="BI830" s="108"/>
      <c r="BJ830" s="108"/>
      <c r="BK830" s="109"/>
      <c r="BL830" s="108"/>
      <c r="BM830" s="108"/>
      <c r="BN830" s="108"/>
    </row>
    <row r="831" spans="1:66" ht="12" customHeight="1" x14ac:dyDescent="0.2">
      <c r="A831" s="179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  <c r="BC831" s="108"/>
      <c r="BD831" s="108"/>
      <c r="BE831" s="108"/>
      <c r="BF831" s="108"/>
      <c r="BG831" s="108"/>
      <c r="BH831" s="108"/>
      <c r="BI831" s="108"/>
      <c r="BJ831" s="108"/>
      <c r="BK831" s="109"/>
      <c r="BL831" s="108"/>
      <c r="BM831" s="108"/>
      <c r="BN831" s="108"/>
    </row>
    <row r="832" spans="1:66" ht="12" customHeight="1" x14ac:dyDescent="0.2">
      <c r="A832" s="179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  <c r="BC832" s="108"/>
      <c r="BD832" s="108"/>
      <c r="BE832" s="108"/>
      <c r="BF832" s="108"/>
      <c r="BG832" s="108"/>
      <c r="BH832" s="108"/>
      <c r="BI832" s="108"/>
      <c r="BJ832" s="108"/>
      <c r="BK832" s="109"/>
      <c r="BL832" s="108"/>
      <c r="BM832" s="108"/>
      <c r="BN832" s="108"/>
    </row>
    <row r="833" spans="1:66" ht="12" customHeight="1" x14ac:dyDescent="0.2">
      <c r="A833" s="179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  <c r="BC833" s="108"/>
      <c r="BD833" s="108"/>
      <c r="BE833" s="108"/>
      <c r="BF833" s="108"/>
      <c r="BG833" s="108"/>
      <c r="BH833" s="108"/>
      <c r="BI833" s="108"/>
      <c r="BJ833" s="108"/>
      <c r="BK833" s="109"/>
      <c r="BL833" s="108"/>
      <c r="BM833" s="108"/>
      <c r="BN833" s="108"/>
    </row>
    <row r="834" spans="1:66" ht="12" customHeight="1" x14ac:dyDescent="0.2">
      <c r="A834" s="179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  <c r="BC834" s="108"/>
      <c r="BD834" s="108"/>
      <c r="BE834" s="108"/>
      <c r="BF834" s="108"/>
      <c r="BG834" s="108"/>
      <c r="BH834" s="108"/>
      <c r="BI834" s="108"/>
      <c r="BJ834" s="108"/>
      <c r="BK834" s="109"/>
      <c r="BL834" s="108"/>
      <c r="BM834" s="108"/>
      <c r="BN834" s="108"/>
    </row>
    <row r="835" spans="1:66" ht="12" customHeight="1" x14ac:dyDescent="0.2">
      <c r="A835" s="179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  <c r="BC835" s="108"/>
      <c r="BD835" s="108"/>
      <c r="BE835" s="108"/>
      <c r="BF835" s="108"/>
      <c r="BG835" s="108"/>
      <c r="BH835" s="108"/>
      <c r="BI835" s="108"/>
      <c r="BJ835" s="108"/>
      <c r="BK835" s="109"/>
      <c r="BL835" s="108"/>
      <c r="BM835" s="108"/>
      <c r="BN835" s="108"/>
    </row>
    <row r="836" spans="1:66" ht="12" customHeight="1" x14ac:dyDescent="0.2">
      <c r="A836" s="179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  <c r="BC836" s="108"/>
      <c r="BD836" s="108"/>
      <c r="BE836" s="108"/>
      <c r="BF836" s="108"/>
      <c r="BG836" s="108"/>
      <c r="BH836" s="108"/>
      <c r="BI836" s="108"/>
      <c r="BJ836" s="108"/>
      <c r="BK836" s="109"/>
      <c r="BL836" s="108"/>
      <c r="BM836" s="108"/>
      <c r="BN836" s="108"/>
    </row>
    <row r="837" spans="1:66" ht="12" customHeight="1" x14ac:dyDescent="0.2">
      <c r="A837" s="179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  <c r="BC837" s="108"/>
      <c r="BD837" s="108"/>
      <c r="BE837" s="108"/>
      <c r="BF837" s="108"/>
      <c r="BG837" s="108"/>
      <c r="BH837" s="108"/>
      <c r="BI837" s="108"/>
      <c r="BJ837" s="108"/>
      <c r="BK837" s="109"/>
      <c r="BL837" s="108"/>
      <c r="BM837" s="108"/>
      <c r="BN837" s="108"/>
    </row>
    <row r="838" spans="1:66" ht="12" customHeight="1" x14ac:dyDescent="0.2">
      <c r="A838" s="179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  <c r="BC838" s="108"/>
      <c r="BD838" s="108"/>
      <c r="BE838" s="108"/>
      <c r="BF838" s="108"/>
      <c r="BG838" s="108"/>
      <c r="BH838" s="108"/>
      <c r="BI838" s="108"/>
      <c r="BJ838" s="108"/>
      <c r="BK838" s="109"/>
      <c r="BL838" s="108"/>
      <c r="BM838" s="108"/>
      <c r="BN838" s="108"/>
    </row>
    <row r="839" spans="1:66" ht="12" customHeight="1" x14ac:dyDescent="0.2">
      <c r="A839" s="179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  <c r="BC839" s="108"/>
      <c r="BD839" s="108"/>
      <c r="BE839" s="108"/>
      <c r="BF839" s="108"/>
      <c r="BG839" s="108"/>
      <c r="BH839" s="108"/>
      <c r="BI839" s="108"/>
      <c r="BJ839" s="108"/>
      <c r="BK839" s="109"/>
      <c r="BL839" s="108"/>
      <c r="BM839" s="108"/>
      <c r="BN839" s="108"/>
    </row>
    <row r="840" spans="1:66" ht="12" customHeight="1" x14ac:dyDescent="0.2">
      <c r="A840" s="179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  <c r="BC840" s="108"/>
      <c r="BD840" s="108"/>
      <c r="BE840" s="108"/>
      <c r="BF840" s="108"/>
      <c r="BG840" s="108"/>
      <c r="BH840" s="108"/>
      <c r="BI840" s="108"/>
      <c r="BJ840" s="108"/>
      <c r="BK840" s="109"/>
      <c r="BL840" s="108"/>
      <c r="BM840" s="108"/>
      <c r="BN840" s="108"/>
    </row>
    <row r="841" spans="1:66" ht="12" customHeight="1" x14ac:dyDescent="0.2">
      <c r="A841" s="179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  <c r="BC841" s="108"/>
      <c r="BD841" s="108"/>
      <c r="BE841" s="108"/>
      <c r="BF841" s="108"/>
      <c r="BG841" s="108"/>
      <c r="BH841" s="108"/>
      <c r="BI841" s="108"/>
      <c r="BJ841" s="108"/>
      <c r="BK841" s="109"/>
      <c r="BL841" s="108"/>
      <c r="BM841" s="108"/>
      <c r="BN841" s="108"/>
    </row>
    <row r="842" spans="1:66" ht="12" customHeight="1" x14ac:dyDescent="0.2">
      <c r="A842" s="179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  <c r="BC842" s="108"/>
      <c r="BD842" s="108"/>
      <c r="BE842" s="108"/>
      <c r="BF842" s="108"/>
      <c r="BG842" s="108"/>
      <c r="BH842" s="108"/>
      <c r="BI842" s="108"/>
      <c r="BJ842" s="108"/>
      <c r="BK842" s="109"/>
      <c r="BL842" s="108"/>
      <c r="BM842" s="108"/>
      <c r="BN842" s="108"/>
    </row>
    <row r="843" spans="1:66" ht="12" customHeight="1" x14ac:dyDescent="0.2">
      <c r="A843" s="179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  <c r="BC843" s="108"/>
      <c r="BD843" s="108"/>
      <c r="BE843" s="108"/>
      <c r="BF843" s="108"/>
      <c r="BG843" s="108"/>
      <c r="BH843" s="108"/>
      <c r="BI843" s="108"/>
      <c r="BJ843" s="108"/>
      <c r="BK843" s="109"/>
      <c r="BL843" s="108"/>
      <c r="BM843" s="108"/>
      <c r="BN843" s="108"/>
    </row>
    <row r="844" spans="1:66" ht="12" customHeight="1" x14ac:dyDescent="0.2">
      <c r="A844" s="179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  <c r="BC844" s="108"/>
      <c r="BD844" s="108"/>
      <c r="BE844" s="108"/>
      <c r="BF844" s="108"/>
      <c r="BG844" s="108"/>
      <c r="BH844" s="108"/>
      <c r="BI844" s="108"/>
      <c r="BJ844" s="108"/>
      <c r="BK844" s="109"/>
      <c r="BL844" s="108"/>
      <c r="BM844" s="108"/>
      <c r="BN844" s="108"/>
    </row>
    <row r="845" spans="1:66" ht="12" customHeight="1" x14ac:dyDescent="0.2">
      <c r="A845" s="179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  <c r="BC845" s="108"/>
      <c r="BD845" s="108"/>
      <c r="BE845" s="108"/>
      <c r="BF845" s="108"/>
      <c r="BG845" s="108"/>
      <c r="BH845" s="108"/>
      <c r="BI845" s="108"/>
      <c r="BJ845" s="108"/>
      <c r="BK845" s="109"/>
      <c r="BL845" s="108"/>
      <c r="BM845" s="108"/>
      <c r="BN845" s="108"/>
    </row>
    <row r="846" spans="1:66" ht="12" customHeight="1" x14ac:dyDescent="0.2">
      <c r="A846" s="179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  <c r="BC846" s="108"/>
      <c r="BD846" s="108"/>
      <c r="BE846" s="108"/>
      <c r="BF846" s="108"/>
      <c r="BG846" s="108"/>
      <c r="BH846" s="108"/>
      <c r="BI846" s="108"/>
      <c r="BJ846" s="108"/>
      <c r="BK846" s="109"/>
      <c r="BL846" s="108"/>
      <c r="BM846" s="108"/>
      <c r="BN846" s="108"/>
    </row>
    <row r="847" spans="1:66" ht="12" customHeight="1" x14ac:dyDescent="0.2">
      <c r="A847" s="179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  <c r="BC847" s="108"/>
      <c r="BD847" s="108"/>
      <c r="BE847" s="108"/>
      <c r="BF847" s="108"/>
      <c r="BG847" s="108"/>
      <c r="BH847" s="108"/>
      <c r="BI847" s="108"/>
      <c r="BJ847" s="108"/>
      <c r="BK847" s="109"/>
      <c r="BL847" s="108"/>
      <c r="BM847" s="108"/>
      <c r="BN847" s="108"/>
    </row>
    <row r="848" spans="1:66" ht="12" customHeight="1" x14ac:dyDescent="0.2">
      <c r="A848" s="179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  <c r="BC848" s="108"/>
      <c r="BD848" s="108"/>
      <c r="BE848" s="108"/>
      <c r="BF848" s="108"/>
      <c r="BG848" s="108"/>
      <c r="BH848" s="108"/>
      <c r="BI848" s="108"/>
      <c r="BJ848" s="108"/>
      <c r="BK848" s="109"/>
      <c r="BL848" s="108"/>
      <c r="BM848" s="108"/>
      <c r="BN848" s="108"/>
    </row>
    <row r="849" spans="1:66" ht="12" customHeight="1" x14ac:dyDescent="0.2">
      <c r="A849" s="179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  <c r="BC849" s="108"/>
      <c r="BD849" s="108"/>
      <c r="BE849" s="108"/>
      <c r="BF849" s="108"/>
      <c r="BG849" s="108"/>
      <c r="BH849" s="108"/>
      <c r="BI849" s="108"/>
      <c r="BJ849" s="108"/>
      <c r="BK849" s="109"/>
      <c r="BL849" s="108"/>
      <c r="BM849" s="108"/>
      <c r="BN849" s="108"/>
    </row>
    <row r="850" spans="1:66" ht="12" customHeight="1" x14ac:dyDescent="0.2">
      <c r="A850" s="179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  <c r="BC850" s="108"/>
      <c r="BD850" s="108"/>
      <c r="BE850" s="108"/>
      <c r="BF850" s="108"/>
      <c r="BG850" s="108"/>
      <c r="BH850" s="108"/>
      <c r="BI850" s="108"/>
      <c r="BJ850" s="108"/>
      <c r="BK850" s="109"/>
      <c r="BL850" s="108"/>
      <c r="BM850" s="108"/>
      <c r="BN850" s="108"/>
    </row>
    <row r="851" spans="1:66" ht="12" customHeight="1" x14ac:dyDescent="0.2">
      <c r="A851" s="179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  <c r="BC851" s="108"/>
      <c r="BD851" s="108"/>
      <c r="BE851" s="108"/>
      <c r="BF851" s="108"/>
      <c r="BG851" s="108"/>
      <c r="BH851" s="108"/>
      <c r="BI851" s="108"/>
      <c r="BJ851" s="108"/>
      <c r="BK851" s="109"/>
      <c r="BL851" s="108"/>
      <c r="BM851" s="108"/>
      <c r="BN851" s="108"/>
    </row>
    <row r="852" spans="1:66" ht="12" customHeight="1" x14ac:dyDescent="0.2">
      <c r="A852" s="179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  <c r="BC852" s="108"/>
      <c r="BD852" s="108"/>
      <c r="BE852" s="108"/>
      <c r="BF852" s="108"/>
      <c r="BG852" s="108"/>
      <c r="BH852" s="108"/>
      <c r="BI852" s="108"/>
      <c r="BJ852" s="108"/>
      <c r="BK852" s="109"/>
      <c r="BL852" s="108"/>
      <c r="BM852" s="108"/>
      <c r="BN852" s="108"/>
    </row>
    <row r="853" spans="1:66" ht="12" customHeight="1" x14ac:dyDescent="0.2">
      <c r="A853" s="179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  <c r="BC853" s="108"/>
      <c r="BD853" s="108"/>
      <c r="BE853" s="108"/>
      <c r="BF853" s="108"/>
      <c r="BG853" s="108"/>
      <c r="BH853" s="108"/>
      <c r="BI853" s="108"/>
      <c r="BJ853" s="108"/>
      <c r="BK853" s="109"/>
      <c r="BL853" s="108"/>
      <c r="BM853" s="108"/>
      <c r="BN853" s="108"/>
    </row>
    <row r="854" spans="1:66" ht="12" customHeight="1" x14ac:dyDescent="0.2">
      <c r="A854" s="179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08"/>
      <c r="BD854" s="108"/>
      <c r="BE854" s="108"/>
      <c r="BF854" s="108"/>
      <c r="BG854" s="108"/>
      <c r="BH854" s="108"/>
      <c r="BI854" s="108"/>
      <c r="BJ854" s="108"/>
      <c r="BK854" s="109"/>
      <c r="BL854" s="108"/>
      <c r="BM854" s="108"/>
      <c r="BN854" s="108"/>
    </row>
    <row r="855" spans="1:66" ht="12" customHeight="1" x14ac:dyDescent="0.2">
      <c r="A855" s="179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  <c r="BC855" s="108"/>
      <c r="BD855" s="108"/>
      <c r="BE855" s="108"/>
      <c r="BF855" s="108"/>
      <c r="BG855" s="108"/>
      <c r="BH855" s="108"/>
      <c r="BI855" s="108"/>
      <c r="BJ855" s="108"/>
      <c r="BK855" s="109"/>
      <c r="BL855" s="108"/>
      <c r="BM855" s="108"/>
      <c r="BN855" s="108"/>
    </row>
    <row r="856" spans="1:66" ht="12" customHeight="1" x14ac:dyDescent="0.2">
      <c r="A856" s="179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  <c r="BC856" s="108"/>
      <c r="BD856" s="108"/>
      <c r="BE856" s="108"/>
      <c r="BF856" s="108"/>
      <c r="BG856" s="108"/>
      <c r="BH856" s="108"/>
      <c r="BI856" s="108"/>
      <c r="BJ856" s="108"/>
      <c r="BK856" s="109"/>
      <c r="BL856" s="108"/>
      <c r="BM856" s="108"/>
      <c r="BN856" s="108"/>
    </row>
    <row r="857" spans="1:66" ht="12" customHeight="1" x14ac:dyDescent="0.2">
      <c r="A857" s="179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  <c r="BC857" s="108"/>
      <c r="BD857" s="108"/>
      <c r="BE857" s="108"/>
      <c r="BF857" s="108"/>
      <c r="BG857" s="108"/>
      <c r="BH857" s="108"/>
      <c r="BI857" s="108"/>
      <c r="BJ857" s="108"/>
      <c r="BK857" s="109"/>
      <c r="BL857" s="108"/>
      <c r="BM857" s="108"/>
      <c r="BN857" s="108"/>
    </row>
    <row r="858" spans="1:66" ht="12" customHeight="1" x14ac:dyDescent="0.2">
      <c r="A858" s="179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  <c r="BC858" s="108"/>
      <c r="BD858" s="108"/>
      <c r="BE858" s="108"/>
      <c r="BF858" s="108"/>
      <c r="BG858" s="108"/>
      <c r="BH858" s="108"/>
      <c r="BI858" s="108"/>
      <c r="BJ858" s="108"/>
      <c r="BK858" s="109"/>
      <c r="BL858" s="108"/>
      <c r="BM858" s="108"/>
      <c r="BN858" s="108"/>
    </row>
    <row r="859" spans="1:66" ht="12" customHeight="1" x14ac:dyDescent="0.2">
      <c r="A859" s="179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9"/>
      <c r="BL859" s="108"/>
      <c r="BM859" s="108"/>
      <c r="BN859" s="108"/>
    </row>
    <row r="860" spans="1:66" ht="12" customHeight="1" x14ac:dyDescent="0.2">
      <c r="A860" s="179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  <c r="BC860" s="108"/>
      <c r="BD860" s="108"/>
      <c r="BE860" s="108"/>
      <c r="BF860" s="108"/>
      <c r="BG860" s="108"/>
      <c r="BH860" s="108"/>
      <c r="BI860" s="108"/>
      <c r="BJ860" s="108"/>
      <c r="BK860" s="109"/>
      <c r="BL860" s="108"/>
      <c r="BM860" s="108"/>
      <c r="BN860" s="108"/>
    </row>
    <row r="861" spans="1:66" ht="12" customHeight="1" x14ac:dyDescent="0.2">
      <c r="A861" s="179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  <c r="BC861" s="108"/>
      <c r="BD861" s="108"/>
      <c r="BE861" s="108"/>
      <c r="BF861" s="108"/>
      <c r="BG861" s="108"/>
      <c r="BH861" s="108"/>
      <c r="BI861" s="108"/>
      <c r="BJ861" s="108"/>
      <c r="BK861" s="109"/>
      <c r="BL861" s="108"/>
      <c r="BM861" s="108"/>
      <c r="BN861" s="108"/>
    </row>
    <row r="862" spans="1:66" ht="12" customHeight="1" x14ac:dyDescent="0.2">
      <c r="A862" s="179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9"/>
      <c r="BL862" s="108"/>
      <c r="BM862" s="108"/>
      <c r="BN862" s="108"/>
    </row>
    <row r="863" spans="1:66" ht="12" customHeight="1" x14ac:dyDescent="0.2">
      <c r="A863" s="179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  <c r="BC863" s="108"/>
      <c r="BD863" s="108"/>
      <c r="BE863" s="108"/>
      <c r="BF863" s="108"/>
      <c r="BG863" s="108"/>
      <c r="BH863" s="108"/>
      <c r="BI863" s="108"/>
      <c r="BJ863" s="108"/>
      <c r="BK863" s="109"/>
      <c r="BL863" s="108"/>
      <c r="BM863" s="108"/>
      <c r="BN863" s="108"/>
    </row>
    <row r="864" spans="1:66" ht="12" customHeight="1" x14ac:dyDescent="0.2">
      <c r="A864" s="179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  <c r="BC864" s="108"/>
      <c r="BD864" s="108"/>
      <c r="BE864" s="108"/>
      <c r="BF864" s="108"/>
      <c r="BG864" s="108"/>
      <c r="BH864" s="108"/>
      <c r="BI864" s="108"/>
      <c r="BJ864" s="108"/>
      <c r="BK864" s="109"/>
      <c r="BL864" s="108"/>
      <c r="BM864" s="108"/>
      <c r="BN864" s="108"/>
    </row>
    <row r="865" spans="1:66" ht="12" customHeight="1" x14ac:dyDescent="0.2">
      <c r="A865" s="179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  <c r="BC865" s="108"/>
      <c r="BD865" s="108"/>
      <c r="BE865" s="108"/>
      <c r="BF865" s="108"/>
      <c r="BG865" s="108"/>
      <c r="BH865" s="108"/>
      <c r="BI865" s="108"/>
      <c r="BJ865" s="108"/>
      <c r="BK865" s="109"/>
      <c r="BL865" s="108"/>
      <c r="BM865" s="108"/>
      <c r="BN865" s="108"/>
    </row>
    <row r="866" spans="1:66" ht="12" customHeight="1" x14ac:dyDescent="0.2">
      <c r="A866" s="179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  <c r="BC866" s="108"/>
      <c r="BD866" s="108"/>
      <c r="BE866" s="108"/>
      <c r="BF866" s="108"/>
      <c r="BG866" s="108"/>
      <c r="BH866" s="108"/>
      <c r="BI866" s="108"/>
      <c r="BJ866" s="108"/>
      <c r="BK866" s="109"/>
      <c r="BL866" s="108"/>
      <c r="BM866" s="108"/>
      <c r="BN866" s="108"/>
    </row>
    <row r="867" spans="1:66" ht="12" customHeight="1" x14ac:dyDescent="0.2">
      <c r="A867" s="179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  <c r="BC867" s="108"/>
      <c r="BD867" s="108"/>
      <c r="BE867" s="108"/>
      <c r="BF867" s="108"/>
      <c r="BG867" s="108"/>
      <c r="BH867" s="108"/>
      <c r="BI867" s="108"/>
      <c r="BJ867" s="108"/>
      <c r="BK867" s="109"/>
      <c r="BL867" s="108"/>
      <c r="BM867" s="108"/>
      <c r="BN867" s="108"/>
    </row>
    <row r="868" spans="1:66" ht="12" customHeight="1" x14ac:dyDescent="0.2">
      <c r="A868" s="179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  <c r="BC868" s="108"/>
      <c r="BD868" s="108"/>
      <c r="BE868" s="108"/>
      <c r="BF868" s="108"/>
      <c r="BG868" s="108"/>
      <c r="BH868" s="108"/>
      <c r="BI868" s="108"/>
      <c r="BJ868" s="108"/>
      <c r="BK868" s="109"/>
      <c r="BL868" s="108"/>
      <c r="BM868" s="108"/>
      <c r="BN868" s="108"/>
    </row>
    <row r="869" spans="1:66" ht="12" customHeight="1" x14ac:dyDescent="0.2">
      <c r="A869" s="179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  <c r="BC869" s="108"/>
      <c r="BD869" s="108"/>
      <c r="BE869" s="108"/>
      <c r="BF869" s="108"/>
      <c r="BG869" s="108"/>
      <c r="BH869" s="108"/>
      <c r="BI869" s="108"/>
      <c r="BJ869" s="108"/>
      <c r="BK869" s="109"/>
      <c r="BL869" s="108"/>
      <c r="BM869" s="108"/>
      <c r="BN869" s="108"/>
    </row>
    <row r="870" spans="1:66" ht="12" customHeight="1" x14ac:dyDescent="0.2">
      <c r="A870" s="179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  <c r="BC870" s="108"/>
      <c r="BD870" s="108"/>
      <c r="BE870" s="108"/>
      <c r="BF870" s="108"/>
      <c r="BG870" s="108"/>
      <c r="BH870" s="108"/>
      <c r="BI870" s="108"/>
      <c r="BJ870" s="108"/>
      <c r="BK870" s="109"/>
      <c r="BL870" s="108"/>
      <c r="BM870" s="108"/>
      <c r="BN870" s="108"/>
    </row>
    <row r="871" spans="1:66" ht="12" customHeight="1" x14ac:dyDescent="0.2">
      <c r="A871" s="179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  <c r="BC871" s="108"/>
      <c r="BD871" s="108"/>
      <c r="BE871" s="108"/>
      <c r="BF871" s="108"/>
      <c r="BG871" s="108"/>
      <c r="BH871" s="108"/>
      <c r="BI871" s="108"/>
      <c r="BJ871" s="108"/>
      <c r="BK871" s="109"/>
      <c r="BL871" s="108"/>
      <c r="BM871" s="108"/>
      <c r="BN871" s="108"/>
    </row>
    <row r="872" spans="1:66" ht="12" customHeight="1" x14ac:dyDescent="0.2">
      <c r="A872" s="179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  <c r="BC872" s="108"/>
      <c r="BD872" s="108"/>
      <c r="BE872" s="108"/>
      <c r="BF872" s="108"/>
      <c r="BG872" s="108"/>
      <c r="BH872" s="108"/>
      <c r="BI872" s="108"/>
      <c r="BJ872" s="108"/>
      <c r="BK872" s="109"/>
      <c r="BL872" s="108"/>
      <c r="BM872" s="108"/>
      <c r="BN872" s="108"/>
    </row>
    <row r="873" spans="1:66" ht="12" customHeight="1" x14ac:dyDescent="0.2">
      <c r="A873" s="179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  <c r="BC873" s="108"/>
      <c r="BD873" s="108"/>
      <c r="BE873" s="108"/>
      <c r="BF873" s="108"/>
      <c r="BG873" s="108"/>
      <c r="BH873" s="108"/>
      <c r="BI873" s="108"/>
      <c r="BJ873" s="108"/>
      <c r="BK873" s="109"/>
      <c r="BL873" s="108"/>
      <c r="BM873" s="108"/>
      <c r="BN873" s="108"/>
    </row>
    <row r="874" spans="1:66" ht="12" customHeight="1" x14ac:dyDescent="0.2">
      <c r="A874" s="179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  <c r="BC874" s="108"/>
      <c r="BD874" s="108"/>
      <c r="BE874" s="108"/>
      <c r="BF874" s="108"/>
      <c r="BG874" s="108"/>
      <c r="BH874" s="108"/>
      <c r="BI874" s="108"/>
      <c r="BJ874" s="108"/>
      <c r="BK874" s="109"/>
      <c r="BL874" s="108"/>
      <c r="BM874" s="108"/>
      <c r="BN874" s="108"/>
    </row>
    <row r="875" spans="1:66" ht="12" customHeight="1" x14ac:dyDescent="0.2">
      <c r="A875" s="179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  <c r="BC875" s="108"/>
      <c r="BD875" s="108"/>
      <c r="BE875" s="108"/>
      <c r="BF875" s="108"/>
      <c r="BG875" s="108"/>
      <c r="BH875" s="108"/>
      <c r="BI875" s="108"/>
      <c r="BJ875" s="108"/>
      <c r="BK875" s="109"/>
      <c r="BL875" s="108"/>
      <c r="BM875" s="108"/>
      <c r="BN875" s="108"/>
    </row>
    <row r="876" spans="1:66" ht="12" customHeight="1" x14ac:dyDescent="0.2">
      <c r="A876" s="179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  <c r="BC876" s="108"/>
      <c r="BD876" s="108"/>
      <c r="BE876" s="108"/>
      <c r="BF876" s="108"/>
      <c r="BG876" s="108"/>
      <c r="BH876" s="108"/>
      <c r="BI876" s="108"/>
      <c r="BJ876" s="108"/>
      <c r="BK876" s="109"/>
      <c r="BL876" s="108"/>
      <c r="BM876" s="108"/>
      <c r="BN876" s="108"/>
    </row>
    <row r="877" spans="1:66" ht="12" customHeight="1" x14ac:dyDescent="0.2">
      <c r="A877" s="179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  <c r="BC877" s="108"/>
      <c r="BD877" s="108"/>
      <c r="BE877" s="108"/>
      <c r="BF877" s="108"/>
      <c r="BG877" s="108"/>
      <c r="BH877" s="108"/>
      <c r="BI877" s="108"/>
      <c r="BJ877" s="108"/>
      <c r="BK877" s="109"/>
      <c r="BL877" s="108"/>
      <c r="BM877" s="108"/>
      <c r="BN877" s="108"/>
    </row>
    <row r="878" spans="1:66" ht="12" customHeight="1" x14ac:dyDescent="0.2">
      <c r="A878" s="179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  <c r="BC878" s="108"/>
      <c r="BD878" s="108"/>
      <c r="BE878" s="108"/>
      <c r="BF878" s="108"/>
      <c r="BG878" s="108"/>
      <c r="BH878" s="108"/>
      <c r="BI878" s="108"/>
      <c r="BJ878" s="108"/>
      <c r="BK878" s="109"/>
      <c r="BL878" s="108"/>
      <c r="BM878" s="108"/>
      <c r="BN878" s="108"/>
    </row>
    <row r="879" spans="1:66" ht="12" customHeight="1" x14ac:dyDescent="0.2">
      <c r="A879" s="179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  <c r="BC879" s="108"/>
      <c r="BD879" s="108"/>
      <c r="BE879" s="108"/>
      <c r="BF879" s="108"/>
      <c r="BG879" s="108"/>
      <c r="BH879" s="108"/>
      <c r="BI879" s="108"/>
      <c r="BJ879" s="108"/>
      <c r="BK879" s="109"/>
      <c r="BL879" s="108"/>
      <c r="BM879" s="108"/>
      <c r="BN879" s="108"/>
    </row>
    <row r="880" spans="1:66" ht="12" customHeight="1" x14ac:dyDescent="0.2">
      <c r="A880" s="179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  <c r="BC880" s="108"/>
      <c r="BD880" s="108"/>
      <c r="BE880" s="108"/>
      <c r="BF880" s="108"/>
      <c r="BG880" s="108"/>
      <c r="BH880" s="108"/>
      <c r="BI880" s="108"/>
      <c r="BJ880" s="108"/>
      <c r="BK880" s="109"/>
      <c r="BL880" s="108"/>
      <c r="BM880" s="108"/>
      <c r="BN880" s="108"/>
    </row>
    <row r="881" spans="1:66" ht="12" customHeight="1" x14ac:dyDescent="0.2">
      <c r="A881" s="179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  <c r="BC881" s="108"/>
      <c r="BD881" s="108"/>
      <c r="BE881" s="108"/>
      <c r="BF881" s="108"/>
      <c r="BG881" s="108"/>
      <c r="BH881" s="108"/>
      <c r="BI881" s="108"/>
      <c r="BJ881" s="108"/>
      <c r="BK881" s="109"/>
      <c r="BL881" s="108"/>
      <c r="BM881" s="108"/>
      <c r="BN881" s="108"/>
    </row>
    <row r="882" spans="1:66" ht="12" customHeight="1" x14ac:dyDescent="0.2">
      <c r="A882" s="179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  <c r="BC882" s="108"/>
      <c r="BD882" s="108"/>
      <c r="BE882" s="108"/>
      <c r="BF882" s="108"/>
      <c r="BG882" s="108"/>
      <c r="BH882" s="108"/>
      <c r="BI882" s="108"/>
      <c r="BJ882" s="108"/>
      <c r="BK882" s="109"/>
      <c r="BL882" s="108"/>
      <c r="BM882" s="108"/>
      <c r="BN882" s="108"/>
    </row>
    <row r="883" spans="1:66" ht="12" customHeight="1" x14ac:dyDescent="0.2">
      <c r="A883" s="179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  <c r="BC883" s="108"/>
      <c r="BD883" s="108"/>
      <c r="BE883" s="108"/>
      <c r="BF883" s="108"/>
      <c r="BG883" s="108"/>
      <c r="BH883" s="108"/>
      <c r="BI883" s="108"/>
      <c r="BJ883" s="108"/>
      <c r="BK883" s="109"/>
      <c r="BL883" s="108"/>
      <c r="BM883" s="108"/>
      <c r="BN883" s="108"/>
    </row>
    <row r="884" spans="1:66" ht="12" customHeight="1" x14ac:dyDescent="0.2">
      <c r="A884" s="179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  <c r="BC884" s="108"/>
      <c r="BD884" s="108"/>
      <c r="BE884" s="108"/>
      <c r="BF884" s="108"/>
      <c r="BG884" s="108"/>
      <c r="BH884" s="108"/>
      <c r="BI884" s="108"/>
      <c r="BJ884" s="108"/>
      <c r="BK884" s="109"/>
      <c r="BL884" s="108"/>
      <c r="BM884" s="108"/>
      <c r="BN884" s="108"/>
    </row>
    <row r="885" spans="1:66" ht="12" customHeight="1" x14ac:dyDescent="0.2">
      <c r="A885" s="179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  <c r="BC885" s="108"/>
      <c r="BD885" s="108"/>
      <c r="BE885" s="108"/>
      <c r="BF885" s="108"/>
      <c r="BG885" s="108"/>
      <c r="BH885" s="108"/>
      <c r="BI885" s="108"/>
      <c r="BJ885" s="108"/>
      <c r="BK885" s="109"/>
      <c r="BL885" s="108"/>
      <c r="BM885" s="108"/>
      <c r="BN885" s="108"/>
    </row>
    <row r="886" spans="1:66" ht="12" customHeight="1" x14ac:dyDescent="0.2">
      <c r="A886" s="179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  <c r="BC886" s="108"/>
      <c r="BD886" s="108"/>
      <c r="BE886" s="108"/>
      <c r="BF886" s="108"/>
      <c r="BG886" s="108"/>
      <c r="BH886" s="108"/>
      <c r="BI886" s="108"/>
      <c r="BJ886" s="108"/>
      <c r="BK886" s="109"/>
      <c r="BL886" s="108"/>
      <c r="BM886" s="108"/>
      <c r="BN886" s="108"/>
    </row>
    <row r="887" spans="1:66" ht="12" customHeight="1" x14ac:dyDescent="0.2">
      <c r="A887" s="179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  <c r="BC887" s="108"/>
      <c r="BD887" s="108"/>
      <c r="BE887" s="108"/>
      <c r="BF887" s="108"/>
      <c r="BG887" s="108"/>
      <c r="BH887" s="108"/>
      <c r="BI887" s="108"/>
      <c r="BJ887" s="108"/>
      <c r="BK887" s="109"/>
      <c r="BL887" s="108"/>
      <c r="BM887" s="108"/>
      <c r="BN887" s="108"/>
    </row>
    <row r="888" spans="1:66" ht="12" customHeight="1" x14ac:dyDescent="0.2">
      <c r="A888" s="179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  <c r="BC888" s="108"/>
      <c r="BD888" s="108"/>
      <c r="BE888" s="108"/>
      <c r="BF888" s="108"/>
      <c r="BG888" s="108"/>
      <c r="BH888" s="108"/>
      <c r="BI888" s="108"/>
      <c r="BJ888" s="108"/>
      <c r="BK888" s="109"/>
      <c r="BL888" s="108"/>
      <c r="BM888" s="108"/>
      <c r="BN888" s="108"/>
    </row>
    <row r="889" spans="1:66" ht="12" customHeight="1" x14ac:dyDescent="0.2">
      <c r="A889" s="179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  <c r="BC889" s="108"/>
      <c r="BD889" s="108"/>
      <c r="BE889" s="108"/>
      <c r="BF889" s="108"/>
      <c r="BG889" s="108"/>
      <c r="BH889" s="108"/>
      <c r="BI889" s="108"/>
      <c r="BJ889" s="108"/>
      <c r="BK889" s="109"/>
      <c r="BL889" s="108"/>
      <c r="BM889" s="108"/>
      <c r="BN889" s="108"/>
    </row>
    <row r="890" spans="1:66" ht="12" customHeight="1" x14ac:dyDescent="0.2">
      <c r="A890" s="179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  <c r="BC890" s="108"/>
      <c r="BD890" s="108"/>
      <c r="BE890" s="108"/>
      <c r="BF890" s="108"/>
      <c r="BG890" s="108"/>
      <c r="BH890" s="108"/>
      <c r="BI890" s="108"/>
      <c r="BJ890" s="108"/>
      <c r="BK890" s="109"/>
      <c r="BL890" s="108"/>
      <c r="BM890" s="108"/>
      <c r="BN890" s="108"/>
    </row>
    <row r="891" spans="1:66" ht="12" customHeight="1" x14ac:dyDescent="0.2">
      <c r="A891" s="179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  <c r="BC891" s="108"/>
      <c r="BD891" s="108"/>
      <c r="BE891" s="108"/>
      <c r="BF891" s="108"/>
      <c r="BG891" s="108"/>
      <c r="BH891" s="108"/>
      <c r="BI891" s="108"/>
      <c r="BJ891" s="108"/>
      <c r="BK891" s="109"/>
      <c r="BL891" s="108"/>
      <c r="BM891" s="108"/>
      <c r="BN891" s="108"/>
    </row>
    <row r="892" spans="1:66" ht="12" customHeight="1" x14ac:dyDescent="0.2">
      <c r="A892" s="179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  <c r="BC892" s="108"/>
      <c r="BD892" s="108"/>
      <c r="BE892" s="108"/>
      <c r="BF892" s="108"/>
      <c r="BG892" s="108"/>
      <c r="BH892" s="108"/>
      <c r="BI892" s="108"/>
      <c r="BJ892" s="108"/>
      <c r="BK892" s="109"/>
      <c r="BL892" s="108"/>
      <c r="BM892" s="108"/>
      <c r="BN892" s="108"/>
    </row>
    <row r="893" spans="1:66" ht="12" customHeight="1" x14ac:dyDescent="0.2">
      <c r="A893" s="179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  <c r="BC893" s="108"/>
      <c r="BD893" s="108"/>
      <c r="BE893" s="108"/>
      <c r="BF893" s="108"/>
      <c r="BG893" s="108"/>
      <c r="BH893" s="108"/>
      <c r="BI893" s="108"/>
      <c r="BJ893" s="108"/>
      <c r="BK893" s="109"/>
      <c r="BL893" s="108"/>
      <c r="BM893" s="108"/>
      <c r="BN893" s="108"/>
    </row>
    <row r="894" spans="1:66" ht="12" customHeight="1" x14ac:dyDescent="0.2">
      <c r="A894" s="179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  <c r="BC894" s="108"/>
      <c r="BD894" s="108"/>
      <c r="BE894" s="108"/>
      <c r="BF894" s="108"/>
      <c r="BG894" s="108"/>
      <c r="BH894" s="108"/>
      <c r="BI894" s="108"/>
      <c r="BJ894" s="108"/>
      <c r="BK894" s="109"/>
      <c r="BL894" s="108"/>
      <c r="BM894" s="108"/>
      <c r="BN894" s="108"/>
    </row>
    <row r="895" spans="1:66" ht="12" customHeight="1" x14ac:dyDescent="0.2">
      <c r="A895" s="179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  <c r="BC895" s="108"/>
      <c r="BD895" s="108"/>
      <c r="BE895" s="108"/>
      <c r="BF895" s="108"/>
      <c r="BG895" s="108"/>
      <c r="BH895" s="108"/>
      <c r="BI895" s="108"/>
      <c r="BJ895" s="108"/>
      <c r="BK895" s="109"/>
      <c r="BL895" s="108"/>
      <c r="BM895" s="108"/>
      <c r="BN895" s="108"/>
    </row>
    <row r="896" spans="1:66" ht="12" customHeight="1" x14ac:dyDescent="0.2">
      <c r="A896" s="179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  <c r="BC896" s="108"/>
      <c r="BD896" s="108"/>
      <c r="BE896" s="108"/>
      <c r="BF896" s="108"/>
      <c r="BG896" s="108"/>
      <c r="BH896" s="108"/>
      <c r="BI896" s="108"/>
      <c r="BJ896" s="108"/>
      <c r="BK896" s="109"/>
      <c r="BL896" s="108"/>
      <c r="BM896" s="108"/>
      <c r="BN896" s="108"/>
    </row>
    <row r="897" spans="1:66" ht="12" customHeight="1" x14ac:dyDescent="0.2">
      <c r="A897" s="179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9"/>
      <c r="BL897" s="108"/>
      <c r="BM897" s="108"/>
      <c r="BN897" s="108"/>
    </row>
    <row r="898" spans="1:66" ht="12" customHeight="1" x14ac:dyDescent="0.2">
      <c r="A898" s="179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  <c r="BC898" s="108"/>
      <c r="BD898" s="108"/>
      <c r="BE898" s="108"/>
      <c r="BF898" s="108"/>
      <c r="BG898" s="108"/>
      <c r="BH898" s="108"/>
      <c r="BI898" s="108"/>
      <c r="BJ898" s="108"/>
      <c r="BK898" s="109"/>
      <c r="BL898" s="108"/>
      <c r="BM898" s="108"/>
      <c r="BN898" s="108"/>
    </row>
    <row r="899" spans="1:66" ht="12" customHeight="1" x14ac:dyDescent="0.2">
      <c r="A899" s="179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  <c r="BC899" s="108"/>
      <c r="BD899" s="108"/>
      <c r="BE899" s="108"/>
      <c r="BF899" s="108"/>
      <c r="BG899" s="108"/>
      <c r="BH899" s="108"/>
      <c r="BI899" s="108"/>
      <c r="BJ899" s="108"/>
      <c r="BK899" s="109"/>
      <c r="BL899" s="108"/>
      <c r="BM899" s="108"/>
      <c r="BN899" s="108"/>
    </row>
    <row r="900" spans="1:66" ht="12" customHeight="1" x14ac:dyDescent="0.2">
      <c r="A900" s="179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9"/>
      <c r="BL900" s="108"/>
      <c r="BM900" s="108"/>
      <c r="BN900" s="108"/>
    </row>
    <row r="901" spans="1:66" ht="12" customHeight="1" x14ac:dyDescent="0.2">
      <c r="A901" s="179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  <c r="BC901" s="108"/>
      <c r="BD901" s="108"/>
      <c r="BE901" s="108"/>
      <c r="BF901" s="108"/>
      <c r="BG901" s="108"/>
      <c r="BH901" s="108"/>
      <c r="BI901" s="108"/>
      <c r="BJ901" s="108"/>
      <c r="BK901" s="109"/>
      <c r="BL901" s="108"/>
      <c r="BM901" s="108"/>
      <c r="BN901" s="108"/>
    </row>
    <row r="902" spans="1:66" ht="12" customHeight="1" x14ac:dyDescent="0.2">
      <c r="A902" s="179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  <c r="BC902" s="108"/>
      <c r="BD902" s="108"/>
      <c r="BE902" s="108"/>
      <c r="BF902" s="108"/>
      <c r="BG902" s="108"/>
      <c r="BH902" s="108"/>
      <c r="BI902" s="108"/>
      <c r="BJ902" s="108"/>
      <c r="BK902" s="109"/>
      <c r="BL902" s="108"/>
      <c r="BM902" s="108"/>
      <c r="BN902" s="108"/>
    </row>
    <row r="903" spans="1:66" ht="12" customHeight="1" x14ac:dyDescent="0.2">
      <c r="A903" s="179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  <c r="BC903" s="108"/>
      <c r="BD903" s="108"/>
      <c r="BE903" s="108"/>
      <c r="BF903" s="108"/>
      <c r="BG903" s="108"/>
      <c r="BH903" s="108"/>
      <c r="BI903" s="108"/>
      <c r="BJ903" s="108"/>
      <c r="BK903" s="109"/>
      <c r="BL903" s="108"/>
      <c r="BM903" s="108"/>
      <c r="BN903" s="108"/>
    </row>
    <row r="904" spans="1:66" ht="12" customHeight="1" x14ac:dyDescent="0.2">
      <c r="A904" s="179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  <c r="BC904" s="108"/>
      <c r="BD904" s="108"/>
      <c r="BE904" s="108"/>
      <c r="BF904" s="108"/>
      <c r="BG904" s="108"/>
      <c r="BH904" s="108"/>
      <c r="BI904" s="108"/>
      <c r="BJ904" s="108"/>
      <c r="BK904" s="109"/>
      <c r="BL904" s="108"/>
      <c r="BM904" s="108"/>
      <c r="BN904" s="108"/>
    </row>
    <row r="905" spans="1:66" ht="12" customHeight="1" x14ac:dyDescent="0.2">
      <c r="A905" s="179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  <c r="BC905" s="108"/>
      <c r="BD905" s="108"/>
      <c r="BE905" s="108"/>
      <c r="BF905" s="108"/>
      <c r="BG905" s="108"/>
      <c r="BH905" s="108"/>
      <c r="BI905" s="108"/>
      <c r="BJ905" s="108"/>
      <c r="BK905" s="109"/>
      <c r="BL905" s="108"/>
      <c r="BM905" s="108"/>
      <c r="BN905" s="108"/>
    </row>
    <row r="906" spans="1:66" ht="12" customHeight="1" x14ac:dyDescent="0.2">
      <c r="A906" s="179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  <c r="BC906" s="108"/>
      <c r="BD906" s="108"/>
      <c r="BE906" s="108"/>
      <c r="BF906" s="108"/>
      <c r="BG906" s="108"/>
      <c r="BH906" s="108"/>
      <c r="BI906" s="108"/>
      <c r="BJ906" s="108"/>
      <c r="BK906" s="109"/>
      <c r="BL906" s="108"/>
      <c r="BM906" s="108"/>
      <c r="BN906" s="108"/>
    </row>
    <row r="907" spans="1:66" ht="12" customHeight="1" x14ac:dyDescent="0.2">
      <c r="A907" s="179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  <c r="BC907" s="108"/>
      <c r="BD907" s="108"/>
      <c r="BE907" s="108"/>
      <c r="BF907" s="108"/>
      <c r="BG907" s="108"/>
      <c r="BH907" s="108"/>
      <c r="BI907" s="108"/>
      <c r="BJ907" s="108"/>
      <c r="BK907" s="109"/>
      <c r="BL907" s="108"/>
      <c r="BM907" s="108"/>
      <c r="BN907" s="108"/>
    </row>
    <row r="908" spans="1:66" ht="12" customHeight="1" x14ac:dyDescent="0.2">
      <c r="A908" s="179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  <c r="BC908" s="108"/>
      <c r="BD908" s="108"/>
      <c r="BE908" s="108"/>
      <c r="BF908" s="108"/>
      <c r="BG908" s="108"/>
      <c r="BH908" s="108"/>
      <c r="BI908" s="108"/>
      <c r="BJ908" s="108"/>
      <c r="BK908" s="109"/>
      <c r="BL908" s="108"/>
      <c r="BM908" s="108"/>
      <c r="BN908" s="108"/>
    </row>
    <row r="909" spans="1:66" ht="12" customHeight="1" x14ac:dyDescent="0.2">
      <c r="A909" s="179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  <c r="BC909" s="108"/>
      <c r="BD909" s="108"/>
      <c r="BE909" s="108"/>
      <c r="BF909" s="108"/>
      <c r="BG909" s="108"/>
      <c r="BH909" s="108"/>
      <c r="BI909" s="108"/>
      <c r="BJ909" s="108"/>
      <c r="BK909" s="109"/>
      <c r="BL909" s="108"/>
      <c r="BM909" s="108"/>
      <c r="BN909" s="108"/>
    </row>
    <row r="910" spans="1:66" ht="12" customHeight="1" x14ac:dyDescent="0.2">
      <c r="A910" s="179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  <c r="BC910" s="108"/>
      <c r="BD910" s="108"/>
      <c r="BE910" s="108"/>
      <c r="BF910" s="108"/>
      <c r="BG910" s="108"/>
      <c r="BH910" s="108"/>
      <c r="BI910" s="108"/>
      <c r="BJ910" s="108"/>
      <c r="BK910" s="109"/>
      <c r="BL910" s="108"/>
      <c r="BM910" s="108"/>
      <c r="BN910" s="108"/>
    </row>
    <row r="911" spans="1:66" ht="12" customHeight="1" x14ac:dyDescent="0.2">
      <c r="A911" s="179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  <c r="BC911" s="108"/>
      <c r="BD911" s="108"/>
      <c r="BE911" s="108"/>
      <c r="BF911" s="108"/>
      <c r="BG911" s="108"/>
      <c r="BH911" s="108"/>
      <c r="BI911" s="108"/>
      <c r="BJ911" s="108"/>
      <c r="BK911" s="109"/>
      <c r="BL911" s="108"/>
      <c r="BM911" s="108"/>
      <c r="BN911" s="108"/>
    </row>
    <row r="912" spans="1:66" ht="12" customHeight="1" x14ac:dyDescent="0.2">
      <c r="A912" s="179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  <c r="BC912" s="108"/>
      <c r="BD912" s="108"/>
      <c r="BE912" s="108"/>
      <c r="BF912" s="108"/>
      <c r="BG912" s="108"/>
      <c r="BH912" s="108"/>
      <c r="BI912" s="108"/>
      <c r="BJ912" s="108"/>
      <c r="BK912" s="109"/>
      <c r="BL912" s="108"/>
      <c r="BM912" s="108"/>
      <c r="BN912" s="108"/>
    </row>
    <row r="913" spans="1:66" ht="12" customHeight="1" x14ac:dyDescent="0.2">
      <c r="A913" s="179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  <c r="BC913" s="108"/>
      <c r="BD913" s="108"/>
      <c r="BE913" s="108"/>
      <c r="BF913" s="108"/>
      <c r="BG913" s="108"/>
      <c r="BH913" s="108"/>
      <c r="BI913" s="108"/>
      <c r="BJ913" s="108"/>
      <c r="BK913" s="109"/>
      <c r="BL913" s="108"/>
      <c r="BM913" s="108"/>
      <c r="BN913" s="108"/>
    </row>
    <row r="914" spans="1:66" ht="12" customHeight="1" x14ac:dyDescent="0.2">
      <c r="A914" s="179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  <c r="BC914" s="108"/>
      <c r="BD914" s="108"/>
      <c r="BE914" s="108"/>
      <c r="BF914" s="108"/>
      <c r="BG914" s="108"/>
      <c r="BH914" s="108"/>
      <c r="BI914" s="108"/>
      <c r="BJ914" s="108"/>
      <c r="BK914" s="109"/>
      <c r="BL914" s="108"/>
      <c r="BM914" s="108"/>
      <c r="BN914" s="108"/>
    </row>
    <row r="915" spans="1:66" ht="12" customHeight="1" x14ac:dyDescent="0.2">
      <c r="A915" s="179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  <c r="BC915" s="108"/>
      <c r="BD915" s="108"/>
      <c r="BE915" s="108"/>
      <c r="BF915" s="108"/>
      <c r="BG915" s="108"/>
      <c r="BH915" s="108"/>
      <c r="BI915" s="108"/>
      <c r="BJ915" s="108"/>
      <c r="BK915" s="109"/>
      <c r="BL915" s="108"/>
      <c r="BM915" s="108"/>
      <c r="BN915" s="108"/>
    </row>
    <row r="916" spans="1:66" ht="12" customHeight="1" x14ac:dyDescent="0.2">
      <c r="A916" s="179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  <c r="BC916" s="108"/>
      <c r="BD916" s="108"/>
      <c r="BE916" s="108"/>
      <c r="BF916" s="108"/>
      <c r="BG916" s="108"/>
      <c r="BH916" s="108"/>
      <c r="BI916" s="108"/>
      <c r="BJ916" s="108"/>
      <c r="BK916" s="109"/>
      <c r="BL916" s="108"/>
      <c r="BM916" s="108"/>
      <c r="BN916" s="108"/>
    </row>
    <row r="917" spans="1:66" ht="12" customHeight="1" x14ac:dyDescent="0.2">
      <c r="A917" s="179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  <c r="BC917" s="108"/>
      <c r="BD917" s="108"/>
      <c r="BE917" s="108"/>
      <c r="BF917" s="108"/>
      <c r="BG917" s="108"/>
      <c r="BH917" s="108"/>
      <c r="BI917" s="108"/>
      <c r="BJ917" s="108"/>
      <c r="BK917" s="109"/>
      <c r="BL917" s="108"/>
      <c r="BM917" s="108"/>
      <c r="BN917" s="108"/>
    </row>
    <row r="918" spans="1:66" ht="12" customHeight="1" x14ac:dyDescent="0.2">
      <c r="A918" s="179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  <c r="BC918" s="108"/>
      <c r="BD918" s="108"/>
      <c r="BE918" s="108"/>
      <c r="BF918" s="108"/>
      <c r="BG918" s="108"/>
      <c r="BH918" s="108"/>
      <c r="BI918" s="108"/>
      <c r="BJ918" s="108"/>
      <c r="BK918" s="109"/>
      <c r="BL918" s="108"/>
      <c r="BM918" s="108"/>
      <c r="BN918" s="108"/>
    </row>
    <row r="919" spans="1:66" ht="12" customHeight="1" x14ac:dyDescent="0.2">
      <c r="A919" s="179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  <c r="BC919" s="108"/>
      <c r="BD919" s="108"/>
      <c r="BE919" s="108"/>
      <c r="BF919" s="108"/>
      <c r="BG919" s="108"/>
      <c r="BH919" s="108"/>
      <c r="BI919" s="108"/>
      <c r="BJ919" s="108"/>
      <c r="BK919" s="109"/>
      <c r="BL919" s="108"/>
      <c r="BM919" s="108"/>
      <c r="BN919" s="108"/>
    </row>
    <row r="920" spans="1:66" ht="12" customHeight="1" x14ac:dyDescent="0.2">
      <c r="A920" s="179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  <c r="BC920" s="108"/>
      <c r="BD920" s="108"/>
      <c r="BE920" s="108"/>
      <c r="BF920" s="108"/>
      <c r="BG920" s="108"/>
      <c r="BH920" s="108"/>
      <c r="BI920" s="108"/>
      <c r="BJ920" s="108"/>
      <c r="BK920" s="109"/>
      <c r="BL920" s="108"/>
      <c r="BM920" s="108"/>
      <c r="BN920" s="108"/>
    </row>
    <row r="921" spans="1:66" ht="12" customHeight="1" x14ac:dyDescent="0.2">
      <c r="A921" s="179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  <c r="BC921" s="108"/>
      <c r="BD921" s="108"/>
      <c r="BE921" s="108"/>
      <c r="BF921" s="108"/>
      <c r="BG921" s="108"/>
      <c r="BH921" s="108"/>
      <c r="BI921" s="108"/>
      <c r="BJ921" s="108"/>
      <c r="BK921" s="109"/>
      <c r="BL921" s="108"/>
      <c r="BM921" s="108"/>
      <c r="BN921" s="108"/>
    </row>
    <row r="922" spans="1:66" ht="12" customHeight="1" x14ac:dyDescent="0.2">
      <c r="A922" s="179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  <c r="BC922" s="108"/>
      <c r="BD922" s="108"/>
      <c r="BE922" s="108"/>
      <c r="BF922" s="108"/>
      <c r="BG922" s="108"/>
      <c r="BH922" s="108"/>
      <c r="BI922" s="108"/>
      <c r="BJ922" s="108"/>
      <c r="BK922" s="109"/>
      <c r="BL922" s="108"/>
      <c r="BM922" s="108"/>
      <c r="BN922" s="108"/>
    </row>
    <row r="923" spans="1:66" ht="12" customHeight="1" x14ac:dyDescent="0.2">
      <c r="A923" s="179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  <c r="BC923" s="108"/>
      <c r="BD923" s="108"/>
      <c r="BE923" s="108"/>
      <c r="BF923" s="108"/>
      <c r="BG923" s="108"/>
      <c r="BH923" s="108"/>
      <c r="BI923" s="108"/>
      <c r="BJ923" s="108"/>
      <c r="BK923" s="109"/>
      <c r="BL923" s="108"/>
      <c r="BM923" s="108"/>
      <c r="BN923" s="108"/>
    </row>
    <row r="924" spans="1:66" ht="12" customHeight="1" x14ac:dyDescent="0.2">
      <c r="A924" s="179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  <c r="BC924" s="108"/>
      <c r="BD924" s="108"/>
      <c r="BE924" s="108"/>
      <c r="BF924" s="108"/>
      <c r="BG924" s="108"/>
      <c r="BH924" s="108"/>
      <c r="BI924" s="108"/>
      <c r="BJ924" s="108"/>
      <c r="BK924" s="109"/>
      <c r="BL924" s="108"/>
      <c r="BM924" s="108"/>
      <c r="BN924" s="108"/>
    </row>
    <row r="925" spans="1:66" ht="12" customHeight="1" x14ac:dyDescent="0.2">
      <c r="A925" s="179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  <c r="BC925" s="108"/>
      <c r="BD925" s="108"/>
      <c r="BE925" s="108"/>
      <c r="BF925" s="108"/>
      <c r="BG925" s="108"/>
      <c r="BH925" s="108"/>
      <c r="BI925" s="108"/>
      <c r="BJ925" s="108"/>
      <c r="BK925" s="109"/>
      <c r="BL925" s="108"/>
      <c r="BM925" s="108"/>
      <c r="BN925" s="108"/>
    </row>
    <row r="926" spans="1:66" ht="12" customHeight="1" x14ac:dyDescent="0.2">
      <c r="A926" s="179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  <c r="BC926" s="108"/>
      <c r="BD926" s="108"/>
      <c r="BE926" s="108"/>
      <c r="BF926" s="108"/>
      <c r="BG926" s="108"/>
      <c r="BH926" s="108"/>
      <c r="BI926" s="108"/>
      <c r="BJ926" s="108"/>
      <c r="BK926" s="109"/>
      <c r="BL926" s="108"/>
      <c r="BM926" s="108"/>
      <c r="BN926" s="108"/>
    </row>
    <row r="927" spans="1:66" ht="12" customHeight="1" x14ac:dyDescent="0.2">
      <c r="A927" s="179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  <c r="BC927" s="108"/>
      <c r="BD927" s="108"/>
      <c r="BE927" s="108"/>
      <c r="BF927" s="108"/>
      <c r="BG927" s="108"/>
      <c r="BH927" s="108"/>
      <c r="BI927" s="108"/>
      <c r="BJ927" s="108"/>
      <c r="BK927" s="109"/>
      <c r="BL927" s="108"/>
      <c r="BM927" s="108"/>
      <c r="BN927" s="108"/>
    </row>
    <row r="928" spans="1:66" ht="12" customHeight="1" x14ac:dyDescent="0.2">
      <c r="A928" s="179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  <c r="BC928" s="108"/>
      <c r="BD928" s="108"/>
      <c r="BE928" s="108"/>
      <c r="BF928" s="108"/>
      <c r="BG928" s="108"/>
      <c r="BH928" s="108"/>
      <c r="BI928" s="108"/>
      <c r="BJ928" s="108"/>
      <c r="BK928" s="109"/>
      <c r="BL928" s="108"/>
      <c r="BM928" s="108"/>
      <c r="BN928" s="108"/>
    </row>
    <row r="929" spans="1:66" ht="12" customHeight="1" x14ac:dyDescent="0.2">
      <c r="A929" s="179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  <c r="BC929" s="108"/>
      <c r="BD929" s="108"/>
      <c r="BE929" s="108"/>
      <c r="BF929" s="108"/>
      <c r="BG929" s="108"/>
      <c r="BH929" s="108"/>
      <c r="BI929" s="108"/>
      <c r="BJ929" s="108"/>
      <c r="BK929" s="109"/>
      <c r="BL929" s="108"/>
      <c r="BM929" s="108"/>
      <c r="BN929" s="108"/>
    </row>
    <row r="930" spans="1:66" ht="12" customHeight="1" x14ac:dyDescent="0.2">
      <c r="A930" s="179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  <c r="BC930" s="108"/>
      <c r="BD930" s="108"/>
      <c r="BE930" s="108"/>
      <c r="BF930" s="108"/>
      <c r="BG930" s="108"/>
      <c r="BH930" s="108"/>
      <c r="BI930" s="108"/>
      <c r="BJ930" s="108"/>
      <c r="BK930" s="109"/>
      <c r="BL930" s="108"/>
      <c r="BM930" s="108"/>
      <c r="BN930" s="108"/>
    </row>
    <row r="931" spans="1:66" ht="12" customHeight="1" x14ac:dyDescent="0.2">
      <c r="A931" s="179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  <c r="BC931" s="108"/>
      <c r="BD931" s="108"/>
      <c r="BE931" s="108"/>
      <c r="BF931" s="108"/>
      <c r="BG931" s="108"/>
      <c r="BH931" s="108"/>
      <c r="BI931" s="108"/>
      <c r="BJ931" s="108"/>
      <c r="BK931" s="109"/>
      <c r="BL931" s="108"/>
      <c r="BM931" s="108"/>
      <c r="BN931" s="108"/>
    </row>
    <row r="932" spans="1:66" ht="12" customHeight="1" x14ac:dyDescent="0.2">
      <c r="A932" s="179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  <c r="BC932" s="108"/>
      <c r="BD932" s="108"/>
      <c r="BE932" s="108"/>
      <c r="BF932" s="108"/>
      <c r="BG932" s="108"/>
      <c r="BH932" s="108"/>
      <c r="BI932" s="108"/>
      <c r="BJ932" s="108"/>
      <c r="BK932" s="109"/>
      <c r="BL932" s="108"/>
      <c r="BM932" s="108"/>
      <c r="BN932" s="108"/>
    </row>
    <row r="933" spans="1:66" ht="12" customHeight="1" x14ac:dyDescent="0.2">
      <c r="A933" s="179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  <c r="BC933" s="108"/>
      <c r="BD933" s="108"/>
      <c r="BE933" s="108"/>
      <c r="BF933" s="108"/>
      <c r="BG933" s="108"/>
      <c r="BH933" s="108"/>
      <c r="BI933" s="108"/>
      <c r="BJ933" s="108"/>
      <c r="BK933" s="109"/>
      <c r="BL933" s="108"/>
      <c r="BM933" s="108"/>
      <c r="BN933" s="108"/>
    </row>
    <row r="934" spans="1:66" ht="12" customHeight="1" x14ac:dyDescent="0.2">
      <c r="A934" s="179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  <c r="BC934" s="108"/>
      <c r="BD934" s="108"/>
      <c r="BE934" s="108"/>
      <c r="BF934" s="108"/>
      <c r="BG934" s="108"/>
      <c r="BH934" s="108"/>
      <c r="BI934" s="108"/>
      <c r="BJ934" s="108"/>
      <c r="BK934" s="109"/>
      <c r="BL934" s="108"/>
      <c r="BM934" s="108"/>
      <c r="BN934" s="108"/>
    </row>
    <row r="935" spans="1:66" ht="12" customHeight="1" x14ac:dyDescent="0.2">
      <c r="A935" s="179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9"/>
      <c r="BL935" s="108"/>
      <c r="BM935" s="108"/>
      <c r="BN935" s="108"/>
    </row>
    <row r="936" spans="1:66" ht="12" customHeight="1" x14ac:dyDescent="0.2">
      <c r="A936" s="179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  <c r="BC936" s="108"/>
      <c r="BD936" s="108"/>
      <c r="BE936" s="108"/>
      <c r="BF936" s="108"/>
      <c r="BG936" s="108"/>
      <c r="BH936" s="108"/>
      <c r="BI936" s="108"/>
      <c r="BJ936" s="108"/>
      <c r="BK936" s="109"/>
      <c r="BL936" s="108"/>
      <c r="BM936" s="108"/>
      <c r="BN936" s="108"/>
    </row>
    <row r="937" spans="1:66" ht="12" customHeight="1" x14ac:dyDescent="0.2">
      <c r="A937" s="179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  <c r="BC937" s="108"/>
      <c r="BD937" s="108"/>
      <c r="BE937" s="108"/>
      <c r="BF937" s="108"/>
      <c r="BG937" s="108"/>
      <c r="BH937" s="108"/>
      <c r="BI937" s="108"/>
      <c r="BJ937" s="108"/>
      <c r="BK937" s="109"/>
      <c r="BL937" s="108"/>
      <c r="BM937" s="108"/>
      <c r="BN937" s="108"/>
    </row>
    <row r="938" spans="1:66" ht="12" customHeight="1" x14ac:dyDescent="0.2">
      <c r="A938" s="179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9"/>
      <c r="BL938" s="108"/>
      <c r="BM938" s="108"/>
      <c r="BN938" s="108"/>
    </row>
    <row r="939" spans="1:66" ht="12" customHeight="1" x14ac:dyDescent="0.2">
      <c r="A939" s="179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  <c r="BC939" s="108"/>
      <c r="BD939" s="108"/>
      <c r="BE939" s="108"/>
      <c r="BF939" s="108"/>
      <c r="BG939" s="108"/>
      <c r="BH939" s="108"/>
      <c r="BI939" s="108"/>
      <c r="BJ939" s="108"/>
      <c r="BK939" s="109"/>
      <c r="BL939" s="108"/>
      <c r="BM939" s="108"/>
      <c r="BN939" s="108"/>
    </row>
    <row r="940" spans="1:66" ht="12" customHeight="1" x14ac:dyDescent="0.2">
      <c r="A940" s="179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  <c r="BC940" s="108"/>
      <c r="BD940" s="108"/>
      <c r="BE940" s="108"/>
      <c r="BF940" s="108"/>
      <c r="BG940" s="108"/>
      <c r="BH940" s="108"/>
      <c r="BI940" s="108"/>
      <c r="BJ940" s="108"/>
      <c r="BK940" s="109"/>
      <c r="BL940" s="108"/>
      <c r="BM940" s="108"/>
      <c r="BN940" s="108"/>
    </row>
    <row r="941" spans="1:66" ht="12" customHeight="1" x14ac:dyDescent="0.2">
      <c r="A941" s="179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  <c r="BC941" s="108"/>
      <c r="BD941" s="108"/>
      <c r="BE941" s="108"/>
      <c r="BF941" s="108"/>
      <c r="BG941" s="108"/>
      <c r="BH941" s="108"/>
      <c r="BI941" s="108"/>
      <c r="BJ941" s="108"/>
      <c r="BK941" s="109"/>
      <c r="BL941" s="108"/>
      <c r="BM941" s="108"/>
      <c r="BN941" s="108"/>
    </row>
    <row r="942" spans="1:66" ht="12" customHeight="1" x14ac:dyDescent="0.2">
      <c r="A942" s="179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  <c r="BC942" s="108"/>
      <c r="BD942" s="108"/>
      <c r="BE942" s="108"/>
      <c r="BF942" s="108"/>
      <c r="BG942" s="108"/>
      <c r="BH942" s="108"/>
      <c r="BI942" s="108"/>
      <c r="BJ942" s="108"/>
      <c r="BK942" s="109"/>
      <c r="BL942" s="108"/>
      <c r="BM942" s="108"/>
      <c r="BN942" s="108"/>
    </row>
    <row r="943" spans="1:66" ht="12" customHeight="1" x14ac:dyDescent="0.2">
      <c r="A943" s="179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  <c r="BC943" s="108"/>
      <c r="BD943" s="108"/>
      <c r="BE943" s="108"/>
      <c r="BF943" s="108"/>
      <c r="BG943" s="108"/>
      <c r="BH943" s="108"/>
      <c r="BI943" s="108"/>
      <c r="BJ943" s="108"/>
      <c r="BK943" s="109"/>
      <c r="BL943" s="108"/>
      <c r="BM943" s="108"/>
      <c r="BN943" s="108"/>
    </row>
    <row r="944" spans="1:66" ht="12" customHeight="1" x14ac:dyDescent="0.2">
      <c r="A944" s="179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  <c r="BC944" s="108"/>
      <c r="BD944" s="108"/>
      <c r="BE944" s="108"/>
      <c r="BF944" s="108"/>
      <c r="BG944" s="108"/>
      <c r="BH944" s="108"/>
      <c r="BI944" s="108"/>
      <c r="BJ944" s="108"/>
      <c r="BK944" s="109"/>
      <c r="BL944" s="108"/>
      <c r="BM944" s="108"/>
      <c r="BN944" s="108"/>
    </row>
    <row r="945" spans="1:66" ht="12" customHeight="1" x14ac:dyDescent="0.2">
      <c r="A945" s="179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  <c r="BC945" s="108"/>
      <c r="BD945" s="108"/>
      <c r="BE945" s="108"/>
      <c r="BF945" s="108"/>
      <c r="BG945" s="108"/>
      <c r="BH945" s="108"/>
      <c r="BI945" s="108"/>
      <c r="BJ945" s="108"/>
      <c r="BK945" s="109"/>
      <c r="BL945" s="108"/>
      <c r="BM945" s="108"/>
      <c r="BN945" s="108"/>
    </row>
    <row r="946" spans="1:66" ht="12" customHeight="1" x14ac:dyDescent="0.2">
      <c r="A946" s="179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  <c r="BC946" s="108"/>
      <c r="BD946" s="108"/>
      <c r="BE946" s="108"/>
      <c r="BF946" s="108"/>
      <c r="BG946" s="108"/>
      <c r="BH946" s="108"/>
      <c r="BI946" s="108"/>
      <c r="BJ946" s="108"/>
      <c r="BK946" s="109"/>
      <c r="BL946" s="108"/>
      <c r="BM946" s="108"/>
      <c r="BN946" s="108"/>
    </row>
    <row r="947" spans="1:66" ht="12" customHeight="1" x14ac:dyDescent="0.2">
      <c r="A947" s="179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  <c r="BC947" s="108"/>
      <c r="BD947" s="108"/>
      <c r="BE947" s="108"/>
      <c r="BF947" s="108"/>
      <c r="BG947" s="108"/>
      <c r="BH947" s="108"/>
      <c r="BI947" s="108"/>
      <c r="BJ947" s="108"/>
      <c r="BK947" s="109"/>
      <c r="BL947" s="108"/>
      <c r="BM947" s="108"/>
      <c r="BN947" s="108"/>
    </row>
    <row r="948" spans="1:66" ht="12" customHeight="1" x14ac:dyDescent="0.2">
      <c r="A948" s="179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  <c r="BA948" s="108"/>
      <c r="BB948" s="108"/>
      <c r="BC948" s="108"/>
      <c r="BD948" s="108"/>
      <c r="BE948" s="108"/>
      <c r="BF948" s="108"/>
      <c r="BG948" s="108"/>
      <c r="BH948" s="108"/>
      <c r="BI948" s="108"/>
      <c r="BJ948" s="108"/>
      <c r="BK948" s="109"/>
      <c r="BL948" s="108"/>
      <c r="BM948" s="108"/>
      <c r="BN948" s="108"/>
    </row>
    <row r="949" spans="1:66" ht="12" customHeight="1" x14ac:dyDescent="0.2">
      <c r="A949" s="179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  <c r="BA949" s="108"/>
      <c r="BB949" s="108"/>
      <c r="BC949" s="108"/>
      <c r="BD949" s="108"/>
      <c r="BE949" s="108"/>
      <c r="BF949" s="108"/>
      <c r="BG949" s="108"/>
      <c r="BH949" s="108"/>
      <c r="BI949" s="108"/>
      <c r="BJ949" s="108"/>
      <c r="BK949" s="109"/>
      <c r="BL949" s="108"/>
      <c r="BM949" s="108"/>
      <c r="BN949" s="108"/>
    </row>
    <row r="950" spans="1:66" ht="12" customHeight="1" x14ac:dyDescent="0.2">
      <c r="A950" s="179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  <c r="BA950" s="108"/>
      <c r="BB950" s="108"/>
      <c r="BC950" s="108"/>
      <c r="BD950" s="108"/>
      <c r="BE950" s="108"/>
      <c r="BF950" s="108"/>
      <c r="BG950" s="108"/>
      <c r="BH950" s="108"/>
      <c r="BI950" s="108"/>
      <c r="BJ950" s="108"/>
      <c r="BK950" s="109"/>
      <c r="BL950" s="108"/>
      <c r="BM950" s="108"/>
      <c r="BN950" s="108"/>
    </row>
    <row r="951" spans="1:66" ht="12" customHeight="1" x14ac:dyDescent="0.2">
      <c r="A951" s="179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  <c r="BA951" s="108"/>
      <c r="BB951" s="108"/>
      <c r="BC951" s="108"/>
      <c r="BD951" s="108"/>
      <c r="BE951" s="108"/>
      <c r="BF951" s="108"/>
      <c r="BG951" s="108"/>
      <c r="BH951" s="108"/>
      <c r="BI951" s="108"/>
      <c r="BJ951" s="108"/>
      <c r="BK951" s="109"/>
      <c r="BL951" s="108"/>
      <c r="BM951" s="108"/>
      <c r="BN951" s="108"/>
    </row>
    <row r="952" spans="1:66" ht="12" customHeight="1" x14ac:dyDescent="0.2">
      <c r="A952" s="179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  <c r="BA952" s="108"/>
      <c r="BB952" s="108"/>
      <c r="BC952" s="108"/>
      <c r="BD952" s="108"/>
      <c r="BE952" s="108"/>
      <c r="BF952" s="108"/>
      <c r="BG952" s="108"/>
      <c r="BH952" s="108"/>
      <c r="BI952" s="108"/>
      <c r="BJ952" s="108"/>
      <c r="BK952" s="109"/>
      <c r="BL952" s="108"/>
      <c r="BM952" s="108"/>
      <c r="BN952" s="108"/>
    </row>
    <row r="953" spans="1:66" ht="12" customHeight="1" x14ac:dyDescent="0.2">
      <c r="A953" s="179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  <c r="BA953" s="108"/>
      <c r="BB953" s="108"/>
      <c r="BC953" s="108"/>
      <c r="BD953" s="108"/>
      <c r="BE953" s="108"/>
      <c r="BF953" s="108"/>
      <c r="BG953" s="108"/>
      <c r="BH953" s="108"/>
      <c r="BI953" s="108"/>
      <c r="BJ953" s="108"/>
      <c r="BK953" s="109"/>
      <c r="BL953" s="108"/>
      <c r="BM953" s="108"/>
      <c r="BN953" s="108"/>
    </row>
    <row r="954" spans="1:66" ht="12" customHeight="1" x14ac:dyDescent="0.2">
      <c r="A954" s="179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  <c r="BA954" s="108"/>
      <c r="BB954" s="108"/>
      <c r="BC954" s="108"/>
      <c r="BD954" s="108"/>
      <c r="BE954" s="108"/>
      <c r="BF954" s="108"/>
      <c r="BG954" s="108"/>
      <c r="BH954" s="108"/>
      <c r="BI954" s="108"/>
      <c r="BJ954" s="108"/>
      <c r="BK954" s="109"/>
      <c r="BL954" s="108"/>
      <c r="BM954" s="108"/>
      <c r="BN954" s="108"/>
    </row>
    <row r="955" spans="1:66" ht="12" customHeight="1" x14ac:dyDescent="0.2">
      <c r="A955" s="179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  <c r="BA955" s="108"/>
      <c r="BB955" s="108"/>
      <c r="BC955" s="108"/>
      <c r="BD955" s="108"/>
      <c r="BE955" s="108"/>
      <c r="BF955" s="108"/>
      <c r="BG955" s="108"/>
      <c r="BH955" s="108"/>
      <c r="BI955" s="108"/>
      <c r="BJ955" s="108"/>
      <c r="BK955" s="109"/>
      <c r="BL955" s="108"/>
      <c r="BM955" s="108"/>
      <c r="BN955" s="108"/>
    </row>
    <row r="956" spans="1:66" ht="12" customHeight="1" x14ac:dyDescent="0.2">
      <c r="A956" s="179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  <c r="BA956" s="108"/>
      <c r="BB956" s="108"/>
      <c r="BC956" s="108"/>
      <c r="BD956" s="108"/>
      <c r="BE956" s="108"/>
      <c r="BF956" s="108"/>
      <c r="BG956" s="108"/>
      <c r="BH956" s="108"/>
      <c r="BI956" s="108"/>
      <c r="BJ956" s="108"/>
      <c r="BK956" s="109"/>
      <c r="BL956" s="108"/>
      <c r="BM956" s="108"/>
      <c r="BN956" s="108"/>
    </row>
    <row r="957" spans="1:66" ht="12" customHeight="1" x14ac:dyDescent="0.2">
      <c r="A957" s="179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  <c r="BA957" s="108"/>
      <c r="BB957" s="108"/>
      <c r="BC957" s="108"/>
      <c r="BD957" s="108"/>
      <c r="BE957" s="108"/>
      <c r="BF957" s="108"/>
      <c r="BG957" s="108"/>
      <c r="BH957" s="108"/>
      <c r="BI957" s="108"/>
      <c r="BJ957" s="108"/>
      <c r="BK957" s="109"/>
      <c r="BL957" s="108"/>
      <c r="BM957" s="108"/>
      <c r="BN957" s="108"/>
    </row>
    <row r="958" spans="1:66" ht="12" customHeight="1" x14ac:dyDescent="0.2">
      <c r="A958" s="179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  <c r="BC958" s="108"/>
      <c r="BD958" s="108"/>
      <c r="BE958" s="108"/>
      <c r="BF958" s="108"/>
      <c r="BG958" s="108"/>
      <c r="BH958" s="108"/>
      <c r="BI958" s="108"/>
      <c r="BJ958" s="108"/>
      <c r="BK958" s="109"/>
      <c r="BL958" s="108"/>
      <c r="BM958" s="108"/>
      <c r="BN958" s="108"/>
    </row>
    <row r="959" spans="1:66" ht="12" customHeight="1" x14ac:dyDescent="0.2">
      <c r="A959" s="179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  <c r="BC959" s="108"/>
      <c r="BD959" s="108"/>
      <c r="BE959" s="108"/>
      <c r="BF959" s="108"/>
      <c r="BG959" s="108"/>
      <c r="BH959" s="108"/>
      <c r="BI959" s="108"/>
      <c r="BJ959" s="108"/>
      <c r="BK959" s="109"/>
      <c r="BL959" s="108"/>
      <c r="BM959" s="108"/>
      <c r="BN959" s="108"/>
    </row>
    <row r="960" spans="1:66" ht="12" customHeight="1" x14ac:dyDescent="0.2">
      <c r="A960" s="179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  <c r="BC960" s="108"/>
      <c r="BD960" s="108"/>
      <c r="BE960" s="108"/>
      <c r="BF960" s="108"/>
      <c r="BG960" s="108"/>
      <c r="BH960" s="108"/>
      <c r="BI960" s="108"/>
      <c r="BJ960" s="108"/>
      <c r="BK960" s="109"/>
      <c r="BL960" s="108"/>
      <c r="BM960" s="108"/>
      <c r="BN960" s="108"/>
    </row>
    <row r="961" spans="1:66" ht="12" customHeight="1" x14ac:dyDescent="0.2">
      <c r="A961" s="179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  <c r="BC961" s="108"/>
      <c r="BD961" s="108"/>
      <c r="BE961" s="108"/>
      <c r="BF961" s="108"/>
      <c r="BG961" s="108"/>
      <c r="BH961" s="108"/>
      <c r="BI961" s="108"/>
      <c r="BJ961" s="108"/>
      <c r="BK961" s="109"/>
      <c r="BL961" s="108"/>
      <c r="BM961" s="108"/>
      <c r="BN961" s="108"/>
    </row>
    <row r="962" spans="1:66" ht="12" customHeight="1" x14ac:dyDescent="0.2">
      <c r="A962" s="179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  <c r="BC962" s="108"/>
      <c r="BD962" s="108"/>
      <c r="BE962" s="108"/>
      <c r="BF962" s="108"/>
      <c r="BG962" s="108"/>
      <c r="BH962" s="108"/>
      <c r="BI962" s="108"/>
      <c r="BJ962" s="108"/>
      <c r="BK962" s="109"/>
      <c r="BL962" s="108"/>
      <c r="BM962" s="108"/>
      <c r="BN962" s="108"/>
    </row>
    <row r="963" spans="1:66" ht="12" customHeight="1" x14ac:dyDescent="0.2">
      <c r="A963" s="179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  <c r="BC963" s="108"/>
      <c r="BD963" s="108"/>
      <c r="BE963" s="108"/>
      <c r="BF963" s="108"/>
      <c r="BG963" s="108"/>
      <c r="BH963" s="108"/>
      <c r="BI963" s="108"/>
      <c r="BJ963" s="108"/>
      <c r="BK963" s="109"/>
      <c r="BL963" s="108"/>
      <c r="BM963" s="108"/>
      <c r="BN963" s="108"/>
    </row>
    <row r="964" spans="1:66" ht="12" customHeight="1" x14ac:dyDescent="0.2">
      <c r="A964" s="179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  <c r="BC964" s="108"/>
      <c r="BD964" s="108"/>
      <c r="BE964" s="108"/>
      <c r="BF964" s="108"/>
      <c r="BG964" s="108"/>
      <c r="BH964" s="108"/>
      <c r="BI964" s="108"/>
      <c r="BJ964" s="108"/>
      <c r="BK964" s="109"/>
      <c r="BL964" s="108"/>
      <c r="BM964" s="108"/>
      <c r="BN964" s="108"/>
    </row>
    <row r="965" spans="1:66" ht="12" customHeight="1" x14ac:dyDescent="0.2">
      <c r="A965" s="179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  <c r="BC965" s="108"/>
      <c r="BD965" s="108"/>
      <c r="BE965" s="108"/>
      <c r="BF965" s="108"/>
      <c r="BG965" s="108"/>
      <c r="BH965" s="108"/>
      <c r="BI965" s="108"/>
      <c r="BJ965" s="108"/>
      <c r="BK965" s="109"/>
      <c r="BL965" s="108"/>
      <c r="BM965" s="108"/>
      <c r="BN965" s="108"/>
    </row>
    <row r="966" spans="1:66" ht="12" customHeight="1" x14ac:dyDescent="0.2">
      <c r="A966" s="179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  <c r="BC966" s="108"/>
      <c r="BD966" s="108"/>
      <c r="BE966" s="108"/>
      <c r="BF966" s="108"/>
      <c r="BG966" s="108"/>
      <c r="BH966" s="108"/>
      <c r="BI966" s="108"/>
      <c r="BJ966" s="108"/>
      <c r="BK966" s="109"/>
      <c r="BL966" s="108"/>
      <c r="BM966" s="108"/>
      <c r="BN966" s="108"/>
    </row>
    <row r="967" spans="1:66" ht="12" customHeight="1" x14ac:dyDescent="0.2">
      <c r="A967" s="179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  <c r="BC967" s="108"/>
      <c r="BD967" s="108"/>
      <c r="BE967" s="108"/>
      <c r="BF967" s="108"/>
      <c r="BG967" s="108"/>
      <c r="BH967" s="108"/>
      <c r="BI967" s="108"/>
      <c r="BJ967" s="108"/>
      <c r="BK967" s="109"/>
      <c r="BL967" s="108"/>
      <c r="BM967" s="108"/>
      <c r="BN967" s="108"/>
    </row>
    <row r="968" spans="1:66" ht="12" customHeight="1" x14ac:dyDescent="0.2">
      <c r="A968" s="179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  <c r="BC968" s="108"/>
      <c r="BD968" s="108"/>
      <c r="BE968" s="108"/>
      <c r="BF968" s="108"/>
      <c r="BG968" s="108"/>
      <c r="BH968" s="108"/>
      <c r="BI968" s="108"/>
      <c r="BJ968" s="108"/>
      <c r="BK968" s="109"/>
      <c r="BL968" s="108"/>
      <c r="BM968" s="108"/>
      <c r="BN968" s="108"/>
    </row>
    <row r="969" spans="1:66" ht="12" customHeight="1" x14ac:dyDescent="0.2">
      <c r="A969" s="179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  <c r="BC969" s="108"/>
      <c r="BD969" s="108"/>
      <c r="BE969" s="108"/>
      <c r="BF969" s="108"/>
      <c r="BG969" s="108"/>
      <c r="BH969" s="108"/>
      <c r="BI969" s="108"/>
      <c r="BJ969" s="108"/>
      <c r="BK969" s="109"/>
      <c r="BL969" s="108"/>
      <c r="BM969" s="108"/>
      <c r="BN969" s="108"/>
    </row>
    <row r="970" spans="1:66" ht="12" customHeight="1" x14ac:dyDescent="0.2">
      <c r="A970" s="179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  <c r="BC970" s="108"/>
      <c r="BD970" s="108"/>
      <c r="BE970" s="108"/>
      <c r="BF970" s="108"/>
      <c r="BG970" s="108"/>
      <c r="BH970" s="108"/>
      <c r="BI970" s="108"/>
      <c r="BJ970" s="108"/>
      <c r="BK970" s="109"/>
      <c r="BL970" s="108"/>
      <c r="BM970" s="108"/>
      <c r="BN970" s="108"/>
    </row>
    <row r="971" spans="1:66" ht="12" customHeight="1" x14ac:dyDescent="0.2">
      <c r="A971" s="179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  <c r="BC971" s="108"/>
      <c r="BD971" s="108"/>
      <c r="BE971" s="108"/>
      <c r="BF971" s="108"/>
      <c r="BG971" s="108"/>
      <c r="BH971" s="108"/>
      <c r="BI971" s="108"/>
      <c r="BJ971" s="108"/>
      <c r="BK971" s="109"/>
      <c r="BL971" s="108"/>
      <c r="BM971" s="108"/>
      <c r="BN971" s="108"/>
    </row>
    <row r="972" spans="1:66" ht="12" customHeight="1" x14ac:dyDescent="0.2">
      <c r="A972" s="179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  <c r="BC972" s="108"/>
      <c r="BD972" s="108"/>
      <c r="BE972" s="108"/>
      <c r="BF972" s="108"/>
      <c r="BG972" s="108"/>
      <c r="BH972" s="108"/>
      <c r="BI972" s="108"/>
      <c r="BJ972" s="108"/>
      <c r="BK972" s="109"/>
      <c r="BL972" s="108"/>
      <c r="BM972" s="108"/>
      <c r="BN972" s="108"/>
    </row>
    <row r="973" spans="1:66" ht="12" customHeight="1" x14ac:dyDescent="0.2">
      <c r="A973" s="179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9"/>
      <c r="BL973" s="108"/>
      <c r="BM973" s="108"/>
      <c r="BN973" s="108"/>
    </row>
    <row r="974" spans="1:66" ht="12" customHeight="1" x14ac:dyDescent="0.2">
      <c r="A974" s="179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  <c r="BC974" s="108"/>
      <c r="BD974" s="108"/>
      <c r="BE974" s="108"/>
      <c r="BF974" s="108"/>
      <c r="BG974" s="108"/>
      <c r="BH974" s="108"/>
      <c r="BI974" s="108"/>
      <c r="BJ974" s="108"/>
      <c r="BK974" s="109"/>
      <c r="BL974" s="108"/>
      <c r="BM974" s="108"/>
      <c r="BN974" s="108"/>
    </row>
    <row r="975" spans="1:66" ht="12" customHeight="1" x14ac:dyDescent="0.2">
      <c r="A975" s="179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  <c r="BC975" s="108"/>
      <c r="BD975" s="108"/>
      <c r="BE975" s="108"/>
      <c r="BF975" s="108"/>
      <c r="BG975" s="108"/>
      <c r="BH975" s="108"/>
      <c r="BI975" s="108"/>
      <c r="BJ975" s="108"/>
      <c r="BK975" s="109"/>
      <c r="BL975" s="108"/>
      <c r="BM975" s="108"/>
      <c r="BN975" s="108"/>
    </row>
    <row r="976" spans="1:66" ht="12" customHeight="1" x14ac:dyDescent="0.2">
      <c r="A976" s="179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9"/>
      <c r="BL976" s="108"/>
      <c r="BM976" s="108"/>
      <c r="BN976" s="108"/>
    </row>
    <row r="977" spans="1:66" ht="12" customHeight="1" x14ac:dyDescent="0.2">
      <c r="A977" s="179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  <c r="BC977" s="108"/>
      <c r="BD977" s="108"/>
      <c r="BE977" s="108"/>
      <c r="BF977" s="108"/>
      <c r="BG977" s="108"/>
      <c r="BH977" s="108"/>
      <c r="BI977" s="108"/>
      <c r="BJ977" s="108"/>
      <c r="BK977" s="109"/>
      <c r="BL977" s="108"/>
      <c r="BM977" s="108"/>
      <c r="BN977" s="108"/>
    </row>
    <row r="978" spans="1:66" ht="12" customHeight="1" x14ac:dyDescent="0.2">
      <c r="A978" s="179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  <c r="BC978" s="108"/>
      <c r="BD978" s="108"/>
      <c r="BE978" s="108"/>
      <c r="BF978" s="108"/>
      <c r="BG978" s="108"/>
      <c r="BH978" s="108"/>
      <c r="BI978" s="108"/>
      <c r="BJ978" s="108"/>
      <c r="BK978" s="109"/>
      <c r="BL978" s="108"/>
      <c r="BM978" s="108"/>
      <c r="BN978" s="108"/>
    </row>
    <row r="979" spans="1:66" ht="12" customHeight="1" x14ac:dyDescent="0.2">
      <c r="A979" s="179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  <c r="BC979" s="108"/>
      <c r="BD979" s="108"/>
      <c r="BE979" s="108"/>
      <c r="BF979" s="108"/>
      <c r="BG979" s="108"/>
      <c r="BH979" s="108"/>
      <c r="BI979" s="108"/>
      <c r="BJ979" s="108"/>
      <c r="BK979" s="109"/>
      <c r="BL979" s="108"/>
      <c r="BM979" s="108"/>
      <c r="BN979" s="108"/>
    </row>
    <row r="980" spans="1:66" ht="12" customHeight="1" x14ac:dyDescent="0.2">
      <c r="A980" s="179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  <c r="BC980" s="108"/>
      <c r="BD980" s="108"/>
      <c r="BE980" s="108"/>
      <c r="BF980" s="108"/>
      <c r="BG980" s="108"/>
      <c r="BH980" s="108"/>
      <c r="BI980" s="108"/>
      <c r="BJ980" s="108"/>
      <c r="BK980" s="109"/>
      <c r="BL980" s="108"/>
      <c r="BM980" s="108"/>
      <c r="BN980" s="108"/>
    </row>
    <row r="981" spans="1:66" ht="12" customHeight="1" x14ac:dyDescent="0.2">
      <c r="A981" s="179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  <c r="BC981" s="108"/>
      <c r="BD981" s="108"/>
      <c r="BE981" s="108"/>
      <c r="BF981" s="108"/>
      <c r="BG981" s="108"/>
      <c r="BH981" s="108"/>
      <c r="BI981" s="108"/>
      <c r="BJ981" s="108"/>
      <c r="BK981" s="109"/>
      <c r="BL981" s="108"/>
      <c r="BM981" s="108"/>
      <c r="BN981" s="108"/>
    </row>
    <row r="982" spans="1:66" ht="12" customHeight="1" x14ac:dyDescent="0.2">
      <c r="A982" s="179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  <c r="BC982" s="108"/>
      <c r="BD982" s="108"/>
      <c r="BE982" s="108"/>
      <c r="BF982" s="108"/>
      <c r="BG982" s="108"/>
      <c r="BH982" s="108"/>
      <c r="BI982" s="108"/>
      <c r="BJ982" s="108"/>
      <c r="BK982" s="109"/>
      <c r="BL982" s="108"/>
      <c r="BM982" s="108"/>
      <c r="BN982" s="108"/>
    </row>
    <row r="983" spans="1:66" ht="12" customHeight="1" x14ac:dyDescent="0.2">
      <c r="A983" s="179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  <c r="BC983" s="108"/>
      <c r="BD983" s="108"/>
      <c r="BE983" s="108"/>
      <c r="BF983" s="108"/>
      <c r="BG983" s="108"/>
      <c r="BH983" s="108"/>
      <c r="BI983" s="108"/>
      <c r="BJ983" s="108"/>
      <c r="BK983" s="109"/>
      <c r="BL983" s="108"/>
      <c r="BM983" s="108"/>
      <c r="BN983" s="108"/>
    </row>
    <row r="984" spans="1:66" ht="12" customHeight="1" x14ac:dyDescent="0.2">
      <c r="A984" s="179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  <c r="BC984" s="108"/>
      <c r="BD984" s="108"/>
      <c r="BE984" s="108"/>
      <c r="BF984" s="108"/>
      <c r="BG984" s="108"/>
      <c r="BH984" s="108"/>
      <c r="BI984" s="108"/>
      <c r="BJ984" s="108"/>
      <c r="BK984" s="109"/>
      <c r="BL984" s="108"/>
      <c r="BM984" s="108"/>
      <c r="BN984" s="108"/>
    </row>
    <row r="985" spans="1:66" ht="12" customHeight="1" x14ac:dyDescent="0.2">
      <c r="A985" s="179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  <c r="BC985" s="108"/>
      <c r="BD985" s="108"/>
      <c r="BE985" s="108"/>
      <c r="BF985" s="108"/>
      <c r="BG985" s="108"/>
      <c r="BH985" s="108"/>
      <c r="BI985" s="108"/>
      <c r="BJ985" s="108"/>
      <c r="BK985" s="109"/>
      <c r="BL985" s="108"/>
      <c r="BM985" s="108"/>
      <c r="BN985" s="108"/>
    </row>
    <row r="986" spans="1:66" ht="12" customHeight="1" x14ac:dyDescent="0.2">
      <c r="A986" s="179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  <c r="BC986" s="108"/>
      <c r="BD986" s="108"/>
      <c r="BE986" s="108"/>
      <c r="BF986" s="108"/>
      <c r="BG986" s="108"/>
      <c r="BH986" s="108"/>
      <c r="BI986" s="108"/>
      <c r="BJ986" s="108"/>
      <c r="BK986" s="109"/>
      <c r="BL986" s="108"/>
      <c r="BM986" s="108"/>
      <c r="BN986" s="108"/>
    </row>
    <row r="987" spans="1:66" ht="12" customHeight="1" x14ac:dyDescent="0.2">
      <c r="A987" s="179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  <c r="BC987" s="108"/>
      <c r="BD987" s="108"/>
      <c r="BE987" s="108"/>
      <c r="BF987" s="108"/>
      <c r="BG987" s="108"/>
      <c r="BH987" s="108"/>
      <c r="BI987" s="108"/>
      <c r="BJ987" s="108"/>
      <c r="BK987" s="109"/>
      <c r="BL987" s="108"/>
      <c r="BM987" s="108"/>
      <c r="BN987" s="108"/>
    </row>
    <row r="988" spans="1:66" ht="12" customHeight="1" x14ac:dyDescent="0.2">
      <c r="A988" s="179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  <c r="BC988" s="108"/>
      <c r="BD988" s="108"/>
      <c r="BE988" s="108"/>
      <c r="BF988" s="108"/>
      <c r="BG988" s="108"/>
      <c r="BH988" s="108"/>
      <c r="BI988" s="108"/>
      <c r="BJ988" s="108"/>
      <c r="BK988" s="109"/>
      <c r="BL988" s="108"/>
      <c r="BM988" s="108"/>
      <c r="BN988" s="108"/>
    </row>
    <row r="989" spans="1:66" ht="12" customHeight="1" x14ac:dyDescent="0.2">
      <c r="A989" s="179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  <c r="BC989" s="108"/>
      <c r="BD989" s="108"/>
      <c r="BE989" s="108"/>
      <c r="BF989" s="108"/>
      <c r="BG989" s="108"/>
      <c r="BH989" s="108"/>
      <c r="BI989" s="108"/>
      <c r="BJ989" s="108"/>
      <c r="BK989" s="109"/>
      <c r="BL989" s="108"/>
      <c r="BM989" s="108"/>
      <c r="BN989" s="108"/>
    </row>
    <row r="990" spans="1:66" ht="12" customHeight="1" x14ac:dyDescent="0.2">
      <c r="A990" s="179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  <c r="BC990" s="108"/>
      <c r="BD990" s="108"/>
      <c r="BE990" s="108"/>
      <c r="BF990" s="108"/>
      <c r="BG990" s="108"/>
      <c r="BH990" s="108"/>
      <c r="BI990" s="108"/>
      <c r="BJ990" s="108"/>
      <c r="BK990" s="109"/>
      <c r="BL990" s="108"/>
      <c r="BM990" s="108"/>
      <c r="BN990" s="108"/>
    </row>
    <row r="991" spans="1:66" ht="12" customHeight="1" x14ac:dyDescent="0.2">
      <c r="A991" s="179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  <c r="BC991" s="108"/>
      <c r="BD991" s="108"/>
      <c r="BE991" s="108"/>
      <c r="BF991" s="108"/>
      <c r="BG991" s="108"/>
      <c r="BH991" s="108"/>
      <c r="BI991" s="108"/>
      <c r="BJ991" s="108"/>
      <c r="BK991" s="109"/>
      <c r="BL991" s="108"/>
      <c r="BM991" s="108"/>
      <c r="BN991" s="108"/>
    </row>
    <row r="992" spans="1:66" ht="12" customHeight="1" x14ac:dyDescent="0.2">
      <c r="A992" s="179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  <c r="BC992" s="108"/>
      <c r="BD992" s="108"/>
      <c r="BE992" s="108"/>
      <c r="BF992" s="108"/>
      <c r="BG992" s="108"/>
      <c r="BH992" s="108"/>
      <c r="BI992" s="108"/>
      <c r="BJ992" s="108"/>
      <c r="BK992" s="109"/>
      <c r="BL992" s="108"/>
      <c r="BM992" s="108"/>
      <c r="BN992" s="108"/>
    </row>
    <row r="993" spans="1:66" ht="12" customHeight="1" x14ac:dyDescent="0.2">
      <c r="A993" s="179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  <c r="BC993" s="108"/>
      <c r="BD993" s="108"/>
      <c r="BE993" s="108"/>
      <c r="BF993" s="108"/>
      <c r="BG993" s="108"/>
      <c r="BH993" s="108"/>
      <c r="BI993" s="108"/>
      <c r="BJ993" s="108"/>
      <c r="BK993" s="109"/>
      <c r="BL993" s="108"/>
      <c r="BM993" s="108"/>
      <c r="BN993" s="108"/>
    </row>
    <row r="994" spans="1:66" ht="12" customHeight="1" x14ac:dyDescent="0.2">
      <c r="A994" s="179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  <c r="BC994" s="108"/>
      <c r="BD994" s="108"/>
      <c r="BE994" s="108"/>
      <c r="BF994" s="108"/>
      <c r="BG994" s="108"/>
      <c r="BH994" s="108"/>
      <c r="BI994" s="108"/>
      <c r="BJ994" s="108"/>
      <c r="BK994" s="109"/>
      <c r="BL994" s="108"/>
      <c r="BM994" s="108"/>
      <c r="BN994" s="108"/>
    </row>
    <row r="995" spans="1:66" ht="12" customHeight="1" x14ac:dyDescent="0.2">
      <c r="A995" s="179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  <c r="BC995" s="108"/>
      <c r="BD995" s="108"/>
      <c r="BE995" s="108"/>
      <c r="BF995" s="108"/>
      <c r="BG995" s="108"/>
      <c r="BH995" s="108"/>
      <c r="BI995" s="108"/>
      <c r="BJ995" s="108"/>
      <c r="BK995" s="109"/>
      <c r="BL995" s="108"/>
      <c r="BM995" s="108"/>
      <c r="BN995" s="108"/>
    </row>
    <row r="996" spans="1:66" ht="12" customHeight="1" x14ac:dyDescent="0.2">
      <c r="A996" s="179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  <c r="BC996" s="108"/>
      <c r="BD996" s="108"/>
      <c r="BE996" s="108"/>
      <c r="BF996" s="108"/>
      <c r="BG996" s="108"/>
      <c r="BH996" s="108"/>
      <c r="BI996" s="108"/>
      <c r="BJ996" s="108"/>
      <c r="BK996" s="109"/>
      <c r="BL996" s="108"/>
      <c r="BM996" s="108"/>
      <c r="BN996" s="108"/>
    </row>
    <row r="997" spans="1:66" ht="12" customHeight="1" x14ac:dyDescent="0.2">
      <c r="A997" s="179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  <c r="BC997" s="108"/>
      <c r="BD997" s="108"/>
      <c r="BE997" s="108"/>
      <c r="BF997" s="108"/>
      <c r="BG997" s="108"/>
      <c r="BH997" s="108"/>
      <c r="BI997" s="108"/>
      <c r="BJ997" s="108"/>
      <c r="BK997" s="109"/>
      <c r="BL997" s="108"/>
      <c r="BM997" s="108"/>
      <c r="BN997" s="108"/>
    </row>
    <row r="998" spans="1:66" ht="12" customHeight="1" x14ac:dyDescent="0.2">
      <c r="A998" s="179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  <c r="BA998" s="108"/>
      <c r="BB998" s="108"/>
      <c r="BC998" s="108"/>
      <c r="BD998" s="108"/>
      <c r="BE998" s="108"/>
      <c r="BF998" s="108"/>
      <c r="BG998" s="108"/>
      <c r="BH998" s="108"/>
      <c r="BI998" s="108"/>
      <c r="BJ998" s="108"/>
      <c r="BK998" s="109"/>
      <c r="BL998" s="108"/>
      <c r="BM998" s="108"/>
      <c r="BN998" s="108"/>
    </row>
    <row r="999" spans="1:66" ht="12" customHeight="1" x14ac:dyDescent="0.2">
      <c r="A999" s="179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  <c r="BA999" s="108"/>
      <c r="BB999" s="108"/>
      <c r="BC999" s="108"/>
      <c r="BD999" s="108"/>
      <c r="BE999" s="108"/>
      <c r="BF999" s="108"/>
      <c r="BG999" s="108"/>
      <c r="BH999" s="108"/>
      <c r="BI999" s="108"/>
      <c r="BJ999" s="108"/>
      <c r="BK999" s="109"/>
      <c r="BL999" s="108"/>
      <c r="BM999" s="108"/>
      <c r="BN999" s="108"/>
    </row>
    <row r="1000" spans="1:66" ht="12" customHeight="1" x14ac:dyDescent="0.2">
      <c r="A1000" s="179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  <c r="BA1000" s="108"/>
      <c r="BB1000" s="108"/>
      <c r="BC1000" s="108"/>
      <c r="BD1000" s="108"/>
      <c r="BE1000" s="108"/>
      <c r="BF1000" s="108"/>
      <c r="BG1000" s="108"/>
      <c r="BH1000" s="108"/>
      <c r="BI1000" s="108"/>
      <c r="BJ1000" s="108"/>
      <c r="BK1000" s="109"/>
      <c r="BL1000" s="108"/>
      <c r="BM1000" s="108"/>
      <c r="BN1000" s="108"/>
    </row>
  </sheetData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E54D-22F1-8F49-9416-1AAFB0DF37CF}">
  <dimension ref="A1:BP1000"/>
  <sheetViews>
    <sheetView showGridLines="0" zoomScale="210" zoomScaleNormal="210"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AI32" sqref="AI32"/>
    </sheetView>
  </sheetViews>
  <sheetFormatPr baseColWidth="10" defaultColWidth="14.5" defaultRowHeight="15" customHeight="1" x14ac:dyDescent="0.2"/>
  <cols>
    <col min="1" max="1" width="20.1640625" style="99" customWidth="1"/>
    <col min="2" max="2" width="12" style="99" customWidth="1"/>
    <col min="3" max="3" width="11.33203125" style="99" customWidth="1"/>
    <col min="4" max="4" width="11" style="99" customWidth="1"/>
    <col min="5" max="5" width="11.33203125" style="99" customWidth="1"/>
    <col min="6" max="7" width="12.5" style="99" customWidth="1"/>
    <col min="8" max="8" width="11.5" style="99" customWidth="1"/>
    <col min="9" max="10" width="11.33203125" style="99" customWidth="1"/>
    <col min="11" max="13" width="11" style="99" customWidth="1"/>
    <col min="14" max="16" width="11.5" style="99" customWidth="1"/>
    <col min="17" max="17" width="12.33203125" style="99" customWidth="1"/>
    <col min="18" max="18" width="14.5" style="99" customWidth="1"/>
    <col min="19" max="21" width="11.33203125" style="99" customWidth="1"/>
    <col min="22" max="22" width="13.83203125" style="99" customWidth="1"/>
    <col min="23" max="25" width="10.5" style="99" customWidth="1"/>
    <col min="26" max="27" width="10.6640625" style="99" customWidth="1"/>
    <col min="28" max="28" width="12" style="99" customWidth="1"/>
    <col min="29" max="29" width="11.33203125" style="99" customWidth="1"/>
    <col min="30" max="30" width="12" style="99" customWidth="1"/>
    <col min="31" max="31" width="14.5" style="99" customWidth="1"/>
    <col min="32" max="35" width="10.5" style="99" customWidth="1"/>
    <col min="36" max="36" width="13.6640625" style="99" customWidth="1"/>
    <col min="37" max="37" width="13" style="99" customWidth="1"/>
    <col min="38" max="40" width="11" style="99" customWidth="1"/>
    <col min="41" max="42" width="10.5" style="99" customWidth="1"/>
    <col min="43" max="44" width="11.33203125" style="99" customWidth="1"/>
    <col min="45" max="45" width="12.33203125" style="99" customWidth="1"/>
    <col min="46" max="46" width="14.5" style="99" customWidth="1"/>
    <col min="47" max="48" width="11.33203125" style="99" customWidth="1"/>
    <col min="49" max="49" width="13.5" style="99" customWidth="1"/>
    <col min="50" max="51" width="11.5" style="99" customWidth="1"/>
    <col min="52" max="53" width="11.33203125" style="99" customWidth="1"/>
    <col min="54" max="54" width="11.5" style="99" customWidth="1"/>
    <col min="55" max="55" width="12.33203125" style="99" customWidth="1"/>
    <col min="56" max="56" width="14.5" style="99" customWidth="1"/>
    <col min="57" max="57" width="13.33203125" style="99" bestFit="1" customWidth="1"/>
    <col min="58" max="58" width="21.6640625" style="99" customWidth="1"/>
    <col min="59" max="59" width="21" style="99" customWidth="1"/>
    <col min="60" max="61" width="11.1640625" style="99" customWidth="1"/>
    <col min="62" max="62" width="10" style="99" customWidth="1"/>
    <col min="63" max="63" width="10.5" style="99" customWidth="1"/>
    <col min="64" max="68" width="11.5" style="99" customWidth="1"/>
    <col min="69" max="16384" width="14.5" style="99"/>
  </cols>
  <sheetData>
    <row r="1" spans="1:68" ht="12" customHeight="1" thickBot="1" x14ac:dyDescent="0.25">
      <c r="A1" s="96" t="s">
        <v>0</v>
      </c>
      <c r="B1" s="97">
        <v>45717</v>
      </c>
      <c r="C1" s="97">
        <f>+B1+1</f>
        <v>45718</v>
      </c>
      <c r="D1" s="97" t="s">
        <v>99</v>
      </c>
      <c r="E1" s="97">
        <f>+C1+1</f>
        <v>45719</v>
      </c>
      <c r="F1" s="97">
        <f t="shared" ref="F1:K1" si="0">+E1+1</f>
        <v>45720</v>
      </c>
      <c r="G1" s="97">
        <f t="shared" si="0"/>
        <v>45721</v>
      </c>
      <c r="H1" s="97">
        <f t="shared" si="0"/>
        <v>45722</v>
      </c>
      <c r="I1" s="97">
        <f t="shared" si="0"/>
        <v>45723</v>
      </c>
      <c r="J1" s="97">
        <f t="shared" si="0"/>
        <v>45724</v>
      </c>
      <c r="K1" s="97">
        <f t="shared" si="0"/>
        <v>45725</v>
      </c>
      <c r="L1" s="97" t="s">
        <v>100</v>
      </c>
      <c r="M1" s="97">
        <f>+K1+1</f>
        <v>45726</v>
      </c>
      <c r="N1" s="97">
        <f t="shared" ref="N1:S1" si="1">+M1+1</f>
        <v>45727</v>
      </c>
      <c r="O1" s="97">
        <f t="shared" si="1"/>
        <v>45728</v>
      </c>
      <c r="P1" s="97">
        <f t="shared" si="1"/>
        <v>45729</v>
      </c>
      <c r="Q1" s="97">
        <f t="shared" si="1"/>
        <v>45730</v>
      </c>
      <c r="R1" s="97">
        <f t="shared" si="1"/>
        <v>45731</v>
      </c>
      <c r="S1" s="98">
        <f t="shared" si="1"/>
        <v>45732</v>
      </c>
      <c r="T1" s="97" t="s">
        <v>101</v>
      </c>
      <c r="U1" s="98">
        <f>+S1+1</f>
        <v>45733</v>
      </c>
      <c r="V1" s="98">
        <f t="shared" ref="V1:AB1" si="2">+U1+1</f>
        <v>45734</v>
      </c>
      <c r="W1" s="98">
        <f t="shared" si="2"/>
        <v>45735</v>
      </c>
      <c r="X1" s="98">
        <f t="shared" si="2"/>
        <v>45736</v>
      </c>
      <c r="Y1" s="98">
        <f t="shared" si="2"/>
        <v>45737</v>
      </c>
      <c r="Z1" s="98">
        <f t="shared" si="2"/>
        <v>45738</v>
      </c>
      <c r="AA1" s="97">
        <f t="shared" si="2"/>
        <v>45739</v>
      </c>
      <c r="AB1" s="97">
        <f t="shared" si="2"/>
        <v>45740</v>
      </c>
      <c r="AC1" s="97" t="s">
        <v>102</v>
      </c>
      <c r="AD1" s="97">
        <f>+AB1+1</f>
        <v>45741</v>
      </c>
      <c r="AE1" s="97">
        <f>+AD1+1</f>
        <v>45742</v>
      </c>
      <c r="AF1" s="97">
        <f>+AE1+1</f>
        <v>45743</v>
      </c>
      <c r="AG1" s="97">
        <f>+AF1+1</f>
        <v>45744</v>
      </c>
      <c r="AH1" s="97">
        <f>+AG1+1</f>
        <v>45745</v>
      </c>
      <c r="AI1" s="97">
        <f>+AH1+1</f>
        <v>45746</v>
      </c>
      <c r="AJ1" s="97" t="s">
        <v>133</v>
      </c>
      <c r="BG1" s="100" t="s">
        <v>38</v>
      </c>
      <c r="BH1" s="101"/>
      <c r="BI1" s="102"/>
      <c r="BJ1" s="102"/>
      <c r="BK1" s="102"/>
      <c r="BL1" s="103"/>
      <c r="BM1" s="102"/>
      <c r="BN1" s="102"/>
      <c r="BO1" s="102"/>
      <c r="BP1" s="102"/>
    </row>
    <row r="2" spans="1:68" ht="12" customHeight="1" x14ac:dyDescent="0.2">
      <c r="A2" s="104" t="s">
        <v>49</v>
      </c>
      <c r="B2" s="105">
        <v>346.75809090909092</v>
      </c>
      <c r="C2" s="105">
        <v>346.75809090909092</v>
      </c>
      <c r="D2" s="106">
        <f>+SUM(B2:C2)</f>
        <v>693.51618181818185</v>
      </c>
      <c r="E2" s="105">
        <v>346.75809090909092</v>
      </c>
      <c r="F2" s="105">
        <v>346.75809090909092</v>
      </c>
      <c r="G2" s="105">
        <v>346.75809090909092</v>
      </c>
      <c r="H2" s="105">
        <v>346.75809090909092</v>
      </c>
      <c r="I2" s="105">
        <v>346.75809090909092</v>
      </c>
      <c r="J2" s="105">
        <v>346.75809090909092</v>
      </c>
      <c r="K2" s="105">
        <v>346.75809090909092</v>
      </c>
      <c r="L2" s="106">
        <f>+D2+SUM(E2:K2)</f>
        <v>3120.8228181818181</v>
      </c>
      <c r="M2" s="105">
        <v>346.75809090909092</v>
      </c>
      <c r="N2" s="105">
        <v>346.75809090909092</v>
      </c>
      <c r="O2" s="105">
        <v>360</v>
      </c>
      <c r="P2" s="105">
        <v>360</v>
      </c>
      <c r="Q2" s="105">
        <v>360</v>
      </c>
      <c r="R2" s="105">
        <v>360</v>
      </c>
      <c r="S2" s="105">
        <v>360</v>
      </c>
      <c r="T2" s="106">
        <f>+L2+SUM(M2:S2)</f>
        <v>5614.3389999999999</v>
      </c>
      <c r="U2" s="105">
        <v>360</v>
      </c>
      <c r="V2" s="105">
        <v>360</v>
      </c>
      <c r="W2" s="105">
        <v>360</v>
      </c>
      <c r="X2" s="105">
        <v>360</v>
      </c>
      <c r="Y2" s="105">
        <v>360</v>
      </c>
      <c r="Z2" s="105">
        <v>360</v>
      </c>
      <c r="AA2" s="105">
        <v>360</v>
      </c>
      <c r="AB2" s="105">
        <v>360</v>
      </c>
      <c r="AC2" s="106">
        <f>+T2+SUM(U2:AB2)</f>
        <v>8494.3389999999999</v>
      </c>
      <c r="AD2" s="105">
        <v>360</v>
      </c>
      <c r="AE2" s="105">
        <v>360</v>
      </c>
      <c r="AF2" s="105">
        <v>360</v>
      </c>
      <c r="AG2" s="105">
        <v>360</v>
      </c>
      <c r="AH2" s="105">
        <v>360</v>
      </c>
      <c r="AI2" s="105">
        <v>360</v>
      </c>
      <c r="AJ2" s="106">
        <f>+AC2+SUM(AD2:AI2)</f>
        <v>10654.339</v>
      </c>
      <c r="BG2" s="107">
        <v>9790</v>
      </c>
      <c r="BH2" s="101"/>
      <c r="BI2" s="108"/>
      <c r="BJ2" s="108"/>
      <c r="BK2" s="108"/>
      <c r="BL2" s="109"/>
      <c r="BM2" s="108"/>
      <c r="BN2" s="108"/>
      <c r="BO2" s="108"/>
      <c r="BP2" s="108"/>
    </row>
    <row r="3" spans="1:68" ht="12" customHeight="1" x14ac:dyDescent="0.2">
      <c r="A3" s="110" t="s">
        <v>50</v>
      </c>
      <c r="B3" s="111">
        <v>355.95100000000002</v>
      </c>
      <c r="C3" s="111">
        <v>359.38600000000002</v>
      </c>
      <c r="D3" s="112">
        <f>+SUM(B3:C3)</f>
        <v>715.33699999999999</v>
      </c>
      <c r="E3" s="111">
        <v>353.15899999999999</v>
      </c>
      <c r="F3" s="111">
        <v>355.09699999999998</v>
      </c>
      <c r="G3" s="111">
        <v>337.63900000000001</v>
      </c>
      <c r="H3" s="111">
        <v>358.69900000000001</v>
      </c>
      <c r="I3" s="111">
        <v>334.065</v>
      </c>
      <c r="J3" s="111">
        <v>363.06299999999999</v>
      </c>
      <c r="K3" s="111">
        <v>357.83800000000002</v>
      </c>
      <c r="L3" s="112">
        <f>+D3+SUM(E3:K3)</f>
        <v>3174.8970000000004</v>
      </c>
      <c r="M3" s="111">
        <v>317.69799999999998</v>
      </c>
      <c r="N3" s="111">
        <v>321.80399999999997</v>
      </c>
      <c r="O3" s="111">
        <v>343.59199999999998</v>
      </c>
      <c r="P3" s="111">
        <v>323.92200000000003</v>
      </c>
      <c r="Q3" s="111">
        <v>311.94799999999998</v>
      </c>
      <c r="R3" s="111">
        <v>331.46499999999997</v>
      </c>
      <c r="S3" s="111">
        <v>337.16500000000002</v>
      </c>
      <c r="T3" s="112">
        <f>+L3+SUM(M3:S3)</f>
        <v>5462.491</v>
      </c>
      <c r="U3" s="111">
        <f>+DOWNSTREAM!T3</f>
        <v>359.34199999999998</v>
      </c>
      <c r="V3" s="111">
        <f>+DOWNSTREAM!V3</f>
        <v>340.81700000000001</v>
      </c>
      <c r="W3" s="111">
        <f>+DOWNSTREAM!W3</f>
        <v>354.108</v>
      </c>
      <c r="X3" s="111">
        <f>+DOWNSTREAM!X3</f>
        <v>367.16800000000001</v>
      </c>
      <c r="Y3" s="111">
        <f>+DOWNSTREAM!Y3</f>
        <v>351.86799999999999</v>
      </c>
      <c r="Z3" s="111">
        <f>+DOWNSTREAM!Z3</f>
        <v>359.62200000000001</v>
      </c>
      <c r="AA3" s="111">
        <f>+DOWNSTREAM!AA3</f>
        <v>356.15100000000001</v>
      </c>
      <c r="AB3" s="111">
        <f>+DOWNSTREAM!AC3</f>
        <v>357.07299999999998</v>
      </c>
      <c r="AC3" s="112">
        <f>+T3+SUM(U3:AB3)</f>
        <v>8308.64</v>
      </c>
      <c r="AD3" s="111">
        <f>+DOWNSTREAM!AD3</f>
        <v>371.07100000000003</v>
      </c>
      <c r="AE3" s="111">
        <f>+DOWNSTREAM!AE3</f>
        <v>342.74900000000002</v>
      </c>
      <c r="AF3" s="111">
        <f>+DOWNSTREAM!AF3</f>
        <v>365.90300000000002</v>
      </c>
      <c r="AG3" s="111">
        <f>+DOWNSTREAM!AG3</f>
        <v>201.005</v>
      </c>
      <c r="AH3" s="111">
        <f>+DOWNSTREAM!AH3</f>
        <v>243.65</v>
      </c>
      <c r="AI3" s="111">
        <f>+DOWNSTREAM!AI3</f>
        <v>322.38799999999998</v>
      </c>
      <c r="AJ3" s="112">
        <f>+AC3+SUM(AD3:AI3)</f>
        <v>10155.405999999999</v>
      </c>
      <c r="BG3" s="107"/>
      <c r="BH3" s="101"/>
      <c r="BI3" s="108"/>
      <c r="BJ3" s="108"/>
      <c r="BK3" s="108"/>
      <c r="BL3" s="109"/>
      <c r="BM3" s="108"/>
      <c r="BN3" s="108"/>
      <c r="BO3" s="108"/>
      <c r="BP3" s="108"/>
    </row>
    <row r="4" spans="1:68" ht="16" thickBot="1" x14ac:dyDescent="0.25">
      <c r="A4" s="113" t="s">
        <v>3</v>
      </c>
      <c r="B4" s="114">
        <f>IFERROR(B3/B2,0)</f>
        <v>1.026511015407912</v>
      </c>
      <c r="C4" s="114">
        <f>IFERROR(C3/C2,0)</f>
        <v>1.0364170567954238</v>
      </c>
      <c r="D4" s="115">
        <f>IFERROR(D3/D2,0)</f>
        <v>1.0314640361016678</v>
      </c>
      <c r="E4" s="114">
        <f>IFERROR(E3/E2,0)</f>
        <v>1.0184592926847875</v>
      </c>
      <c r="F4" s="114">
        <f t="shared" ref="F4:AJ4" si="3">IFERROR(F3/F2,0)</f>
        <v>1.0240482033715408</v>
      </c>
      <c r="G4" s="114">
        <f t="shared" si="3"/>
        <v>0.97370186551326454</v>
      </c>
      <c r="H4" s="114">
        <f t="shared" si="3"/>
        <v>1.0344358485179215</v>
      </c>
      <c r="I4" s="114">
        <f t="shared" si="3"/>
        <v>0.96339496830250271</v>
      </c>
      <c r="J4" s="114">
        <f t="shared" si="3"/>
        <v>1.0470209910550687</v>
      </c>
      <c r="K4" s="114">
        <f t="shared" si="3"/>
        <v>1.0319528494976455</v>
      </c>
      <c r="L4" s="115">
        <f t="shared" si="3"/>
        <v>1.0173268990162299</v>
      </c>
      <c r="M4" s="114">
        <f t="shared" si="3"/>
        <v>0.91619491607851311</v>
      </c>
      <c r="N4" s="114">
        <f t="shared" si="3"/>
        <v>0.9280360240660307</v>
      </c>
      <c r="O4" s="114">
        <f t="shared" si="3"/>
        <v>0.95442222222222217</v>
      </c>
      <c r="P4" s="114">
        <f t="shared" si="3"/>
        <v>0.89978333333333338</v>
      </c>
      <c r="Q4" s="114">
        <f t="shared" si="3"/>
        <v>0.86652222222222219</v>
      </c>
      <c r="R4" s="114">
        <f t="shared" si="3"/>
        <v>0.92073611111111109</v>
      </c>
      <c r="S4" s="114">
        <f t="shared" si="3"/>
        <v>0.93656944444444445</v>
      </c>
      <c r="T4" s="115">
        <f t="shared" si="3"/>
        <v>0.97295353914325444</v>
      </c>
      <c r="U4" s="114">
        <f t="shared" si="3"/>
        <v>0.99817222222222213</v>
      </c>
      <c r="V4" s="114">
        <f t="shared" si="3"/>
        <v>0.94671388888888885</v>
      </c>
      <c r="W4" s="114">
        <f t="shared" si="3"/>
        <v>0.98363333333333336</v>
      </c>
      <c r="X4" s="114">
        <f t="shared" si="3"/>
        <v>1.0199111111111112</v>
      </c>
      <c r="Y4" s="114">
        <f t="shared" si="3"/>
        <v>0.97741111111111112</v>
      </c>
      <c r="Z4" s="114">
        <f t="shared" si="3"/>
        <v>0.99895</v>
      </c>
      <c r="AA4" s="114">
        <f t="shared" si="3"/>
        <v>0.98930833333333335</v>
      </c>
      <c r="AB4" s="114">
        <f>IFERROR(AB3/AB2,0)</f>
        <v>0.99186944444444436</v>
      </c>
      <c r="AC4" s="115">
        <f t="shared" si="3"/>
        <v>0.97813849906390593</v>
      </c>
      <c r="AD4" s="114">
        <f t="shared" si="3"/>
        <v>1.0307527777777779</v>
      </c>
      <c r="AE4" s="114">
        <f t="shared" si="3"/>
        <v>0.9520805555555556</v>
      </c>
      <c r="AF4" s="114">
        <f t="shared" si="3"/>
        <v>1.0163972222222222</v>
      </c>
      <c r="AG4" s="114">
        <f t="shared" si="3"/>
        <v>0.55834722222222222</v>
      </c>
      <c r="AH4" s="114">
        <f t="shared" si="3"/>
        <v>0.67680555555555555</v>
      </c>
      <c r="AI4" s="114">
        <f t="shared" si="3"/>
        <v>0.89552222222222211</v>
      </c>
      <c r="AJ4" s="115">
        <f t="shared" si="3"/>
        <v>0.95317090999263299</v>
      </c>
      <c r="BG4" s="107"/>
      <c r="BH4" s="101"/>
      <c r="BI4" s="108"/>
      <c r="BJ4" s="108"/>
      <c r="BK4" s="108"/>
      <c r="BL4" s="109"/>
      <c r="BM4" s="108"/>
      <c r="BN4" s="108"/>
      <c r="BO4" s="108"/>
      <c r="BP4" s="108"/>
    </row>
    <row r="5" spans="1:68" ht="16" hidden="1" thickBot="1" x14ac:dyDescent="0.25">
      <c r="A5" s="110" t="s">
        <v>51</v>
      </c>
      <c r="B5" s="116"/>
      <c r="C5" s="116"/>
      <c r="D5" s="117"/>
      <c r="E5" s="116"/>
      <c r="F5" s="116"/>
      <c r="G5" s="116"/>
      <c r="H5" s="116"/>
      <c r="I5" s="116"/>
      <c r="J5" s="116"/>
      <c r="K5" s="116"/>
      <c r="L5" s="117"/>
      <c r="M5" s="116"/>
      <c r="N5" s="116"/>
      <c r="O5" s="116"/>
      <c r="P5" s="116"/>
      <c r="Q5" s="116"/>
      <c r="R5" s="116"/>
      <c r="S5" s="116"/>
      <c r="T5" s="117"/>
      <c r="U5" s="116"/>
      <c r="V5" s="116"/>
      <c r="W5" s="116"/>
      <c r="X5" s="116"/>
      <c r="Y5" s="116"/>
      <c r="Z5" s="116"/>
      <c r="AA5" s="116"/>
      <c r="AB5" s="116"/>
      <c r="AC5" s="117"/>
      <c r="AD5" s="116"/>
      <c r="AE5" s="116"/>
      <c r="AF5" s="116"/>
      <c r="AG5" s="116"/>
      <c r="AH5" s="116"/>
      <c r="AI5" s="116"/>
      <c r="AJ5" s="117"/>
      <c r="BG5" s="107"/>
      <c r="BH5" s="101"/>
      <c r="BI5" s="108"/>
      <c r="BJ5" s="108"/>
      <c r="BK5" s="108"/>
      <c r="BL5" s="109"/>
      <c r="BM5" s="108"/>
      <c r="BN5" s="108"/>
      <c r="BO5" s="108"/>
      <c r="BP5" s="108"/>
    </row>
    <row r="6" spans="1:68" ht="16" hidden="1" thickBot="1" x14ac:dyDescent="0.25">
      <c r="A6" s="110" t="s">
        <v>52</v>
      </c>
      <c r="B6" s="118"/>
      <c r="C6" s="118"/>
      <c r="D6" s="119"/>
      <c r="E6" s="118"/>
      <c r="F6" s="118"/>
      <c r="G6" s="118"/>
      <c r="H6" s="118"/>
      <c r="I6" s="118"/>
      <c r="J6" s="118"/>
      <c r="K6" s="118"/>
      <c r="L6" s="119"/>
      <c r="M6" s="118"/>
      <c r="N6" s="118"/>
      <c r="O6" s="118"/>
      <c r="P6" s="118"/>
      <c r="Q6" s="118"/>
      <c r="R6" s="118"/>
      <c r="S6" s="118"/>
      <c r="T6" s="119"/>
      <c r="U6" s="118"/>
      <c r="V6" s="118"/>
      <c r="W6" s="118"/>
      <c r="X6" s="118"/>
      <c r="Y6" s="118"/>
      <c r="Z6" s="118"/>
      <c r="AA6" s="118"/>
      <c r="AB6" s="118"/>
      <c r="AC6" s="119"/>
      <c r="AD6" s="118"/>
      <c r="AE6" s="118"/>
      <c r="AF6" s="118"/>
      <c r="AG6" s="118"/>
      <c r="AH6" s="118"/>
      <c r="AI6" s="118"/>
      <c r="AJ6" s="119"/>
      <c r="BG6" s="107"/>
      <c r="BH6" s="101"/>
      <c r="BI6" s="108"/>
      <c r="BJ6" s="108"/>
      <c r="BK6" s="108"/>
      <c r="BL6" s="109"/>
      <c r="BM6" s="108"/>
      <c r="BN6" s="108"/>
      <c r="BO6" s="108"/>
      <c r="BP6" s="108"/>
    </row>
    <row r="7" spans="1:68" ht="16" hidden="1" thickBot="1" x14ac:dyDescent="0.25">
      <c r="A7" s="110" t="s">
        <v>53</v>
      </c>
      <c r="B7" s="120"/>
      <c r="C7" s="120"/>
      <c r="D7" s="119"/>
      <c r="E7" s="120"/>
      <c r="F7" s="120"/>
      <c r="G7" s="120"/>
      <c r="H7" s="120"/>
      <c r="I7" s="120"/>
      <c r="J7" s="120"/>
      <c r="K7" s="120"/>
      <c r="L7" s="119"/>
      <c r="M7" s="120"/>
      <c r="N7" s="120"/>
      <c r="O7" s="120"/>
      <c r="P7" s="120"/>
      <c r="Q7" s="120"/>
      <c r="R7" s="120"/>
      <c r="S7" s="120"/>
      <c r="T7" s="119"/>
      <c r="U7" s="120"/>
      <c r="V7" s="120"/>
      <c r="W7" s="120"/>
      <c r="X7" s="120"/>
      <c r="Y7" s="120"/>
      <c r="Z7" s="120"/>
      <c r="AA7" s="120"/>
      <c r="AB7" s="120"/>
      <c r="AC7" s="119"/>
      <c r="AD7" s="120"/>
      <c r="AE7" s="120"/>
      <c r="AF7" s="120"/>
      <c r="AG7" s="120"/>
      <c r="AH7" s="120"/>
      <c r="AI7" s="120"/>
      <c r="AJ7" s="119"/>
      <c r="BG7" s="107"/>
      <c r="BH7" s="101"/>
      <c r="BI7" s="108"/>
      <c r="BJ7" s="108"/>
      <c r="BK7" s="108"/>
      <c r="BL7" s="109"/>
      <c r="BM7" s="108"/>
      <c r="BN7" s="108"/>
      <c r="BO7" s="108"/>
      <c r="BP7" s="108"/>
    </row>
    <row r="8" spans="1:68" ht="16" hidden="1" thickBot="1" x14ac:dyDescent="0.25">
      <c r="A8" s="110" t="s">
        <v>54</v>
      </c>
      <c r="B8" s="120"/>
      <c r="C8" s="120"/>
      <c r="D8" s="119"/>
      <c r="E8" s="120"/>
      <c r="F8" s="120"/>
      <c r="G8" s="120"/>
      <c r="H8" s="120"/>
      <c r="I8" s="120"/>
      <c r="J8" s="120"/>
      <c r="K8" s="120"/>
      <c r="L8" s="119"/>
      <c r="M8" s="120"/>
      <c r="N8" s="120"/>
      <c r="O8" s="120"/>
      <c r="P8" s="120"/>
      <c r="Q8" s="120"/>
      <c r="R8" s="120"/>
      <c r="S8" s="120"/>
      <c r="T8" s="119"/>
      <c r="U8" s="120"/>
      <c r="V8" s="120"/>
      <c r="W8" s="120"/>
      <c r="X8" s="120"/>
      <c r="Y8" s="120"/>
      <c r="Z8" s="120"/>
      <c r="AA8" s="120"/>
      <c r="AB8" s="120"/>
      <c r="AC8" s="119"/>
      <c r="AD8" s="120"/>
      <c r="AE8" s="120"/>
      <c r="AF8" s="120"/>
      <c r="AG8" s="120"/>
      <c r="AH8" s="120"/>
      <c r="AI8" s="120"/>
      <c r="AJ8" s="119"/>
      <c r="BG8" s="107"/>
      <c r="BH8" s="101"/>
      <c r="BI8" s="108"/>
      <c r="BJ8" s="108"/>
      <c r="BK8" s="108"/>
      <c r="BL8" s="109"/>
      <c r="BM8" s="108"/>
      <c r="BN8" s="108"/>
      <c r="BO8" s="108"/>
      <c r="BP8" s="108"/>
    </row>
    <row r="9" spans="1:68" ht="16" hidden="1" thickBot="1" x14ac:dyDescent="0.25">
      <c r="A9" s="121" t="s">
        <v>55</v>
      </c>
      <c r="B9" s="122"/>
      <c r="C9" s="122"/>
      <c r="D9" s="123"/>
      <c r="E9" s="122"/>
      <c r="F9" s="122"/>
      <c r="G9" s="122"/>
      <c r="H9" s="122"/>
      <c r="I9" s="122"/>
      <c r="J9" s="122"/>
      <c r="K9" s="122"/>
      <c r="L9" s="123"/>
      <c r="M9" s="122"/>
      <c r="N9" s="122"/>
      <c r="O9" s="122"/>
      <c r="P9" s="122"/>
      <c r="Q9" s="122"/>
      <c r="R9" s="122"/>
      <c r="S9" s="122"/>
      <c r="T9" s="123"/>
      <c r="U9" s="122"/>
      <c r="V9" s="122"/>
      <c r="W9" s="122"/>
      <c r="X9" s="122"/>
      <c r="Y9" s="122"/>
      <c r="Z9" s="122"/>
      <c r="AA9" s="122"/>
      <c r="AB9" s="122"/>
      <c r="AC9" s="123"/>
      <c r="AD9" s="122"/>
      <c r="AE9" s="122"/>
      <c r="AF9" s="122"/>
      <c r="AG9" s="122"/>
      <c r="AH9" s="122"/>
      <c r="AI9" s="122"/>
      <c r="AJ9" s="123"/>
      <c r="BG9" s="107"/>
      <c r="BH9" s="101"/>
      <c r="BI9" s="108"/>
      <c r="BJ9" s="108"/>
      <c r="BK9" s="108"/>
      <c r="BL9" s="109"/>
      <c r="BM9" s="108"/>
      <c r="BN9" s="108"/>
      <c r="BO9" s="108"/>
      <c r="BP9" s="108"/>
    </row>
    <row r="10" spans="1:68" x14ac:dyDescent="0.2">
      <c r="A10" s="124" t="s">
        <v>56</v>
      </c>
      <c r="B10" s="105">
        <v>22.32</v>
      </c>
      <c r="C10" s="105">
        <v>22.32</v>
      </c>
      <c r="D10" s="112">
        <f>+SUM(B10:C10)</f>
        <v>44.64</v>
      </c>
      <c r="E10" s="105">
        <v>22.32</v>
      </c>
      <c r="F10" s="105">
        <v>22.32</v>
      </c>
      <c r="G10" s="105">
        <v>22.32</v>
      </c>
      <c r="H10" s="105">
        <v>22.32</v>
      </c>
      <c r="I10" s="105">
        <v>22.32</v>
      </c>
      <c r="J10" s="105">
        <v>22.32</v>
      </c>
      <c r="K10" s="105">
        <v>22.32</v>
      </c>
      <c r="L10" s="112">
        <f>+D10+SUM(E10:K10)</f>
        <v>200.88</v>
      </c>
      <c r="M10" s="105">
        <v>22.32</v>
      </c>
      <c r="N10" s="105">
        <v>22.32</v>
      </c>
      <c r="O10" s="105">
        <v>37</v>
      </c>
      <c r="P10" s="105">
        <v>37</v>
      </c>
      <c r="Q10" s="105">
        <v>37</v>
      </c>
      <c r="R10" s="105">
        <v>37</v>
      </c>
      <c r="S10" s="105">
        <v>37</v>
      </c>
      <c r="T10" s="112">
        <f>+L10+SUM(M10:S10)</f>
        <v>430.52</v>
      </c>
      <c r="U10" s="105">
        <v>10</v>
      </c>
      <c r="V10" s="105">
        <v>30</v>
      </c>
      <c r="W10" s="105">
        <v>30</v>
      </c>
      <c r="X10" s="105">
        <v>30</v>
      </c>
      <c r="Y10" s="105">
        <v>30</v>
      </c>
      <c r="Z10" s="105">
        <v>10</v>
      </c>
      <c r="AA10" s="105">
        <v>10</v>
      </c>
      <c r="AB10" s="105">
        <v>36</v>
      </c>
      <c r="AC10" s="112">
        <f>+T10+SUM(U10:AB10)</f>
        <v>616.52</v>
      </c>
      <c r="AD10" s="105">
        <v>36</v>
      </c>
      <c r="AE10" s="105">
        <v>36</v>
      </c>
      <c r="AF10" s="105">
        <v>36</v>
      </c>
      <c r="AG10" s="105">
        <v>20</v>
      </c>
      <c r="AH10" s="105">
        <v>10</v>
      </c>
      <c r="AI10" s="105">
        <v>30</v>
      </c>
      <c r="AJ10" s="112">
        <f>+AC10+SUM(AD10:AI10)</f>
        <v>784.52</v>
      </c>
      <c r="BG10" s="107">
        <v>370</v>
      </c>
      <c r="BH10" s="101"/>
      <c r="BI10" s="108"/>
      <c r="BJ10" s="108"/>
      <c r="BK10" s="108"/>
      <c r="BL10" s="109"/>
      <c r="BM10" s="108"/>
      <c r="BN10" s="108"/>
      <c r="BO10" s="108"/>
      <c r="BP10" s="108"/>
    </row>
    <row r="11" spans="1:68" ht="12" customHeight="1" x14ac:dyDescent="0.2">
      <c r="A11" s="125" t="s">
        <v>57</v>
      </c>
      <c r="B11" s="111">
        <v>29.77</v>
      </c>
      <c r="C11" s="111">
        <v>31.6</v>
      </c>
      <c r="D11" s="112">
        <f>+SUM(B11:C11)</f>
        <v>61.370000000000005</v>
      </c>
      <c r="E11" s="111">
        <v>27.8</v>
      </c>
      <c r="F11" s="111">
        <v>0</v>
      </c>
      <c r="G11" s="111">
        <v>0</v>
      </c>
      <c r="H11" s="111">
        <v>19.399999999999999</v>
      </c>
      <c r="I11" s="111">
        <v>23.33</v>
      </c>
      <c r="J11" s="111">
        <v>31.666</v>
      </c>
      <c r="K11" s="111">
        <v>32</v>
      </c>
      <c r="L11" s="112">
        <f>+D11+SUM(E11:K11)</f>
        <v>195.566</v>
      </c>
      <c r="M11" s="276">
        <v>18.966000000000001</v>
      </c>
      <c r="N11" s="111">
        <v>30.988</v>
      </c>
      <c r="O11" s="111">
        <v>33.430999999999997</v>
      </c>
      <c r="P11" s="111">
        <v>36.491999999999997</v>
      </c>
      <c r="Q11" s="111">
        <v>37.35</v>
      </c>
      <c r="R11" s="276">
        <v>38.420999999999999</v>
      </c>
      <c r="S11" s="111">
        <v>37.914000000000001</v>
      </c>
      <c r="T11" s="112">
        <f>+L11+SUM(M11:S11)</f>
        <v>429.12799999999993</v>
      </c>
      <c r="U11" s="111">
        <f>+DOWNSTREAM!T11</f>
        <v>23.611000000000001</v>
      </c>
      <c r="V11" s="111">
        <f>+DOWNSTREAM!V11</f>
        <v>13.193</v>
      </c>
      <c r="W11" s="111">
        <f>+DOWNSTREAM!W11</f>
        <v>28.344999999999999</v>
      </c>
      <c r="X11" s="111">
        <f>+DOWNSTREAM!X11</f>
        <v>26.5</v>
      </c>
      <c r="Y11" s="111">
        <f>+DOWNSTREAM!Y11</f>
        <v>31.225000000000001</v>
      </c>
      <c r="Z11" s="111">
        <f>+DOWNSTREAM!Z11</f>
        <v>33.700000000000003</v>
      </c>
      <c r="AA11" s="111">
        <f>+DOWNSTREAM!AA11</f>
        <v>31.234999999999999</v>
      </c>
      <c r="AB11" s="111">
        <f>+DOWNSTREAM!AC11</f>
        <v>32.557000000000002</v>
      </c>
      <c r="AC11" s="112">
        <f>+T11+SUM(U11:AB11)</f>
        <v>649.49399999999991</v>
      </c>
      <c r="AD11" s="111">
        <f>+DOWNSTREAM!AD11</f>
        <v>33.5</v>
      </c>
      <c r="AE11" s="111">
        <f>+DOWNSTREAM!AE11</f>
        <v>33.389000000000003</v>
      </c>
      <c r="AF11" s="111">
        <f>+DOWNSTREAM!AF11</f>
        <v>33.155999999999999</v>
      </c>
      <c r="AG11" s="111">
        <f>+DOWNSTREAM!AG11</f>
        <v>22.332999999999998</v>
      </c>
      <c r="AH11" s="111">
        <f>+DOWNSTREAM!AH11</f>
        <v>19.567</v>
      </c>
      <c r="AI11" s="111">
        <f>+DOWNSTREAM!AI11</f>
        <v>32.33</v>
      </c>
      <c r="AJ11" s="112">
        <f>+AC11+SUM(AD11:AI11)</f>
        <v>823.76900000000001</v>
      </c>
      <c r="BG11" s="107"/>
      <c r="BH11" s="101"/>
      <c r="BI11" s="108"/>
      <c r="BJ11" s="108"/>
      <c r="BK11" s="108"/>
      <c r="BL11" s="109"/>
      <c r="BM11" s="108"/>
      <c r="BN11" s="108"/>
      <c r="BO11" s="108"/>
      <c r="BP11" s="108"/>
    </row>
    <row r="12" spans="1:68" ht="16" thickBot="1" x14ac:dyDescent="0.25">
      <c r="A12" s="126" t="s">
        <v>3</v>
      </c>
      <c r="B12" s="114">
        <f>IFERROR(+B11/B10,0)</f>
        <v>1.3337813620071683</v>
      </c>
      <c r="C12" s="114">
        <f>IFERROR(+C11/C10,0)</f>
        <v>1.4157706093189966</v>
      </c>
      <c r="D12" s="115">
        <f>IFERROR(+D11/D10,0)</f>
        <v>1.3747759856630826</v>
      </c>
      <c r="E12" s="114">
        <f>IFERROR(+E11/E10,0)</f>
        <v>1.2455197132616487</v>
      </c>
      <c r="F12" s="114">
        <f t="shared" ref="F12:AJ12" si="4">IFERROR(+F11/F10,0)</f>
        <v>0</v>
      </c>
      <c r="G12" s="114">
        <f t="shared" si="4"/>
        <v>0</v>
      </c>
      <c r="H12" s="114">
        <f t="shared" si="4"/>
        <v>0.8691756272401433</v>
      </c>
      <c r="I12" s="114">
        <f t="shared" si="4"/>
        <v>1.0452508960573477</v>
      </c>
      <c r="J12" s="114">
        <f t="shared" si="4"/>
        <v>1.4187275985663081</v>
      </c>
      <c r="K12" s="114">
        <f t="shared" si="4"/>
        <v>1.4336917562724014</v>
      </c>
      <c r="L12" s="115">
        <f t="shared" si="4"/>
        <v>0.97354639585822389</v>
      </c>
      <c r="M12" s="114">
        <f t="shared" si="4"/>
        <v>0.84973118279569892</v>
      </c>
      <c r="N12" s="114">
        <f t="shared" si="4"/>
        <v>1.3883512544802867</v>
      </c>
      <c r="O12" s="114">
        <f t="shared" si="4"/>
        <v>0.90354054054054045</v>
      </c>
      <c r="P12" s="114">
        <f t="shared" si="4"/>
        <v>0.98627027027027014</v>
      </c>
      <c r="Q12" s="114">
        <f t="shared" si="4"/>
        <v>1.0094594594594595</v>
      </c>
      <c r="R12" s="114">
        <f t="shared" si="4"/>
        <v>1.0384054054054055</v>
      </c>
      <c r="S12" s="114">
        <f t="shared" si="4"/>
        <v>1.0247027027027027</v>
      </c>
      <c r="T12" s="115">
        <f t="shared" si="4"/>
        <v>0.99676670073399598</v>
      </c>
      <c r="U12" s="114">
        <f t="shared" si="4"/>
        <v>2.3611</v>
      </c>
      <c r="V12" s="114">
        <f t="shared" si="4"/>
        <v>0.43976666666666664</v>
      </c>
      <c r="W12" s="114">
        <f t="shared" si="4"/>
        <v>0.9448333333333333</v>
      </c>
      <c r="X12" s="114">
        <f t="shared" si="4"/>
        <v>0.8833333333333333</v>
      </c>
      <c r="Y12" s="114">
        <f t="shared" si="4"/>
        <v>1.0408333333333333</v>
      </c>
      <c r="Z12" s="114">
        <f t="shared" si="4"/>
        <v>3.37</v>
      </c>
      <c r="AA12" s="114">
        <f t="shared" si="4"/>
        <v>3.1234999999999999</v>
      </c>
      <c r="AB12" s="114">
        <f>IFERROR(+AB11/AB10,0)</f>
        <v>0.90436111111111117</v>
      </c>
      <c r="AC12" s="115">
        <f t="shared" si="4"/>
        <v>1.0534840718873677</v>
      </c>
      <c r="AD12" s="114">
        <f t="shared" si="4"/>
        <v>0.93055555555555558</v>
      </c>
      <c r="AE12" s="114">
        <f t="shared" si="4"/>
        <v>0.92747222222222225</v>
      </c>
      <c r="AF12" s="114">
        <f t="shared" si="4"/>
        <v>0.92099999999999993</v>
      </c>
      <c r="AG12" s="114">
        <f t="shared" si="4"/>
        <v>1.1166499999999999</v>
      </c>
      <c r="AH12" s="114">
        <f t="shared" si="4"/>
        <v>1.9567000000000001</v>
      </c>
      <c r="AI12" s="114">
        <f t="shared" si="4"/>
        <v>1.0776666666666666</v>
      </c>
      <c r="AJ12" s="115">
        <f t="shared" si="4"/>
        <v>1.050029317289553</v>
      </c>
      <c r="BG12" s="107"/>
      <c r="BH12" s="101"/>
      <c r="BI12" s="108"/>
      <c r="BJ12" s="108"/>
      <c r="BK12" s="108"/>
      <c r="BL12" s="109"/>
      <c r="BM12" s="108"/>
      <c r="BN12" s="108"/>
      <c r="BO12" s="108"/>
      <c r="BP12" s="108"/>
    </row>
    <row r="13" spans="1:68" ht="16" hidden="1" thickBot="1" x14ac:dyDescent="0.25">
      <c r="A13" s="125" t="s">
        <v>58</v>
      </c>
      <c r="B13" s="116"/>
      <c r="C13" s="116"/>
      <c r="D13" s="117"/>
      <c r="E13" s="116"/>
      <c r="F13" s="116"/>
      <c r="G13" s="116"/>
      <c r="H13" s="116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7"/>
      <c r="U13" s="116"/>
      <c r="V13" s="116"/>
      <c r="W13" s="116"/>
      <c r="X13" s="116"/>
      <c r="Y13" s="116"/>
      <c r="Z13" s="116"/>
      <c r="AA13" s="116"/>
      <c r="AB13" s="116"/>
      <c r="AC13" s="117"/>
      <c r="AD13" s="116"/>
      <c r="AE13" s="116"/>
      <c r="AF13" s="116"/>
      <c r="AG13" s="116"/>
      <c r="AH13" s="116"/>
      <c r="AI13" s="116"/>
      <c r="AJ13" s="117"/>
      <c r="BG13" s="107"/>
      <c r="BH13" s="101"/>
      <c r="BI13" s="108"/>
      <c r="BJ13" s="108"/>
      <c r="BK13" s="108"/>
      <c r="BL13" s="109"/>
      <c r="BM13" s="108"/>
      <c r="BN13" s="108"/>
      <c r="BO13" s="108"/>
      <c r="BP13" s="108"/>
    </row>
    <row r="14" spans="1:68" ht="16" hidden="1" thickBot="1" x14ac:dyDescent="0.25">
      <c r="A14" s="125" t="s">
        <v>53</v>
      </c>
      <c r="B14" s="120"/>
      <c r="C14" s="120"/>
      <c r="D14" s="127"/>
      <c r="E14" s="120"/>
      <c r="F14" s="120"/>
      <c r="G14" s="120"/>
      <c r="H14" s="120"/>
      <c r="I14" s="120"/>
      <c r="J14" s="120"/>
      <c r="K14" s="120"/>
      <c r="L14" s="127"/>
      <c r="M14" s="120"/>
      <c r="N14" s="120"/>
      <c r="O14" s="120"/>
      <c r="P14" s="120"/>
      <c r="Q14" s="120"/>
      <c r="R14" s="120"/>
      <c r="S14" s="120"/>
      <c r="T14" s="127"/>
      <c r="U14" s="120"/>
      <c r="V14" s="120"/>
      <c r="W14" s="120"/>
      <c r="X14" s="120"/>
      <c r="Y14" s="120"/>
      <c r="Z14" s="120"/>
      <c r="AA14" s="120"/>
      <c r="AB14" s="120"/>
      <c r="AC14" s="127"/>
      <c r="AD14" s="120"/>
      <c r="AE14" s="120"/>
      <c r="AF14" s="120"/>
      <c r="AG14" s="120"/>
      <c r="AH14" s="120"/>
      <c r="AI14" s="120"/>
      <c r="AJ14" s="127"/>
      <c r="BG14" s="107"/>
      <c r="BH14" s="101"/>
      <c r="BI14" s="108"/>
      <c r="BJ14" s="108"/>
      <c r="BK14" s="108"/>
      <c r="BL14" s="109"/>
      <c r="BM14" s="108"/>
      <c r="BN14" s="108"/>
      <c r="BO14" s="108"/>
      <c r="BP14" s="108"/>
    </row>
    <row r="15" spans="1:68" ht="16" hidden="1" thickBot="1" x14ac:dyDescent="0.25">
      <c r="A15" s="125" t="s">
        <v>54</v>
      </c>
      <c r="B15" s="120"/>
      <c r="C15" s="120"/>
      <c r="D15" s="127"/>
      <c r="E15" s="120"/>
      <c r="F15" s="120"/>
      <c r="G15" s="120"/>
      <c r="H15" s="120"/>
      <c r="I15" s="120"/>
      <c r="J15" s="120"/>
      <c r="K15" s="120"/>
      <c r="L15" s="127"/>
      <c r="M15" s="120"/>
      <c r="N15" s="120"/>
      <c r="O15" s="120"/>
      <c r="P15" s="120"/>
      <c r="Q15" s="120"/>
      <c r="R15" s="120"/>
      <c r="S15" s="120"/>
      <c r="T15" s="127"/>
      <c r="U15" s="120"/>
      <c r="V15" s="120"/>
      <c r="W15" s="120"/>
      <c r="X15" s="120"/>
      <c r="Y15" s="120"/>
      <c r="Z15" s="120"/>
      <c r="AA15" s="120"/>
      <c r="AB15" s="120"/>
      <c r="AC15" s="127"/>
      <c r="AD15" s="120"/>
      <c r="AE15" s="120"/>
      <c r="AF15" s="120"/>
      <c r="AG15" s="120"/>
      <c r="AH15" s="120"/>
      <c r="AI15" s="120"/>
      <c r="AJ15" s="127"/>
      <c r="BG15" s="107"/>
      <c r="BH15" s="101"/>
      <c r="BI15" s="108"/>
      <c r="BJ15" s="108"/>
      <c r="BK15" s="108"/>
      <c r="BL15" s="109"/>
      <c r="BM15" s="108"/>
      <c r="BN15" s="108"/>
      <c r="BO15" s="108"/>
      <c r="BP15" s="108"/>
    </row>
    <row r="16" spans="1:68" ht="16" hidden="1" thickBot="1" x14ac:dyDescent="0.25">
      <c r="A16" s="128" t="s">
        <v>55</v>
      </c>
      <c r="B16" s="129"/>
      <c r="C16" s="129"/>
      <c r="D16" s="130"/>
      <c r="E16" s="129"/>
      <c r="F16" s="129"/>
      <c r="G16" s="129"/>
      <c r="H16" s="129"/>
      <c r="I16" s="129"/>
      <c r="J16" s="129"/>
      <c r="K16" s="129"/>
      <c r="L16" s="130"/>
      <c r="M16" s="129"/>
      <c r="N16" s="129"/>
      <c r="O16" s="129"/>
      <c r="P16" s="129"/>
      <c r="Q16" s="129"/>
      <c r="R16" s="129"/>
      <c r="S16" s="129"/>
      <c r="T16" s="130"/>
      <c r="U16" s="129"/>
      <c r="V16" s="129"/>
      <c r="W16" s="129"/>
      <c r="X16" s="129"/>
      <c r="Y16" s="129"/>
      <c r="Z16" s="129"/>
      <c r="AA16" s="129"/>
      <c r="AB16" s="129"/>
      <c r="AC16" s="130"/>
      <c r="AD16" s="129"/>
      <c r="AE16" s="129"/>
      <c r="AF16" s="129"/>
      <c r="AG16" s="129"/>
      <c r="AH16" s="129"/>
      <c r="AI16" s="129"/>
      <c r="AJ16" s="130"/>
      <c r="BG16" s="107"/>
      <c r="BH16" s="101"/>
      <c r="BI16" s="108"/>
      <c r="BJ16" s="108"/>
      <c r="BK16" s="108"/>
      <c r="BL16" s="109"/>
      <c r="BM16" s="108"/>
      <c r="BN16" s="108"/>
      <c r="BO16" s="108"/>
      <c r="BP16" s="108"/>
    </row>
    <row r="17" spans="1:68" x14ac:dyDescent="0.2">
      <c r="A17" s="131" t="s">
        <v>59</v>
      </c>
      <c r="B17" s="105">
        <v>70.678272727272727</v>
      </c>
      <c r="C17" s="105">
        <v>70.678272727272727</v>
      </c>
      <c r="D17" s="112">
        <f>+SUM(B17:C17)</f>
        <v>141.35654545454545</v>
      </c>
      <c r="E17" s="105">
        <v>70.678272727272727</v>
      </c>
      <c r="F17" s="105">
        <v>70.678272727272727</v>
      </c>
      <c r="G17" s="105">
        <v>70.678272727272727</v>
      </c>
      <c r="H17" s="105">
        <v>70.678272727272727</v>
      </c>
      <c r="I17" s="105">
        <v>70.678272727272727</v>
      </c>
      <c r="J17" s="105">
        <v>70.678272727272727</v>
      </c>
      <c r="K17" s="105">
        <v>70.678272727272727</v>
      </c>
      <c r="L17" s="112">
        <f>+D17+SUM(E17:K17)</f>
        <v>636.10445454545447</v>
      </c>
      <c r="M17" s="105">
        <v>70.678272727272727</v>
      </c>
      <c r="N17" s="105">
        <v>70.678272727272727</v>
      </c>
      <c r="O17" s="105">
        <v>95</v>
      </c>
      <c r="P17" s="105">
        <v>95</v>
      </c>
      <c r="Q17" s="105">
        <v>95</v>
      </c>
      <c r="R17" s="105">
        <v>95</v>
      </c>
      <c r="S17" s="105">
        <v>95</v>
      </c>
      <c r="T17" s="112">
        <f>+L17+SUM(M17:S17)</f>
        <v>1252.4609999999998</v>
      </c>
      <c r="U17" s="105">
        <v>95</v>
      </c>
      <c r="V17" s="105">
        <v>95</v>
      </c>
      <c r="W17" s="105">
        <v>95</v>
      </c>
      <c r="X17" s="105">
        <v>95</v>
      </c>
      <c r="Y17" s="105">
        <v>95</v>
      </c>
      <c r="Z17" s="105">
        <v>95</v>
      </c>
      <c r="AA17" s="105">
        <v>95</v>
      </c>
      <c r="AB17" s="105">
        <v>95</v>
      </c>
      <c r="AC17" s="112">
        <f>+T17+SUM(U17:AB17)</f>
        <v>2012.4609999999998</v>
      </c>
      <c r="AD17" s="105">
        <v>95</v>
      </c>
      <c r="AE17" s="105">
        <v>95</v>
      </c>
      <c r="AF17" s="105">
        <v>95</v>
      </c>
      <c r="AG17" s="105">
        <v>95</v>
      </c>
      <c r="AH17" s="105">
        <v>95</v>
      </c>
      <c r="AI17" s="105">
        <v>95</v>
      </c>
      <c r="AJ17" s="112">
        <f>+AC17+SUM(AD17:AI17)</f>
        <v>2582.4609999999998</v>
      </c>
      <c r="BG17" s="107">
        <v>3578.9473684210529</v>
      </c>
      <c r="BH17" s="101"/>
      <c r="BI17" s="108"/>
      <c r="BJ17" s="108"/>
      <c r="BK17" s="108"/>
      <c r="BL17" s="109"/>
      <c r="BM17" s="108"/>
      <c r="BN17" s="108"/>
      <c r="BO17" s="108"/>
      <c r="BP17" s="108"/>
    </row>
    <row r="18" spans="1:68" ht="12" customHeight="1" x14ac:dyDescent="0.2">
      <c r="A18" s="132" t="s">
        <v>60</v>
      </c>
      <c r="B18" s="111">
        <v>64.569999999999993</v>
      </c>
      <c r="C18" s="111">
        <v>93.8</v>
      </c>
      <c r="D18" s="112">
        <f>+SUM(B18:C18)</f>
        <v>158.37</v>
      </c>
      <c r="E18" s="111">
        <v>83.1</v>
      </c>
      <c r="F18" s="111">
        <v>93.23</v>
      </c>
      <c r="G18" s="111">
        <v>86.911000000000001</v>
      </c>
      <c r="H18" s="111">
        <v>0</v>
      </c>
      <c r="I18" s="111">
        <v>53.7</v>
      </c>
      <c r="J18" s="111">
        <v>47.37</v>
      </c>
      <c r="K18" s="111">
        <v>78.2</v>
      </c>
      <c r="L18" s="112">
        <f>+D18+SUM(E18:K18)</f>
        <v>600.88099999999997</v>
      </c>
      <c r="M18" s="111">
        <v>90.65</v>
      </c>
      <c r="N18" s="111">
        <v>85.93</v>
      </c>
      <c r="O18" s="111">
        <v>85.9</v>
      </c>
      <c r="P18" s="111">
        <v>80.5</v>
      </c>
      <c r="Q18" s="111">
        <v>93.3</v>
      </c>
      <c r="R18" s="111">
        <v>91.6</v>
      </c>
      <c r="S18" s="111">
        <v>85.5</v>
      </c>
      <c r="T18" s="112">
        <f>+L18+SUM(M18:S18)</f>
        <v>1214.261</v>
      </c>
      <c r="U18" s="111">
        <f>+DOWNSTREAM!T20</f>
        <v>90.2</v>
      </c>
      <c r="V18" s="111">
        <f>+DOWNSTREAM!V20</f>
        <v>102.25</v>
      </c>
      <c r="W18" s="111">
        <f>+DOWNSTREAM!W20</f>
        <v>94.55</v>
      </c>
      <c r="X18" s="111">
        <f>+DOWNSTREAM!X20</f>
        <v>78.5</v>
      </c>
      <c r="Y18" s="111">
        <f>+DOWNSTREAM!Y20</f>
        <v>89.45</v>
      </c>
      <c r="Z18" s="111">
        <f>+DOWNSTREAM!Z20</f>
        <v>92.915000000000006</v>
      </c>
      <c r="AA18" s="111">
        <f>+DOWNSTREAM!AA20</f>
        <v>87.16</v>
      </c>
      <c r="AB18" s="111">
        <f>+DOWNSTREAM!AC20</f>
        <v>77.5</v>
      </c>
      <c r="AC18" s="112">
        <f>+T18+SUM(U18:AB18)</f>
        <v>1926.7860000000001</v>
      </c>
      <c r="AD18" s="111">
        <f>+DOWNSTREAM!AD20</f>
        <v>84.289000000000001</v>
      </c>
      <c r="AE18" s="111">
        <f>+DOWNSTREAM!AE20</f>
        <v>95.65</v>
      </c>
      <c r="AF18" s="111">
        <f>+DOWNSTREAM!AF20</f>
        <v>92.25</v>
      </c>
      <c r="AG18" s="111">
        <f>+DOWNSTREAM!AG20</f>
        <v>91.86</v>
      </c>
      <c r="AH18" s="111">
        <f>+DOWNSTREAM!AH20</f>
        <v>50.9</v>
      </c>
      <c r="AI18" s="111">
        <f>+DOWNSTREAM!AI20</f>
        <v>89.6</v>
      </c>
      <c r="AJ18" s="112">
        <f>+AC18+SUM(AD18:AI18)</f>
        <v>2431.335</v>
      </c>
      <c r="BG18" s="107"/>
      <c r="BH18" s="101"/>
      <c r="BI18" s="108"/>
      <c r="BJ18" s="108"/>
      <c r="BK18" s="108"/>
      <c r="BL18" s="109"/>
      <c r="BM18" s="108"/>
      <c r="BN18" s="108"/>
      <c r="BO18" s="108"/>
      <c r="BP18" s="108"/>
    </row>
    <row r="19" spans="1:68" ht="16" thickBot="1" x14ac:dyDescent="0.25">
      <c r="A19" s="133" t="s">
        <v>3</v>
      </c>
      <c r="B19" s="114">
        <f>IFERROR(+B18/B17,0)</f>
        <v>0.9135763723196404</v>
      </c>
      <c r="C19" s="114">
        <f>IFERROR(+C18/C17,0)</f>
        <v>1.3271405253768356</v>
      </c>
      <c r="D19" s="115">
        <f>IFERROR(+D18/D17,0)</f>
        <v>1.1203584488482381</v>
      </c>
      <c r="E19" s="114">
        <f>IFERROR(+E18/E17,0)</f>
        <v>1.1757502948700962</v>
      </c>
      <c r="F19" s="114">
        <f t="shared" ref="F19:AJ19" si="5">IFERROR(+F18/F17,0)</f>
        <v>1.3190758121629254</v>
      </c>
      <c r="G19" s="114">
        <f t="shared" si="5"/>
        <v>1.229670684445908</v>
      </c>
      <c r="H19" s="114">
        <f t="shared" si="5"/>
        <v>0</v>
      </c>
      <c r="I19" s="114">
        <f t="shared" si="5"/>
        <v>0.75978087646840164</v>
      </c>
      <c r="J19" s="114">
        <f t="shared" si="5"/>
        <v>0.67022011393497549</v>
      </c>
      <c r="K19" s="114">
        <f t="shared" si="5"/>
        <v>1.1064220584698139</v>
      </c>
      <c r="L19" s="115">
        <f t="shared" si="5"/>
        <v>0.94462630422762195</v>
      </c>
      <c r="M19" s="114">
        <f t="shared" si="5"/>
        <v>1.2825723734052255</v>
      </c>
      <c r="N19" s="114">
        <f t="shared" si="5"/>
        <v>1.2157908885461779</v>
      </c>
      <c r="O19" s="114">
        <f t="shared" si="5"/>
        <v>0.90421052631578958</v>
      </c>
      <c r="P19" s="114">
        <f t="shared" si="5"/>
        <v>0.84736842105263155</v>
      </c>
      <c r="Q19" s="114">
        <f t="shared" si="5"/>
        <v>0.9821052631578947</v>
      </c>
      <c r="R19" s="114">
        <f t="shared" si="5"/>
        <v>0.96421052631578941</v>
      </c>
      <c r="S19" s="114">
        <f t="shared" si="5"/>
        <v>0.9</v>
      </c>
      <c r="T19" s="115">
        <f t="shared" si="5"/>
        <v>0.96950004830489744</v>
      </c>
      <c r="U19" s="114">
        <f t="shared" si="5"/>
        <v>0.94947368421052636</v>
      </c>
      <c r="V19" s="114">
        <f t="shared" si="5"/>
        <v>1.0763157894736841</v>
      </c>
      <c r="W19" s="114">
        <f t="shared" si="5"/>
        <v>0.99526315789473685</v>
      </c>
      <c r="X19" s="114">
        <f t="shared" si="5"/>
        <v>0.82631578947368423</v>
      </c>
      <c r="Y19" s="114">
        <f t="shared" si="5"/>
        <v>0.94157894736842107</v>
      </c>
      <c r="Z19" s="114">
        <f t="shared" si="5"/>
        <v>0.9780526315789474</v>
      </c>
      <c r="AA19" s="114">
        <f t="shared" si="5"/>
        <v>0.91747368421052633</v>
      </c>
      <c r="AB19" s="114">
        <f>IFERROR(+AB18/AB17,0)</f>
        <v>0.81578947368421051</v>
      </c>
      <c r="AC19" s="115">
        <f t="shared" si="5"/>
        <v>0.95742774642589357</v>
      </c>
      <c r="AD19" s="114">
        <f t="shared" si="5"/>
        <v>0.8872526315789474</v>
      </c>
      <c r="AE19" s="114">
        <f t="shared" si="5"/>
        <v>1.006842105263158</v>
      </c>
      <c r="AF19" s="114">
        <f t="shared" si="5"/>
        <v>0.97105263157894739</v>
      </c>
      <c r="AG19" s="114">
        <f t="shared" si="5"/>
        <v>0.96694736842105267</v>
      </c>
      <c r="AH19" s="114">
        <f t="shared" si="5"/>
        <v>0.53578947368421048</v>
      </c>
      <c r="AI19" s="114">
        <f t="shared" si="5"/>
        <v>0.94315789473684208</v>
      </c>
      <c r="AJ19" s="115">
        <f t="shared" si="5"/>
        <v>0.94147985197065909</v>
      </c>
      <c r="BG19" s="107"/>
      <c r="BH19" s="101"/>
      <c r="BI19" s="108"/>
      <c r="BJ19" s="108"/>
      <c r="BK19" s="108"/>
      <c r="BL19" s="109"/>
      <c r="BM19" s="108"/>
      <c r="BN19" s="108"/>
      <c r="BO19" s="108"/>
      <c r="BP19" s="108"/>
    </row>
    <row r="20" spans="1:68" ht="16" hidden="1" thickBot="1" x14ac:dyDescent="0.25">
      <c r="A20" s="132" t="s">
        <v>61</v>
      </c>
      <c r="B20" s="116"/>
      <c r="C20" s="116"/>
      <c r="D20" s="117"/>
      <c r="E20" s="116"/>
      <c r="F20" s="116"/>
      <c r="G20" s="116"/>
      <c r="H20" s="116"/>
      <c r="I20" s="116"/>
      <c r="J20" s="116"/>
      <c r="K20" s="116"/>
      <c r="L20" s="117"/>
      <c r="M20" s="116"/>
      <c r="N20" s="116"/>
      <c r="O20" s="116"/>
      <c r="P20" s="116"/>
      <c r="Q20" s="116"/>
      <c r="R20" s="116"/>
      <c r="S20" s="116"/>
      <c r="T20" s="117"/>
      <c r="U20" s="116"/>
      <c r="V20" s="116"/>
      <c r="W20" s="116"/>
      <c r="X20" s="116"/>
      <c r="Y20" s="116"/>
      <c r="Z20" s="116"/>
      <c r="AA20" s="116"/>
      <c r="AB20" s="116"/>
      <c r="AC20" s="117"/>
      <c r="AD20" s="116"/>
      <c r="AE20" s="116"/>
      <c r="AF20" s="116"/>
      <c r="AG20" s="116"/>
      <c r="AH20" s="116"/>
      <c r="AI20" s="116"/>
      <c r="AJ20" s="117"/>
      <c r="BG20" s="107"/>
      <c r="BH20" s="101"/>
      <c r="BI20" s="108"/>
      <c r="BJ20" s="108"/>
      <c r="BK20" s="108"/>
      <c r="BL20" s="109"/>
      <c r="BM20" s="108"/>
      <c r="BN20" s="108"/>
      <c r="BO20" s="108"/>
      <c r="BP20" s="108"/>
    </row>
    <row r="21" spans="1:68" ht="16" hidden="1" thickBot="1" x14ac:dyDescent="0.25">
      <c r="A21" s="132" t="s">
        <v>53</v>
      </c>
      <c r="B21" s="111"/>
      <c r="C21" s="111"/>
      <c r="D21" s="112"/>
      <c r="E21" s="111"/>
      <c r="F21" s="111"/>
      <c r="G21" s="111"/>
      <c r="H21" s="111"/>
      <c r="I21" s="111"/>
      <c r="J21" s="111"/>
      <c r="K21" s="111"/>
      <c r="L21" s="112"/>
      <c r="M21" s="111"/>
      <c r="N21" s="111"/>
      <c r="O21" s="111"/>
      <c r="P21" s="111"/>
      <c r="Q21" s="111"/>
      <c r="R21" s="111"/>
      <c r="S21" s="111"/>
      <c r="T21" s="112"/>
      <c r="U21" s="111"/>
      <c r="V21" s="111"/>
      <c r="W21" s="111"/>
      <c r="X21" s="111"/>
      <c r="Y21" s="111"/>
      <c r="Z21" s="111"/>
      <c r="AA21" s="111"/>
      <c r="AB21" s="111"/>
      <c r="AC21" s="112"/>
      <c r="AD21" s="111"/>
      <c r="AE21" s="111"/>
      <c r="AF21" s="111"/>
      <c r="AG21" s="111"/>
      <c r="AH21" s="111"/>
      <c r="AI21" s="111"/>
      <c r="AJ21" s="112"/>
      <c r="BG21" s="107"/>
      <c r="BH21" s="101"/>
      <c r="BI21" s="108"/>
      <c r="BJ21" s="108"/>
      <c r="BK21" s="108"/>
      <c r="BL21" s="109"/>
      <c r="BM21" s="108"/>
      <c r="BN21" s="108"/>
      <c r="BO21" s="108"/>
      <c r="BP21" s="108"/>
    </row>
    <row r="22" spans="1:68" ht="16" hidden="1" thickBot="1" x14ac:dyDescent="0.25">
      <c r="A22" s="132" t="s">
        <v>54</v>
      </c>
      <c r="B22" s="111"/>
      <c r="C22" s="111"/>
      <c r="D22" s="112"/>
      <c r="E22" s="111"/>
      <c r="F22" s="111"/>
      <c r="G22" s="111"/>
      <c r="H22" s="111"/>
      <c r="I22" s="111"/>
      <c r="J22" s="111"/>
      <c r="K22" s="111"/>
      <c r="L22" s="112"/>
      <c r="M22" s="111"/>
      <c r="N22" s="111"/>
      <c r="O22" s="111"/>
      <c r="P22" s="111"/>
      <c r="Q22" s="111"/>
      <c r="R22" s="111"/>
      <c r="S22" s="111"/>
      <c r="T22" s="112"/>
      <c r="U22" s="111"/>
      <c r="V22" s="111"/>
      <c r="W22" s="111"/>
      <c r="X22" s="111"/>
      <c r="Y22" s="111"/>
      <c r="Z22" s="111"/>
      <c r="AA22" s="111"/>
      <c r="AB22" s="111"/>
      <c r="AC22" s="112"/>
      <c r="AD22" s="111"/>
      <c r="AE22" s="111"/>
      <c r="AF22" s="111"/>
      <c r="AG22" s="111"/>
      <c r="AH22" s="111"/>
      <c r="AI22" s="111"/>
      <c r="AJ22" s="112"/>
      <c r="BG22" s="107"/>
      <c r="BH22" s="101"/>
      <c r="BI22" s="108"/>
      <c r="BJ22" s="108"/>
      <c r="BK22" s="108"/>
      <c r="BL22" s="109"/>
      <c r="BM22" s="108"/>
      <c r="BN22" s="108"/>
      <c r="BO22" s="108"/>
      <c r="BP22" s="108"/>
    </row>
    <row r="23" spans="1:68" x14ac:dyDescent="0.2">
      <c r="A23" s="134" t="s">
        <v>62</v>
      </c>
      <c r="B23" s="105">
        <v>117.71363636363635</v>
      </c>
      <c r="C23" s="105">
        <v>117.71363636363635</v>
      </c>
      <c r="D23" s="112">
        <f>+SUM(B23:C23)</f>
        <v>235.42727272727271</v>
      </c>
      <c r="E23" s="105">
        <v>117.71363636363635</v>
      </c>
      <c r="F23" s="105">
        <v>117.71363636363635</v>
      </c>
      <c r="G23" s="105">
        <v>117.71363636363635</v>
      </c>
      <c r="H23" s="105">
        <v>117.71363636363635</v>
      </c>
      <c r="I23" s="105">
        <v>117.71363636363635</v>
      </c>
      <c r="J23" s="105">
        <v>117.71363636363635</v>
      </c>
      <c r="K23" s="105">
        <v>117.71363636363635</v>
      </c>
      <c r="L23" s="112">
        <f>+D23+SUM(E23:K23)</f>
        <v>1059.4227272727273</v>
      </c>
      <c r="M23" s="105">
        <v>117.71363636363635</v>
      </c>
      <c r="N23" s="105">
        <v>117.71363636363635</v>
      </c>
      <c r="O23" s="105">
        <v>125</v>
      </c>
      <c r="P23" s="105">
        <v>125</v>
      </c>
      <c r="Q23" s="105">
        <v>125</v>
      </c>
      <c r="R23" s="105">
        <v>125</v>
      </c>
      <c r="S23" s="105">
        <v>125</v>
      </c>
      <c r="T23" s="112">
        <f>+L23+SUM(M23:S23)</f>
        <v>1919.85</v>
      </c>
      <c r="U23" s="105">
        <v>125</v>
      </c>
      <c r="V23" s="105">
        <v>125</v>
      </c>
      <c r="W23" s="105">
        <v>125</v>
      </c>
      <c r="X23" s="105">
        <v>125</v>
      </c>
      <c r="Y23" s="105">
        <v>125</v>
      </c>
      <c r="Z23" s="105">
        <v>125</v>
      </c>
      <c r="AA23" s="105">
        <v>125</v>
      </c>
      <c r="AB23" s="105">
        <v>125</v>
      </c>
      <c r="AC23" s="112">
        <f>+T23+SUM(U23:AB23)</f>
        <v>2919.85</v>
      </c>
      <c r="AD23" s="105">
        <v>125</v>
      </c>
      <c r="AE23" s="105">
        <v>125</v>
      </c>
      <c r="AF23" s="105">
        <v>125</v>
      </c>
      <c r="AG23" s="105">
        <v>125</v>
      </c>
      <c r="AH23" s="105">
        <v>125</v>
      </c>
      <c r="AI23" s="105">
        <v>125</v>
      </c>
      <c r="AJ23" s="112">
        <f>+AC23+SUM(AD23:AI23)</f>
        <v>3669.85</v>
      </c>
      <c r="BG23" s="107">
        <v>4636.3636363636351</v>
      </c>
      <c r="BH23" s="101"/>
      <c r="BI23" s="108"/>
      <c r="BJ23" s="108"/>
      <c r="BK23" s="108"/>
      <c r="BL23" s="109"/>
      <c r="BM23" s="108"/>
      <c r="BN23" s="108"/>
      <c r="BO23" s="108"/>
      <c r="BP23" s="108"/>
    </row>
    <row r="24" spans="1:68" ht="12" customHeight="1" x14ac:dyDescent="0.2">
      <c r="A24" s="135" t="s">
        <v>63</v>
      </c>
      <c r="B24" s="111">
        <v>127.94</v>
      </c>
      <c r="C24" s="111">
        <v>131.12</v>
      </c>
      <c r="D24" s="112">
        <f>+SUM(B24:C24)</f>
        <v>259.06</v>
      </c>
      <c r="E24" s="111">
        <v>118.33</v>
      </c>
      <c r="F24" s="111">
        <v>130.69</v>
      </c>
      <c r="G24" s="111">
        <v>131.57</v>
      </c>
      <c r="H24" s="111">
        <v>61.66</v>
      </c>
      <c r="I24" s="111">
        <v>86.78</v>
      </c>
      <c r="J24" s="111">
        <v>130.19</v>
      </c>
      <c r="K24" s="111">
        <v>115.4</v>
      </c>
      <c r="L24" s="112">
        <f>+D24+SUM(E24:K24)</f>
        <v>1033.68</v>
      </c>
      <c r="M24" s="111">
        <v>130.96</v>
      </c>
      <c r="N24" s="111">
        <v>130.21</v>
      </c>
      <c r="O24" s="111">
        <v>130.06</v>
      </c>
      <c r="P24" s="111">
        <v>131.24</v>
      </c>
      <c r="Q24" s="111">
        <v>131.44</v>
      </c>
      <c r="R24" s="111">
        <v>130.85</v>
      </c>
      <c r="S24" s="111">
        <v>130.44999999999999</v>
      </c>
      <c r="T24" s="112">
        <f>+L24+SUM(M24:S24)</f>
        <v>1948.89</v>
      </c>
      <c r="U24" s="111">
        <f>+DOWNSTREAM!T26</f>
        <v>132.49</v>
      </c>
      <c r="V24" s="111">
        <f>+DOWNSTREAM!V26</f>
        <v>115.4</v>
      </c>
      <c r="W24" s="111">
        <f>+DOWNSTREAM!W26</f>
        <v>115.9</v>
      </c>
      <c r="X24" s="111">
        <f>+DOWNSTREAM!X26</f>
        <v>83.47</v>
      </c>
      <c r="Y24" s="111">
        <f>+DOWNSTREAM!Y26</f>
        <v>111.16</v>
      </c>
      <c r="Z24" s="111">
        <f>+DOWNSTREAM!Z26</f>
        <v>116.5</v>
      </c>
      <c r="AA24" s="111">
        <f>+DOWNSTREAM!AA26</f>
        <v>119.61</v>
      </c>
      <c r="AB24" s="111">
        <f>+DOWNSTREAM!AC26</f>
        <v>115.56</v>
      </c>
      <c r="AC24" s="112">
        <f>+T24+SUM(U24:AB24)</f>
        <v>2858.98</v>
      </c>
      <c r="AD24" s="111">
        <f>+DOWNSTREAM!AD26</f>
        <v>117.3</v>
      </c>
      <c r="AE24" s="111">
        <f>+DOWNSTREAM!AE26</f>
        <v>100.15</v>
      </c>
      <c r="AF24" s="111">
        <f>+DOWNSTREAM!AF26</f>
        <v>113.32</v>
      </c>
      <c r="AG24" s="111">
        <f>+DOWNSTREAM!AG26</f>
        <v>91.11</v>
      </c>
      <c r="AH24" s="111">
        <f>+DOWNSTREAM!AH26</f>
        <v>78.599999999999994</v>
      </c>
      <c r="AI24" s="111">
        <f>+DOWNSTREAM!AI26</f>
        <v>97.75</v>
      </c>
      <c r="AJ24" s="112">
        <f>+AC24+SUM(AD24:AI24)</f>
        <v>3457.21</v>
      </c>
      <c r="BG24" s="107"/>
      <c r="BH24" s="101"/>
      <c r="BI24" s="108"/>
      <c r="BJ24" s="108"/>
      <c r="BK24" s="108"/>
      <c r="BL24" s="109"/>
      <c r="BM24" s="108"/>
      <c r="BN24" s="108"/>
      <c r="BO24" s="108"/>
      <c r="BP24" s="108"/>
    </row>
    <row r="25" spans="1:68" ht="16" thickBot="1" x14ac:dyDescent="0.25">
      <c r="A25" s="136" t="s">
        <v>3</v>
      </c>
      <c r="B25" s="114">
        <f t="shared" ref="B25:AJ25" si="6">IFERROR(+B24/B23,0)</f>
        <v>1.0868749275977914</v>
      </c>
      <c r="C25" s="114">
        <f t="shared" si="6"/>
        <v>1.1138896397266094</v>
      </c>
      <c r="D25" s="115">
        <f t="shared" si="6"/>
        <v>1.1003822836622004</v>
      </c>
      <c r="E25" s="114">
        <f t="shared" si="6"/>
        <v>1.0052361277368036</v>
      </c>
      <c r="F25" s="114">
        <f t="shared" si="6"/>
        <v>1.1102367069544736</v>
      </c>
      <c r="G25" s="114">
        <f t="shared" si="6"/>
        <v>1.1177124763486119</v>
      </c>
      <c r="H25" s="114">
        <f t="shared" si="6"/>
        <v>0.52381356913928256</v>
      </c>
      <c r="I25" s="114">
        <f t="shared" si="6"/>
        <v>0.73721280457195826</v>
      </c>
      <c r="J25" s="114">
        <f t="shared" si="6"/>
        <v>1.1059891107078041</v>
      </c>
      <c r="K25" s="114">
        <f t="shared" si="6"/>
        <v>0.98034521373132033</v>
      </c>
      <c r="L25" s="115">
        <f t="shared" si="6"/>
        <v>0.97570117516829491</v>
      </c>
      <c r="M25" s="114">
        <f t="shared" si="6"/>
        <v>1.1125304089276751</v>
      </c>
      <c r="N25" s="114">
        <f t="shared" si="6"/>
        <v>1.106159014557671</v>
      </c>
      <c r="O25" s="114">
        <f t="shared" si="6"/>
        <v>1.0404800000000001</v>
      </c>
      <c r="P25" s="114">
        <f t="shared" si="6"/>
        <v>1.04992</v>
      </c>
      <c r="Q25" s="114">
        <f t="shared" si="6"/>
        <v>1.05152</v>
      </c>
      <c r="R25" s="114">
        <f t="shared" si="6"/>
        <v>1.0468</v>
      </c>
      <c r="S25" s="114">
        <f t="shared" si="6"/>
        <v>1.0435999999999999</v>
      </c>
      <c r="T25" s="115">
        <f t="shared" si="6"/>
        <v>1.015126181732948</v>
      </c>
      <c r="U25" s="114">
        <f t="shared" si="6"/>
        <v>1.05992</v>
      </c>
      <c r="V25" s="114">
        <f t="shared" si="6"/>
        <v>0.92320000000000002</v>
      </c>
      <c r="W25" s="114">
        <f t="shared" si="6"/>
        <v>0.92720000000000002</v>
      </c>
      <c r="X25" s="114">
        <f t="shared" si="6"/>
        <v>0.66776000000000002</v>
      </c>
      <c r="Y25" s="114">
        <f t="shared" si="6"/>
        <v>0.88927999999999996</v>
      </c>
      <c r="Z25" s="114">
        <f t="shared" si="6"/>
        <v>0.93200000000000005</v>
      </c>
      <c r="AA25" s="114">
        <f t="shared" si="6"/>
        <v>0.95687999999999995</v>
      </c>
      <c r="AB25" s="114">
        <f>IFERROR(+AB24/AB23,0)</f>
        <v>0.92447999999999997</v>
      </c>
      <c r="AC25" s="115">
        <f t="shared" si="6"/>
        <v>0.97915303868349401</v>
      </c>
      <c r="AD25" s="114">
        <f t="shared" si="6"/>
        <v>0.93840000000000001</v>
      </c>
      <c r="AE25" s="114">
        <f t="shared" si="6"/>
        <v>0.80120000000000002</v>
      </c>
      <c r="AF25" s="114">
        <f t="shared" si="6"/>
        <v>0.90655999999999992</v>
      </c>
      <c r="AG25" s="114">
        <f t="shared" si="6"/>
        <v>0.72887999999999997</v>
      </c>
      <c r="AH25" s="114">
        <f t="shared" si="6"/>
        <v>0.62879999999999991</v>
      </c>
      <c r="AI25" s="114">
        <f t="shared" si="6"/>
        <v>0.78200000000000003</v>
      </c>
      <c r="AJ25" s="115">
        <f t="shared" si="6"/>
        <v>0.94205757728517514</v>
      </c>
      <c r="BG25" s="107"/>
      <c r="BH25" s="101"/>
      <c r="BI25" s="108"/>
      <c r="BJ25" s="108"/>
      <c r="BK25" s="108"/>
      <c r="BL25" s="109"/>
      <c r="BM25" s="108"/>
      <c r="BN25" s="108"/>
      <c r="BO25" s="108"/>
      <c r="BP25" s="108"/>
    </row>
    <row r="26" spans="1:68" ht="16" hidden="1" thickBot="1" x14ac:dyDescent="0.25">
      <c r="A26" s="135" t="s">
        <v>64</v>
      </c>
      <c r="B26" s="116"/>
      <c r="C26" s="116"/>
      <c r="D26" s="117"/>
      <c r="E26" s="116"/>
      <c r="F26" s="116"/>
      <c r="G26" s="116"/>
      <c r="H26" s="116"/>
      <c r="I26" s="116"/>
      <c r="J26" s="116"/>
      <c r="K26" s="116"/>
      <c r="L26" s="117"/>
      <c r="M26" s="116"/>
      <c r="N26" s="116"/>
      <c r="O26" s="116"/>
      <c r="P26" s="116"/>
      <c r="Q26" s="116"/>
      <c r="R26" s="116"/>
      <c r="S26" s="116"/>
      <c r="T26" s="117"/>
      <c r="U26" s="116"/>
      <c r="V26" s="116"/>
      <c r="W26" s="116"/>
      <c r="X26" s="116"/>
      <c r="Y26" s="116"/>
      <c r="Z26" s="116"/>
      <c r="AA26" s="116"/>
      <c r="AB26" s="116"/>
      <c r="AC26" s="117"/>
      <c r="AD26" s="116"/>
      <c r="AE26" s="116"/>
      <c r="AF26" s="116"/>
      <c r="AG26" s="116"/>
      <c r="AH26" s="116"/>
      <c r="AI26" s="116"/>
      <c r="AJ26" s="117"/>
      <c r="BG26" s="107"/>
      <c r="BH26" s="101"/>
      <c r="BI26" s="108"/>
      <c r="BJ26" s="108"/>
      <c r="BK26" s="108"/>
      <c r="BL26" s="109"/>
      <c r="BM26" s="108"/>
      <c r="BN26" s="108"/>
      <c r="BO26" s="108"/>
      <c r="BP26" s="108"/>
    </row>
    <row r="27" spans="1:68" ht="16" hidden="1" thickBot="1" x14ac:dyDescent="0.25">
      <c r="A27" s="135" t="s">
        <v>65</v>
      </c>
      <c r="B27" s="111"/>
      <c r="C27" s="111"/>
      <c r="D27" s="112"/>
      <c r="E27" s="111"/>
      <c r="F27" s="111"/>
      <c r="G27" s="111"/>
      <c r="H27" s="111"/>
      <c r="I27" s="111"/>
      <c r="J27" s="111"/>
      <c r="K27" s="111"/>
      <c r="L27" s="112"/>
      <c r="M27" s="111"/>
      <c r="N27" s="111"/>
      <c r="O27" s="111"/>
      <c r="P27" s="111"/>
      <c r="Q27" s="111"/>
      <c r="R27" s="111"/>
      <c r="S27" s="111"/>
      <c r="T27" s="112"/>
      <c r="U27" s="111"/>
      <c r="V27" s="111"/>
      <c r="W27" s="111"/>
      <c r="X27" s="111"/>
      <c r="Y27" s="111"/>
      <c r="Z27" s="111"/>
      <c r="AA27" s="111"/>
      <c r="AB27" s="111"/>
      <c r="AC27" s="112"/>
      <c r="AD27" s="111"/>
      <c r="AE27" s="111"/>
      <c r="AF27" s="111"/>
      <c r="AG27" s="111"/>
      <c r="AH27" s="111"/>
      <c r="AI27" s="111"/>
      <c r="AJ27" s="112"/>
      <c r="BG27" s="107"/>
      <c r="BH27" s="101"/>
      <c r="BI27" s="108"/>
      <c r="BJ27" s="108"/>
      <c r="BK27" s="108"/>
      <c r="BL27" s="109"/>
      <c r="BM27" s="108"/>
      <c r="BN27" s="108"/>
      <c r="BO27" s="108"/>
      <c r="BP27" s="108"/>
    </row>
    <row r="28" spans="1:68" ht="16" hidden="1" thickBot="1" x14ac:dyDescent="0.25">
      <c r="A28" s="135" t="s">
        <v>66</v>
      </c>
      <c r="B28" s="120"/>
      <c r="C28" s="120"/>
      <c r="D28" s="127"/>
      <c r="E28" s="120"/>
      <c r="F28" s="120"/>
      <c r="G28" s="120"/>
      <c r="H28" s="120"/>
      <c r="I28" s="120"/>
      <c r="J28" s="120"/>
      <c r="K28" s="120"/>
      <c r="L28" s="127"/>
      <c r="M28" s="120"/>
      <c r="N28" s="120"/>
      <c r="O28" s="120"/>
      <c r="P28" s="120"/>
      <c r="Q28" s="120"/>
      <c r="R28" s="120"/>
      <c r="S28" s="120"/>
      <c r="T28" s="127"/>
      <c r="U28" s="120"/>
      <c r="V28" s="120"/>
      <c r="W28" s="120"/>
      <c r="X28" s="120"/>
      <c r="Y28" s="120"/>
      <c r="Z28" s="120"/>
      <c r="AA28" s="120"/>
      <c r="AB28" s="120"/>
      <c r="AC28" s="127"/>
      <c r="AD28" s="120"/>
      <c r="AE28" s="120"/>
      <c r="AF28" s="120"/>
      <c r="AG28" s="120"/>
      <c r="AH28" s="120"/>
      <c r="AI28" s="120"/>
      <c r="AJ28" s="127"/>
      <c r="BG28" s="107"/>
      <c r="BH28" s="101"/>
      <c r="BI28" s="108"/>
      <c r="BJ28" s="108"/>
      <c r="BK28" s="108"/>
      <c r="BL28" s="109"/>
      <c r="BM28" s="108"/>
      <c r="BN28" s="108"/>
      <c r="BO28" s="108"/>
      <c r="BP28" s="108"/>
    </row>
    <row r="29" spans="1:68" ht="16" hidden="1" thickBot="1" x14ac:dyDescent="0.25">
      <c r="A29" s="137" t="s">
        <v>55</v>
      </c>
      <c r="B29" s="129"/>
      <c r="C29" s="129"/>
      <c r="D29" s="130"/>
      <c r="E29" s="129"/>
      <c r="F29" s="129"/>
      <c r="G29" s="129"/>
      <c r="H29" s="129"/>
      <c r="I29" s="129"/>
      <c r="J29" s="129"/>
      <c r="K29" s="129"/>
      <c r="L29" s="130"/>
      <c r="M29" s="129"/>
      <c r="N29" s="129"/>
      <c r="O29" s="129"/>
      <c r="P29" s="129"/>
      <c r="Q29" s="129"/>
      <c r="R29" s="129"/>
      <c r="S29" s="129"/>
      <c r="T29" s="130"/>
      <c r="U29" s="129"/>
      <c r="V29" s="129"/>
      <c r="W29" s="129"/>
      <c r="X29" s="129"/>
      <c r="Y29" s="129"/>
      <c r="Z29" s="129"/>
      <c r="AA29" s="129"/>
      <c r="AB29" s="129"/>
      <c r="AC29" s="130"/>
      <c r="AD29" s="129"/>
      <c r="AE29" s="129"/>
      <c r="AF29" s="129"/>
      <c r="AG29" s="129"/>
      <c r="AH29" s="129"/>
      <c r="AI29" s="129"/>
      <c r="AJ29" s="130"/>
      <c r="BG29" s="107"/>
      <c r="BH29" s="101"/>
      <c r="BI29" s="108"/>
      <c r="BJ29" s="108"/>
      <c r="BK29" s="108"/>
      <c r="BL29" s="109"/>
      <c r="BM29" s="108"/>
      <c r="BN29" s="108"/>
      <c r="BO29" s="108"/>
      <c r="BP29" s="108"/>
    </row>
    <row r="30" spans="1:68" x14ac:dyDescent="0.2">
      <c r="A30" s="131" t="s">
        <v>67</v>
      </c>
      <c r="B30" s="105" t="e">
        <v>#N/A</v>
      </c>
      <c r="C30" s="105" t="e">
        <v>#N/A</v>
      </c>
      <c r="D30" s="112" t="e">
        <f>+SUM(B30:C30)</f>
        <v>#N/A</v>
      </c>
      <c r="E30" s="105" t="e">
        <v>#N/A</v>
      </c>
      <c r="F30" s="105" t="e">
        <v>#N/A</v>
      </c>
      <c r="G30" s="105" t="e">
        <v>#N/A</v>
      </c>
      <c r="H30" s="105" t="e">
        <v>#N/A</v>
      </c>
      <c r="I30" s="105" t="e">
        <v>#N/A</v>
      </c>
      <c r="J30" s="105" t="e">
        <v>#N/A</v>
      </c>
      <c r="K30" s="105" t="e">
        <v>#N/A</v>
      </c>
      <c r="L30" s="112" t="e">
        <f>+D30+SUM(E30:K30)</f>
        <v>#N/A</v>
      </c>
      <c r="M30" s="105" t="e">
        <v>#N/A</v>
      </c>
      <c r="N30" s="105" t="e">
        <v>#N/A</v>
      </c>
      <c r="O30" s="105" t="e">
        <v>#N/A</v>
      </c>
      <c r="P30" s="105" t="e">
        <v>#N/A</v>
      </c>
      <c r="Q30" s="105" t="e">
        <v>#N/A</v>
      </c>
      <c r="R30" s="105" t="e">
        <v>#N/A</v>
      </c>
      <c r="S30" s="105" t="e">
        <v>#N/A</v>
      </c>
      <c r="T30" s="112" t="e">
        <f>+L30+SUM(M30:S30)</f>
        <v>#N/A</v>
      </c>
      <c r="U30" s="105" t="e">
        <v>#N/A</v>
      </c>
      <c r="V30" s="105" t="e">
        <v>#N/A</v>
      </c>
      <c r="W30" s="105" t="e">
        <v>#N/A</v>
      </c>
      <c r="X30" s="105" t="e">
        <v>#N/A</v>
      </c>
      <c r="Y30" s="105" t="e">
        <v>#N/A</v>
      </c>
      <c r="Z30" s="105" t="e">
        <v>#N/A</v>
      </c>
      <c r="AA30" s="105" t="e">
        <v>#N/A</v>
      </c>
      <c r="AB30" s="105" t="e">
        <v>#N/A</v>
      </c>
      <c r="AC30" s="112" t="e">
        <f>+T30+SUM(U30:AB30)</f>
        <v>#N/A</v>
      </c>
      <c r="AD30" s="105" t="e">
        <v>#N/A</v>
      </c>
      <c r="AE30" s="105" t="e">
        <v>#N/A</v>
      </c>
      <c r="AF30" s="105" t="e">
        <v>#N/A</v>
      </c>
      <c r="AG30" s="105" t="e">
        <v>#N/A</v>
      </c>
      <c r="AH30" s="105" t="e">
        <v>#N/A</v>
      </c>
      <c r="AI30" s="105" t="e">
        <v>#N/A</v>
      </c>
      <c r="AJ30" s="112" t="e">
        <f>+AC30+SUM(AD30:AI30)</f>
        <v>#N/A</v>
      </c>
      <c r="BG30" s="107">
        <v>645</v>
      </c>
      <c r="BH30" s="101"/>
      <c r="BI30" s="108"/>
      <c r="BJ30" s="108"/>
      <c r="BK30" s="108"/>
      <c r="BL30" s="109"/>
      <c r="BM30" s="108"/>
      <c r="BN30" s="108"/>
      <c r="BO30" s="108"/>
      <c r="BP30" s="108"/>
    </row>
    <row r="31" spans="1:68" ht="12" customHeight="1" x14ac:dyDescent="0.2">
      <c r="A31" s="132" t="s">
        <v>68</v>
      </c>
      <c r="B31" s="111">
        <v>63</v>
      </c>
      <c r="C31" s="111">
        <v>56.7</v>
      </c>
      <c r="D31" s="112">
        <f>+SUM(B31:C31)</f>
        <v>119.7</v>
      </c>
      <c r="E31" s="111">
        <v>53.55</v>
      </c>
      <c r="F31" s="111">
        <v>40.950000000000003</v>
      </c>
      <c r="G31" s="111">
        <v>63</v>
      </c>
      <c r="H31" s="111">
        <v>66.150000000000006</v>
      </c>
      <c r="I31" s="111">
        <v>63</v>
      </c>
      <c r="J31" s="111">
        <v>44.1</v>
      </c>
      <c r="K31" s="111">
        <v>9.4499999999999993</v>
      </c>
      <c r="L31" s="112">
        <f>+D31+SUM(E31:K31)</f>
        <v>459.9</v>
      </c>
      <c r="M31" s="111">
        <v>40.950000000000003</v>
      </c>
      <c r="N31" s="111">
        <v>63</v>
      </c>
      <c r="O31" s="111">
        <v>63</v>
      </c>
      <c r="P31" s="111">
        <v>56.7</v>
      </c>
      <c r="Q31" s="111">
        <v>69.3</v>
      </c>
      <c r="R31" s="111">
        <v>59.564999999999998</v>
      </c>
      <c r="S31" s="111">
        <v>53.55</v>
      </c>
      <c r="T31" s="112">
        <f>+L31+SUM(M31:S31)</f>
        <v>865.96499999999992</v>
      </c>
      <c r="U31" s="111">
        <f>+DOWNSTREAM!T33</f>
        <v>0</v>
      </c>
      <c r="V31" s="111">
        <f>+DOWNSTREAM!V33</f>
        <v>0</v>
      </c>
      <c r="W31" s="111">
        <f>+DOWNSTREAM!W33</f>
        <v>31.5</v>
      </c>
      <c r="X31" s="111">
        <f>+DOWNSTREAM!X33</f>
        <v>56.7</v>
      </c>
      <c r="Y31" s="111">
        <f>+DOWNSTREAM!Y33</f>
        <v>50.4</v>
      </c>
      <c r="Z31" s="111">
        <f>+DOWNSTREAM!Z33</f>
        <v>44.1</v>
      </c>
      <c r="AA31" s="111">
        <f>+DOWNSTREAM!AA33</f>
        <v>53.55</v>
      </c>
      <c r="AB31" s="111">
        <f>+DOWNSTREAM!AC33</f>
        <v>63</v>
      </c>
      <c r="AC31" s="112">
        <f>+T31+SUM(U31:AB31)</f>
        <v>1165.2149999999999</v>
      </c>
      <c r="AD31" s="111">
        <f>+DOWNSTREAM!AD33</f>
        <v>69.3</v>
      </c>
      <c r="AE31" s="111">
        <f>+DOWNSTREAM!AE33</f>
        <v>59.85</v>
      </c>
      <c r="AF31" s="111">
        <f>+DOWNSTREAM!AF33</f>
        <v>63</v>
      </c>
      <c r="AG31" s="111">
        <f>+DOWNSTREAM!AG33</f>
        <v>53.55</v>
      </c>
      <c r="AH31" s="111">
        <f>+DOWNSTREAM!AH33</f>
        <v>59.85</v>
      </c>
      <c r="AI31" s="111">
        <f>+DOWNSTREAM!AI33</f>
        <v>63</v>
      </c>
      <c r="AJ31" s="112">
        <f>+AC31+SUM(AD31:AI31)</f>
        <v>1533.7649999999999</v>
      </c>
      <c r="BG31" s="107"/>
      <c r="BH31" s="101"/>
      <c r="BI31" s="108"/>
      <c r="BJ31" s="108"/>
      <c r="BK31" s="108"/>
      <c r="BL31" s="109"/>
      <c r="BM31" s="108"/>
      <c r="BN31" s="108"/>
      <c r="BO31" s="108"/>
      <c r="BP31" s="108"/>
    </row>
    <row r="32" spans="1:68" ht="12" customHeight="1" thickBot="1" x14ac:dyDescent="0.25">
      <c r="A32" s="133" t="s">
        <v>3</v>
      </c>
      <c r="B32" s="114">
        <f>IFERROR(B31/B30,0)</f>
        <v>0</v>
      </c>
      <c r="C32" s="114">
        <f>IFERROR(C31/C30,0)</f>
        <v>0</v>
      </c>
      <c r="D32" s="115">
        <f>IFERROR(D31/D30,0)</f>
        <v>0</v>
      </c>
      <c r="E32" s="114">
        <f>IFERROR(E31/E30,0)</f>
        <v>0</v>
      </c>
      <c r="F32" s="114">
        <f t="shared" ref="F32:AJ32" si="7">IFERROR(F31/F30,0)</f>
        <v>0</v>
      </c>
      <c r="G32" s="114">
        <f t="shared" si="7"/>
        <v>0</v>
      </c>
      <c r="H32" s="114">
        <f t="shared" si="7"/>
        <v>0</v>
      </c>
      <c r="I32" s="114">
        <f t="shared" si="7"/>
        <v>0</v>
      </c>
      <c r="J32" s="114">
        <f t="shared" si="7"/>
        <v>0</v>
      </c>
      <c r="K32" s="114">
        <f t="shared" si="7"/>
        <v>0</v>
      </c>
      <c r="L32" s="115">
        <f t="shared" si="7"/>
        <v>0</v>
      </c>
      <c r="M32" s="114">
        <f t="shared" si="7"/>
        <v>0</v>
      </c>
      <c r="N32" s="114">
        <f t="shared" si="7"/>
        <v>0</v>
      </c>
      <c r="O32" s="114">
        <f t="shared" si="7"/>
        <v>0</v>
      </c>
      <c r="P32" s="114">
        <f t="shared" si="7"/>
        <v>0</v>
      </c>
      <c r="Q32" s="114">
        <f t="shared" si="7"/>
        <v>0</v>
      </c>
      <c r="R32" s="114">
        <f t="shared" si="7"/>
        <v>0</v>
      </c>
      <c r="S32" s="114">
        <f t="shared" si="7"/>
        <v>0</v>
      </c>
      <c r="T32" s="115">
        <f t="shared" si="7"/>
        <v>0</v>
      </c>
      <c r="U32" s="114">
        <f t="shared" si="7"/>
        <v>0</v>
      </c>
      <c r="V32" s="114">
        <f t="shared" si="7"/>
        <v>0</v>
      </c>
      <c r="W32" s="114">
        <f t="shared" si="7"/>
        <v>0</v>
      </c>
      <c r="X32" s="114">
        <f t="shared" si="7"/>
        <v>0</v>
      </c>
      <c r="Y32" s="114">
        <f t="shared" si="7"/>
        <v>0</v>
      </c>
      <c r="Z32" s="114">
        <f t="shared" si="7"/>
        <v>0</v>
      </c>
      <c r="AA32" s="114">
        <f t="shared" si="7"/>
        <v>0</v>
      </c>
      <c r="AB32" s="114">
        <f>IFERROR(AB31/AB30,0)</f>
        <v>0</v>
      </c>
      <c r="AC32" s="115">
        <f t="shared" si="7"/>
        <v>0</v>
      </c>
      <c r="AD32" s="114">
        <f t="shared" si="7"/>
        <v>0</v>
      </c>
      <c r="AE32" s="114">
        <f t="shared" si="7"/>
        <v>0</v>
      </c>
      <c r="AF32" s="114">
        <f t="shared" si="7"/>
        <v>0</v>
      </c>
      <c r="AG32" s="114">
        <f t="shared" si="7"/>
        <v>0</v>
      </c>
      <c r="AH32" s="114">
        <f t="shared" si="7"/>
        <v>0</v>
      </c>
      <c r="AI32" s="114">
        <f t="shared" si="7"/>
        <v>0</v>
      </c>
      <c r="AJ32" s="115">
        <f t="shared" si="7"/>
        <v>0</v>
      </c>
      <c r="BG32" s="107"/>
      <c r="BH32" s="101"/>
      <c r="BI32" s="108"/>
      <c r="BJ32" s="108"/>
      <c r="BK32" s="108"/>
      <c r="BL32" s="109"/>
      <c r="BM32" s="108"/>
      <c r="BN32" s="108"/>
      <c r="BO32" s="108"/>
      <c r="BP32" s="108"/>
    </row>
    <row r="33" spans="1:68" ht="12" customHeight="1" x14ac:dyDescent="0.2">
      <c r="A33" s="138" t="s">
        <v>69</v>
      </c>
      <c r="B33" s="139">
        <f t="shared" ref="B33:AJ34" si="8">+B2</f>
        <v>346.75809090909092</v>
      </c>
      <c r="C33" s="139">
        <f t="shared" si="8"/>
        <v>346.75809090909092</v>
      </c>
      <c r="D33" s="140">
        <f t="shared" si="8"/>
        <v>693.51618181818185</v>
      </c>
      <c r="E33" s="139">
        <f t="shared" si="8"/>
        <v>346.75809090909092</v>
      </c>
      <c r="F33" s="139">
        <f t="shared" si="8"/>
        <v>346.75809090909092</v>
      </c>
      <c r="G33" s="139">
        <f>+G3</f>
        <v>337.63900000000001</v>
      </c>
      <c r="H33" s="139">
        <f t="shared" si="8"/>
        <v>346.75809090909092</v>
      </c>
      <c r="I33" s="139">
        <f t="shared" si="8"/>
        <v>346.75809090909092</v>
      </c>
      <c r="J33" s="139">
        <f t="shared" si="8"/>
        <v>346.75809090909092</v>
      </c>
      <c r="K33" s="139">
        <f t="shared" si="8"/>
        <v>346.75809090909092</v>
      </c>
      <c r="L33" s="140">
        <f t="shared" si="8"/>
        <v>3120.8228181818181</v>
      </c>
      <c r="M33" s="139">
        <f t="shared" si="8"/>
        <v>346.75809090909092</v>
      </c>
      <c r="N33" s="139">
        <f t="shared" si="8"/>
        <v>346.75809090909092</v>
      </c>
      <c r="O33" s="139">
        <f t="shared" si="8"/>
        <v>360</v>
      </c>
      <c r="P33" s="139">
        <f t="shared" si="8"/>
        <v>360</v>
      </c>
      <c r="Q33" s="139">
        <f t="shared" si="8"/>
        <v>360</v>
      </c>
      <c r="R33" s="139">
        <f t="shared" si="8"/>
        <v>360</v>
      </c>
      <c r="S33" s="139">
        <f t="shared" si="8"/>
        <v>360</v>
      </c>
      <c r="T33" s="140">
        <f t="shared" si="8"/>
        <v>5614.3389999999999</v>
      </c>
      <c r="U33" s="139">
        <f t="shared" si="8"/>
        <v>360</v>
      </c>
      <c r="V33" s="139">
        <f t="shared" si="8"/>
        <v>360</v>
      </c>
      <c r="W33" s="139">
        <f t="shared" si="8"/>
        <v>360</v>
      </c>
      <c r="X33" s="139">
        <f t="shared" si="8"/>
        <v>360</v>
      </c>
      <c r="Y33" s="139">
        <f t="shared" si="8"/>
        <v>360</v>
      </c>
      <c r="Z33" s="139">
        <f t="shared" si="8"/>
        <v>360</v>
      </c>
      <c r="AA33" s="139">
        <f t="shared" si="8"/>
        <v>360</v>
      </c>
      <c r="AB33" s="139">
        <f>+AB2</f>
        <v>360</v>
      </c>
      <c r="AC33" s="140">
        <f t="shared" si="8"/>
        <v>8494.3389999999999</v>
      </c>
      <c r="AD33" s="139">
        <f t="shared" si="8"/>
        <v>360</v>
      </c>
      <c r="AE33" s="139">
        <f t="shared" si="8"/>
        <v>360</v>
      </c>
      <c r="AF33" s="139">
        <f t="shared" si="8"/>
        <v>360</v>
      </c>
      <c r="AG33" s="139">
        <f t="shared" si="8"/>
        <v>360</v>
      </c>
      <c r="AH33" s="139">
        <f t="shared" si="8"/>
        <v>360</v>
      </c>
      <c r="AI33" s="139">
        <f t="shared" si="8"/>
        <v>360</v>
      </c>
      <c r="AJ33" s="140">
        <f t="shared" si="8"/>
        <v>10654.339</v>
      </c>
      <c r="BG33" s="108"/>
      <c r="BH33" s="101"/>
      <c r="BI33" s="108"/>
      <c r="BJ33" s="108"/>
      <c r="BK33" s="108"/>
      <c r="BL33" s="109"/>
      <c r="BM33" s="108"/>
      <c r="BN33" s="108"/>
      <c r="BO33" s="108"/>
      <c r="BP33" s="108"/>
    </row>
    <row r="34" spans="1:68" ht="12" customHeight="1" x14ac:dyDescent="0.2">
      <c r="A34" s="141" t="s">
        <v>70</v>
      </c>
      <c r="B34" s="142">
        <f t="shared" si="8"/>
        <v>355.95100000000002</v>
      </c>
      <c r="C34" s="142">
        <f t="shared" si="8"/>
        <v>359.38600000000002</v>
      </c>
      <c r="D34" s="143">
        <f t="shared" si="8"/>
        <v>715.33699999999999</v>
      </c>
      <c r="E34" s="142">
        <f t="shared" si="8"/>
        <v>353.15899999999999</v>
      </c>
      <c r="F34" s="142">
        <f t="shared" si="8"/>
        <v>355.09699999999998</v>
      </c>
      <c r="G34" s="142">
        <f t="shared" si="8"/>
        <v>337.63900000000001</v>
      </c>
      <c r="H34" s="142">
        <f t="shared" si="8"/>
        <v>358.69900000000001</v>
      </c>
      <c r="I34" s="142">
        <f t="shared" si="8"/>
        <v>334.065</v>
      </c>
      <c r="J34" s="142">
        <f t="shared" si="8"/>
        <v>363.06299999999999</v>
      </c>
      <c r="K34" s="142">
        <f t="shared" si="8"/>
        <v>357.83800000000002</v>
      </c>
      <c r="L34" s="143">
        <f t="shared" si="8"/>
        <v>3174.8970000000004</v>
      </c>
      <c r="M34" s="142">
        <f t="shared" si="8"/>
        <v>317.69799999999998</v>
      </c>
      <c r="N34" s="142">
        <f t="shared" si="8"/>
        <v>321.80399999999997</v>
      </c>
      <c r="O34" s="142">
        <f t="shared" si="8"/>
        <v>343.59199999999998</v>
      </c>
      <c r="P34" s="142">
        <f t="shared" si="8"/>
        <v>323.92200000000003</v>
      </c>
      <c r="Q34" s="142">
        <f t="shared" si="8"/>
        <v>311.94799999999998</v>
      </c>
      <c r="R34" s="142">
        <f t="shared" si="8"/>
        <v>331.46499999999997</v>
      </c>
      <c r="S34" s="142">
        <f t="shared" si="8"/>
        <v>337.16500000000002</v>
      </c>
      <c r="T34" s="143">
        <f t="shared" si="8"/>
        <v>5462.491</v>
      </c>
      <c r="U34" s="142">
        <f t="shared" si="8"/>
        <v>359.34199999999998</v>
      </c>
      <c r="V34" s="142">
        <f t="shared" si="8"/>
        <v>340.81700000000001</v>
      </c>
      <c r="W34" s="142">
        <f t="shared" si="8"/>
        <v>354.108</v>
      </c>
      <c r="X34" s="142">
        <f t="shared" si="8"/>
        <v>367.16800000000001</v>
      </c>
      <c r="Y34" s="142">
        <f t="shared" si="8"/>
        <v>351.86799999999999</v>
      </c>
      <c r="Z34" s="142">
        <f t="shared" si="8"/>
        <v>359.62200000000001</v>
      </c>
      <c r="AA34" s="142">
        <f t="shared" si="8"/>
        <v>356.15100000000001</v>
      </c>
      <c r="AB34" s="142">
        <f>+AB3</f>
        <v>357.07299999999998</v>
      </c>
      <c r="AC34" s="143">
        <f t="shared" si="8"/>
        <v>8308.64</v>
      </c>
      <c r="AD34" s="142">
        <f t="shared" si="8"/>
        <v>371.07100000000003</v>
      </c>
      <c r="AE34" s="142">
        <f t="shared" si="8"/>
        <v>342.74900000000002</v>
      </c>
      <c r="AF34" s="142">
        <f t="shared" si="8"/>
        <v>365.90300000000002</v>
      </c>
      <c r="AG34" s="142">
        <f t="shared" si="8"/>
        <v>201.005</v>
      </c>
      <c r="AH34" s="142">
        <f t="shared" si="8"/>
        <v>243.65</v>
      </c>
      <c r="AI34" s="142">
        <f t="shared" si="8"/>
        <v>322.38799999999998</v>
      </c>
      <c r="AJ34" s="143">
        <f t="shared" si="8"/>
        <v>10155.405999999999</v>
      </c>
      <c r="BG34" s="108"/>
      <c r="BH34" s="101"/>
      <c r="BI34" s="108"/>
      <c r="BJ34" s="108"/>
      <c r="BK34" s="108"/>
      <c r="BL34" s="109"/>
      <c r="BM34" s="108"/>
      <c r="BN34" s="108"/>
      <c r="BO34" s="108"/>
      <c r="BP34" s="108"/>
    </row>
    <row r="35" spans="1:68" ht="12" customHeight="1" thickBot="1" x14ac:dyDescent="0.25">
      <c r="A35" s="144" t="s">
        <v>3</v>
      </c>
      <c r="B35" s="145">
        <f>IFERROR(+B34/B33,0)</f>
        <v>1.026511015407912</v>
      </c>
      <c r="C35" s="145">
        <f>IFERROR(+C34/C33,0)</f>
        <v>1.0364170567954238</v>
      </c>
      <c r="D35" s="146">
        <f>IFERROR(+D34/D33,0)</f>
        <v>1.0314640361016678</v>
      </c>
      <c r="E35" s="145">
        <f>IFERROR(+E34/E33,0)</f>
        <v>1.0184592926847875</v>
      </c>
      <c r="F35" s="145">
        <f t="shared" ref="F35:AJ35" si="9">IFERROR(+F34/F33,0)</f>
        <v>1.0240482033715408</v>
      </c>
      <c r="G35" s="145">
        <f t="shared" si="9"/>
        <v>1</v>
      </c>
      <c r="H35" s="145">
        <f t="shared" si="9"/>
        <v>1.0344358485179215</v>
      </c>
      <c r="I35" s="145">
        <f t="shared" si="9"/>
        <v>0.96339496830250271</v>
      </c>
      <c r="J35" s="145">
        <f t="shared" si="9"/>
        <v>1.0470209910550687</v>
      </c>
      <c r="K35" s="145">
        <f t="shared" si="9"/>
        <v>1.0319528494976455</v>
      </c>
      <c r="L35" s="146">
        <f t="shared" si="9"/>
        <v>1.0173268990162299</v>
      </c>
      <c r="M35" s="145">
        <f t="shared" si="9"/>
        <v>0.91619491607851311</v>
      </c>
      <c r="N35" s="145">
        <f t="shared" si="9"/>
        <v>0.9280360240660307</v>
      </c>
      <c r="O35" s="145">
        <f t="shared" si="9"/>
        <v>0.95442222222222217</v>
      </c>
      <c r="P35" s="145">
        <f t="shared" si="9"/>
        <v>0.89978333333333338</v>
      </c>
      <c r="Q35" s="145">
        <f t="shared" si="9"/>
        <v>0.86652222222222219</v>
      </c>
      <c r="R35" s="145">
        <f t="shared" si="9"/>
        <v>0.92073611111111109</v>
      </c>
      <c r="S35" s="145">
        <f t="shared" si="9"/>
        <v>0.93656944444444445</v>
      </c>
      <c r="T35" s="146">
        <f t="shared" si="9"/>
        <v>0.97295353914325444</v>
      </c>
      <c r="U35" s="145">
        <f t="shared" si="9"/>
        <v>0.99817222222222213</v>
      </c>
      <c r="V35" s="145">
        <f t="shared" si="9"/>
        <v>0.94671388888888885</v>
      </c>
      <c r="W35" s="145">
        <f t="shared" si="9"/>
        <v>0.98363333333333336</v>
      </c>
      <c r="X35" s="145">
        <f t="shared" si="9"/>
        <v>1.0199111111111112</v>
      </c>
      <c r="Y35" s="145">
        <f t="shared" si="9"/>
        <v>0.97741111111111112</v>
      </c>
      <c r="Z35" s="145">
        <f t="shared" si="9"/>
        <v>0.99895</v>
      </c>
      <c r="AA35" s="145">
        <f t="shared" si="9"/>
        <v>0.98930833333333335</v>
      </c>
      <c r="AB35" s="145">
        <f>IFERROR(+AB34/AB33,0)</f>
        <v>0.99186944444444436</v>
      </c>
      <c r="AC35" s="146">
        <f t="shared" si="9"/>
        <v>0.97813849906390593</v>
      </c>
      <c r="AD35" s="145">
        <f t="shared" si="9"/>
        <v>1.0307527777777779</v>
      </c>
      <c r="AE35" s="145">
        <f t="shared" si="9"/>
        <v>0.9520805555555556</v>
      </c>
      <c r="AF35" s="145">
        <f t="shared" si="9"/>
        <v>1.0163972222222222</v>
      </c>
      <c r="AG35" s="145">
        <f t="shared" si="9"/>
        <v>0.55834722222222222</v>
      </c>
      <c r="AH35" s="145">
        <f t="shared" si="9"/>
        <v>0.67680555555555555</v>
      </c>
      <c r="AI35" s="145">
        <f t="shared" si="9"/>
        <v>0.89552222222222211</v>
      </c>
      <c r="AJ35" s="146">
        <f t="shared" si="9"/>
        <v>0.95317090999263299</v>
      </c>
      <c r="BG35" s="108"/>
      <c r="BH35" s="101"/>
      <c r="BI35" s="108"/>
      <c r="BJ35" s="108"/>
      <c r="BK35" s="108"/>
      <c r="BL35" s="109"/>
      <c r="BM35" s="108"/>
      <c r="BN35" s="108"/>
      <c r="BO35" s="108"/>
      <c r="BP35" s="108"/>
    </row>
    <row r="36" spans="1:68" ht="12" customHeight="1" x14ac:dyDescent="0.2">
      <c r="A36" s="138" t="s">
        <v>71</v>
      </c>
      <c r="B36" s="139">
        <f t="shared" ref="B36:AJ37" si="10">+B10</f>
        <v>22.32</v>
      </c>
      <c r="C36" s="139">
        <f t="shared" si="10"/>
        <v>22.32</v>
      </c>
      <c r="D36" s="140">
        <f t="shared" si="10"/>
        <v>44.64</v>
      </c>
      <c r="E36" s="139">
        <f t="shared" si="10"/>
        <v>22.32</v>
      </c>
      <c r="F36" s="139">
        <f t="shared" si="10"/>
        <v>22.32</v>
      </c>
      <c r="G36" s="139">
        <f t="shared" si="10"/>
        <v>22.32</v>
      </c>
      <c r="H36" s="139">
        <f t="shared" si="10"/>
        <v>22.32</v>
      </c>
      <c r="I36" s="139">
        <f t="shared" si="10"/>
        <v>22.32</v>
      </c>
      <c r="J36" s="139">
        <f t="shared" si="10"/>
        <v>22.32</v>
      </c>
      <c r="K36" s="139">
        <f t="shared" si="10"/>
        <v>22.32</v>
      </c>
      <c r="L36" s="140">
        <f t="shared" si="10"/>
        <v>200.88</v>
      </c>
      <c r="M36" s="139">
        <f t="shared" si="10"/>
        <v>22.32</v>
      </c>
      <c r="N36" s="139">
        <f t="shared" si="10"/>
        <v>22.32</v>
      </c>
      <c r="O36" s="139">
        <f t="shared" si="10"/>
        <v>37</v>
      </c>
      <c r="P36" s="139">
        <f t="shared" si="10"/>
        <v>37</v>
      </c>
      <c r="Q36" s="139">
        <f t="shared" si="10"/>
        <v>37</v>
      </c>
      <c r="R36" s="139">
        <f t="shared" si="10"/>
        <v>37</v>
      </c>
      <c r="S36" s="139">
        <f t="shared" si="10"/>
        <v>37</v>
      </c>
      <c r="T36" s="140">
        <f t="shared" si="10"/>
        <v>430.52</v>
      </c>
      <c r="U36" s="139">
        <f t="shared" si="10"/>
        <v>10</v>
      </c>
      <c r="V36" s="139">
        <f t="shared" si="10"/>
        <v>30</v>
      </c>
      <c r="W36" s="139">
        <f t="shared" si="10"/>
        <v>30</v>
      </c>
      <c r="X36" s="139">
        <f t="shared" si="10"/>
        <v>30</v>
      </c>
      <c r="Y36" s="139">
        <f t="shared" si="10"/>
        <v>30</v>
      </c>
      <c r="Z36" s="139">
        <f t="shared" si="10"/>
        <v>10</v>
      </c>
      <c r="AA36" s="139">
        <f t="shared" si="10"/>
        <v>10</v>
      </c>
      <c r="AB36" s="139">
        <f>+AB10</f>
        <v>36</v>
      </c>
      <c r="AC36" s="140">
        <f t="shared" si="10"/>
        <v>616.52</v>
      </c>
      <c r="AD36" s="139">
        <f t="shared" si="10"/>
        <v>36</v>
      </c>
      <c r="AE36" s="139">
        <f t="shared" si="10"/>
        <v>36</v>
      </c>
      <c r="AF36" s="139">
        <f t="shared" si="10"/>
        <v>36</v>
      </c>
      <c r="AG36" s="139">
        <f t="shared" si="10"/>
        <v>20</v>
      </c>
      <c r="AH36" s="139">
        <f t="shared" si="10"/>
        <v>10</v>
      </c>
      <c r="AI36" s="139">
        <f t="shared" si="10"/>
        <v>30</v>
      </c>
      <c r="AJ36" s="140">
        <f t="shared" si="10"/>
        <v>784.52</v>
      </c>
      <c r="BG36" s="108"/>
      <c r="BH36" s="101"/>
      <c r="BI36" s="108"/>
      <c r="BJ36" s="108"/>
      <c r="BK36" s="108"/>
      <c r="BL36" s="109"/>
      <c r="BM36" s="108"/>
      <c r="BN36" s="108"/>
      <c r="BO36" s="108"/>
      <c r="BP36" s="108"/>
    </row>
    <row r="37" spans="1:68" ht="12" customHeight="1" x14ac:dyDescent="0.2">
      <c r="A37" s="141" t="s">
        <v>72</v>
      </c>
      <c r="B37" s="142">
        <f t="shared" si="10"/>
        <v>29.77</v>
      </c>
      <c r="C37" s="142">
        <f t="shared" si="10"/>
        <v>31.6</v>
      </c>
      <c r="D37" s="143">
        <f t="shared" si="10"/>
        <v>61.370000000000005</v>
      </c>
      <c r="E37" s="142">
        <f t="shared" si="10"/>
        <v>27.8</v>
      </c>
      <c r="F37" s="142">
        <f t="shared" si="10"/>
        <v>0</v>
      </c>
      <c r="G37" s="142">
        <f t="shared" si="10"/>
        <v>0</v>
      </c>
      <c r="H37" s="142">
        <f t="shared" si="10"/>
        <v>19.399999999999999</v>
      </c>
      <c r="I37" s="142">
        <f t="shared" si="10"/>
        <v>23.33</v>
      </c>
      <c r="J37" s="142">
        <f t="shared" si="10"/>
        <v>31.666</v>
      </c>
      <c r="K37" s="142">
        <f t="shared" si="10"/>
        <v>32</v>
      </c>
      <c r="L37" s="143">
        <f t="shared" si="10"/>
        <v>195.566</v>
      </c>
      <c r="M37" s="142">
        <f t="shared" si="10"/>
        <v>18.966000000000001</v>
      </c>
      <c r="N37" s="142">
        <f t="shared" si="10"/>
        <v>30.988</v>
      </c>
      <c r="O37" s="142">
        <f t="shared" si="10"/>
        <v>33.430999999999997</v>
      </c>
      <c r="P37" s="142">
        <f t="shared" si="10"/>
        <v>36.491999999999997</v>
      </c>
      <c r="Q37" s="142">
        <f t="shared" si="10"/>
        <v>37.35</v>
      </c>
      <c r="R37" s="142">
        <f t="shared" si="10"/>
        <v>38.420999999999999</v>
      </c>
      <c r="S37" s="142">
        <f t="shared" si="10"/>
        <v>37.914000000000001</v>
      </c>
      <c r="T37" s="143">
        <f t="shared" si="10"/>
        <v>429.12799999999993</v>
      </c>
      <c r="U37" s="142">
        <f t="shared" si="10"/>
        <v>23.611000000000001</v>
      </c>
      <c r="V37" s="142">
        <f t="shared" si="10"/>
        <v>13.193</v>
      </c>
      <c r="W37" s="142">
        <f t="shared" si="10"/>
        <v>28.344999999999999</v>
      </c>
      <c r="X37" s="142">
        <f t="shared" si="10"/>
        <v>26.5</v>
      </c>
      <c r="Y37" s="142">
        <f t="shared" si="10"/>
        <v>31.225000000000001</v>
      </c>
      <c r="Z37" s="142">
        <f t="shared" si="10"/>
        <v>33.700000000000003</v>
      </c>
      <c r="AA37" s="142">
        <f t="shared" si="10"/>
        <v>31.234999999999999</v>
      </c>
      <c r="AB37" s="142">
        <f>+AB11</f>
        <v>32.557000000000002</v>
      </c>
      <c r="AC37" s="143">
        <f t="shared" si="10"/>
        <v>649.49399999999991</v>
      </c>
      <c r="AD37" s="142">
        <f t="shared" si="10"/>
        <v>33.5</v>
      </c>
      <c r="AE37" s="142">
        <f t="shared" si="10"/>
        <v>33.389000000000003</v>
      </c>
      <c r="AF37" s="142">
        <f t="shared" si="10"/>
        <v>33.155999999999999</v>
      </c>
      <c r="AG37" s="142">
        <f t="shared" si="10"/>
        <v>22.332999999999998</v>
      </c>
      <c r="AH37" s="142">
        <f t="shared" si="10"/>
        <v>19.567</v>
      </c>
      <c r="AI37" s="142">
        <f t="shared" si="10"/>
        <v>32.33</v>
      </c>
      <c r="AJ37" s="143">
        <f t="shared" si="10"/>
        <v>823.76900000000001</v>
      </c>
      <c r="BG37" s="108"/>
      <c r="BH37" s="101"/>
      <c r="BI37" s="108"/>
      <c r="BJ37" s="108"/>
      <c r="BK37" s="108"/>
      <c r="BL37" s="109"/>
      <c r="BM37" s="108"/>
      <c r="BN37" s="108"/>
      <c r="BO37" s="108"/>
      <c r="BP37" s="108"/>
    </row>
    <row r="38" spans="1:68" ht="12" customHeight="1" thickBot="1" x14ac:dyDescent="0.25">
      <c r="A38" s="144" t="s">
        <v>3</v>
      </c>
      <c r="B38" s="145">
        <f>IFERROR(+B37/B36,0)</f>
        <v>1.3337813620071683</v>
      </c>
      <c r="C38" s="145">
        <f>IFERROR(+C37/C36,0)</f>
        <v>1.4157706093189966</v>
      </c>
      <c r="D38" s="146">
        <f>IFERROR(+D37/D36,0)</f>
        <v>1.3747759856630826</v>
      </c>
      <c r="E38" s="145">
        <f>IFERROR(+E37/E36,0)</f>
        <v>1.2455197132616487</v>
      </c>
      <c r="F38" s="145">
        <f t="shared" ref="F38:AJ38" si="11">IFERROR(+F37/F36,0)</f>
        <v>0</v>
      </c>
      <c r="G38" s="145">
        <f t="shared" si="11"/>
        <v>0</v>
      </c>
      <c r="H38" s="145">
        <f t="shared" si="11"/>
        <v>0.8691756272401433</v>
      </c>
      <c r="I38" s="145">
        <f t="shared" si="11"/>
        <v>1.0452508960573477</v>
      </c>
      <c r="J38" s="145">
        <f t="shared" si="11"/>
        <v>1.4187275985663081</v>
      </c>
      <c r="K38" s="145">
        <f t="shared" si="11"/>
        <v>1.4336917562724014</v>
      </c>
      <c r="L38" s="146">
        <f t="shared" si="11"/>
        <v>0.97354639585822389</v>
      </c>
      <c r="M38" s="145">
        <f t="shared" si="11"/>
        <v>0.84973118279569892</v>
      </c>
      <c r="N38" s="145">
        <f t="shared" si="11"/>
        <v>1.3883512544802867</v>
      </c>
      <c r="O38" s="145">
        <f t="shared" si="11"/>
        <v>0.90354054054054045</v>
      </c>
      <c r="P38" s="145">
        <f t="shared" si="11"/>
        <v>0.98627027027027014</v>
      </c>
      <c r="Q38" s="145">
        <f t="shared" si="11"/>
        <v>1.0094594594594595</v>
      </c>
      <c r="R38" s="145">
        <f t="shared" si="11"/>
        <v>1.0384054054054055</v>
      </c>
      <c r="S38" s="145">
        <f t="shared" si="11"/>
        <v>1.0247027027027027</v>
      </c>
      <c r="T38" s="146">
        <f t="shared" si="11"/>
        <v>0.99676670073399598</v>
      </c>
      <c r="U38" s="145">
        <f t="shared" si="11"/>
        <v>2.3611</v>
      </c>
      <c r="V38" s="145">
        <f t="shared" si="11"/>
        <v>0.43976666666666664</v>
      </c>
      <c r="W38" s="145">
        <f t="shared" si="11"/>
        <v>0.9448333333333333</v>
      </c>
      <c r="X38" s="145">
        <f t="shared" si="11"/>
        <v>0.8833333333333333</v>
      </c>
      <c r="Y38" s="145">
        <f t="shared" si="11"/>
        <v>1.0408333333333333</v>
      </c>
      <c r="Z38" s="145">
        <f t="shared" si="11"/>
        <v>3.37</v>
      </c>
      <c r="AA38" s="145">
        <f t="shared" si="11"/>
        <v>3.1234999999999999</v>
      </c>
      <c r="AB38" s="145">
        <f>IFERROR(+AB37/AB36,0)</f>
        <v>0.90436111111111117</v>
      </c>
      <c r="AC38" s="146">
        <f t="shared" si="11"/>
        <v>1.0534840718873677</v>
      </c>
      <c r="AD38" s="145">
        <f t="shared" si="11"/>
        <v>0.93055555555555558</v>
      </c>
      <c r="AE38" s="145">
        <f t="shared" si="11"/>
        <v>0.92747222222222225</v>
      </c>
      <c r="AF38" s="145">
        <f t="shared" si="11"/>
        <v>0.92099999999999993</v>
      </c>
      <c r="AG38" s="145">
        <f t="shared" si="11"/>
        <v>1.1166499999999999</v>
      </c>
      <c r="AH38" s="145">
        <f t="shared" si="11"/>
        <v>1.9567000000000001</v>
      </c>
      <c r="AI38" s="145">
        <f t="shared" si="11"/>
        <v>1.0776666666666666</v>
      </c>
      <c r="AJ38" s="146">
        <f t="shared" si="11"/>
        <v>1.050029317289553</v>
      </c>
      <c r="BG38" s="108"/>
      <c r="BH38" s="101"/>
      <c r="BI38" s="108"/>
      <c r="BJ38" s="108"/>
      <c r="BK38" s="108"/>
      <c r="BL38" s="109"/>
      <c r="BM38" s="108"/>
      <c r="BN38" s="108"/>
      <c r="BO38" s="108"/>
      <c r="BP38" s="108"/>
    </row>
    <row r="39" spans="1:68" ht="12" customHeight="1" x14ac:dyDescent="0.2">
      <c r="A39" s="138" t="s">
        <v>73</v>
      </c>
      <c r="B39" s="139">
        <f t="shared" ref="B39:AJ40" si="12">+B17+B23</f>
        <v>188.39190909090908</v>
      </c>
      <c r="C39" s="139">
        <f t="shared" si="12"/>
        <v>188.39190909090908</v>
      </c>
      <c r="D39" s="140">
        <f t="shared" si="12"/>
        <v>376.78381818181816</v>
      </c>
      <c r="E39" s="139">
        <f t="shared" si="12"/>
        <v>188.39190909090908</v>
      </c>
      <c r="F39" s="139">
        <f t="shared" si="12"/>
        <v>188.39190909090908</v>
      </c>
      <c r="G39" s="139">
        <f t="shared" si="12"/>
        <v>188.39190909090908</v>
      </c>
      <c r="H39" s="139">
        <f t="shared" si="12"/>
        <v>188.39190909090908</v>
      </c>
      <c r="I39" s="139">
        <f t="shared" si="12"/>
        <v>188.39190909090908</v>
      </c>
      <c r="J39" s="139">
        <f t="shared" si="12"/>
        <v>188.39190909090908</v>
      </c>
      <c r="K39" s="139">
        <f t="shared" si="12"/>
        <v>188.39190909090908</v>
      </c>
      <c r="L39" s="140">
        <f t="shared" si="12"/>
        <v>1695.5271818181818</v>
      </c>
      <c r="M39" s="139">
        <f t="shared" si="12"/>
        <v>188.39190909090908</v>
      </c>
      <c r="N39" s="139">
        <f t="shared" si="12"/>
        <v>188.39190909090908</v>
      </c>
      <c r="O39" s="139">
        <f t="shared" si="12"/>
        <v>220</v>
      </c>
      <c r="P39" s="139">
        <f t="shared" si="12"/>
        <v>220</v>
      </c>
      <c r="Q39" s="139">
        <f t="shared" si="12"/>
        <v>220</v>
      </c>
      <c r="R39" s="139">
        <f t="shared" si="12"/>
        <v>220</v>
      </c>
      <c r="S39" s="139">
        <f t="shared" si="12"/>
        <v>220</v>
      </c>
      <c r="T39" s="140">
        <f t="shared" si="12"/>
        <v>3172.3109999999997</v>
      </c>
      <c r="U39" s="139">
        <f t="shared" si="12"/>
        <v>220</v>
      </c>
      <c r="V39" s="139">
        <f t="shared" si="12"/>
        <v>220</v>
      </c>
      <c r="W39" s="139">
        <f t="shared" si="12"/>
        <v>220</v>
      </c>
      <c r="X39" s="139">
        <f t="shared" si="12"/>
        <v>220</v>
      </c>
      <c r="Y39" s="139">
        <f t="shared" si="12"/>
        <v>220</v>
      </c>
      <c r="Z39" s="139">
        <f t="shared" si="12"/>
        <v>220</v>
      </c>
      <c r="AA39" s="139">
        <f t="shared" si="12"/>
        <v>220</v>
      </c>
      <c r="AB39" s="139">
        <f>+AB17+AB23</f>
        <v>220</v>
      </c>
      <c r="AC39" s="140">
        <f t="shared" si="12"/>
        <v>4932.3109999999997</v>
      </c>
      <c r="AD39" s="139">
        <f t="shared" si="12"/>
        <v>220</v>
      </c>
      <c r="AE39" s="139">
        <f t="shared" si="12"/>
        <v>220</v>
      </c>
      <c r="AF39" s="139">
        <f t="shared" si="12"/>
        <v>220</v>
      </c>
      <c r="AG39" s="139">
        <f t="shared" si="12"/>
        <v>220</v>
      </c>
      <c r="AH39" s="139">
        <f t="shared" si="12"/>
        <v>220</v>
      </c>
      <c r="AI39" s="139">
        <f t="shared" si="12"/>
        <v>220</v>
      </c>
      <c r="AJ39" s="140">
        <f t="shared" si="12"/>
        <v>6252.3109999999997</v>
      </c>
      <c r="BG39" s="108"/>
      <c r="BH39" s="101"/>
      <c r="BI39" s="108"/>
      <c r="BJ39" s="108"/>
      <c r="BK39" s="108"/>
      <c r="BL39" s="109"/>
      <c r="BM39" s="108"/>
      <c r="BN39" s="108"/>
      <c r="BO39" s="108"/>
      <c r="BP39" s="108"/>
    </row>
    <row r="40" spans="1:68" ht="12" customHeight="1" x14ac:dyDescent="0.2">
      <c r="A40" s="141" t="s">
        <v>74</v>
      </c>
      <c r="B40" s="142">
        <f t="shared" si="12"/>
        <v>192.51</v>
      </c>
      <c r="C40" s="142">
        <f t="shared" si="12"/>
        <v>224.92000000000002</v>
      </c>
      <c r="D40" s="143">
        <f t="shared" si="12"/>
        <v>417.43</v>
      </c>
      <c r="E40" s="142">
        <f t="shared" si="12"/>
        <v>201.43</v>
      </c>
      <c r="F40" s="142">
        <f t="shared" si="12"/>
        <v>223.92000000000002</v>
      </c>
      <c r="G40" s="142">
        <f t="shared" si="12"/>
        <v>218.48099999999999</v>
      </c>
      <c r="H40" s="142">
        <f t="shared" si="12"/>
        <v>61.66</v>
      </c>
      <c r="I40" s="142">
        <f t="shared" si="12"/>
        <v>140.48000000000002</v>
      </c>
      <c r="J40" s="142">
        <f t="shared" si="12"/>
        <v>177.56</v>
      </c>
      <c r="K40" s="142">
        <f t="shared" si="12"/>
        <v>193.60000000000002</v>
      </c>
      <c r="L40" s="143">
        <f t="shared" si="12"/>
        <v>1634.5610000000001</v>
      </c>
      <c r="M40" s="142">
        <f t="shared" si="12"/>
        <v>221.61</v>
      </c>
      <c r="N40" s="142">
        <f t="shared" si="12"/>
        <v>216.14000000000001</v>
      </c>
      <c r="O40" s="142">
        <f t="shared" si="12"/>
        <v>215.96</v>
      </c>
      <c r="P40" s="142">
        <f t="shared" si="12"/>
        <v>211.74</v>
      </c>
      <c r="Q40" s="142">
        <f t="shared" si="12"/>
        <v>224.74</v>
      </c>
      <c r="R40" s="142">
        <f t="shared" si="12"/>
        <v>222.45</v>
      </c>
      <c r="S40" s="142">
        <f t="shared" si="12"/>
        <v>215.95</v>
      </c>
      <c r="T40" s="143">
        <f t="shared" si="12"/>
        <v>3163.1509999999998</v>
      </c>
      <c r="U40" s="142">
        <f t="shared" si="12"/>
        <v>222.69</v>
      </c>
      <c r="V40" s="142">
        <f t="shared" si="12"/>
        <v>217.65</v>
      </c>
      <c r="W40" s="142">
        <f t="shared" si="12"/>
        <v>210.45</v>
      </c>
      <c r="X40" s="142">
        <f t="shared" si="12"/>
        <v>161.97</v>
      </c>
      <c r="Y40" s="142">
        <f t="shared" si="12"/>
        <v>200.61</v>
      </c>
      <c r="Z40" s="142">
        <f t="shared" si="12"/>
        <v>209.41500000000002</v>
      </c>
      <c r="AA40" s="142">
        <f t="shared" si="12"/>
        <v>206.76999999999998</v>
      </c>
      <c r="AB40" s="142">
        <f>+AB18+AB24</f>
        <v>193.06</v>
      </c>
      <c r="AC40" s="143">
        <f t="shared" si="12"/>
        <v>4785.7659999999996</v>
      </c>
      <c r="AD40" s="142">
        <f t="shared" si="12"/>
        <v>201.589</v>
      </c>
      <c r="AE40" s="142">
        <f t="shared" si="12"/>
        <v>195.8</v>
      </c>
      <c r="AF40" s="142">
        <f t="shared" si="12"/>
        <v>205.57</v>
      </c>
      <c r="AG40" s="142">
        <f t="shared" si="12"/>
        <v>182.97</v>
      </c>
      <c r="AH40" s="142">
        <f t="shared" si="12"/>
        <v>129.5</v>
      </c>
      <c r="AI40" s="142">
        <f t="shared" si="12"/>
        <v>187.35</v>
      </c>
      <c r="AJ40" s="143">
        <f t="shared" si="12"/>
        <v>5888.5450000000001</v>
      </c>
      <c r="BG40" s="108"/>
      <c r="BH40" s="101"/>
      <c r="BI40" s="108"/>
      <c r="BJ40" s="108"/>
      <c r="BK40" s="108"/>
      <c r="BL40" s="109"/>
      <c r="BM40" s="108"/>
      <c r="BN40" s="108"/>
      <c r="BO40" s="108"/>
      <c r="BP40" s="108"/>
    </row>
    <row r="41" spans="1:68" ht="12" customHeight="1" thickBot="1" x14ac:dyDescent="0.25">
      <c r="A41" s="147" t="s">
        <v>3</v>
      </c>
      <c r="B41" s="148">
        <f>IFERROR(+B40/B39,0)</f>
        <v>1.0218591707518805</v>
      </c>
      <c r="C41" s="148">
        <f>IFERROR(+C40/C39,0)</f>
        <v>1.1938941597086539</v>
      </c>
      <c r="D41" s="149">
        <f>IFERROR(+D40/D39,0)</f>
        <v>1.1078766652302672</v>
      </c>
      <c r="E41" s="148">
        <f>IFERROR(+E40/E39,0)</f>
        <v>1.069207276320977</v>
      </c>
      <c r="F41" s="148">
        <f t="shared" ref="F41:AJ41" si="13">IFERROR(+F40/F39,0)</f>
        <v>1.1885860761246745</v>
      </c>
      <c r="G41" s="148">
        <f t="shared" si="13"/>
        <v>1.1597154095114102</v>
      </c>
      <c r="H41" s="148">
        <f t="shared" si="13"/>
        <v>0.32729643378817175</v>
      </c>
      <c r="I41" s="148">
        <f t="shared" si="13"/>
        <v>0.74567958187743066</v>
      </c>
      <c r="J41" s="148">
        <f t="shared" si="13"/>
        <v>0.94250332117138791</v>
      </c>
      <c r="K41" s="148">
        <f t="shared" si="13"/>
        <v>1.0276449818584181</v>
      </c>
      <c r="L41" s="149">
        <f t="shared" si="13"/>
        <v>0.96404293456811163</v>
      </c>
      <c r="M41" s="148">
        <f t="shared" si="13"/>
        <v>1.1763244030456821</v>
      </c>
      <c r="N41" s="148">
        <f t="shared" si="13"/>
        <v>1.1472891858413146</v>
      </c>
      <c r="O41" s="148">
        <f t="shared" si="13"/>
        <v>0.98163636363636364</v>
      </c>
      <c r="P41" s="148">
        <f t="shared" si="13"/>
        <v>0.96245454545454545</v>
      </c>
      <c r="Q41" s="148">
        <f t="shared" si="13"/>
        <v>1.0215454545454545</v>
      </c>
      <c r="R41" s="148">
        <f t="shared" si="13"/>
        <v>1.0111363636363635</v>
      </c>
      <c r="S41" s="148">
        <f t="shared" si="13"/>
        <v>0.98159090909090907</v>
      </c>
      <c r="T41" s="149">
        <f t="shared" si="13"/>
        <v>0.99711251513486543</v>
      </c>
      <c r="U41" s="148">
        <f t="shared" si="13"/>
        <v>1.0122272727272728</v>
      </c>
      <c r="V41" s="148">
        <f t="shared" si="13"/>
        <v>0.98931818181818187</v>
      </c>
      <c r="W41" s="148">
        <f t="shared" si="13"/>
        <v>0.95659090909090905</v>
      </c>
      <c r="X41" s="148">
        <f t="shared" si="13"/>
        <v>0.73622727272727273</v>
      </c>
      <c r="Y41" s="148">
        <f t="shared" si="13"/>
        <v>0.91186363636363643</v>
      </c>
      <c r="Z41" s="148">
        <f t="shared" si="13"/>
        <v>0.9518863636363637</v>
      </c>
      <c r="AA41" s="148">
        <f t="shared" si="13"/>
        <v>0.93986363636363623</v>
      </c>
      <c r="AB41" s="148">
        <f>IFERROR(+AB40/AB39,0)</f>
        <v>0.87754545454545452</v>
      </c>
      <c r="AC41" s="149">
        <f t="shared" si="13"/>
        <v>0.9702887753833852</v>
      </c>
      <c r="AD41" s="148">
        <f t="shared" si="13"/>
        <v>0.91631363636363639</v>
      </c>
      <c r="AE41" s="148">
        <f t="shared" si="13"/>
        <v>0.89</v>
      </c>
      <c r="AF41" s="148">
        <f t="shared" si="13"/>
        <v>0.93440909090909086</v>
      </c>
      <c r="AG41" s="148">
        <f t="shared" si="13"/>
        <v>0.83168181818181819</v>
      </c>
      <c r="AH41" s="148">
        <f t="shared" si="13"/>
        <v>0.58863636363636362</v>
      </c>
      <c r="AI41" s="148">
        <f t="shared" si="13"/>
        <v>0.85159090909090907</v>
      </c>
      <c r="AJ41" s="149">
        <f t="shared" si="13"/>
        <v>0.94181895302392993</v>
      </c>
      <c r="BG41" s="108"/>
      <c r="BH41" s="101"/>
      <c r="BI41" s="108"/>
      <c r="BJ41" s="108"/>
      <c r="BK41" s="108"/>
      <c r="BL41" s="109"/>
      <c r="BM41" s="108"/>
      <c r="BN41" s="108"/>
      <c r="BO41" s="108"/>
      <c r="BP41" s="108"/>
    </row>
    <row r="42" spans="1:68" ht="12" customHeight="1" x14ac:dyDescent="0.2">
      <c r="A42" s="138" t="s">
        <v>75</v>
      </c>
      <c r="B42" s="139" t="e">
        <f t="shared" ref="B42:AJ43" si="14">+B30</f>
        <v>#N/A</v>
      </c>
      <c r="C42" s="139" t="e">
        <f t="shared" si="14"/>
        <v>#N/A</v>
      </c>
      <c r="D42" s="140" t="e">
        <f t="shared" si="14"/>
        <v>#N/A</v>
      </c>
      <c r="E42" s="139" t="e">
        <f t="shared" si="14"/>
        <v>#N/A</v>
      </c>
      <c r="F42" s="139" t="e">
        <f t="shared" si="14"/>
        <v>#N/A</v>
      </c>
      <c r="G42" s="139" t="e">
        <f t="shared" si="14"/>
        <v>#N/A</v>
      </c>
      <c r="H42" s="139" t="e">
        <f t="shared" si="14"/>
        <v>#N/A</v>
      </c>
      <c r="I42" s="139" t="e">
        <f t="shared" si="14"/>
        <v>#N/A</v>
      </c>
      <c r="J42" s="139" t="e">
        <f t="shared" si="14"/>
        <v>#N/A</v>
      </c>
      <c r="K42" s="139" t="e">
        <f t="shared" si="14"/>
        <v>#N/A</v>
      </c>
      <c r="L42" s="140" t="e">
        <f t="shared" si="14"/>
        <v>#N/A</v>
      </c>
      <c r="M42" s="139" t="e">
        <f t="shared" si="14"/>
        <v>#N/A</v>
      </c>
      <c r="N42" s="139" t="e">
        <f t="shared" si="14"/>
        <v>#N/A</v>
      </c>
      <c r="O42" s="139" t="e">
        <f t="shared" si="14"/>
        <v>#N/A</v>
      </c>
      <c r="P42" s="139" t="e">
        <f t="shared" si="14"/>
        <v>#N/A</v>
      </c>
      <c r="Q42" s="139" t="e">
        <f t="shared" si="14"/>
        <v>#N/A</v>
      </c>
      <c r="R42" s="139" t="e">
        <f t="shared" si="14"/>
        <v>#N/A</v>
      </c>
      <c r="S42" s="139" t="e">
        <f t="shared" si="14"/>
        <v>#N/A</v>
      </c>
      <c r="T42" s="140" t="e">
        <f t="shared" si="14"/>
        <v>#N/A</v>
      </c>
      <c r="U42" s="139" t="e">
        <f t="shared" si="14"/>
        <v>#N/A</v>
      </c>
      <c r="V42" s="139" t="e">
        <f t="shared" si="14"/>
        <v>#N/A</v>
      </c>
      <c r="W42" s="139" t="e">
        <f t="shared" si="14"/>
        <v>#N/A</v>
      </c>
      <c r="X42" s="139" t="e">
        <f t="shared" si="14"/>
        <v>#N/A</v>
      </c>
      <c r="Y42" s="139" t="e">
        <f t="shared" si="14"/>
        <v>#N/A</v>
      </c>
      <c r="Z42" s="139" t="e">
        <f t="shared" si="14"/>
        <v>#N/A</v>
      </c>
      <c r="AA42" s="139" t="e">
        <f t="shared" si="14"/>
        <v>#N/A</v>
      </c>
      <c r="AB42" s="139" t="e">
        <f>+AB30</f>
        <v>#N/A</v>
      </c>
      <c r="AC42" s="140" t="e">
        <f t="shared" si="14"/>
        <v>#N/A</v>
      </c>
      <c r="AD42" s="139" t="e">
        <f t="shared" si="14"/>
        <v>#N/A</v>
      </c>
      <c r="AE42" s="139" t="e">
        <f t="shared" si="14"/>
        <v>#N/A</v>
      </c>
      <c r="AF42" s="139" t="e">
        <f t="shared" si="14"/>
        <v>#N/A</v>
      </c>
      <c r="AG42" s="139" t="e">
        <f t="shared" si="14"/>
        <v>#N/A</v>
      </c>
      <c r="AH42" s="139" t="e">
        <f t="shared" si="14"/>
        <v>#N/A</v>
      </c>
      <c r="AI42" s="139" t="e">
        <f t="shared" si="14"/>
        <v>#N/A</v>
      </c>
      <c r="AJ42" s="140" t="e">
        <f t="shared" si="14"/>
        <v>#N/A</v>
      </c>
      <c r="BG42" s="108"/>
      <c r="BH42" s="101"/>
      <c r="BI42" s="108"/>
      <c r="BJ42" s="108"/>
      <c r="BK42" s="108"/>
      <c r="BL42" s="109"/>
      <c r="BM42" s="108"/>
      <c r="BN42" s="108"/>
      <c r="BO42" s="108"/>
      <c r="BP42" s="108"/>
    </row>
    <row r="43" spans="1:68" ht="12" customHeight="1" x14ac:dyDescent="0.2">
      <c r="A43" s="141" t="s">
        <v>76</v>
      </c>
      <c r="B43" s="142">
        <f t="shared" si="14"/>
        <v>63</v>
      </c>
      <c r="C43" s="142">
        <f t="shared" si="14"/>
        <v>56.7</v>
      </c>
      <c r="D43" s="143">
        <f t="shared" si="14"/>
        <v>119.7</v>
      </c>
      <c r="E43" s="142">
        <f t="shared" si="14"/>
        <v>53.55</v>
      </c>
      <c r="F43" s="142">
        <f t="shared" si="14"/>
        <v>40.950000000000003</v>
      </c>
      <c r="G43" s="142">
        <f t="shared" si="14"/>
        <v>63</v>
      </c>
      <c r="H43" s="142">
        <f t="shared" si="14"/>
        <v>66.150000000000006</v>
      </c>
      <c r="I43" s="142">
        <f t="shared" si="14"/>
        <v>63</v>
      </c>
      <c r="J43" s="142">
        <f t="shared" si="14"/>
        <v>44.1</v>
      </c>
      <c r="K43" s="142">
        <f t="shared" si="14"/>
        <v>9.4499999999999993</v>
      </c>
      <c r="L43" s="143">
        <f t="shared" si="14"/>
        <v>459.9</v>
      </c>
      <c r="M43" s="142">
        <f t="shared" si="14"/>
        <v>40.950000000000003</v>
      </c>
      <c r="N43" s="142">
        <f t="shared" si="14"/>
        <v>63</v>
      </c>
      <c r="O43" s="142">
        <f t="shared" si="14"/>
        <v>63</v>
      </c>
      <c r="P43" s="142">
        <f t="shared" si="14"/>
        <v>56.7</v>
      </c>
      <c r="Q43" s="142">
        <f t="shared" si="14"/>
        <v>69.3</v>
      </c>
      <c r="R43" s="142">
        <f t="shared" si="14"/>
        <v>59.564999999999998</v>
      </c>
      <c r="S43" s="142">
        <f t="shared" si="14"/>
        <v>53.55</v>
      </c>
      <c r="T43" s="143">
        <f t="shared" si="14"/>
        <v>865.96499999999992</v>
      </c>
      <c r="U43" s="142">
        <f t="shared" si="14"/>
        <v>0</v>
      </c>
      <c r="V43" s="142">
        <f t="shared" si="14"/>
        <v>0</v>
      </c>
      <c r="W43" s="142">
        <f t="shared" si="14"/>
        <v>31.5</v>
      </c>
      <c r="X43" s="142">
        <f t="shared" si="14"/>
        <v>56.7</v>
      </c>
      <c r="Y43" s="142">
        <f t="shared" si="14"/>
        <v>50.4</v>
      </c>
      <c r="Z43" s="142">
        <f t="shared" si="14"/>
        <v>44.1</v>
      </c>
      <c r="AA43" s="142">
        <f t="shared" si="14"/>
        <v>53.55</v>
      </c>
      <c r="AB43" s="142">
        <f>+AB31</f>
        <v>63</v>
      </c>
      <c r="AC43" s="143">
        <f t="shared" si="14"/>
        <v>1165.2149999999999</v>
      </c>
      <c r="AD43" s="142">
        <f t="shared" si="14"/>
        <v>69.3</v>
      </c>
      <c r="AE43" s="142">
        <f t="shared" si="14"/>
        <v>59.85</v>
      </c>
      <c r="AF43" s="142">
        <f t="shared" si="14"/>
        <v>63</v>
      </c>
      <c r="AG43" s="142">
        <f t="shared" si="14"/>
        <v>53.55</v>
      </c>
      <c r="AH43" s="142">
        <f t="shared" si="14"/>
        <v>59.85</v>
      </c>
      <c r="AI43" s="142">
        <f t="shared" si="14"/>
        <v>63</v>
      </c>
      <c r="AJ43" s="143">
        <f t="shared" si="14"/>
        <v>1533.7649999999999</v>
      </c>
      <c r="BG43" s="108"/>
      <c r="BH43" s="101"/>
      <c r="BI43" s="108"/>
      <c r="BJ43" s="108"/>
      <c r="BK43" s="108"/>
      <c r="BL43" s="109"/>
      <c r="BM43" s="108"/>
      <c r="BN43" s="108"/>
      <c r="BO43" s="108"/>
      <c r="BP43" s="108"/>
    </row>
    <row r="44" spans="1:68" ht="12" customHeight="1" thickBot="1" x14ac:dyDescent="0.25">
      <c r="A44" s="147" t="s">
        <v>3</v>
      </c>
      <c r="B44" s="148">
        <f>IFERROR(+B43/B42,0)</f>
        <v>0</v>
      </c>
      <c r="C44" s="148">
        <f>IFERROR(+C43/C42,0)</f>
        <v>0</v>
      </c>
      <c r="D44" s="149">
        <f>IFERROR(+D43/D42,0)</f>
        <v>0</v>
      </c>
      <c r="E44" s="148">
        <f>IFERROR(+E43/E42,0)</f>
        <v>0</v>
      </c>
      <c r="F44" s="148">
        <f t="shared" ref="F44:AJ44" si="15">IFERROR(+F43/F42,0)</f>
        <v>0</v>
      </c>
      <c r="G44" s="148">
        <f t="shared" si="15"/>
        <v>0</v>
      </c>
      <c r="H44" s="148">
        <f t="shared" si="15"/>
        <v>0</v>
      </c>
      <c r="I44" s="148">
        <f t="shared" si="15"/>
        <v>0</v>
      </c>
      <c r="J44" s="148">
        <f t="shared" si="15"/>
        <v>0</v>
      </c>
      <c r="K44" s="148">
        <f t="shared" si="15"/>
        <v>0</v>
      </c>
      <c r="L44" s="149">
        <f t="shared" si="15"/>
        <v>0</v>
      </c>
      <c r="M44" s="148">
        <f t="shared" si="15"/>
        <v>0</v>
      </c>
      <c r="N44" s="148">
        <f t="shared" si="15"/>
        <v>0</v>
      </c>
      <c r="O44" s="148">
        <f t="shared" si="15"/>
        <v>0</v>
      </c>
      <c r="P44" s="148">
        <f t="shared" si="15"/>
        <v>0</v>
      </c>
      <c r="Q44" s="148">
        <f t="shared" si="15"/>
        <v>0</v>
      </c>
      <c r="R44" s="148">
        <f t="shared" si="15"/>
        <v>0</v>
      </c>
      <c r="S44" s="148">
        <f t="shared" si="15"/>
        <v>0</v>
      </c>
      <c r="T44" s="149">
        <f t="shared" si="15"/>
        <v>0</v>
      </c>
      <c r="U44" s="148">
        <f t="shared" si="15"/>
        <v>0</v>
      </c>
      <c r="V44" s="148">
        <f t="shared" si="15"/>
        <v>0</v>
      </c>
      <c r="W44" s="148">
        <f t="shared" si="15"/>
        <v>0</v>
      </c>
      <c r="X44" s="148">
        <f t="shared" si="15"/>
        <v>0</v>
      </c>
      <c r="Y44" s="148">
        <f t="shared" si="15"/>
        <v>0</v>
      </c>
      <c r="Z44" s="148">
        <f t="shared" si="15"/>
        <v>0</v>
      </c>
      <c r="AA44" s="148">
        <f t="shared" si="15"/>
        <v>0</v>
      </c>
      <c r="AB44" s="148">
        <f>IFERROR(+AB43/AB42,0)</f>
        <v>0</v>
      </c>
      <c r="AC44" s="149">
        <f t="shared" si="15"/>
        <v>0</v>
      </c>
      <c r="AD44" s="148">
        <f t="shared" si="15"/>
        <v>0</v>
      </c>
      <c r="AE44" s="148">
        <f t="shared" si="15"/>
        <v>0</v>
      </c>
      <c r="AF44" s="148">
        <f t="shared" si="15"/>
        <v>0</v>
      </c>
      <c r="AG44" s="148">
        <f t="shared" si="15"/>
        <v>0</v>
      </c>
      <c r="AH44" s="148">
        <f t="shared" si="15"/>
        <v>0</v>
      </c>
      <c r="AI44" s="148">
        <f t="shared" si="15"/>
        <v>0</v>
      </c>
      <c r="AJ44" s="149">
        <f t="shared" si="15"/>
        <v>0</v>
      </c>
      <c r="BG44" s="108"/>
      <c r="BH44" s="101"/>
      <c r="BI44" s="108"/>
      <c r="BJ44" s="108"/>
      <c r="BK44" s="108"/>
      <c r="BL44" s="109"/>
      <c r="BM44" s="108"/>
      <c r="BN44" s="108"/>
      <c r="BO44" s="108"/>
      <c r="BP44" s="108"/>
    </row>
    <row r="45" spans="1:68" ht="35.25" customHeight="1" thickBot="1" x14ac:dyDescent="0.25">
      <c r="A45" s="108"/>
      <c r="B45" s="150" t="s">
        <v>28</v>
      </c>
      <c r="C45" s="151" t="s">
        <v>77</v>
      </c>
      <c r="D45" s="150" t="s">
        <v>78</v>
      </c>
      <c r="E45" s="152" t="s">
        <v>31</v>
      </c>
      <c r="F45" s="152" t="s">
        <v>32</v>
      </c>
      <c r="J45" s="150" t="s">
        <v>28</v>
      </c>
      <c r="K45" s="151" t="s">
        <v>77</v>
      </c>
      <c r="L45" s="150" t="s">
        <v>78</v>
      </c>
      <c r="M45" s="152" t="s">
        <v>31</v>
      </c>
      <c r="N45" s="152" t="s">
        <v>32</v>
      </c>
      <c r="R45" s="150" t="s">
        <v>28</v>
      </c>
      <c r="S45" s="153" t="s">
        <v>77</v>
      </c>
      <c r="T45" s="150" t="s">
        <v>78</v>
      </c>
      <c r="U45" s="152" t="s">
        <v>31</v>
      </c>
      <c r="V45" s="152" t="s">
        <v>32</v>
      </c>
      <c r="Z45" s="150" t="s">
        <v>28</v>
      </c>
      <c r="AA45" s="153" t="s">
        <v>77</v>
      </c>
      <c r="AB45" s="150" t="s">
        <v>78</v>
      </c>
      <c r="AC45" s="152" t="s">
        <v>31</v>
      </c>
      <c r="AD45" s="152" t="s">
        <v>32</v>
      </c>
      <c r="AF45" s="150" t="s">
        <v>28</v>
      </c>
      <c r="AG45" s="153" t="s">
        <v>77</v>
      </c>
      <c r="AH45" s="280"/>
      <c r="AI45" s="280"/>
      <c r="AJ45" s="150" t="s">
        <v>78</v>
      </c>
      <c r="AK45" s="152" t="s">
        <v>31</v>
      </c>
      <c r="AL45" s="152" t="s">
        <v>32</v>
      </c>
      <c r="BH45" s="101"/>
      <c r="BI45" s="152"/>
      <c r="BJ45" s="152"/>
      <c r="BK45" s="152"/>
      <c r="BL45" s="155" t="s">
        <v>28</v>
      </c>
      <c r="BM45" s="156" t="s">
        <v>77</v>
      </c>
      <c r="BN45" s="157" t="s">
        <v>78</v>
      </c>
      <c r="BO45" s="152" t="s">
        <v>31</v>
      </c>
      <c r="BP45" s="152" t="s">
        <v>32</v>
      </c>
    </row>
    <row r="46" spans="1:68" ht="35.25" customHeight="1" x14ac:dyDescent="0.2">
      <c r="A46" s="152"/>
      <c r="B46" s="158" t="s">
        <v>79</v>
      </c>
      <c r="C46" s="159">
        <f>+D33</f>
        <v>693.51618181818185</v>
      </c>
      <c r="D46" s="160">
        <f>+D34</f>
        <v>715.33699999999999</v>
      </c>
      <c r="E46" s="161">
        <f>IFERROR(D46/C46,0)</f>
        <v>1.0314640361016678</v>
      </c>
      <c r="F46" s="154">
        <f>+D46-C46</f>
        <v>21.82081818181814</v>
      </c>
      <c r="J46" s="158" t="s">
        <v>79</v>
      </c>
      <c r="K46" s="162">
        <f>+L33</f>
        <v>3120.8228181818181</v>
      </c>
      <c r="L46" s="160">
        <f>+L34</f>
        <v>3174.8970000000004</v>
      </c>
      <c r="M46" s="161">
        <f>IFERROR(L46/K46,0)</f>
        <v>1.0173268990162299</v>
      </c>
      <c r="N46" s="154">
        <f>+L46-K46</f>
        <v>54.074181818182296</v>
      </c>
      <c r="R46" s="158" t="s">
        <v>79</v>
      </c>
      <c r="S46" s="162">
        <f>+T33</f>
        <v>5614.3389999999999</v>
      </c>
      <c r="T46" s="160">
        <f>+T34</f>
        <v>5462.491</v>
      </c>
      <c r="U46" s="161">
        <f>IFERROR(T46/S46,0)</f>
        <v>0.97295353914325444</v>
      </c>
      <c r="V46" s="154">
        <f>+T46-S46</f>
        <v>-151.84799999999996</v>
      </c>
      <c r="Z46" s="158" t="s">
        <v>79</v>
      </c>
      <c r="AA46" s="162">
        <f>+AC33</f>
        <v>8494.3389999999999</v>
      </c>
      <c r="AB46" s="160">
        <f>+AC34</f>
        <v>8308.64</v>
      </c>
      <c r="AC46" s="161">
        <f>IFERROR(AB46/AA46,0)</f>
        <v>0.97813849906390593</v>
      </c>
      <c r="AD46" s="154">
        <f>+AB46-AA46</f>
        <v>-185.69900000000052</v>
      </c>
      <c r="AE46" s="99">
        <f>1303935/1000</f>
        <v>1303.9349999999999</v>
      </c>
      <c r="AF46" s="158" t="s">
        <v>79</v>
      </c>
      <c r="AG46" s="162">
        <f>+AJ33</f>
        <v>10654.339</v>
      </c>
      <c r="AH46" s="281"/>
      <c r="AI46" s="281"/>
      <c r="AJ46" s="160">
        <f>+AJ34</f>
        <v>10155.405999999999</v>
      </c>
      <c r="AK46" s="161">
        <f>IFERROR(AJ46/AG46,0)</f>
        <v>0.95317090999263299</v>
      </c>
      <c r="AL46" s="154">
        <f>+AJ46-AG46</f>
        <v>-498.9330000000009</v>
      </c>
      <c r="BH46" s="101"/>
      <c r="BI46" s="154"/>
      <c r="BJ46" s="154"/>
      <c r="BK46" s="154"/>
      <c r="BL46" s="163" t="s">
        <v>79</v>
      </c>
      <c r="BM46" s="164">
        <f>+AJ33</f>
        <v>10654.339</v>
      </c>
      <c r="BN46" s="165">
        <f>+AJ34</f>
        <v>10155.405999999999</v>
      </c>
      <c r="BO46" s="161">
        <f>IFERROR(BN46/BM46,0)</f>
        <v>0.95317090999263299</v>
      </c>
      <c r="BP46" s="154">
        <f>+BN46-BM46</f>
        <v>-498.9330000000009</v>
      </c>
    </row>
    <row r="47" spans="1:68" ht="35.25" customHeight="1" x14ac:dyDescent="0.2">
      <c r="A47" s="166"/>
      <c r="B47" s="163" t="s">
        <v>80</v>
      </c>
      <c r="C47" s="167">
        <f>+D36</f>
        <v>44.64</v>
      </c>
      <c r="D47" s="165">
        <f>+D37</f>
        <v>61.370000000000005</v>
      </c>
      <c r="E47" s="161">
        <f>IFERROR(D47/C47,0)</f>
        <v>1.3747759856630826</v>
      </c>
      <c r="F47" s="154">
        <f>+D47-C47</f>
        <v>16.730000000000004</v>
      </c>
      <c r="J47" s="163" t="s">
        <v>80</v>
      </c>
      <c r="K47" s="164">
        <f>+L36</f>
        <v>200.88</v>
      </c>
      <c r="L47" s="165">
        <f>+L37</f>
        <v>195.566</v>
      </c>
      <c r="M47" s="161">
        <f>IFERROR(L47/K47,0)</f>
        <v>0.97354639585822389</v>
      </c>
      <c r="N47" s="154">
        <f>+L47-K47</f>
        <v>-5.313999999999993</v>
      </c>
      <c r="R47" s="163" t="s">
        <v>80</v>
      </c>
      <c r="S47" s="164">
        <f>+T36</f>
        <v>430.52</v>
      </c>
      <c r="T47" s="165">
        <f>+T37</f>
        <v>429.12799999999993</v>
      </c>
      <c r="U47" s="161">
        <f>IFERROR(T47/S47,0)</f>
        <v>0.99676670073399598</v>
      </c>
      <c r="V47" s="154">
        <f>+T47-S47</f>
        <v>-1.3920000000000528</v>
      </c>
      <c r="Z47" s="163" t="s">
        <v>80</v>
      </c>
      <c r="AA47" s="164">
        <f>+AC36</f>
        <v>616.52</v>
      </c>
      <c r="AB47" s="165">
        <f>+AC37</f>
        <v>649.49399999999991</v>
      </c>
      <c r="AC47" s="161">
        <f>IFERROR(AB47/AA47,0)</f>
        <v>1.0534840718873677</v>
      </c>
      <c r="AD47" s="154">
        <f>+AB47-AA47</f>
        <v>32.973999999999933</v>
      </c>
      <c r="AE47" s="282">
        <f>+AC31+AE31</f>
        <v>1225.0649999999998</v>
      </c>
      <c r="AF47" s="163" t="s">
        <v>80</v>
      </c>
      <c r="AG47" s="164">
        <f>+AJ36</f>
        <v>784.52</v>
      </c>
      <c r="AH47" s="154"/>
      <c r="AI47" s="154"/>
      <c r="AJ47" s="165">
        <f>+AJ37</f>
        <v>823.76900000000001</v>
      </c>
      <c r="AK47" s="161">
        <f>IFERROR(AJ47/AG47,0)</f>
        <v>1.050029317289553</v>
      </c>
      <c r="AL47" s="154">
        <f>+AJ47-AG47</f>
        <v>39.249000000000024</v>
      </c>
      <c r="BH47" s="154"/>
      <c r="BI47" s="154"/>
      <c r="BJ47" s="154"/>
      <c r="BK47" s="154"/>
      <c r="BL47" s="163" t="s">
        <v>80</v>
      </c>
      <c r="BM47" s="164">
        <f>+AJ36</f>
        <v>784.52</v>
      </c>
      <c r="BN47" s="165">
        <f>+AJ37</f>
        <v>823.76900000000001</v>
      </c>
      <c r="BO47" s="161">
        <f>IFERROR(BN47/BM47,0)</f>
        <v>1.050029317289553</v>
      </c>
      <c r="BP47" s="154">
        <f>+BN47-BM47</f>
        <v>39.249000000000024</v>
      </c>
    </row>
    <row r="48" spans="1:68" ht="35.25" customHeight="1" x14ac:dyDescent="0.2">
      <c r="A48" s="166"/>
      <c r="B48" s="163" t="s">
        <v>81</v>
      </c>
      <c r="C48" s="167">
        <f>+D39</f>
        <v>376.78381818181816</v>
      </c>
      <c r="D48" s="165">
        <f>+D40</f>
        <v>417.43</v>
      </c>
      <c r="E48" s="161">
        <f>IFERROR(D48/C48,0)</f>
        <v>1.1078766652302672</v>
      </c>
      <c r="F48" s="154">
        <f>+D48-C48</f>
        <v>40.646181818181844</v>
      </c>
      <c r="J48" s="163" t="s">
        <v>81</v>
      </c>
      <c r="K48" s="154">
        <f>+L39</f>
        <v>1695.5271818181818</v>
      </c>
      <c r="L48" s="165">
        <f>+L40</f>
        <v>1634.5610000000001</v>
      </c>
      <c r="M48" s="161">
        <f>IFERROR(L48/K48,0)</f>
        <v>0.96404293456811163</v>
      </c>
      <c r="N48" s="154">
        <f>+L48-K48</f>
        <v>-60.966181818181667</v>
      </c>
      <c r="R48" s="163" t="s">
        <v>81</v>
      </c>
      <c r="S48" s="154">
        <f>+T39</f>
        <v>3172.3109999999997</v>
      </c>
      <c r="T48" s="165">
        <f>+T40</f>
        <v>3163.1509999999998</v>
      </c>
      <c r="U48" s="161">
        <f>IFERROR(T48/S48,0)</f>
        <v>0.99711251513486543</v>
      </c>
      <c r="V48" s="154">
        <f>+T48-S48</f>
        <v>-9.1599999999998545</v>
      </c>
      <c r="Z48" s="163" t="s">
        <v>81</v>
      </c>
      <c r="AA48" s="154">
        <f>+AC39</f>
        <v>4932.3109999999997</v>
      </c>
      <c r="AB48" s="165">
        <f>+AC40</f>
        <v>4785.7659999999996</v>
      </c>
      <c r="AC48" s="161">
        <f>IFERROR(AB48/AA48,0)</f>
        <v>0.9702887753833852</v>
      </c>
      <c r="AD48" s="154">
        <f>+AB48-AA48</f>
        <v>-146.54500000000007</v>
      </c>
      <c r="AE48" s="282">
        <f>+AE46-AE47</f>
        <v>78.870000000000118</v>
      </c>
      <c r="AF48" s="163" t="s">
        <v>81</v>
      </c>
      <c r="AG48" s="154">
        <f>+AJ39</f>
        <v>6252.3109999999997</v>
      </c>
      <c r="AH48" s="154"/>
      <c r="AI48" s="154"/>
      <c r="AJ48" s="165">
        <f>+AJ40</f>
        <v>5888.5450000000001</v>
      </c>
      <c r="AK48" s="161">
        <f>IFERROR(AJ48/AG48,0)</f>
        <v>0.94181895302392993</v>
      </c>
      <c r="AL48" s="154">
        <f>+AJ48-AG48</f>
        <v>-363.76599999999962</v>
      </c>
      <c r="BH48" s="154"/>
      <c r="BI48" s="154"/>
      <c r="BJ48" s="154"/>
      <c r="BK48" s="154"/>
      <c r="BL48" s="163" t="s">
        <v>81</v>
      </c>
      <c r="BM48" s="154">
        <f>+AJ39</f>
        <v>6252.3109999999997</v>
      </c>
      <c r="BN48" s="165">
        <f>+AJ40</f>
        <v>5888.5450000000001</v>
      </c>
      <c r="BO48" s="161">
        <f>IFERROR(BN48/BM48,0)</f>
        <v>0.94181895302392993</v>
      </c>
      <c r="BP48" s="154">
        <f>+BN48-BM48</f>
        <v>-363.76599999999962</v>
      </c>
    </row>
    <row r="49" spans="1:68" ht="35.25" customHeight="1" thickBot="1" x14ac:dyDescent="0.25">
      <c r="A49" s="166"/>
      <c r="B49" s="168" t="s">
        <v>82</v>
      </c>
      <c r="C49" s="169" t="e">
        <f>+D42</f>
        <v>#N/A</v>
      </c>
      <c r="D49" s="170">
        <f>+D43</f>
        <v>119.7</v>
      </c>
      <c r="E49" s="161">
        <f>IFERROR(D49/C49,0)</f>
        <v>0</v>
      </c>
      <c r="F49" s="154" t="e">
        <f>+D49-C49</f>
        <v>#N/A</v>
      </c>
      <c r="J49" s="168" t="s">
        <v>82</v>
      </c>
      <c r="K49" s="171" t="e">
        <f>+L42</f>
        <v>#N/A</v>
      </c>
      <c r="L49" s="170">
        <f>+L43</f>
        <v>459.9</v>
      </c>
      <c r="M49" s="161">
        <f>IFERROR(L49/K49,0)</f>
        <v>0</v>
      </c>
      <c r="N49" s="154" t="e">
        <f>+L49-K49</f>
        <v>#N/A</v>
      </c>
      <c r="R49" s="168" t="s">
        <v>82</v>
      </c>
      <c r="S49" s="171" t="e">
        <f>+T42</f>
        <v>#N/A</v>
      </c>
      <c r="T49" s="170">
        <f>+T43</f>
        <v>865.96499999999992</v>
      </c>
      <c r="U49" s="161">
        <f>IFERROR(T49/S49,0)</f>
        <v>0</v>
      </c>
      <c r="V49" s="154" t="e">
        <f>+T49-S49</f>
        <v>#N/A</v>
      </c>
      <c r="Z49" s="168" t="s">
        <v>82</v>
      </c>
      <c r="AA49" s="171" t="e">
        <f>+AC42</f>
        <v>#N/A</v>
      </c>
      <c r="AB49" s="170">
        <f>+AC43</f>
        <v>1165.2149999999999</v>
      </c>
      <c r="AC49" s="161">
        <f>IFERROR(AB49/AA49,0)</f>
        <v>0</v>
      </c>
      <c r="AD49" s="154" t="e">
        <f>+AB49-AA49</f>
        <v>#N/A</v>
      </c>
      <c r="AF49" s="168" t="s">
        <v>82</v>
      </c>
      <c r="AG49" s="171" t="e">
        <f>+AJ42</f>
        <v>#N/A</v>
      </c>
      <c r="AH49" s="171"/>
      <c r="AI49" s="171"/>
      <c r="AJ49" s="170">
        <f>+AJ43</f>
        <v>1533.7649999999999</v>
      </c>
      <c r="AK49" s="161">
        <f>IFERROR(AJ49/AG49,0)</f>
        <v>0</v>
      </c>
      <c r="AL49" s="154" t="e">
        <f>+AJ49-AG49</f>
        <v>#N/A</v>
      </c>
      <c r="BH49" s="154"/>
      <c r="BI49" s="154"/>
      <c r="BJ49" s="154"/>
      <c r="BK49" s="154"/>
      <c r="BL49" s="168" t="s">
        <v>82</v>
      </c>
      <c r="BM49" s="171" t="e">
        <f>+AJ42</f>
        <v>#N/A</v>
      </c>
      <c r="BN49" s="170">
        <f>+AJ43</f>
        <v>1533.7649999999999</v>
      </c>
      <c r="BO49" s="161">
        <f>IFERROR(BN49/BM49,0)</f>
        <v>0</v>
      </c>
      <c r="BP49" s="154" t="e">
        <f>+BN49-BM49</f>
        <v>#N/A</v>
      </c>
    </row>
    <row r="50" spans="1:68" ht="35.25" customHeight="1" thickBot="1" x14ac:dyDescent="0.25">
      <c r="A50" s="166"/>
      <c r="B50" s="172" t="s">
        <v>38</v>
      </c>
      <c r="C50" s="173" t="e">
        <f>SUM(C46:C49)</f>
        <v>#N/A</v>
      </c>
      <c r="D50" s="174">
        <f>SUM(D46:D49)</f>
        <v>1313.837</v>
      </c>
      <c r="E50" s="175">
        <f>IFERROR(D50/C50,0)</f>
        <v>0</v>
      </c>
      <c r="F50" s="176" t="e">
        <f>+D50-C50</f>
        <v>#N/A</v>
      </c>
      <c r="J50" s="172" t="s">
        <v>38</v>
      </c>
      <c r="K50" s="173" t="e">
        <f>SUM(K46:K49)</f>
        <v>#N/A</v>
      </c>
      <c r="L50" s="174">
        <f>SUM(L46:L49)</f>
        <v>5464.924</v>
      </c>
      <c r="M50" s="175">
        <f>IFERROR(L50/K50,0)</f>
        <v>0</v>
      </c>
      <c r="N50" s="176" t="e">
        <f>+L50-K50</f>
        <v>#N/A</v>
      </c>
      <c r="R50" s="172" t="s">
        <v>38</v>
      </c>
      <c r="S50" s="173" t="e">
        <f>SUM(S46:S49)</f>
        <v>#N/A</v>
      </c>
      <c r="T50" s="174">
        <f>SUM(T46:T49)</f>
        <v>9920.7350000000006</v>
      </c>
      <c r="U50" s="175">
        <f>IFERROR(T50/S50,0)</f>
        <v>0</v>
      </c>
      <c r="V50" s="176" t="e">
        <f>+T50-S50</f>
        <v>#N/A</v>
      </c>
      <c r="Z50" s="172" t="s">
        <v>38</v>
      </c>
      <c r="AA50" s="173" t="e">
        <f>SUM(AA46:AA49)</f>
        <v>#N/A</v>
      </c>
      <c r="AB50" s="174">
        <f>SUM(AB46:AB49)</f>
        <v>14909.115</v>
      </c>
      <c r="AC50" s="175">
        <f>IFERROR(AB50/AA50,0)</f>
        <v>0</v>
      </c>
      <c r="AD50" s="176" t="e">
        <f>+AB50-AA50</f>
        <v>#N/A</v>
      </c>
      <c r="AF50" s="172" t="s">
        <v>38</v>
      </c>
      <c r="AG50" s="173" t="e">
        <f>SUM(AG46:AG49)</f>
        <v>#N/A</v>
      </c>
      <c r="AH50" s="173"/>
      <c r="AI50" s="173"/>
      <c r="AJ50" s="174">
        <f>SUM(AJ46:AJ49)</f>
        <v>18401.485000000001</v>
      </c>
      <c r="AK50" s="175">
        <f>IFERROR(AJ50/AG50,0)</f>
        <v>0</v>
      </c>
      <c r="AL50" s="176" t="e">
        <f>+AJ50-AG50</f>
        <v>#N/A</v>
      </c>
      <c r="BH50" s="177"/>
      <c r="BI50" s="177"/>
      <c r="BJ50" s="177"/>
      <c r="BK50" s="177"/>
      <c r="BL50" s="172" t="s">
        <v>38</v>
      </c>
      <c r="BM50" s="173" t="e">
        <f>SUM(BM46:BM49)</f>
        <v>#N/A</v>
      </c>
      <c r="BN50" s="174">
        <f>SUM(BN46:BN49)</f>
        <v>18401.485000000001</v>
      </c>
      <c r="BO50" s="175">
        <f>IFERROR(BN50/BM50,0)</f>
        <v>0</v>
      </c>
      <c r="BP50" s="176" t="e">
        <f>+BN50-BM50</f>
        <v>#N/A</v>
      </c>
    </row>
    <row r="51" spans="1:68" ht="18" customHeight="1" x14ac:dyDescent="0.2">
      <c r="A51" s="166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78"/>
      <c r="O51" s="178"/>
      <c r="P51" s="178"/>
      <c r="Q51" s="108"/>
      <c r="R51" s="108"/>
      <c r="S51" s="178"/>
      <c r="T51" s="178"/>
      <c r="U51" s="178"/>
      <c r="V51" s="107">
        <f t="shared" ref="V51:V61" si="16">+R51-Q51</f>
        <v>0</v>
      </c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54"/>
      <c r="AU51" s="154"/>
      <c r="AV51" s="154"/>
      <c r="AW51" s="154"/>
      <c r="AX51" s="177"/>
      <c r="AY51" s="177"/>
      <c r="AZ51" s="108"/>
      <c r="BA51" s="108"/>
      <c r="BB51" s="108"/>
      <c r="BC51" s="177"/>
      <c r="BD51" s="177"/>
      <c r="BE51" s="177"/>
      <c r="BF51" s="177"/>
      <c r="BG51" s="108"/>
      <c r="BH51" s="154"/>
      <c r="BI51" s="154"/>
      <c r="BJ51" s="108"/>
      <c r="BK51" s="108"/>
      <c r="BL51" s="108"/>
      <c r="BM51" s="109"/>
      <c r="BN51" s="108"/>
      <c r="BO51" s="108"/>
      <c r="BP51" s="108"/>
    </row>
    <row r="52" spans="1:68" ht="12" customHeight="1" x14ac:dyDescent="0.2">
      <c r="A52" s="179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78"/>
      <c r="O52" s="178"/>
      <c r="P52" s="178"/>
      <c r="Q52" s="154"/>
      <c r="R52" s="154"/>
      <c r="S52" s="178"/>
      <c r="T52" s="178"/>
      <c r="U52" s="178"/>
      <c r="V52" s="107">
        <f t="shared" si="16"/>
        <v>0</v>
      </c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54"/>
      <c r="AU52" s="154"/>
      <c r="AV52" s="154"/>
      <c r="AW52" s="154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9"/>
      <c r="BN52" s="108"/>
      <c r="BO52" s="108"/>
      <c r="BP52" s="108"/>
    </row>
    <row r="53" spans="1:68" ht="12" customHeight="1" x14ac:dyDescent="0.2">
      <c r="A53" s="179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78"/>
      <c r="T53" s="178"/>
      <c r="U53" s="178"/>
      <c r="V53" s="107">
        <f t="shared" si="16"/>
        <v>0</v>
      </c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54"/>
      <c r="AU53" s="154"/>
      <c r="AV53" s="154"/>
      <c r="AW53" s="154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54"/>
      <c r="BI53" s="154"/>
      <c r="BJ53" s="108"/>
      <c r="BK53" s="108"/>
      <c r="BL53" s="108"/>
      <c r="BM53" s="109"/>
      <c r="BN53" s="108"/>
      <c r="BO53" s="108"/>
      <c r="BP53" s="108"/>
    </row>
    <row r="54" spans="1:68" ht="12" customHeight="1" x14ac:dyDescent="0.2">
      <c r="A54" s="179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54"/>
      <c r="S54" s="178"/>
      <c r="T54" s="178"/>
      <c r="U54" s="178"/>
      <c r="V54" s="107">
        <f t="shared" si="16"/>
        <v>0</v>
      </c>
      <c r="W54" s="108"/>
      <c r="X54" s="108"/>
      <c r="Y54" s="108"/>
      <c r="Z54" s="108"/>
      <c r="AA54" s="108"/>
      <c r="AB54" s="108"/>
      <c r="AC54" s="108"/>
      <c r="AD54" s="108"/>
      <c r="AE54" s="108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2"/>
      <c r="BI54" s="108"/>
      <c r="BJ54" s="108"/>
      <c r="BK54" s="108"/>
      <c r="BL54" s="108"/>
      <c r="BM54" s="109"/>
      <c r="BN54" s="108"/>
      <c r="BO54" s="108"/>
      <c r="BP54" s="108"/>
    </row>
    <row r="55" spans="1:68" ht="12" customHeight="1" x14ac:dyDescent="0.2">
      <c r="A55" s="179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78"/>
      <c r="T55" s="178"/>
      <c r="U55" s="178"/>
      <c r="V55" s="107">
        <f t="shared" si="16"/>
        <v>0</v>
      </c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54"/>
      <c r="BH55" s="108"/>
      <c r="BI55" s="180"/>
      <c r="BJ55" s="108"/>
      <c r="BK55" s="108"/>
      <c r="BL55" s="108"/>
      <c r="BM55" s="109"/>
      <c r="BN55" s="108"/>
      <c r="BO55" s="108"/>
      <c r="BP55" s="108"/>
    </row>
    <row r="56" spans="1:68" ht="12" customHeight="1" x14ac:dyDescent="0.2">
      <c r="A56" s="179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54"/>
      <c r="S56" s="178"/>
      <c r="T56" s="178"/>
      <c r="U56" s="178"/>
      <c r="V56" s="107">
        <f t="shared" si="16"/>
        <v>0</v>
      </c>
      <c r="W56" s="108"/>
      <c r="X56" s="108"/>
      <c r="Y56" s="108"/>
      <c r="Z56" s="108"/>
      <c r="AA56" s="108"/>
      <c r="AB56" s="108"/>
      <c r="AC56" s="108"/>
      <c r="AD56" s="108"/>
      <c r="AE56" s="108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08"/>
      <c r="BI56" s="108"/>
      <c r="BJ56" s="108"/>
      <c r="BK56" s="108"/>
      <c r="BL56" s="108"/>
      <c r="BM56" s="109"/>
      <c r="BN56" s="108"/>
      <c r="BO56" s="108"/>
      <c r="BP56" s="108"/>
    </row>
    <row r="57" spans="1:68" ht="12" customHeight="1" x14ac:dyDescent="0.2">
      <c r="A57" s="179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78"/>
      <c r="O57" s="178"/>
      <c r="P57" s="178"/>
      <c r="Q57" s="108"/>
      <c r="R57" s="108"/>
      <c r="S57" s="178"/>
      <c r="T57" s="178"/>
      <c r="U57" s="178"/>
      <c r="V57" s="107">
        <f t="shared" si="16"/>
        <v>0</v>
      </c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9"/>
      <c r="BN57" s="108"/>
      <c r="BO57" s="108"/>
      <c r="BP57" s="108"/>
    </row>
    <row r="58" spans="1:68" ht="12" customHeight="1" x14ac:dyDescent="0.2">
      <c r="A58" s="179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78"/>
      <c r="O58" s="178"/>
      <c r="P58" s="178"/>
      <c r="Q58" s="154"/>
      <c r="R58" s="154"/>
      <c r="S58" s="178"/>
      <c r="T58" s="178"/>
      <c r="U58" s="178"/>
      <c r="V58" s="107">
        <f t="shared" si="16"/>
        <v>0</v>
      </c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9"/>
      <c r="BN58" s="108"/>
      <c r="BO58" s="108"/>
      <c r="BP58" s="108"/>
    </row>
    <row r="59" spans="1:68" ht="12" customHeight="1" x14ac:dyDescent="0.2">
      <c r="A59" s="179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78"/>
      <c r="O59" s="178"/>
      <c r="P59" s="178"/>
      <c r="Q59" s="178"/>
      <c r="R59" s="178"/>
      <c r="S59" s="178"/>
      <c r="T59" s="178"/>
      <c r="U59" s="178"/>
      <c r="V59" s="107">
        <f t="shared" si="16"/>
        <v>0</v>
      </c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9"/>
      <c r="BN59" s="108"/>
      <c r="BO59" s="108"/>
      <c r="BP59" s="108"/>
    </row>
    <row r="60" spans="1:68" ht="12" customHeight="1" x14ac:dyDescent="0.2">
      <c r="A60" s="17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78"/>
      <c r="O60" s="178"/>
      <c r="P60" s="178"/>
      <c r="Q60" s="178"/>
      <c r="R60" s="178"/>
      <c r="S60" s="178"/>
      <c r="T60" s="178"/>
      <c r="U60" s="178"/>
      <c r="V60" s="107">
        <f t="shared" si="16"/>
        <v>0</v>
      </c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9"/>
      <c r="BN60" s="108"/>
      <c r="BO60" s="108"/>
      <c r="BP60" s="108"/>
    </row>
    <row r="61" spans="1:68" ht="12" customHeight="1" x14ac:dyDescent="0.2">
      <c r="A61" s="179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78"/>
      <c r="O61" s="178"/>
      <c r="P61" s="178"/>
      <c r="Q61" s="107">
        <f>+SUM(Q52:Q58)</f>
        <v>0</v>
      </c>
      <c r="R61" s="107">
        <f>+SUM(R52:R58)</f>
        <v>0</v>
      </c>
      <c r="S61" s="178"/>
      <c r="T61" s="178"/>
      <c r="U61" s="178"/>
      <c r="V61" s="107">
        <f t="shared" si="16"/>
        <v>0</v>
      </c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9"/>
      <c r="BN61" s="108"/>
      <c r="BO61" s="108"/>
      <c r="BP61" s="108"/>
    </row>
    <row r="62" spans="1:68" ht="12" customHeight="1" x14ac:dyDescent="0.2">
      <c r="A62" s="17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9"/>
      <c r="BN62" s="108"/>
      <c r="BO62" s="108"/>
      <c r="BP62" s="108"/>
    </row>
    <row r="63" spans="1:68" ht="12" customHeight="1" x14ac:dyDescent="0.2">
      <c r="A63" s="179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9"/>
      <c r="BN63" s="108"/>
      <c r="BO63" s="108"/>
      <c r="BP63" s="108"/>
    </row>
    <row r="64" spans="1:68" ht="12" customHeight="1" x14ac:dyDescent="0.2">
      <c r="A64" s="17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9"/>
      <c r="BN64" s="108"/>
      <c r="BO64" s="108"/>
      <c r="BP64" s="108"/>
    </row>
    <row r="65" spans="1:68" ht="12" customHeight="1" x14ac:dyDescent="0.2">
      <c r="A65" s="17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9"/>
      <c r="BN65" s="108"/>
      <c r="BO65" s="108"/>
      <c r="BP65" s="108"/>
    </row>
    <row r="66" spans="1:68" ht="12" customHeight="1" x14ac:dyDescent="0.2">
      <c r="A66" s="17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9"/>
      <c r="BN66" s="108"/>
      <c r="BO66" s="108"/>
      <c r="BP66" s="108"/>
    </row>
    <row r="67" spans="1:68" ht="12" customHeight="1" x14ac:dyDescent="0.2">
      <c r="A67" s="17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9"/>
      <c r="BN67" s="108"/>
      <c r="BO67" s="108"/>
      <c r="BP67" s="108"/>
    </row>
    <row r="68" spans="1:68" ht="12" customHeight="1" x14ac:dyDescent="0.2">
      <c r="A68" s="179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9"/>
      <c r="BN68" s="108"/>
      <c r="BO68" s="108"/>
      <c r="BP68" s="108"/>
    </row>
    <row r="69" spans="1:68" ht="12" customHeight="1" x14ac:dyDescent="0.2">
      <c r="A69" s="179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9"/>
      <c r="BN69" s="108"/>
      <c r="BO69" s="108"/>
      <c r="BP69" s="108"/>
    </row>
    <row r="70" spans="1:68" ht="12" customHeight="1" x14ac:dyDescent="0.2">
      <c r="A70" s="179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9"/>
      <c r="BN70" s="108"/>
      <c r="BO70" s="108"/>
      <c r="BP70" s="108"/>
    </row>
    <row r="71" spans="1:68" ht="12" customHeight="1" x14ac:dyDescent="0.2">
      <c r="A71" s="17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9"/>
      <c r="BN71" s="108"/>
      <c r="BO71" s="108"/>
      <c r="BP71" s="108"/>
    </row>
    <row r="72" spans="1:68" ht="12" customHeight="1" x14ac:dyDescent="0.2">
      <c r="A72" s="17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9"/>
      <c r="BN72" s="108"/>
      <c r="BO72" s="108"/>
      <c r="BP72" s="108"/>
    </row>
    <row r="73" spans="1:68" ht="12" customHeight="1" x14ac:dyDescent="0.2">
      <c r="A73" s="17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9"/>
      <c r="BN73" s="108"/>
      <c r="BO73" s="108"/>
      <c r="BP73" s="108"/>
    </row>
    <row r="74" spans="1:68" ht="12" customHeight="1" x14ac:dyDescent="0.2">
      <c r="A74" s="17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9"/>
      <c r="BN74" s="108"/>
      <c r="BO74" s="108"/>
      <c r="BP74" s="108"/>
    </row>
    <row r="75" spans="1:68" ht="12" customHeight="1" x14ac:dyDescent="0.2">
      <c r="A75" s="17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9"/>
      <c r="BN75" s="108"/>
      <c r="BO75" s="108"/>
      <c r="BP75" s="108"/>
    </row>
    <row r="76" spans="1:68" ht="12" customHeight="1" x14ac:dyDescent="0.2">
      <c r="A76" s="179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9"/>
      <c r="BN76" s="108"/>
      <c r="BO76" s="108"/>
      <c r="BP76" s="108"/>
    </row>
    <row r="77" spans="1:68" ht="12" customHeight="1" x14ac:dyDescent="0.2">
      <c r="A77" s="179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9"/>
      <c r="BN77" s="108"/>
      <c r="BO77" s="108"/>
      <c r="BP77" s="108"/>
    </row>
    <row r="78" spans="1:68" ht="12" customHeight="1" x14ac:dyDescent="0.2">
      <c r="A78" s="179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9"/>
      <c r="BN78" s="108"/>
      <c r="BO78" s="108"/>
      <c r="BP78" s="108"/>
    </row>
    <row r="79" spans="1:68" ht="12" customHeight="1" x14ac:dyDescent="0.2">
      <c r="A79" s="17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9"/>
      <c r="BN79" s="108"/>
      <c r="BO79" s="108"/>
      <c r="BP79" s="108"/>
    </row>
    <row r="80" spans="1:68" ht="12" customHeight="1" x14ac:dyDescent="0.2">
      <c r="A80" s="17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9"/>
      <c r="BN80" s="108"/>
      <c r="BO80" s="108"/>
      <c r="BP80" s="108"/>
    </row>
    <row r="81" spans="1:68" ht="12" customHeight="1" x14ac:dyDescent="0.2">
      <c r="A81" s="17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9"/>
      <c r="BN81" s="108"/>
      <c r="BO81" s="108"/>
      <c r="BP81" s="108"/>
    </row>
    <row r="82" spans="1:68" ht="12" customHeight="1" x14ac:dyDescent="0.2">
      <c r="A82" s="179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9"/>
      <c r="BN82" s="108"/>
      <c r="BO82" s="108"/>
      <c r="BP82" s="108"/>
    </row>
    <row r="83" spans="1:68" ht="12" customHeight="1" x14ac:dyDescent="0.2">
      <c r="A83" s="179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9"/>
      <c r="BN83" s="108"/>
      <c r="BO83" s="108"/>
      <c r="BP83" s="108"/>
    </row>
    <row r="84" spans="1:68" ht="12" customHeight="1" x14ac:dyDescent="0.2">
      <c r="A84" s="179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9"/>
      <c r="BN84" s="108"/>
      <c r="BO84" s="108"/>
      <c r="BP84" s="108"/>
    </row>
    <row r="85" spans="1:68" ht="12" customHeight="1" x14ac:dyDescent="0.2">
      <c r="A85" s="179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9"/>
      <c r="BN85" s="108"/>
      <c r="BO85" s="108"/>
      <c r="BP85" s="108"/>
    </row>
    <row r="86" spans="1:68" ht="12" customHeight="1" x14ac:dyDescent="0.2">
      <c r="A86" s="179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9"/>
      <c r="BN86" s="108"/>
      <c r="BO86" s="108"/>
      <c r="BP86" s="108"/>
    </row>
    <row r="87" spans="1:68" ht="12" customHeight="1" x14ac:dyDescent="0.2">
      <c r="A87" s="179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9"/>
      <c r="BN87" s="108"/>
      <c r="BO87" s="108"/>
      <c r="BP87" s="108"/>
    </row>
    <row r="88" spans="1:68" ht="12" customHeight="1" x14ac:dyDescent="0.2">
      <c r="A88" s="179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9"/>
      <c r="BN88" s="108"/>
      <c r="BO88" s="108"/>
      <c r="BP88" s="108"/>
    </row>
    <row r="89" spans="1:68" ht="12" customHeight="1" x14ac:dyDescent="0.2">
      <c r="A89" s="179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9"/>
      <c r="BN89" s="108"/>
      <c r="BO89" s="108"/>
      <c r="BP89" s="108"/>
    </row>
    <row r="90" spans="1:68" ht="12" customHeight="1" x14ac:dyDescent="0.2">
      <c r="A90" s="179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9"/>
      <c r="BN90" s="108"/>
      <c r="BO90" s="108"/>
      <c r="BP90" s="108"/>
    </row>
    <row r="91" spans="1:68" ht="12" customHeight="1" x14ac:dyDescent="0.2">
      <c r="A91" s="179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9"/>
      <c r="BN91" s="108"/>
      <c r="BO91" s="108"/>
      <c r="BP91" s="108"/>
    </row>
    <row r="92" spans="1:68" ht="12" customHeight="1" x14ac:dyDescent="0.2">
      <c r="A92" s="179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9"/>
      <c r="BN92" s="108"/>
      <c r="BO92" s="108"/>
      <c r="BP92" s="108"/>
    </row>
    <row r="93" spans="1:68" ht="12" customHeight="1" x14ac:dyDescent="0.2">
      <c r="A93" s="179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9"/>
      <c r="BN93" s="108"/>
      <c r="BO93" s="108"/>
      <c r="BP93" s="108"/>
    </row>
    <row r="94" spans="1:68" ht="12" customHeight="1" x14ac:dyDescent="0.2">
      <c r="A94" s="179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9"/>
      <c r="BN94" s="108"/>
      <c r="BO94" s="108"/>
      <c r="BP94" s="108"/>
    </row>
    <row r="95" spans="1:68" ht="12" customHeight="1" x14ac:dyDescent="0.2">
      <c r="A95" s="179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9"/>
      <c r="BN95" s="108"/>
      <c r="BO95" s="108"/>
      <c r="BP95" s="108"/>
    </row>
    <row r="96" spans="1:68" ht="12" customHeight="1" x14ac:dyDescent="0.2">
      <c r="A96" s="179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9"/>
      <c r="BN96" s="108"/>
      <c r="BO96" s="108"/>
      <c r="BP96" s="108"/>
    </row>
    <row r="97" spans="1:68" ht="12" customHeight="1" x14ac:dyDescent="0.2">
      <c r="A97" s="179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9"/>
      <c r="BN97" s="108"/>
      <c r="BO97" s="108"/>
      <c r="BP97" s="108"/>
    </row>
    <row r="98" spans="1:68" ht="12" customHeight="1" x14ac:dyDescent="0.2">
      <c r="A98" s="179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9"/>
      <c r="BN98" s="108"/>
      <c r="BO98" s="108"/>
      <c r="BP98" s="108"/>
    </row>
    <row r="99" spans="1:68" ht="12" customHeight="1" x14ac:dyDescent="0.2">
      <c r="A99" s="179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9"/>
      <c r="BN99" s="108"/>
      <c r="BO99" s="108"/>
      <c r="BP99" s="108"/>
    </row>
    <row r="100" spans="1:68" ht="12" customHeight="1" x14ac:dyDescent="0.2">
      <c r="A100" s="179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9"/>
      <c r="BN100" s="108"/>
      <c r="BO100" s="108"/>
      <c r="BP100" s="108"/>
    </row>
    <row r="101" spans="1:68" ht="12" customHeight="1" x14ac:dyDescent="0.2">
      <c r="A101" s="179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9"/>
      <c r="BN101" s="108"/>
      <c r="BO101" s="108"/>
      <c r="BP101" s="108"/>
    </row>
    <row r="102" spans="1:68" ht="12" customHeight="1" x14ac:dyDescent="0.2">
      <c r="A102" s="179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9"/>
      <c r="BN102" s="108"/>
      <c r="BO102" s="108"/>
      <c r="BP102" s="108"/>
    </row>
    <row r="103" spans="1:68" ht="12" customHeight="1" x14ac:dyDescent="0.2">
      <c r="A103" s="179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9"/>
      <c r="BN103" s="108"/>
      <c r="BO103" s="108"/>
      <c r="BP103" s="108"/>
    </row>
    <row r="104" spans="1:68" ht="12" customHeight="1" x14ac:dyDescent="0.2">
      <c r="A104" s="179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9"/>
      <c r="BN104" s="108"/>
      <c r="BO104" s="108"/>
      <c r="BP104" s="108"/>
    </row>
    <row r="105" spans="1:68" ht="12" customHeight="1" x14ac:dyDescent="0.2">
      <c r="A105" s="179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9"/>
      <c r="BN105" s="108"/>
      <c r="BO105" s="108"/>
      <c r="BP105" s="108"/>
    </row>
    <row r="106" spans="1:68" ht="12" customHeight="1" x14ac:dyDescent="0.2">
      <c r="A106" s="179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9"/>
      <c r="BN106" s="108"/>
      <c r="BO106" s="108"/>
      <c r="BP106" s="108"/>
    </row>
    <row r="107" spans="1:68" ht="12" customHeight="1" x14ac:dyDescent="0.2">
      <c r="A107" s="179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9"/>
      <c r="BN107" s="108"/>
      <c r="BO107" s="108"/>
      <c r="BP107" s="108"/>
    </row>
    <row r="108" spans="1:68" ht="12" customHeight="1" x14ac:dyDescent="0.2">
      <c r="A108" s="179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9"/>
      <c r="BN108" s="108"/>
      <c r="BO108" s="108"/>
      <c r="BP108" s="108"/>
    </row>
    <row r="109" spans="1:68" ht="12" customHeight="1" x14ac:dyDescent="0.2">
      <c r="A109" s="179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9"/>
      <c r="BN109" s="108"/>
      <c r="BO109" s="108"/>
      <c r="BP109" s="108"/>
    </row>
    <row r="110" spans="1:68" ht="12" customHeight="1" x14ac:dyDescent="0.2">
      <c r="A110" s="179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9"/>
      <c r="BN110" s="108"/>
      <c r="BO110" s="108"/>
      <c r="BP110" s="108"/>
    </row>
    <row r="111" spans="1:68" ht="12" customHeight="1" x14ac:dyDescent="0.2">
      <c r="A111" s="179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9"/>
      <c r="BN111" s="108"/>
      <c r="BO111" s="108"/>
      <c r="BP111" s="108"/>
    </row>
    <row r="112" spans="1:68" ht="12" customHeight="1" x14ac:dyDescent="0.2">
      <c r="A112" s="179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9"/>
      <c r="BN112" s="108"/>
      <c r="BO112" s="108"/>
      <c r="BP112" s="108"/>
    </row>
    <row r="113" spans="1:68" ht="12" customHeight="1" x14ac:dyDescent="0.2">
      <c r="A113" s="179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9"/>
      <c r="BN113" s="108"/>
      <c r="BO113" s="108"/>
      <c r="BP113" s="108"/>
    </row>
    <row r="114" spans="1:68" ht="12" customHeight="1" x14ac:dyDescent="0.2">
      <c r="A114" s="179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9"/>
      <c r="BN114" s="108"/>
      <c r="BO114" s="108"/>
      <c r="BP114" s="108"/>
    </row>
    <row r="115" spans="1:68" ht="12" customHeight="1" x14ac:dyDescent="0.2">
      <c r="A115" s="179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9"/>
      <c r="BN115" s="108"/>
      <c r="BO115" s="108"/>
      <c r="BP115" s="108"/>
    </row>
    <row r="116" spans="1:68" ht="12" customHeight="1" x14ac:dyDescent="0.2">
      <c r="A116" s="179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9"/>
      <c r="BN116" s="108"/>
      <c r="BO116" s="108"/>
      <c r="BP116" s="108"/>
    </row>
    <row r="117" spans="1:68" ht="12" customHeight="1" x14ac:dyDescent="0.2">
      <c r="A117" s="179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9"/>
      <c r="BN117" s="108"/>
      <c r="BO117" s="108"/>
      <c r="BP117" s="108"/>
    </row>
    <row r="118" spans="1:68" ht="12" customHeight="1" x14ac:dyDescent="0.2">
      <c r="A118" s="179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9"/>
      <c r="BN118" s="108"/>
      <c r="BO118" s="108"/>
      <c r="BP118" s="108"/>
    </row>
    <row r="119" spans="1:68" ht="12" customHeight="1" x14ac:dyDescent="0.2">
      <c r="A119" s="179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9"/>
      <c r="BN119" s="108"/>
      <c r="BO119" s="108"/>
      <c r="BP119" s="108"/>
    </row>
    <row r="120" spans="1:68" ht="12" customHeight="1" x14ac:dyDescent="0.2">
      <c r="A120" s="179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9"/>
      <c r="BN120" s="108"/>
      <c r="BO120" s="108"/>
      <c r="BP120" s="108"/>
    </row>
    <row r="121" spans="1:68" ht="12" customHeight="1" x14ac:dyDescent="0.2">
      <c r="A121" s="179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9"/>
      <c r="BN121" s="108"/>
      <c r="BO121" s="108"/>
      <c r="BP121" s="108"/>
    </row>
    <row r="122" spans="1:68" ht="12" customHeight="1" x14ac:dyDescent="0.2">
      <c r="A122" s="179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9"/>
      <c r="BN122" s="108"/>
      <c r="BO122" s="108"/>
      <c r="BP122" s="108"/>
    </row>
    <row r="123" spans="1:68" ht="12" customHeight="1" x14ac:dyDescent="0.2">
      <c r="A123" s="179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9"/>
      <c r="BN123" s="108"/>
      <c r="BO123" s="108"/>
      <c r="BP123" s="108"/>
    </row>
    <row r="124" spans="1:68" ht="12" customHeight="1" x14ac:dyDescent="0.2">
      <c r="A124" s="179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9"/>
      <c r="BN124" s="108"/>
      <c r="BO124" s="108"/>
      <c r="BP124" s="108"/>
    </row>
    <row r="125" spans="1:68" ht="12" customHeight="1" x14ac:dyDescent="0.2">
      <c r="A125" s="179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9"/>
      <c r="BN125" s="108"/>
      <c r="BO125" s="108"/>
      <c r="BP125" s="108"/>
    </row>
    <row r="126" spans="1:68" ht="12" customHeight="1" x14ac:dyDescent="0.2">
      <c r="A126" s="179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9"/>
      <c r="BN126" s="108"/>
      <c r="BO126" s="108"/>
      <c r="BP126" s="108"/>
    </row>
    <row r="127" spans="1:68" ht="12" customHeight="1" x14ac:dyDescent="0.2">
      <c r="A127" s="179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9"/>
      <c r="BN127" s="108"/>
      <c r="BO127" s="108"/>
      <c r="BP127" s="108"/>
    </row>
    <row r="128" spans="1:68" ht="12" customHeight="1" x14ac:dyDescent="0.2">
      <c r="A128" s="179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9"/>
      <c r="BN128" s="108"/>
      <c r="BO128" s="108"/>
      <c r="BP128" s="108"/>
    </row>
    <row r="129" spans="1:68" ht="12" customHeight="1" x14ac:dyDescent="0.2">
      <c r="A129" s="179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9"/>
      <c r="BN129" s="108"/>
      <c r="BO129" s="108"/>
      <c r="BP129" s="108"/>
    </row>
    <row r="130" spans="1:68" ht="12" customHeight="1" x14ac:dyDescent="0.2">
      <c r="A130" s="179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9"/>
      <c r="BN130" s="108"/>
      <c r="BO130" s="108"/>
      <c r="BP130" s="108"/>
    </row>
    <row r="131" spans="1:68" ht="12" customHeight="1" x14ac:dyDescent="0.2">
      <c r="A131" s="179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9"/>
      <c r="BN131" s="108"/>
      <c r="BO131" s="108"/>
      <c r="BP131" s="108"/>
    </row>
    <row r="132" spans="1:68" ht="12" customHeight="1" x14ac:dyDescent="0.2">
      <c r="A132" s="179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9"/>
      <c r="BN132" s="108"/>
      <c r="BO132" s="108"/>
      <c r="BP132" s="108"/>
    </row>
    <row r="133" spans="1:68" ht="12" customHeight="1" x14ac:dyDescent="0.2">
      <c r="A133" s="179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9"/>
      <c r="BN133" s="108"/>
      <c r="BO133" s="108"/>
      <c r="BP133" s="108"/>
    </row>
    <row r="134" spans="1:68" ht="12" customHeight="1" x14ac:dyDescent="0.2">
      <c r="A134" s="179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9"/>
      <c r="BN134" s="108"/>
      <c r="BO134" s="108"/>
      <c r="BP134" s="108"/>
    </row>
    <row r="135" spans="1:68" ht="12" customHeight="1" x14ac:dyDescent="0.2">
      <c r="A135" s="179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9"/>
      <c r="BN135" s="108"/>
      <c r="BO135" s="108"/>
      <c r="BP135" s="108"/>
    </row>
    <row r="136" spans="1:68" ht="12" customHeight="1" x14ac:dyDescent="0.2">
      <c r="A136" s="179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9"/>
      <c r="BN136" s="108"/>
      <c r="BO136" s="108"/>
      <c r="BP136" s="108"/>
    </row>
    <row r="137" spans="1:68" ht="12" customHeight="1" x14ac:dyDescent="0.2">
      <c r="A137" s="179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9"/>
      <c r="BN137" s="108"/>
      <c r="BO137" s="108"/>
      <c r="BP137" s="108"/>
    </row>
    <row r="138" spans="1:68" ht="12" customHeight="1" x14ac:dyDescent="0.2">
      <c r="A138" s="179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9"/>
      <c r="BN138" s="108"/>
      <c r="BO138" s="108"/>
      <c r="BP138" s="108"/>
    </row>
    <row r="139" spans="1:68" ht="12" customHeight="1" x14ac:dyDescent="0.2">
      <c r="A139" s="179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9"/>
      <c r="BN139" s="108"/>
      <c r="BO139" s="108"/>
      <c r="BP139" s="108"/>
    </row>
    <row r="140" spans="1:68" ht="12" customHeight="1" x14ac:dyDescent="0.2">
      <c r="A140" s="179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9"/>
      <c r="BN140" s="108"/>
      <c r="BO140" s="108"/>
      <c r="BP140" s="108"/>
    </row>
    <row r="141" spans="1:68" ht="12" customHeight="1" x14ac:dyDescent="0.2">
      <c r="A141" s="179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9"/>
      <c r="BN141" s="108"/>
      <c r="BO141" s="108"/>
      <c r="BP141" s="108"/>
    </row>
    <row r="142" spans="1:68" ht="12" customHeight="1" x14ac:dyDescent="0.2">
      <c r="A142" s="179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9"/>
      <c r="BN142" s="108"/>
      <c r="BO142" s="108"/>
      <c r="BP142" s="108"/>
    </row>
    <row r="143" spans="1:68" ht="12" customHeight="1" x14ac:dyDescent="0.2">
      <c r="A143" s="179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9"/>
      <c r="BN143" s="108"/>
      <c r="BO143" s="108"/>
      <c r="BP143" s="108"/>
    </row>
    <row r="144" spans="1:68" ht="12" customHeight="1" x14ac:dyDescent="0.2">
      <c r="A144" s="179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9"/>
      <c r="BN144" s="108"/>
      <c r="BO144" s="108"/>
      <c r="BP144" s="108"/>
    </row>
    <row r="145" spans="1:68" ht="12" customHeight="1" x14ac:dyDescent="0.2">
      <c r="A145" s="179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9"/>
      <c r="BN145" s="108"/>
      <c r="BO145" s="108"/>
      <c r="BP145" s="108"/>
    </row>
    <row r="146" spans="1:68" ht="12" customHeight="1" x14ac:dyDescent="0.2">
      <c r="A146" s="179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9"/>
      <c r="BN146" s="108"/>
      <c r="BO146" s="108"/>
      <c r="BP146" s="108"/>
    </row>
    <row r="147" spans="1:68" ht="12" customHeight="1" x14ac:dyDescent="0.2">
      <c r="A147" s="179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9"/>
      <c r="BN147" s="108"/>
      <c r="BO147" s="108"/>
      <c r="BP147" s="108"/>
    </row>
    <row r="148" spans="1:68" ht="12" customHeight="1" x14ac:dyDescent="0.2">
      <c r="A148" s="179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9"/>
      <c r="BN148" s="108"/>
      <c r="BO148" s="108"/>
      <c r="BP148" s="108"/>
    </row>
    <row r="149" spans="1:68" ht="12" customHeight="1" x14ac:dyDescent="0.2">
      <c r="A149" s="179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9"/>
      <c r="BN149" s="108"/>
      <c r="BO149" s="108"/>
      <c r="BP149" s="108"/>
    </row>
    <row r="150" spans="1:68" ht="12" customHeight="1" x14ac:dyDescent="0.2">
      <c r="A150" s="179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9"/>
      <c r="BN150" s="108"/>
      <c r="BO150" s="108"/>
      <c r="BP150" s="108"/>
    </row>
    <row r="151" spans="1:68" ht="12" customHeight="1" x14ac:dyDescent="0.2">
      <c r="A151" s="179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9"/>
      <c r="BN151" s="108"/>
      <c r="BO151" s="108"/>
      <c r="BP151" s="108"/>
    </row>
    <row r="152" spans="1:68" ht="12" customHeight="1" x14ac:dyDescent="0.2">
      <c r="A152" s="179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9"/>
      <c r="BN152" s="108"/>
      <c r="BO152" s="108"/>
      <c r="BP152" s="108"/>
    </row>
    <row r="153" spans="1:68" ht="12" customHeight="1" x14ac:dyDescent="0.2">
      <c r="A153" s="179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9"/>
      <c r="BN153" s="108"/>
      <c r="BO153" s="108"/>
      <c r="BP153" s="108"/>
    </row>
    <row r="154" spans="1:68" ht="12" customHeight="1" x14ac:dyDescent="0.2">
      <c r="A154" s="179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9"/>
      <c r="BN154" s="108"/>
      <c r="BO154" s="108"/>
      <c r="BP154" s="108"/>
    </row>
    <row r="155" spans="1:68" ht="12" customHeight="1" x14ac:dyDescent="0.2">
      <c r="A155" s="179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9"/>
      <c r="BN155" s="108"/>
      <c r="BO155" s="108"/>
      <c r="BP155" s="108"/>
    </row>
    <row r="156" spans="1:68" ht="12" customHeight="1" x14ac:dyDescent="0.2">
      <c r="A156" s="179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9"/>
      <c r="BN156" s="108"/>
      <c r="BO156" s="108"/>
      <c r="BP156" s="108"/>
    </row>
    <row r="157" spans="1:68" ht="12" customHeight="1" x14ac:dyDescent="0.2">
      <c r="A157" s="179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9"/>
      <c r="BN157" s="108"/>
      <c r="BO157" s="108"/>
      <c r="BP157" s="108"/>
    </row>
    <row r="158" spans="1:68" ht="12" customHeight="1" x14ac:dyDescent="0.2">
      <c r="A158" s="179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9"/>
      <c r="BN158" s="108"/>
      <c r="BO158" s="108"/>
      <c r="BP158" s="108"/>
    </row>
    <row r="159" spans="1:68" ht="12" customHeight="1" x14ac:dyDescent="0.2">
      <c r="A159" s="179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9"/>
      <c r="BN159" s="108"/>
      <c r="BO159" s="108"/>
      <c r="BP159" s="108"/>
    </row>
    <row r="160" spans="1:68" ht="12" customHeight="1" x14ac:dyDescent="0.2">
      <c r="A160" s="179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9"/>
      <c r="BN160" s="108"/>
      <c r="BO160" s="108"/>
      <c r="BP160" s="108"/>
    </row>
    <row r="161" spans="1:68" ht="12" customHeight="1" x14ac:dyDescent="0.2">
      <c r="A161" s="179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9"/>
      <c r="BN161" s="108"/>
      <c r="BO161" s="108"/>
      <c r="BP161" s="108"/>
    </row>
    <row r="162" spans="1:68" ht="12" customHeight="1" x14ac:dyDescent="0.2">
      <c r="A162" s="179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9"/>
      <c r="BN162" s="108"/>
      <c r="BO162" s="108"/>
      <c r="BP162" s="108"/>
    </row>
    <row r="163" spans="1:68" ht="12" customHeight="1" x14ac:dyDescent="0.2">
      <c r="A163" s="179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9"/>
      <c r="BN163" s="108"/>
      <c r="BO163" s="108"/>
      <c r="BP163" s="108"/>
    </row>
    <row r="164" spans="1:68" ht="12" customHeight="1" x14ac:dyDescent="0.2">
      <c r="A164" s="179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9"/>
      <c r="BN164" s="108"/>
      <c r="BO164" s="108"/>
      <c r="BP164" s="108"/>
    </row>
    <row r="165" spans="1:68" ht="12" customHeight="1" x14ac:dyDescent="0.2">
      <c r="A165" s="179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9"/>
      <c r="BN165" s="108"/>
      <c r="BO165" s="108"/>
      <c r="BP165" s="108"/>
    </row>
    <row r="166" spans="1:68" ht="12" customHeight="1" x14ac:dyDescent="0.2">
      <c r="A166" s="179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9"/>
      <c r="BN166" s="108"/>
      <c r="BO166" s="108"/>
      <c r="BP166" s="108"/>
    </row>
    <row r="167" spans="1:68" ht="12" customHeight="1" x14ac:dyDescent="0.2">
      <c r="A167" s="179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9"/>
      <c r="BN167" s="108"/>
      <c r="BO167" s="108"/>
      <c r="BP167" s="108"/>
    </row>
    <row r="168" spans="1:68" ht="12" customHeight="1" x14ac:dyDescent="0.2">
      <c r="A168" s="179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9"/>
      <c r="BN168" s="108"/>
      <c r="BO168" s="108"/>
      <c r="BP168" s="108"/>
    </row>
    <row r="169" spans="1:68" ht="12" customHeight="1" x14ac:dyDescent="0.2">
      <c r="A169" s="179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9"/>
      <c r="BN169" s="108"/>
      <c r="BO169" s="108"/>
      <c r="BP169" s="108"/>
    </row>
    <row r="170" spans="1:68" ht="12" customHeight="1" x14ac:dyDescent="0.2">
      <c r="A170" s="179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9"/>
      <c r="BN170" s="108"/>
      <c r="BO170" s="108"/>
      <c r="BP170" s="108"/>
    </row>
    <row r="171" spans="1:68" ht="12" customHeight="1" x14ac:dyDescent="0.2">
      <c r="A171" s="179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9"/>
      <c r="BN171" s="108"/>
      <c r="BO171" s="108"/>
      <c r="BP171" s="108"/>
    </row>
    <row r="172" spans="1:68" ht="12" customHeight="1" x14ac:dyDescent="0.2">
      <c r="A172" s="179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9"/>
      <c r="BN172" s="108"/>
      <c r="BO172" s="108"/>
      <c r="BP172" s="108"/>
    </row>
    <row r="173" spans="1:68" ht="12" customHeight="1" x14ac:dyDescent="0.2">
      <c r="A173" s="179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9"/>
      <c r="BN173" s="108"/>
      <c r="BO173" s="108"/>
      <c r="BP173" s="108"/>
    </row>
    <row r="174" spans="1:68" ht="12" customHeight="1" x14ac:dyDescent="0.2">
      <c r="A174" s="179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9"/>
      <c r="BN174" s="108"/>
      <c r="BO174" s="108"/>
      <c r="BP174" s="108"/>
    </row>
    <row r="175" spans="1:68" ht="12" customHeight="1" x14ac:dyDescent="0.2">
      <c r="A175" s="179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9"/>
      <c r="BN175" s="108"/>
      <c r="BO175" s="108"/>
      <c r="BP175" s="108"/>
    </row>
    <row r="176" spans="1:68" ht="12" customHeight="1" x14ac:dyDescent="0.2">
      <c r="A176" s="179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9"/>
      <c r="BN176" s="108"/>
      <c r="BO176" s="108"/>
      <c r="BP176" s="108"/>
    </row>
    <row r="177" spans="1:68" ht="12" customHeight="1" x14ac:dyDescent="0.2">
      <c r="A177" s="179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9"/>
      <c r="BN177" s="108"/>
      <c r="BO177" s="108"/>
      <c r="BP177" s="108"/>
    </row>
    <row r="178" spans="1:68" ht="12" customHeight="1" x14ac:dyDescent="0.2">
      <c r="A178" s="179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9"/>
      <c r="BN178" s="108"/>
      <c r="BO178" s="108"/>
      <c r="BP178" s="108"/>
    </row>
    <row r="179" spans="1:68" ht="12" customHeight="1" x14ac:dyDescent="0.2">
      <c r="A179" s="179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9"/>
      <c r="BN179" s="108"/>
      <c r="BO179" s="108"/>
      <c r="BP179" s="108"/>
    </row>
    <row r="180" spans="1:68" ht="12" customHeight="1" x14ac:dyDescent="0.2">
      <c r="A180" s="179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9"/>
      <c r="BN180" s="108"/>
      <c r="BO180" s="108"/>
      <c r="BP180" s="108"/>
    </row>
    <row r="181" spans="1:68" ht="12" customHeight="1" x14ac:dyDescent="0.2">
      <c r="A181" s="179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9"/>
      <c r="BN181" s="108"/>
      <c r="BO181" s="108"/>
      <c r="BP181" s="108"/>
    </row>
    <row r="182" spans="1:68" ht="12" customHeight="1" x14ac:dyDescent="0.2">
      <c r="A182" s="179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9"/>
      <c r="BN182" s="108"/>
      <c r="BO182" s="108"/>
      <c r="BP182" s="108"/>
    </row>
    <row r="183" spans="1:68" ht="12" customHeight="1" x14ac:dyDescent="0.2">
      <c r="A183" s="179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9"/>
      <c r="BN183" s="108"/>
      <c r="BO183" s="108"/>
      <c r="BP183" s="108"/>
    </row>
    <row r="184" spans="1:68" ht="12" customHeight="1" x14ac:dyDescent="0.2">
      <c r="A184" s="179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9"/>
      <c r="BN184" s="108"/>
      <c r="BO184" s="108"/>
      <c r="BP184" s="108"/>
    </row>
    <row r="185" spans="1:68" ht="12" customHeight="1" x14ac:dyDescent="0.2">
      <c r="A185" s="179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9"/>
      <c r="BN185" s="108"/>
      <c r="BO185" s="108"/>
      <c r="BP185" s="108"/>
    </row>
    <row r="186" spans="1:68" ht="12" customHeight="1" x14ac:dyDescent="0.2">
      <c r="A186" s="179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9"/>
      <c r="BN186" s="108"/>
      <c r="BO186" s="108"/>
      <c r="BP186" s="108"/>
    </row>
    <row r="187" spans="1:68" ht="12" customHeight="1" x14ac:dyDescent="0.2">
      <c r="A187" s="179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9"/>
      <c r="BN187" s="108"/>
      <c r="BO187" s="108"/>
      <c r="BP187" s="108"/>
    </row>
    <row r="188" spans="1:68" ht="12" customHeight="1" x14ac:dyDescent="0.2">
      <c r="A188" s="179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9"/>
      <c r="BN188" s="108"/>
      <c r="BO188" s="108"/>
      <c r="BP188" s="108"/>
    </row>
    <row r="189" spans="1:68" ht="12" customHeight="1" x14ac:dyDescent="0.2">
      <c r="A189" s="179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9"/>
      <c r="BN189" s="108"/>
      <c r="BO189" s="108"/>
      <c r="BP189" s="108"/>
    </row>
    <row r="190" spans="1:68" ht="12" customHeight="1" x14ac:dyDescent="0.2">
      <c r="A190" s="179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9"/>
      <c r="BN190" s="108"/>
      <c r="BO190" s="108"/>
      <c r="BP190" s="108"/>
    </row>
    <row r="191" spans="1:68" ht="12" customHeight="1" x14ac:dyDescent="0.2">
      <c r="A191" s="179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9"/>
      <c r="BN191" s="108"/>
      <c r="BO191" s="108"/>
      <c r="BP191" s="108"/>
    </row>
    <row r="192" spans="1:68" ht="12" customHeight="1" x14ac:dyDescent="0.2">
      <c r="A192" s="179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9"/>
      <c r="BN192" s="108"/>
      <c r="BO192" s="108"/>
      <c r="BP192" s="108"/>
    </row>
    <row r="193" spans="1:68" ht="12" customHeight="1" x14ac:dyDescent="0.2">
      <c r="A193" s="179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9"/>
      <c r="BN193" s="108"/>
      <c r="BO193" s="108"/>
      <c r="BP193" s="108"/>
    </row>
    <row r="194" spans="1:68" ht="12" customHeight="1" x14ac:dyDescent="0.2">
      <c r="A194" s="179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9"/>
      <c r="BN194" s="108"/>
      <c r="BO194" s="108"/>
      <c r="BP194" s="108"/>
    </row>
    <row r="195" spans="1:68" ht="12" customHeight="1" x14ac:dyDescent="0.2">
      <c r="A195" s="179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9"/>
      <c r="BN195" s="108"/>
      <c r="BO195" s="108"/>
      <c r="BP195" s="108"/>
    </row>
    <row r="196" spans="1:68" ht="12" customHeight="1" x14ac:dyDescent="0.2">
      <c r="A196" s="179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9"/>
      <c r="BN196" s="108"/>
      <c r="BO196" s="108"/>
      <c r="BP196" s="108"/>
    </row>
    <row r="197" spans="1:68" ht="12" customHeight="1" x14ac:dyDescent="0.2">
      <c r="A197" s="179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9"/>
      <c r="BN197" s="108"/>
      <c r="BO197" s="108"/>
      <c r="BP197" s="108"/>
    </row>
    <row r="198" spans="1:68" ht="12" customHeight="1" x14ac:dyDescent="0.2">
      <c r="A198" s="179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9"/>
      <c r="BN198" s="108"/>
      <c r="BO198" s="108"/>
      <c r="BP198" s="108"/>
    </row>
    <row r="199" spans="1:68" ht="12" customHeight="1" x14ac:dyDescent="0.2">
      <c r="A199" s="179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9"/>
      <c r="BN199" s="108"/>
      <c r="BO199" s="108"/>
      <c r="BP199" s="108"/>
    </row>
    <row r="200" spans="1:68" ht="12" customHeight="1" x14ac:dyDescent="0.2">
      <c r="A200" s="179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9"/>
      <c r="BN200" s="108"/>
      <c r="BO200" s="108"/>
      <c r="BP200" s="108"/>
    </row>
    <row r="201" spans="1:68" ht="12" customHeight="1" x14ac:dyDescent="0.2">
      <c r="A201" s="179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9"/>
      <c r="BN201" s="108"/>
      <c r="BO201" s="108"/>
      <c r="BP201" s="108"/>
    </row>
    <row r="202" spans="1:68" ht="12" customHeight="1" x14ac:dyDescent="0.2">
      <c r="A202" s="179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9"/>
      <c r="BN202" s="108"/>
      <c r="BO202" s="108"/>
      <c r="BP202" s="108"/>
    </row>
    <row r="203" spans="1:68" ht="12" customHeight="1" x14ac:dyDescent="0.2">
      <c r="A203" s="179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9"/>
      <c r="BN203" s="108"/>
      <c r="BO203" s="108"/>
      <c r="BP203" s="108"/>
    </row>
    <row r="204" spans="1:68" ht="12" customHeight="1" x14ac:dyDescent="0.2">
      <c r="A204" s="179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9"/>
      <c r="BN204" s="108"/>
      <c r="BO204" s="108"/>
      <c r="BP204" s="108"/>
    </row>
    <row r="205" spans="1:68" ht="12" customHeight="1" x14ac:dyDescent="0.2">
      <c r="A205" s="179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9"/>
      <c r="BN205" s="108"/>
      <c r="BO205" s="108"/>
      <c r="BP205" s="108"/>
    </row>
    <row r="206" spans="1:68" ht="12" customHeight="1" x14ac:dyDescent="0.2">
      <c r="A206" s="179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9"/>
      <c r="BN206" s="108"/>
      <c r="BO206" s="108"/>
      <c r="BP206" s="108"/>
    </row>
    <row r="207" spans="1:68" ht="12" customHeight="1" x14ac:dyDescent="0.2">
      <c r="A207" s="179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9"/>
      <c r="BN207" s="108"/>
      <c r="BO207" s="108"/>
      <c r="BP207" s="108"/>
    </row>
    <row r="208" spans="1:68" ht="12" customHeight="1" x14ac:dyDescent="0.2">
      <c r="A208" s="179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9"/>
      <c r="BN208" s="108"/>
      <c r="BO208" s="108"/>
      <c r="BP208" s="108"/>
    </row>
    <row r="209" spans="1:68" ht="12" customHeight="1" x14ac:dyDescent="0.2">
      <c r="A209" s="179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9"/>
      <c r="BN209" s="108"/>
      <c r="BO209" s="108"/>
      <c r="BP209" s="108"/>
    </row>
    <row r="210" spans="1:68" ht="12" customHeight="1" x14ac:dyDescent="0.2">
      <c r="A210" s="179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9"/>
      <c r="BN210" s="108"/>
      <c r="BO210" s="108"/>
      <c r="BP210" s="108"/>
    </row>
    <row r="211" spans="1:68" ht="12" customHeight="1" x14ac:dyDescent="0.2">
      <c r="A211" s="179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9"/>
      <c r="BN211" s="108"/>
      <c r="BO211" s="108"/>
      <c r="BP211" s="108"/>
    </row>
    <row r="212" spans="1:68" ht="12" customHeight="1" x14ac:dyDescent="0.2">
      <c r="A212" s="179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9"/>
      <c r="BN212" s="108"/>
      <c r="BO212" s="108"/>
      <c r="BP212" s="108"/>
    </row>
    <row r="213" spans="1:68" ht="12" customHeight="1" x14ac:dyDescent="0.2">
      <c r="A213" s="179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9"/>
      <c r="BN213" s="108"/>
      <c r="BO213" s="108"/>
      <c r="BP213" s="108"/>
    </row>
    <row r="214" spans="1:68" ht="12" customHeight="1" x14ac:dyDescent="0.2">
      <c r="A214" s="179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9"/>
      <c r="BN214" s="108"/>
      <c r="BO214" s="108"/>
      <c r="BP214" s="108"/>
    </row>
    <row r="215" spans="1:68" ht="12" customHeight="1" x14ac:dyDescent="0.2">
      <c r="A215" s="179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9"/>
      <c r="BN215" s="108"/>
      <c r="BO215" s="108"/>
      <c r="BP215" s="108"/>
    </row>
    <row r="216" spans="1:68" ht="12" customHeight="1" x14ac:dyDescent="0.2">
      <c r="A216" s="179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9"/>
      <c r="BN216" s="108"/>
      <c r="BO216" s="108"/>
      <c r="BP216" s="108"/>
    </row>
    <row r="217" spans="1:68" ht="12" customHeight="1" x14ac:dyDescent="0.2">
      <c r="A217" s="179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9"/>
      <c r="BN217" s="108"/>
      <c r="BO217" s="108"/>
      <c r="BP217" s="108"/>
    </row>
    <row r="218" spans="1:68" ht="12" customHeight="1" x14ac:dyDescent="0.2">
      <c r="A218" s="179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9"/>
      <c r="BN218" s="108"/>
      <c r="BO218" s="108"/>
      <c r="BP218" s="108"/>
    </row>
    <row r="219" spans="1:68" ht="12" customHeight="1" x14ac:dyDescent="0.2">
      <c r="A219" s="179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9"/>
      <c r="BN219" s="108"/>
      <c r="BO219" s="108"/>
      <c r="BP219" s="108"/>
    </row>
    <row r="220" spans="1:68" ht="12" customHeight="1" x14ac:dyDescent="0.2">
      <c r="A220" s="179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9"/>
      <c r="BN220" s="108"/>
      <c r="BO220" s="108"/>
      <c r="BP220" s="108"/>
    </row>
    <row r="221" spans="1:68" ht="12" customHeight="1" x14ac:dyDescent="0.2">
      <c r="A221" s="179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9"/>
      <c r="BN221" s="108"/>
      <c r="BO221" s="108"/>
      <c r="BP221" s="108"/>
    </row>
    <row r="222" spans="1:68" ht="12" customHeight="1" x14ac:dyDescent="0.2">
      <c r="A222" s="179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9"/>
      <c r="BN222" s="108"/>
      <c r="BO222" s="108"/>
      <c r="BP222" s="108"/>
    </row>
    <row r="223" spans="1:68" ht="12" customHeight="1" x14ac:dyDescent="0.2">
      <c r="A223" s="179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9"/>
      <c r="BN223" s="108"/>
      <c r="BO223" s="108"/>
      <c r="BP223" s="108"/>
    </row>
    <row r="224" spans="1:68" ht="12" customHeight="1" x14ac:dyDescent="0.2">
      <c r="A224" s="179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9"/>
      <c r="BN224" s="108"/>
      <c r="BO224" s="108"/>
      <c r="BP224" s="108"/>
    </row>
    <row r="225" spans="1:68" ht="12" customHeight="1" x14ac:dyDescent="0.2">
      <c r="A225" s="179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9"/>
      <c r="BN225" s="108"/>
      <c r="BO225" s="108"/>
      <c r="BP225" s="108"/>
    </row>
    <row r="226" spans="1:68" ht="12" customHeight="1" x14ac:dyDescent="0.2">
      <c r="A226" s="179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9"/>
      <c r="BN226" s="108"/>
      <c r="BO226" s="108"/>
      <c r="BP226" s="108"/>
    </row>
    <row r="227" spans="1:68" ht="12" customHeight="1" x14ac:dyDescent="0.2">
      <c r="A227" s="179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9"/>
      <c r="BN227" s="108"/>
      <c r="BO227" s="108"/>
      <c r="BP227" s="108"/>
    </row>
    <row r="228" spans="1:68" ht="12" customHeight="1" x14ac:dyDescent="0.2">
      <c r="A228" s="179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9"/>
      <c r="BN228" s="108"/>
      <c r="BO228" s="108"/>
      <c r="BP228" s="108"/>
    </row>
    <row r="229" spans="1:68" ht="12" customHeight="1" x14ac:dyDescent="0.2">
      <c r="A229" s="179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9"/>
      <c r="BN229" s="108"/>
      <c r="BO229" s="108"/>
      <c r="BP229" s="108"/>
    </row>
    <row r="230" spans="1:68" ht="12" customHeight="1" x14ac:dyDescent="0.2">
      <c r="A230" s="179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9"/>
      <c r="BN230" s="108"/>
      <c r="BO230" s="108"/>
      <c r="BP230" s="108"/>
    </row>
    <row r="231" spans="1:68" ht="12" customHeight="1" x14ac:dyDescent="0.2">
      <c r="A231" s="179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9"/>
      <c r="BN231" s="108"/>
      <c r="BO231" s="108"/>
      <c r="BP231" s="108"/>
    </row>
    <row r="232" spans="1:68" ht="12" customHeight="1" x14ac:dyDescent="0.2">
      <c r="A232" s="179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9"/>
      <c r="BN232" s="108"/>
      <c r="BO232" s="108"/>
      <c r="BP232" s="108"/>
    </row>
    <row r="233" spans="1:68" ht="12" customHeight="1" x14ac:dyDescent="0.2">
      <c r="A233" s="179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9"/>
      <c r="BN233" s="108"/>
      <c r="BO233" s="108"/>
      <c r="BP233" s="108"/>
    </row>
    <row r="234" spans="1:68" ht="12" customHeight="1" x14ac:dyDescent="0.2">
      <c r="A234" s="179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9"/>
      <c r="BN234" s="108"/>
      <c r="BO234" s="108"/>
      <c r="BP234" s="108"/>
    </row>
    <row r="235" spans="1:68" ht="12" customHeight="1" x14ac:dyDescent="0.2">
      <c r="A235" s="179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9"/>
      <c r="BN235" s="108"/>
      <c r="BO235" s="108"/>
      <c r="BP235" s="108"/>
    </row>
    <row r="236" spans="1:68" ht="12" customHeight="1" x14ac:dyDescent="0.2">
      <c r="A236" s="179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9"/>
      <c r="BN236" s="108"/>
      <c r="BO236" s="108"/>
      <c r="BP236" s="108"/>
    </row>
    <row r="237" spans="1:68" ht="12" customHeight="1" x14ac:dyDescent="0.2">
      <c r="A237" s="179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9"/>
      <c r="BN237" s="108"/>
      <c r="BO237" s="108"/>
      <c r="BP237" s="108"/>
    </row>
    <row r="238" spans="1:68" ht="12" customHeight="1" x14ac:dyDescent="0.2">
      <c r="A238" s="179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9"/>
      <c r="BN238" s="108"/>
      <c r="BO238" s="108"/>
      <c r="BP238" s="108"/>
    </row>
    <row r="239" spans="1:68" ht="12" customHeight="1" x14ac:dyDescent="0.2">
      <c r="A239" s="179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9"/>
      <c r="BN239" s="108"/>
      <c r="BO239" s="108"/>
      <c r="BP239" s="108"/>
    </row>
    <row r="240" spans="1:68" ht="12" customHeight="1" x14ac:dyDescent="0.2">
      <c r="A240" s="179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9"/>
      <c r="BN240" s="108"/>
      <c r="BO240" s="108"/>
      <c r="BP240" s="108"/>
    </row>
    <row r="241" spans="1:68" ht="12" customHeight="1" x14ac:dyDescent="0.2">
      <c r="A241" s="179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9"/>
      <c r="BN241" s="108"/>
      <c r="BO241" s="108"/>
      <c r="BP241" s="108"/>
    </row>
    <row r="242" spans="1:68" ht="12" customHeight="1" x14ac:dyDescent="0.2">
      <c r="A242" s="179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9"/>
      <c r="BN242" s="108"/>
      <c r="BO242" s="108"/>
      <c r="BP242" s="108"/>
    </row>
    <row r="243" spans="1:68" ht="12" customHeight="1" x14ac:dyDescent="0.2">
      <c r="A243" s="179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9"/>
      <c r="BN243" s="108"/>
      <c r="BO243" s="108"/>
      <c r="BP243" s="108"/>
    </row>
    <row r="244" spans="1:68" ht="12" customHeight="1" x14ac:dyDescent="0.2">
      <c r="A244" s="179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9"/>
      <c r="BN244" s="108"/>
      <c r="BO244" s="108"/>
      <c r="BP244" s="108"/>
    </row>
    <row r="245" spans="1:68" ht="12" customHeight="1" x14ac:dyDescent="0.2">
      <c r="A245" s="179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9"/>
      <c r="BN245" s="108"/>
      <c r="BO245" s="108"/>
      <c r="BP245" s="108"/>
    </row>
    <row r="246" spans="1:68" ht="12" customHeight="1" x14ac:dyDescent="0.2">
      <c r="A246" s="179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9"/>
      <c r="BN246" s="108"/>
      <c r="BO246" s="108"/>
      <c r="BP246" s="108"/>
    </row>
    <row r="247" spans="1:68" ht="12" customHeight="1" x14ac:dyDescent="0.2">
      <c r="A247" s="179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9"/>
      <c r="BN247" s="108"/>
      <c r="BO247" s="108"/>
      <c r="BP247" s="108"/>
    </row>
    <row r="248" spans="1:68" ht="12" customHeight="1" x14ac:dyDescent="0.2">
      <c r="A248" s="179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9"/>
      <c r="BN248" s="108"/>
      <c r="BO248" s="108"/>
      <c r="BP248" s="108"/>
    </row>
    <row r="249" spans="1:68" ht="12" customHeight="1" x14ac:dyDescent="0.2">
      <c r="A249" s="179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8"/>
      <c r="BL249" s="108"/>
      <c r="BM249" s="109"/>
      <c r="BN249" s="108"/>
      <c r="BO249" s="108"/>
      <c r="BP249" s="108"/>
    </row>
    <row r="250" spans="1:68" ht="12" customHeight="1" x14ac:dyDescent="0.2">
      <c r="A250" s="179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8"/>
      <c r="BL250" s="108"/>
      <c r="BM250" s="109"/>
      <c r="BN250" s="108"/>
      <c r="BO250" s="108"/>
      <c r="BP250" s="108"/>
    </row>
    <row r="251" spans="1:68" ht="12" customHeight="1" x14ac:dyDescent="0.2">
      <c r="A251" s="179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9"/>
      <c r="BN251" s="108"/>
      <c r="BO251" s="108"/>
      <c r="BP251" s="108"/>
    </row>
    <row r="252" spans="1:68" ht="12" customHeight="1" x14ac:dyDescent="0.2">
      <c r="A252" s="179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8"/>
      <c r="BL252" s="108"/>
      <c r="BM252" s="109"/>
      <c r="BN252" s="108"/>
      <c r="BO252" s="108"/>
      <c r="BP252" s="108"/>
    </row>
    <row r="253" spans="1:68" ht="12" customHeight="1" x14ac:dyDescent="0.2">
      <c r="A253" s="179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8"/>
      <c r="BL253" s="108"/>
      <c r="BM253" s="109"/>
      <c r="BN253" s="108"/>
      <c r="BO253" s="108"/>
      <c r="BP253" s="108"/>
    </row>
    <row r="254" spans="1:68" ht="12" customHeight="1" x14ac:dyDescent="0.2">
      <c r="A254" s="179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9"/>
      <c r="BN254" s="108"/>
      <c r="BO254" s="108"/>
      <c r="BP254" s="108"/>
    </row>
    <row r="255" spans="1:68" ht="12" customHeight="1" x14ac:dyDescent="0.2">
      <c r="A255" s="179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9"/>
      <c r="BN255" s="108"/>
      <c r="BO255" s="108"/>
      <c r="BP255" s="108"/>
    </row>
    <row r="256" spans="1:68" ht="12" customHeight="1" x14ac:dyDescent="0.2">
      <c r="A256" s="179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9"/>
      <c r="BN256" s="108"/>
      <c r="BO256" s="108"/>
      <c r="BP256" s="108"/>
    </row>
    <row r="257" spans="1:68" ht="12" customHeight="1" x14ac:dyDescent="0.2">
      <c r="A257" s="179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9"/>
      <c r="BN257" s="108"/>
      <c r="BO257" s="108"/>
      <c r="BP257" s="108"/>
    </row>
    <row r="258" spans="1:68" ht="12" customHeight="1" x14ac:dyDescent="0.2">
      <c r="A258" s="179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9"/>
      <c r="BN258" s="108"/>
      <c r="BO258" s="108"/>
      <c r="BP258" s="108"/>
    </row>
    <row r="259" spans="1:68" ht="12" customHeight="1" x14ac:dyDescent="0.2">
      <c r="A259" s="179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9"/>
      <c r="BN259" s="108"/>
      <c r="BO259" s="108"/>
      <c r="BP259" s="108"/>
    </row>
    <row r="260" spans="1:68" ht="12" customHeight="1" x14ac:dyDescent="0.2">
      <c r="A260" s="179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8"/>
      <c r="BL260" s="108"/>
      <c r="BM260" s="109"/>
      <c r="BN260" s="108"/>
      <c r="BO260" s="108"/>
      <c r="BP260" s="108"/>
    </row>
    <row r="261" spans="1:68" ht="12" customHeight="1" x14ac:dyDescent="0.2">
      <c r="A261" s="179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8"/>
      <c r="BL261" s="108"/>
      <c r="BM261" s="109"/>
      <c r="BN261" s="108"/>
      <c r="BO261" s="108"/>
      <c r="BP261" s="108"/>
    </row>
    <row r="262" spans="1:68" ht="12" customHeight="1" x14ac:dyDescent="0.2">
      <c r="A262" s="179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8"/>
      <c r="BL262" s="108"/>
      <c r="BM262" s="109"/>
      <c r="BN262" s="108"/>
      <c r="BO262" s="108"/>
      <c r="BP262" s="108"/>
    </row>
    <row r="263" spans="1:68" ht="12" customHeight="1" x14ac:dyDescent="0.2">
      <c r="A263" s="179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9"/>
      <c r="BN263" s="108"/>
      <c r="BO263" s="108"/>
      <c r="BP263" s="108"/>
    </row>
    <row r="264" spans="1:68" ht="12" customHeight="1" x14ac:dyDescent="0.2">
      <c r="A264" s="179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9"/>
      <c r="BN264" s="108"/>
      <c r="BO264" s="108"/>
      <c r="BP264" s="108"/>
    </row>
    <row r="265" spans="1:68" ht="12" customHeight="1" x14ac:dyDescent="0.2">
      <c r="A265" s="179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9"/>
      <c r="BN265" s="108"/>
      <c r="BO265" s="108"/>
      <c r="BP265" s="108"/>
    </row>
    <row r="266" spans="1:68" ht="12" customHeight="1" x14ac:dyDescent="0.2">
      <c r="A266" s="179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9"/>
      <c r="BN266" s="108"/>
      <c r="BO266" s="108"/>
      <c r="BP266" s="108"/>
    </row>
    <row r="267" spans="1:68" ht="12" customHeight="1" x14ac:dyDescent="0.2">
      <c r="A267" s="179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9"/>
      <c r="BN267" s="108"/>
      <c r="BO267" s="108"/>
      <c r="BP267" s="108"/>
    </row>
    <row r="268" spans="1:68" ht="12" customHeight="1" x14ac:dyDescent="0.2">
      <c r="A268" s="179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9"/>
      <c r="BN268" s="108"/>
      <c r="BO268" s="108"/>
      <c r="BP268" s="108"/>
    </row>
    <row r="269" spans="1:68" ht="12" customHeight="1" x14ac:dyDescent="0.2">
      <c r="A269" s="179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9"/>
      <c r="BN269" s="108"/>
      <c r="BO269" s="108"/>
      <c r="BP269" s="108"/>
    </row>
    <row r="270" spans="1:68" ht="12" customHeight="1" x14ac:dyDescent="0.2">
      <c r="A270" s="179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9"/>
      <c r="BN270" s="108"/>
      <c r="BO270" s="108"/>
      <c r="BP270" s="108"/>
    </row>
    <row r="271" spans="1:68" ht="12" customHeight="1" x14ac:dyDescent="0.2">
      <c r="A271" s="179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9"/>
      <c r="BN271" s="108"/>
      <c r="BO271" s="108"/>
      <c r="BP271" s="108"/>
    </row>
    <row r="272" spans="1:68" ht="12" customHeight="1" x14ac:dyDescent="0.2">
      <c r="A272" s="179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8"/>
      <c r="BL272" s="108"/>
      <c r="BM272" s="109"/>
      <c r="BN272" s="108"/>
      <c r="BO272" s="108"/>
      <c r="BP272" s="108"/>
    </row>
    <row r="273" spans="1:68" ht="12" customHeight="1" x14ac:dyDescent="0.2">
      <c r="A273" s="179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9"/>
      <c r="BN273" s="108"/>
      <c r="BO273" s="108"/>
      <c r="BP273" s="108"/>
    </row>
    <row r="274" spans="1:68" ht="12" customHeight="1" x14ac:dyDescent="0.2">
      <c r="A274" s="179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9"/>
      <c r="BN274" s="108"/>
      <c r="BO274" s="108"/>
      <c r="BP274" s="108"/>
    </row>
    <row r="275" spans="1:68" ht="12" customHeight="1" x14ac:dyDescent="0.2">
      <c r="A275" s="179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9"/>
      <c r="BN275" s="108"/>
      <c r="BO275" s="108"/>
      <c r="BP275" s="108"/>
    </row>
    <row r="276" spans="1:68" ht="12" customHeight="1" x14ac:dyDescent="0.2">
      <c r="A276" s="179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9"/>
      <c r="BN276" s="108"/>
      <c r="BO276" s="108"/>
      <c r="BP276" s="108"/>
    </row>
    <row r="277" spans="1:68" ht="12" customHeight="1" x14ac:dyDescent="0.2">
      <c r="A277" s="179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8"/>
      <c r="BL277" s="108"/>
      <c r="BM277" s="109"/>
      <c r="BN277" s="108"/>
      <c r="BO277" s="108"/>
      <c r="BP277" s="108"/>
    </row>
    <row r="278" spans="1:68" ht="12" customHeight="1" x14ac:dyDescent="0.2">
      <c r="A278" s="179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9"/>
      <c r="BN278" s="108"/>
      <c r="BO278" s="108"/>
      <c r="BP278" s="108"/>
    </row>
    <row r="279" spans="1:68" ht="12" customHeight="1" x14ac:dyDescent="0.2">
      <c r="A279" s="179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9"/>
      <c r="BN279" s="108"/>
      <c r="BO279" s="108"/>
      <c r="BP279" s="108"/>
    </row>
    <row r="280" spans="1:68" ht="12" customHeight="1" x14ac:dyDescent="0.2">
      <c r="A280" s="179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8"/>
      <c r="BL280" s="108"/>
      <c r="BM280" s="109"/>
      <c r="BN280" s="108"/>
      <c r="BO280" s="108"/>
      <c r="BP280" s="108"/>
    </row>
    <row r="281" spans="1:68" ht="12" customHeight="1" x14ac:dyDescent="0.2">
      <c r="A281" s="179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8"/>
      <c r="BL281" s="108"/>
      <c r="BM281" s="109"/>
      <c r="BN281" s="108"/>
      <c r="BO281" s="108"/>
      <c r="BP281" s="108"/>
    </row>
    <row r="282" spans="1:68" ht="12" customHeight="1" x14ac:dyDescent="0.2">
      <c r="A282" s="179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8"/>
      <c r="BL282" s="108"/>
      <c r="BM282" s="109"/>
      <c r="BN282" s="108"/>
      <c r="BO282" s="108"/>
      <c r="BP282" s="108"/>
    </row>
    <row r="283" spans="1:68" ht="12" customHeight="1" x14ac:dyDescent="0.2">
      <c r="A283" s="179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8"/>
      <c r="BL283" s="108"/>
      <c r="BM283" s="109"/>
      <c r="BN283" s="108"/>
      <c r="BO283" s="108"/>
      <c r="BP283" s="108"/>
    </row>
    <row r="284" spans="1:68" ht="12" customHeight="1" x14ac:dyDescent="0.2">
      <c r="A284" s="179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9"/>
      <c r="BN284" s="108"/>
      <c r="BO284" s="108"/>
      <c r="BP284" s="108"/>
    </row>
    <row r="285" spans="1:68" ht="12" customHeight="1" x14ac:dyDescent="0.2">
      <c r="A285" s="179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9"/>
      <c r="BN285" s="108"/>
      <c r="BO285" s="108"/>
      <c r="BP285" s="108"/>
    </row>
    <row r="286" spans="1:68" ht="12" customHeight="1" x14ac:dyDescent="0.2">
      <c r="A286" s="179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9"/>
      <c r="BN286" s="108"/>
      <c r="BO286" s="108"/>
      <c r="BP286" s="108"/>
    </row>
    <row r="287" spans="1:68" ht="12" customHeight="1" x14ac:dyDescent="0.2">
      <c r="A287" s="179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9"/>
      <c r="BN287" s="108"/>
      <c r="BO287" s="108"/>
      <c r="BP287" s="108"/>
    </row>
    <row r="288" spans="1:68" ht="12" customHeight="1" x14ac:dyDescent="0.2">
      <c r="A288" s="179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9"/>
      <c r="BN288" s="108"/>
      <c r="BO288" s="108"/>
      <c r="BP288" s="108"/>
    </row>
    <row r="289" spans="1:68" ht="12" customHeight="1" x14ac:dyDescent="0.2">
      <c r="A289" s="179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9"/>
      <c r="BN289" s="108"/>
      <c r="BO289" s="108"/>
      <c r="BP289" s="108"/>
    </row>
    <row r="290" spans="1:68" ht="12" customHeight="1" x14ac:dyDescent="0.2">
      <c r="A290" s="179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9"/>
      <c r="BN290" s="108"/>
      <c r="BO290" s="108"/>
      <c r="BP290" s="108"/>
    </row>
    <row r="291" spans="1:68" ht="12" customHeight="1" x14ac:dyDescent="0.2">
      <c r="A291" s="179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9"/>
      <c r="BN291" s="108"/>
      <c r="BO291" s="108"/>
      <c r="BP291" s="108"/>
    </row>
    <row r="292" spans="1:68" ht="12" customHeight="1" x14ac:dyDescent="0.2">
      <c r="A292" s="179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/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9"/>
      <c r="BN292" s="108"/>
      <c r="BO292" s="108"/>
      <c r="BP292" s="108"/>
    </row>
    <row r="293" spans="1:68" ht="12" customHeight="1" x14ac:dyDescent="0.2">
      <c r="A293" s="179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  <c r="BA293" s="108"/>
      <c r="BB293" s="108"/>
      <c r="BC293" s="108"/>
      <c r="BD293" s="108"/>
      <c r="BE293" s="108"/>
      <c r="BF293" s="108"/>
      <c r="BG293" s="108"/>
      <c r="BH293" s="108"/>
      <c r="BI293" s="108"/>
      <c r="BJ293" s="108"/>
      <c r="BK293" s="108"/>
      <c r="BL293" s="108"/>
      <c r="BM293" s="109"/>
      <c r="BN293" s="108"/>
      <c r="BO293" s="108"/>
      <c r="BP293" s="108"/>
    </row>
    <row r="294" spans="1:68" ht="12" customHeight="1" x14ac:dyDescent="0.2">
      <c r="A294" s="179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  <c r="BA294" s="108"/>
      <c r="BB294" s="108"/>
      <c r="BC294" s="108"/>
      <c r="BD294" s="108"/>
      <c r="BE294" s="108"/>
      <c r="BF294" s="108"/>
      <c r="BG294" s="108"/>
      <c r="BH294" s="108"/>
      <c r="BI294" s="108"/>
      <c r="BJ294" s="108"/>
      <c r="BK294" s="108"/>
      <c r="BL294" s="108"/>
      <c r="BM294" s="109"/>
      <c r="BN294" s="108"/>
      <c r="BO294" s="108"/>
      <c r="BP294" s="108"/>
    </row>
    <row r="295" spans="1:68" ht="12" customHeight="1" x14ac:dyDescent="0.2">
      <c r="A295" s="179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  <c r="BA295" s="108"/>
      <c r="BB295" s="108"/>
      <c r="BC295" s="108"/>
      <c r="BD295" s="108"/>
      <c r="BE295" s="108"/>
      <c r="BF295" s="108"/>
      <c r="BG295" s="108"/>
      <c r="BH295" s="108"/>
      <c r="BI295" s="108"/>
      <c r="BJ295" s="108"/>
      <c r="BK295" s="108"/>
      <c r="BL295" s="108"/>
      <c r="BM295" s="109"/>
      <c r="BN295" s="108"/>
      <c r="BO295" s="108"/>
      <c r="BP295" s="108"/>
    </row>
    <row r="296" spans="1:68" ht="12" customHeight="1" x14ac:dyDescent="0.2">
      <c r="A296" s="179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  <c r="BA296" s="108"/>
      <c r="BB296" s="108"/>
      <c r="BC296" s="108"/>
      <c r="BD296" s="108"/>
      <c r="BE296" s="108"/>
      <c r="BF296" s="108"/>
      <c r="BG296" s="108"/>
      <c r="BH296" s="108"/>
      <c r="BI296" s="108"/>
      <c r="BJ296" s="108"/>
      <c r="BK296" s="108"/>
      <c r="BL296" s="108"/>
      <c r="BM296" s="109"/>
      <c r="BN296" s="108"/>
      <c r="BO296" s="108"/>
      <c r="BP296" s="108"/>
    </row>
    <row r="297" spans="1:68" ht="12" customHeight="1" x14ac:dyDescent="0.2">
      <c r="A297" s="179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9"/>
      <c r="BN297" s="108"/>
      <c r="BO297" s="108"/>
      <c r="BP297" s="108"/>
    </row>
    <row r="298" spans="1:68" ht="12" customHeight="1" x14ac:dyDescent="0.2">
      <c r="A298" s="179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  <c r="BA298" s="108"/>
      <c r="BB298" s="108"/>
      <c r="BC298" s="108"/>
      <c r="BD298" s="108"/>
      <c r="BE298" s="108"/>
      <c r="BF298" s="108"/>
      <c r="BG298" s="108"/>
      <c r="BH298" s="108"/>
      <c r="BI298" s="108"/>
      <c r="BJ298" s="108"/>
      <c r="BK298" s="108"/>
      <c r="BL298" s="108"/>
      <c r="BM298" s="109"/>
      <c r="BN298" s="108"/>
      <c r="BO298" s="108"/>
      <c r="BP298" s="108"/>
    </row>
    <row r="299" spans="1:68" ht="12" customHeight="1" x14ac:dyDescent="0.2">
      <c r="A299" s="179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  <c r="BB299" s="108"/>
      <c r="BC299" s="108"/>
      <c r="BD299" s="108"/>
      <c r="BE299" s="108"/>
      <c r="BF299" s="108"/>
      <c r="BG299" s="108"/>
      <c r="BH299" s="108"/>
      <c r="BI299" s="108"/>
      <c r="BJ299" s="108"/>
      <c r="BK299" s="108"/>
      <c r="BL299" s="108"/>
      <c r="BM299" s="109"/>
      <c r="BN299" s="108"/>
      <c r="BO299" s="108"/>
      <c r="BP299" s="108"/>
    </row>
    <row r="300" spans="1:68" ht="12" customHeight="1" x14ac:dyDescent="0.2">
      <c r="A300" s="179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  <c r="BA300" s="108"/>
      <c r="BB300" s="108"/>
      <c r="BC300" s="108"/>
      <c r="BD300" s="108"/>
      <c r="BE300" s="108"/>
      <c r="BF300" s="108"/>
      <c r="BG300" s="108"/>
      <c r="BH300" s="108"/>
      <c r="BI300" s="108"/>
      <c r="BJ300" s="108"/>
      <c r="BK300" s="108"/>
      <c r="BL300" s="108"/>
      <c r="BM300" s="109"/>
      <c r="BN300" s="108"/>
      <c r="BO300" s="108"/>
      <c r="BP300" s="108"/>
    </row>
    <row r="301" spans="1:68" ht="12" customHeight="1" x14ac:dyDescent="0.2">
      <c r="A301" s="179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  <c r="BA301" s="108"/>
      <c r="BB301" s="108"/>
      <c r="BC301" s="108"/>
      <c r="BD301" s="108"/>
      <c r="BE301" s="108"/>
      <c r="BF301" s="108"/>
      <c r="BG301" s="108"/>
      <c r="BH301" s="108"/>
      <c r="BI301" s="108"/>
      <c r="BJ301" s="108"/>
      <c r="BK301" s="108"/>
      <c r="BL301" s="108"/>
      <c r="BM301" s="109"/>
      <c r="BN301" s="108"/>
      <c r="BO301" s="108"/>
      <c r="BP301" s="108"/>
    </row>
    <row r="302" spans="1:68" ht="12" customHeight="1" x14ac:dyDescent="0.2">
      <c r="A302" s="179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8"/>
      <c r="BL302" s="108"/>
      <c r="BM302" s="109"/>
      <c r="BN302" s="108"/>
      <c r="BO302" s="108"/>
      <c r="BP302" s="108"/>
    </row>
    <row r="303" spans="1:68" ht="12" customHeight="1" x14ac:dyDescent="0.2">
      <c r="A303" s="179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9"/>
      <c r="BN303" s="108"/>
      <c r="BO303" s="108"/>
      <c r="BP303" s="108"/>
    </row>
    <row r="304" spans="1:68" ht="12" customHeight="1" x14ac:dyDescent="0.2">
      <c r="A304" s="179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9"/>
      <c r="BN304" s="108"/>
      <c r="BO304" s="108"/>
      <c r="BP304" s="108"/>
    </row>
    <row r="305" spans="1:68" ht="12" customHeight="1" x14ac:dyDescent="0.2">
      <c r="A305" s="179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8"/>
      <c r="BL305" s="108"/>
      <c r="BM305" s="109"/>
      <c r="BN305" s="108"/>
      <c r="BO305" s="108"/>
      <c r="BP305" s="108"/>
    </row>
    <row r="306" spans="1:68" ht="12" customHeight="1" x14ac:dyDescent="0.2">
      <c r="A306" s="179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8"/>
      <c r="BL306" s="108"/>
      <c r="BM306" s="109"/>
      <c r="BN306" s="108"/>
      <c r="BO306" s="108"/>
      <c r="BP306" s="108"/>
    </row>
    <row r="307" spans="1:68" ht="12" customHeight="1" x14ac:dyDescent="0.2">
      <c r="A307" s="179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8"/>
      <c r="BL307" s="108"/>
      <c r="BM307" s="109"/>
      <c r="BN307" s="108"/>
      <c r="BO307" s="108"/>
      <c r="BP307" s="108"/>
    </row>
    <row r="308" spans="1:68" ht="12" customHeight="1" x14ac:dyDescent="0.2">
      <c r="A308" s="179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08"/>
      <c r="BF308" s="108"/>
      <c r="BG308" s="108"/>
      <c r="BH308" s="108"/>
      <c r="BI308" s="108"/>
      <c r="BJ308" s="108"/>
      <c r="BK308" s="108"/>
      <c r="BL308" s="108"/>
      <c r="BM308" s="109"/>
      <c r="BN308" s="108"/>
      <c r="BO308" s="108"/>
      <c r="BP308" s="108"/>
    </row>
    <row r="309" spans="1:68" ht="12" customHeight="1" x14ac:dyDescent="0.2">
      <c r="A309" s="179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  <c r="BA309" s="108"/>
      <c r="BB309" s="108"/>
      <c r="BC309" s="108"/>
      <c r="BD309" s="108"/>
      <c r="BE309" s="108"/>
      <c r="BF309" s="108"/>
      <c r="BG309" s="108"/>
      <c r="BH309" s="108"/>
      <c r="BI309" s="108"/>
      <c r="BJ309" s="108"/>
      <c r="BK309" s="108"/>
      <c r="BL309" s="108"/>
      <c r="BM309" s="109"/>
      <c r="BN309" s="108"/>
      <c r="BO309" s="108"/>
      <c r="BP309" s="108"/>
    </row>
    <row r="310" spans="1:68" ht="12" customHeight="1" x14ac:dyDescent="0.2">
      <c r="A310" s="179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8"/>
      <c r="BL310" s="108"/>
      <c r="BM310" s="109"/>
      <c r="BN310" s="108"/>
      <c r="BO310" s="108"/>
      <c r="BP310" s="108"/>
    </row>
    <row r="311" spans="1:68" ht="12" customHeight="1" x14ac:dyDescent="0.2">
      <c r="A311" s="179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8"/>
      <c r="BL311" s="108"/>
      <c r="BM311" s="109"/>
      <c r="BN311" s="108"/>
      <c r="BO311" s="108"/>
      <c r="BP311" s="108"/>
    </row>
    <row r="312" spans="1:68" ht="12" customHeight="1" x14ac:dyDescent="0.2">
      <c r="A312" s="179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  <c r="BA312" s="108"/>
      <c r="BB312" s="108"/>
      <c r="BC312" s="108"/>
      <c r="BD312" s="108"/>
      <c r="BE312" s="108"/>
      <c r="BF312" s="108"/>
      <c r="BG312" s="108"/>
      <c r="BH312" s="108"/>
      <c r="BI312" s="108"/>
      <c r="BJ312" s="108"/>
      <c r="BK312" s="108"/>
      <c r="BL312" s="108"/>
      <c r="BM312" s="109"/>
      <c r="BN312" s="108"/>
      <c r="BO312" s="108"/>
      <c r="BP312" s="108"/>
    </row>
    <row r="313" spans="1:68" ht="12" customHeight="1" x14ac:dyDescent="0.2">
      <c r="A313" s="179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  <c r="BA313" s="108"/>
      <c r="BB313" s="108"/>
      <c r="BC313" s="108"/>
      <c r="BD313" s="108"/>
      <c r="BE313" s="108"/>
      <c r="BF313" s="108"/>
      <c r="BG313" s="108"/>
      <c r="BH313" s="108"/>
      <c r="BI313" s="108"/>
      <c r="BJ313" s="108"/>
      <c r="BK313" s="108"/>
      <c r="BL313" s="108"/>
      <c r="BM313" s="109"/>
      <c r="BN313" s="108"/>
      <c r="BO313" s="108"/>
      <c r="BP313" s="108"/>
    </row>
    <row r="314" spans="1:68" ht="12" customHeight="1" x14ac:dyDescent="0.2">
      <c r="A314" s="179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  <c r="BA314" s="108"/>
      <c r="BB314" s="108"/>
      <c r="BC314" s="108"/>
      <c r="BD314" s="108"/>
      <c r="BE314" s="108"/>
      <c r="BF314" s="108"/>
      <c r="BG314" s="108"/>
      <c r="BH314" s="108"/>
      <c r="BI314" s="108"/>
      <c r="BJ314" s="108"/>
      <c r="BK314" s="108"/>
      <c r="BL314" s="108"/>
      <c r="BM314" s="109"/>
      <c r="BN314" s="108"/>
      <c r="BO314" s="108"/>
      <c r="BP314" s="108"/>
    </row>
    <row r="315" spans="1:68" ht="12" customHeight="1" x14ac:dyDescent="0.2">
      <c r="A315" s="179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  <c r="BA315" s="108"/>
      <c r="BB315" s="108"/>
      <c r="BC315" s="108"/>
      <c r="BD315" s="108"/>
      <c r="BE315" s="108"/>
      <c r="BF315" s="108"/>
      <c r="BG315" s="108"/>
      <c r="BH315" s="108"/>
      <c r="BI315" s="108"/>
      <c r="BJ315" s="108"/>
      <c r="BK315" s="108"/>
      <c r="BL315" s="108"/>
      <c r="BM315" s="109"/>
      <c r="BN315" s="108"/>
      <c r="BO315" s="108"/>
      <c r="BP315" s="108"/>
    </row>
    <row r="316" spans="1:68" ht="12" customHeight="1" x14ac:dyDescent="0.2">
      <c r="A316" s="179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8"/>
      <c r="BL316" s="108"/>
      <c r="BM316" s="109"/>
      <c r="BN316" s="108"/>
      <c r="BO316" s="108"/>
      <c r="BP316" s="108"/>
    </row>
    <row r="317" spans="1:68" ht="12" customHeight="1" x14ac:dyDescent="0.2">
      <c r="A317" s="179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8"/>
      <c r="BL317" s="108"/>
      <c r="BM317" s="109"/>
      <c r="BN317" s="108"/>
      <c r="BO317" s="108"/>
      <c r="BP317" s="108"/>
    </row>
    <row r="318" spans="1:68" ht="12" customHeight="1" x14ac:dyDescent="0.2">
      <c r="A318" s="179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9"/>
      <c r="BN318" s="108"/>
      <c r="BO318" s="108"/>
      <c r="BP318" s="108"/>
    </row>
    <row r="319" spans="1:68" ht="12" customHeight="1" x14ac:dyDescent="0.2">
      <c r="A319" s="179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108"/>
      <c r="BL319" s="108"/>
      <c r="BM319" s="109"/>
      <c r="BN319" s="108"/>
      <c r="BO319" s="108"/>
      <c r="BP319" s="108"/>
    </row>
    <row r="320" spans="1:68" ht="12" customHeight="1" x14ac:dyDescent="0.2">
      <c r="A320" s="179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8"/>
      <c r="BL320" s="108"/>
      <c r="BM320" s="109"/>
      <c r="BN320" s="108"/>
      <c r="BO320" s="108"/>
      <c r="BP320" s="108"/>
    </row>
    <row r="321" spans="1:68" ht="12" customHeight="1" x14ac:dyDescent="0.2">
      <c r="A321" s="179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8"/>
      <c r="BL321" s="108"/>
      <c r="BM321" s="109"/>
      <c r="BN321" s="108"/>
      <c r="BO321" s="108"/>
      <c r="BP321" s="108"/>
    </row>
    <row r="322" spans="1:68" ht="12" customHeight="1" x14ac:dyDescent="0.2">
      <c r="A322" s="179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9"/>
      <c r="BN322" s="108"/>
      <c r="BO322" s="108"/>
      <c r="BP322" s="108"/>
    </row>
    <row r="323" spans="1:68" ht="12" customHeight="1" x14ac:dyDescent="0.2">
      <c r="A323" s="179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9"/>
      <c r="BN323" s="108"/>
      <c r="BO323" s="108"/>
      <c r="BP323" s="108"/>
    </row>
    <row r="324" spans="1:68" ht="12" customHeight="1" x14ac:dyDescent="0.2">
      <c r="A324" s="179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8"/>
      <c r="BL324" s="108"/>
      <c r="BM324" s="109"/>
      <c r="BN324" s="108"/>
      <c r="BO324" s="108"/>
      <c r="BP324" s="108"/>
    </row>
    <row r="325" spans="1:68" ht="12" customHeight="1" x14ac:dyDescent="0.2">
      <c r="A325" s="179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9"/>
      <c r="BN325" s="108"/>
      <c r="BO325" s="108"/>
      <c r="BP325" s="108"/>
    </row>
    <row r="326" spans="1:68" ht="12" customHeight="1" x14ac:dyDescent="0.2">
      <c r="A326" s="179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8"/>
      <c r="BL326" s="108"/>
      <c r="BM326" s="109"/>
      <c r="BN326" s="108"/>
      <c r="BO326" s="108"/>
      <c r="BP326" s="108"/>
    </row>
    <row r="327" spans="1:68" ht="12" customHeight="1" x14ac:dyDescent="0.2">
      <c r="A327" s="179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9"/>
      <c r="BN327" s="108"/>
      <c r="BO327" s="108"/>
      <c r="BP327" s="108"/>
    </row>
    <row r="328" spans="1:68" ht="12" customHeight="1" x14ac:dyDescent="0.2">
      <c r="A328" s="179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  <c r="BA328" s="108"/>
      <c r="BB328" s="108"/>
      <c r="BC328" s="108"/>
      <c r="BD328" s="108"/>
      <c r="BE328" s="108"/>
      <c r="BF328" s="108"/>
      <c r="BG328" s="108"/>
      <c r="BH328" s="108"/>
      <c r="BI328" s="108"/>
      <c r="BJ328" s="108"/>
      <c r="BK328" s="108"/>
      <c r="BL328" s="108"/>
      <c r="BM328" s="109"/>
      <c r="BN328" s="108"/>
      <c r="BO328" s="108"/>
      <c r="BP328" s="108"/>
    </row>
    <row r="329" spans="1:68" ht="12" customHeight="1" x14ac:dyDescent="0.2">
      <c r="A329" s="179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  <c r="BA329" s="108"/>
      <c r="BB329" s="108"/>
      <c r="BC329" s="108"/>
      <c r="BD329" s="108"/>
      <c r="BE329" s="108"/>
      <c r="BF329" s="108"/>
      <c r="BG329" s="108"/>
      <c r="BH329" s="108"/>
      <c r="BI329" s="108"/>
      <c r="BJ329" s="108"/>
      <c r="BK329" s="108"/>
      <c r="BL329" s="108"/>
      <c r="BM329" s="109"/>
      <c r="BN329" s="108"/>
      <c r="BO329" s="108"/>
      <c r="BP329" s="108"/>
    </row>
    <row r="330" spans="1:68" ht="12" customHeight="1" x14ac:dyDescent="0.2">
      <c r="A330" s="179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/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9"/>
      <c r="BN330" s="108"/>
      <c r="BO330" s="108"/>
      <c r="BP330" s="108"/>
    </row>
    <row r="331" spans="1:68" ht="12" customHeight="1" x14ac:dyDescent="0.2">
      <c r="A331" s="179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  <c r="BA331" s="108"/>
      <c r="BB331" s="108"/>
      <c r="BC331" s="108"/>
      <c r="BD331" s="108"/>
      <c r="BE331" s="108"/>
      <c r="BF331" s="108"/>
      <c r="BG331" s="108"/>
      <c r="BH331" s="108"/>
      <c r="BI331" s="108"/>
      <c r="BJ331" s="108"/>
      <c r="BK331" s="108"/>
      <c r="BL331" s="108"/>
      <c r="BM331" s="109"/>
      <c r="BN331" s="108"/>
      <c r="BO331" s="108"/>
      <c r="BP331" s="108"/>
    </row>
    <row r="332" spans="1:68" ht="12" customHeight="1" x14ac:dyDescent="0.2">
      <c r="A332" s="179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  <c r="BA332" s="108"/>
      <c r="BB332" s="108"/>
      <c r="BC332" s="108"/>
      <c r="BD332" s="108"/>
      <c r="BE332" s="108"/>
      <c r="BF332" s="108"/>
      <c r="BG332" s="108"/>
      <c r="BH332" s="108"/>
      <c r="BI332" s="108"/>
      <c r="BJ332" s="108"/>
      <c r="BK332" s="108"/>
      <c r="BL332" s="108"/>
      <c r="BM332" s="109"/>
      <c r="BN332" s="108"/>
      <c r="BO332" s="108"/>
      <c r="BP332" s="108"/>
    </row>
    <row r="333" spans="1:68" ht="12" customHeight="1" x14ac:dyDescent="0.2">
      <c r="A333" s="179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  <c r="BA333" s="108"/>
      <c r="BB333" s="108"/>
      <c r="BC333" s="108"/>
      <c r="BD333" s="108"/>
      <c r="BE333" s="108"/>
      <c r="BF333" s="108"/>
      <c r="BG333" s="108"/>
      <c r="BH333" s="108"/>
      <c r="BI333" s="108"/>
      <c r="BJ333" s="108"/>
      <c r="BK333" s="108"/>
      <c r="BL333" s="108"/>
      <c r="BM333" s="109"/>
      <c r="BN333" s="108"/>
      <c r="BO333" s="108"/>
      <c r="BP333" s="108"/>
    </row>
    <row r="334" spans="1:68" ht="12" customHeight="1" x14ac:dyDescent="0.2">
      <c r="A334" s="179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  <c r="BA334" s="108"/>
      <c r="BB334" s="108"/>
      <c r="BC334" s="108"/>
      <c r="BD334" s="108"/>
      <c r="BE334" s="108"/>
      <c r="BF334" s="108"/>
      <c r="BG334" s="108"/>
      <c r="BH334" s="108"/>
      <c r="BI334" s="108"/>
      <c r="BJ334" s="108"/>
      <c r="BK334" s="108"/>
      <c r="BL334" s="108"/>
      <c r="BM334" s="109"/>
      <c r="BN334" s="108"/>
      <c r="BO334" s="108"/>
      <c r="BP334" s="108"/>
    </row>
    <row r="335" spans="1:68" ht="12" customHeight="1" x14ac:dyDescent="0.2">
      <c r="A335" s="179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  <c r="BA335" s="108"/>
      <c r="BB335" s="108"/>
      <c r="BC335" s="108"/>
      <c r="BD335" s="108"/>
      <c r="BE335" s="108"/>
      <c r="BF335" s="108"/>
      <c r="BG335" s="108"/>
      <c r="BH335" s="108"/>
      <c r="BI335" s="108"/>
      <c r="BJ335" s="108"/>
      <c r="BK335" s="108"/>
      <c r="BL335" s="108"/>
      <c r="BM335" s="109"/>
      <c r="BN335" s="108"/>
      <c r="BO335" s="108"/>
      <c r="BP335" s="108"/>
    </row>
    <row r="336" spans="1:68" ht="12" customHeight="1" x14ac:dyDescent="0.2">
      <c r="A336" s="179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  <c r="BA336" s="108"/>
      <c r="BB336" s="108"/>
      <c r="BC336" s="108"/>
      <c r="BD336" s="108"/>
      <c r="BE336" s="108"/>
      <c r="BF336" s="108"/>
      <c r="BG336" s="108"/>
      <c r="BH336" s="108"/>
      <c r="BI336" s="108"/>
      <c r="BJ336" s="108"/>
      <c r="BK336" s="108"/>
      <c r="BL336" s="108"/>
      <c r="BM336" s="109"/>
      <c r="BN336" s="108"/>
      <c r="BO336" s="108"/>
      <c r="BP336" s="108"/>
    </row>
    <row r="337" spans="1:68" ht="12" customHeight="1" x14ac:dyDescent="0.2">
      <c r="A337" s="179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  <c r="BB337" s="108"/>
      <c r="BC337" s="108"/>
      <c r="BD337" s="108"/>
      <c r="BE337" s="108"/>
      <c r="BF337" s="108"/>
      <c r="BG337" s="108"/>
      <c r="BH337" s="108"/>
      <c r="BI337" s="108"/>
      <c r="BJ337" s="108"/>
      <c r="BK337" s="108"/>
      <c r="BL337" s="108"/>
      <c r="BM337" s="109"/>
      <c r="BN337" s="108"/>
      <c r="BO337" s="108"/>
      <c r="BP337" s="108"/>
    </row>
    <row r="338" spans="1:68" ht="12" customHeight="1" x14ac:dyDescent="0.2">
      <c r="A338" s="179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8"/>
      <c r="BL338" s="108"/>
      <c r="BM338" s="109"/>
      <c r="BN338" s="108"/>
      <c r="BO338" s="108"/>
      <c r="BP338" s="108"/>
    </row>
    <row r="339" spans="1:68" ht="12" customHeight="1" x14ac:dyDescent="0.2">
      <c r="A339" s="179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8"/>
      <c r="BL339" s="108"/>
      <c r="BM339" s="109"/>
      <c r="BN339" s="108"/>
      <c r="BO339" s="108"/>
      <c r="BP339" s="108"/>
    </row>
    <row r="340" spans="1:68" ht="12" customHeight="1" x14ac:dyDescent="0.2">
      <c r="A340" s="179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8"/>
      <c r="BL340" s="108"/>
      <c r="BM340" s="109"/>
      <c r="BN340" s="108"/>
      <c r="BO340" s="108"/>
      <c r="BP340" s="108"/>
    </row>
    <row r="341" spans="1:68" ht="12" customHeight="1" x14ac:dyDescent="0.2">
      <c r="A341" s="179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  <c r="BA341" s="108"/>
      <c r="BB341" s="108"/>
      <c r="BC341" s="108"/>
      <c r="BD341" s="108"/>
      <c r="BE341" s="108"/>
      <c r="BF341" s="108"/>
      <c r="BG341" s="108"/>
      <c r="BH341" s="108"/>
      <c r="BI341" s="108"/>
      <c r="BJ341" s="108"/>
      <c r="BK341" s="108"/>
      <c r="BL341" s="108"/>
      <c r="BM341" s="109"/>
      <c r="BN341" s="108"/>
      <c r="BO341" s="108"/>
      <c r="BP341" s="108"/>
    </row>
    <row r="342" spans="1:68" ht="12" customHeight="1" x14ac:dyDescent="0.2">
      <c r="A342" s="179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  <c r="BB342" s="108"/>
      <c r="BC342" s="108"/>
      <c r="BD342" s="108"/>
      <c r="BE342" s="108"/>
      <c r="BF342" s="108"/>
      <c r="BG342" s="108"/>
      <c r="BH342" s="108"/>
      <c r="BI342" s="108"/>
      <c r="BJ342" s="108"/>
      <c r="BK342" s="108"/>
      <c r="BL342" s="108"/>
      <c r="BM342" s="109"/>
      <c r="BN342" s="108"/>
      <c r="BO342" s="108"/>
      <c r="BP342" s="108"/>
    </row>
    <row r="343" spans="1:68" ht="12" customHeight="1" x14ac:dyDescent="0.2">
      <c r="A343" s="179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  <c r="BB343" s="108"/>
      <c r="BC343" s="108"/>
      <c r="BD343" s="108"/>
      <c r="BE343" s="108"/>
      <c r="BF343" s="108"/>
      <c r="BG343" s="108"/>
      <c r="BH343" s="108"/>
      <c r="BI343" s="108"/>
      <c r="BJ343" s="108"/>
      <c r="BK343" s="108"/>
      <c r="BL343" s="108"/>
      <c r="BM343" s="109"/>
      <c r="BN343" s="108"/>
      <c r="BO343" s="108"/>
      <c r="BP343" s="108"/>
    </row>
    <row r="344" spans="1:68" ht="12" customHeight="1" x14ac:dyDescent="0.2">
      <c r="A344" s="179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  <c r="BB344" s="108"/>
      <c r="BC344" s="108"/>
      <c r="BD344" s="108"/>
      <c r="BE344" s="108"/>
      <c r="BF344" s="108"/>
      <c r="BG344" s="108"/>
      <c r="BH344" s="108"/>
      <c r="BI344" s="108"/>
      <c r="BJ344" s="108"/>
      <c r="BK344" s="108"/>
      <c r="BL344" s="108"/>
      <c r="BM344" s="109"/>
      <c r="BN344" s="108"/>
      <c r="BO344" s="108"/>
      <c r="BP344" s="108"/>
    </row>
    <row r="345" spans="1:68" ht="12" customHeight="1" x14ac:dyDescent="0.2">
      <c r="A345" s="179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  <c r="BB345" s="108"/>
      <c r="BC345" s="108"/>
      <c r="BD345" s="108"/>
      <c r="BE345" s="108"/>
      <c r="BF345" s="108"/>
      <c r="BG345" s="108"/>
      <c r="BH345" s="108"/>
      <c r="BI345" s="108"/>
      <c r="BJ345" s="108"/>
      <c r="BK345" s="108"/>
      <c r="BL345" s="108"/>
      <c r="BM345" s="109"/>
      <c r="BN345" s="108"/>
      <c r="BO345" s="108"/>
      <c r="BP345" s="108"/>
    </row>
    <row r="346" spans="1:68" ht="12" customHeight="1" x14ac:dyDescent="0.2">
      <c r="A346" s="179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  <c r="BK346" s="108"/>
      <c r="BL346" s="108"/>
      <c r="BM346" s="109"/>
      <c r="BN346" s="108"/>
      <c r="BO346" s="108"/>
      <c r="BP346" s="108"/>
    </row>
    <row r="347" spans="1:68" ht="12" customHeight="1" x14ac:dyDescent="0.2">
      <c r="A347" s="179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  <c r="BA347" s="108"/>
      <c r="BB347" s="108"/>
      <c r="BC347" s="108"/>
      <c r="BD347" s="108"/>
      <c r="BE347" s="108"/>
      <c r="BF347" s="108"/>
      <c r="BG347" s="108"/>
      <c r="BH347" s="108"/>
      <c r="BI347" s="108"/>
      <c r="BJ347" s="108"/>
      <c r="BK347" s="108"/>
      <c r="BL347" s="108"/>
      <c r="BM347" s="109"/>
      <c r="BN347" s="108"/>
      <c r="BO347" s="108"/>
      <c r="BP347" s="108"/>
    </row>
    <row r="348" spans="1:68" ht="12" customHeight="1" x14ac:dyDescent="0.2">
      <c r="A348" s="179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  <c r="BA348" s="108"/>
      <c r="BB348" s="108"/>
      <c r="BC348" s="108"/>
      <c r="BD348" s="108"/>
      <c r="BE348" s="108"/>
      <c r="BF348" s="108"/>
      <c r="BG348" s="108"/>
      <c r="BH348" s="108"/>
      <c r="BI348" s="108"/>
      <c r="BJ348" s="108"/>
      <c r="BK348" s="108"/>
      <c r="BL348" s="108"/>
      <c r="BM348" s="109"/>
      <c r="BN348" s="108"/>
      <c r="BO348" s="108"/>
      <c r="BP348" s="108"/>
    </row>
    <row r="349" spans="1:68" ht="12" customHeight="1" x14ac:dyDescent="0.2">
      <c r="A349" s="179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  <c r="BA349" s="108"/>
      <c r="BB349" s="108"/>
      <c r="BC349" s="108"/>
      <c r="BD349" s="108"/>
      <c r="BE349" s="108"/>
      <c r="BF349" s="108"/>
      <c r="BG349" s="108"/>
      <c r="BH349" s="108"/>
      <c r="BI349" s="108"/>
      <c r="BJ349" s="108"/>
      <c r="BK349" s="108"/>
      <c r="BL349" s="108"/>
      <c r="BM349" s="109"/>
      <c r="BN349" s="108"/>
      <c r="BO349" s="108"/>
      <c r="BP349" s="108"/>
    </row>
    <row r="350" spans="1:68" ht="12" customHeight="1" x14ac:dyDescent="0.2">
      <c r="A350" s="179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  <c r="BA350" s="108"/>
      <c r="BB350" s="108"/>
      <c r="BC350" s="108"/>
      <c r="BD350" s="108"/>
      <c r="BE350" s="108"/>
      <c r="BF350" s="108"/>
      <c r="BG350" s="108"/>
      <c r="BH350" s="108"/>
      <c r="BI350" s="108"/>
      <c r="BJ350" s="108"/>
      <c r="BK350" s="108"/>
      <c r="BL350" s="108"/>
      <c r="BM350" s="109"/>
      <c r="BN350" s="108"/>
      <c r="BO350" s="108"/>
      <c r="BP350" s="108"/>
    </row>
    <row r="351" spans="1:68" ht="12" customHeight="1" x14ac:dyDescent="0.2">
      <c r="A351" s="179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  <c r="AS351" s="108"/>
      <c r="AT351" s="108"/>
      <c r="AU351" s="108"/>
      <c r="AV351" s="108"/>
      <c r="AW351" s="108"/>
      <c r="AX351" s="108"/>
      <c r="AY351" s="108"/>
      <c r="AZ351" s="108"/>
      <c r="BA351" s="108"/>
      <c r="BB351" s="108"/>
      <c r="BC351" s="108"/>
      <c r="BD351" s="108"/>
      <c r="BE351" s="108"/>
      <c r="BF351" s="108"/>
      <c r="BG351" s="108"/>
      <c r="BH351" s="108"/>
      <c r="BI351" s="108"/>
      <c r="BJ351" s="108"/>
      <c r="BK351" s="108"/>
      <c r="BL351" s="108"/>
      <c r="BM351" s="109"/>
      <c r="BN351" s="108"/>
      <c r="BO351" s="108"/>
      <c r="BP351" s="108"/>
    </row>
    <row r="352" spans="1:68" ht="12" customHeight="1" x14ac:dyDescent="0.2">
      <c r="A352" s="179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  <c r="AS352" s="108"/>
      <c r="AT352" s="108"/>
      <c r="AU352" s="108"/>
      <c r="AV352" s="108"/>
      <c r="AW352" s="108"/>
      <c r="AX352" s="108"/>
      <c r="AY352" s="108"/>
      <c r="AZ352" s="108"/>
      <c r="BA352" s="108"/>
      <c r="BB352" s="108"/>
      <c r="BC352" s="108"/>
      <c r="BD352" s="108"/>
      <c r="BE352" s="108"/>
      <c r="BF352" s="108"/>
      <c r="BG352" s="108"/>
      <c r="BH352" s="108"/>
      <c r="BI352" s="108"/>
      <c r="BJ352" s="108"/>
      <c r="BK352" s="108"/>
      <c r="BL352" s="108"/>
      <c r="BM352" s="109"/>
      <c r="BN352" s="108"/>
      <c r="BO352" s="108"/>
      <c r="BP352" s="108"/>
    </row>
    <row r="353" spans="1:68" ht="12" customHeight="1" x14ac:dyDescent="0.2">
      <c r="A353" s="179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  <c r="AS353" s="108"/>
      <c r="AT353" s="108"/>
      <c r="AU353" s="108"/>
      <c r="AV353" s="108"/>
      <c r="AW353" s="108"/>
      <c r="AX353" s="108"/>
      <c r="AY353" s="108"/>
      <c r="AZ353" s="108"/>
      <c r="BA353" s="108"/>
      <c r="BB353" s="108"/>
      <c r="BC353" s="108"/>
      <c r="BD353" s="108"/>
      <c r="BE353" s="108"/>
      <c r="BF353" s="108"/>
      <c r="BG353" s="108"/>
      <c r="BH353" s="108"/>
      <c r="BI353" s="108"/>
      <c r="BJ353" s="108"/>
      <c r="BK353" s="108"/>
      <c r="BL353" s="108"/>
      <c r="BM353" s="109"/>
      <c r="BN353" s="108"/>
      <c r="BO353" s="108"/>
      <c r="BP353" s="108"/>
    </row>
    <row r="354" spans="1:68" ht="12" customHeight="1" x14ac:dyDescent="0.2">
      <c r="A354" s="179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  <c r="AS354" s="108"/>
      <c r="AT354" s="108"/>
      <c r="AU354" s="108"/>
      <c r="AV354" s="108"/>
      <c r="AW354" s="108"/>
      <c r="AX354" s="108"/>
      <c r="AY354" s="108"/>
      <c r="AZ354" s="108"/>
      <c r="BA354" s="108"/>
      <c r="BB354" s="108"/>
      <c r="BC354" s="108"/>
      <c r="BD354" s="108"/>
      <c r="BE354" s="108"/>
      <c r="BF354" s="108"/>
      <c r="BG354" s="108"/>
      <c r="BH354" s="108"/>
      <c r="BI354" s="108"/>
      <c r="BJ354" s="108"/>
      <c r="BK354" s="108"/>
      <c r="BL354" s="108"/>
      <c r="BM354" s="109"/>
      <c r="BN354" s="108"/>
      <c r="BO354" s="108"/>
      <c r="BP354" s="108"/>
    </row>
    <row r="355" spans="1:68" ht="12" customHeight="1" x14ac:dyDescent="0.2">
      <c r="A355" s="179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  <c r="AS355" s="108"/>
      <c r="AT355" s="108"/>
      <c r="AU355" s="108"/>
      <c r="AV355" s="108"/>
      <c r="AW355" s="108"/>
      <c r="AX355" s="108"/>
      <c r="AY355" s="108"/>
      <c r="AZ355" s="108"/>
      <c r="BA355" s="108"/>
      <c r="BB355" s="108"/>
      <c r="BC355" s="108"/>
      <c r="BD355" s="108"/>
      <c r="BE355" s="108"/>
      <c r="BF355" s="108"/>
      <c r="BG355" s="108"/>
      <c r="BH355" s="108"/>
      <c r="BI355" s="108"/>
      <c r="BJ355" s="108"/>
      <c r="BK355" s="108"/>
      <c r="BL355" s="108"/>
      <c r="BM355" s="109"/>
      <c r="BN355" s="108"/>
      <c r="BO355" s="108"/>
      <c r="BP355" s="108"/>
    </row>
    <row r="356" spans="1:68" ht="12" customHeight="1" x14ac:dyDescent="0.2">
      <c r="A356" s="179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  <c r="BA356" s="108"/>
      <c r="BB356" s="108"/>
      <c r="BC356" s="108"/>
      <c r="BD356" s="108"/>
      <c r="BE356" s="108"/>
      <c r="BF356" s="108"/>
      <c r="BG356" s="108"/>
      <c r="BH356" s="108"/>
      <c r="BI356" s="108"/>
      <c r="BJ356" s="108"/>
      <c r="BK356" s="108"/>
      <c r="BL356" s="108"/>
      <c r="BM356" s="109"/>
      <c r="BN356" s="108"/>
      <c r="BO356" s="108"/>
      <c r="BP356" s="108"/>
    </row>
    <row r="357" spans="1:68" ht="12" customHeight="1" x14ac:dyDescent="0.2">
      <c r="A357" s="179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  <c r="AS357" s="108"/>
      <c r="AT357" s="108"/>
      <c r="AU357" s="108"/>
      <c r="AV357" s="108"/>
      <c r="AW357" s="108"/>
      <c r="AX357" s="108"/>
      <c r="AY357" s="108"/>
      <c r="AZ357" s="108"/>
      <c r="BA357" s="108"/>
      <c r="BB357" s="108"/>
      <c r="BC357" s="108"/>
      <c r="BD357" s="108"/>
      <c r="BE357" s="108"/>
      <c r="BF357" s="108"/>
      <c r="BG357" s="108"/>
      <c r="BH357" s="108"/>
      <c r="BI357" s="108"/>
      <c r="BJ357" s="108"/>
      <c r="BK357" s="108"/>
      <c r="BL357" s="108"/>
      <c r="BM357" s="109"/>
      <c r="BN357" s="108"/>
      <c r="BO357" s="108"/>
      <c r="BP357" s="108"/>
    </row>
    <row r="358" spans="1:68" ht="12" customHeight="1" x14ac:dyDescent="0.2">
      <c r="A358" s="179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  <c r="AS358" s="108"/>
      <c r="AT358" s="108"/>
      <c r="AU358" s="108"/>
      <c r="AV358" s="108"/>
      <c r="AW358" s="108"/>
      <c r="AX358" s="108"/>
      <c r="AY358" s="108"/>
      <c r="AZ358" s="108"/>
      <c r="BA358" s="108"/>
      <c r="BB358" s="108"/>
      <c r="BC358" s="108"/>
      <c r="BD358" s="108"/>
      <c r="BE358" s="108"/>
      <c r="BF358" s="108"/>
      <c r="BG358" s="108"/>
      <c r="BH358" s="108"/>
      <c r="BI358" s="108"/>
      <c r="BJ358" s="108"/>
      <c r="BK358" s="108"/>
      <c r="BL358" s="108"/>
      <c r="BM358" s="109"/>
      <c r="BN358" s="108"/>
      <c r="BO358" s="108"/>
      <c r="BP358" s="108"/>
    </row>
    <row r="359" spans="1:68" ht="12" customHeight="1" x14ac:dyDescent="0.2">
      <c r="A359" s="179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  <c r="BA359" s="108"/>
      <c r="BB359" s="108"/>
      <c r="BC359" s="108"/>
      <c r="BD359" s="108"/>
      <c r="BE359" s="108"/>
      <c r="BF359" s="108"/>
      <c r="BG359" s="108"/>
      <c r="BH359" s="108"/>
      <c r="BI359" s="108"/>
      <c r="BJ359" s="108"/>
      <c r="BK359" s="108"/>
      <c r="BL359" s="108"/>
      <c r="BM359" s="109"/>
      <c r="BN359" s="108"/>
      <c r="BO359" s="108"/>
      <c r="BP359" s="108"/>
    </row>
    <row r="360" spans="1:68" ht="12" customHeight="1" x14ac:dyDescent="0.2">
      <c r="A360" s="179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08"/>
      <c r="BB360" s="108"/>
      <c r="BC360" s="108"/>
      <c r="BD360" s="108"/>
      <c r="BE360" s="108"/>
      <c r="BF360" s="108"/>
      <c r="BG360" s="108"/>
      <c r="BH360" s="108"/>
      <c r="BI360" s="108"/>
      <c r="BJ360" s="108"/>
      <c r="BK360" s="108"/>
      <c r="BL360" s="108"/>
      <c r="BM360" s="109"/>
      <c r="BN360" s="108"/>
      <c r="BO360" s="108"/>
      <c r="BP360" s="108"/>
    </row>
    <row r="361" spans="1:68" ht="12" customHeight="1" x14ac:dyDescent="0.2">
      <c r="A361" s="179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  <c r="AS361" s="108"/>
      <c r="AT361" s="108"/>
      <c r="AU361" s="108"/>
      <c r="AV361" s="108"/>
      <c r="AW361" s="108"/>
      <c r="AX361" s="108"/>
      <c r="AY361" s="108"/>
      <c r="AZ361" s="108"/>
      <c r="BA361" s="108"/>
      <c r="BB361" s="108"/>
      <c r="BC361" s="108"/>
      <c r="BD361" s="108"/>
      <c r="BE361" s="108"/>
      <c r="BF361" s="108"/>
      <c r="BG361" s="108"/>
      <c r="BH361" s="108"/>
      <c r="BI361" s="108"/>
      <c r="BJ361" s="108"/>
      <c r="BK361" s="108"/>
      <c r="BL361" s="108"/>
      <c r="BM361" s="109"/>
      <c r="BN361" s="108"/>
      <c r="BO361" s="108"/>
      <c r="BP361" s="108"/>
    </row>
    <row r="362" spans="1:68" ht="12" customHeight="1" x14ac:dyDescent="0.2">
      <c r="A362" s="179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  <c r="BC362" s="108"/>
      <c r="BD362" s="108"/>
      <c r="BE362" s="108"/>
      <c r="BF362" s="108"/>
      <c r="BG362" s="108"/>
      <c r="BH362" s="108"/>
      <c r="BI362" s="108"/>
      <c r="BJ362" s="108"/>
      <c r="BK362" s="108"/>
      <c r="BL362" s="108"/>
      <c r="BM362" s="109"/>
      <c r="BN362" s="108"/>
      <c r="BO362" s="108"/>
      <c r="BP362" s="108"/>
    </row>
    <row r="363" spans="1:68" ht="12" customHeight="1" x14ac:dyDescent="0.2">
      <c r="A363" s="179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  <c r="BG363" s="108"/>
      <c r="BH363" s="108"/>
      <c r="BI363" s="108"/>
      <c r="BJ363" s="108"/>
      <c r="BK363" s="108"/>
      <c r="BL363" s="108"/>
      <c r="BM363" s="109"/>
      <c r="BN363" s="108"/>
      <c r="BO363" s="108"/>
      <c r="BP363" s="108"/>
    </row>
    <row r="364" spans="1:68" ht="12" customHeight="1" x14ac:dyDescent="0.2">
      <c r="A364" s="179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  <c r="BC364" s="108"/>
      <c r="BD364" s="108"/>
      <c r="BE364" s="108"/>
      <c r="BF364" s="108"/>
      <c r="BG364" s="108"/>
      <c r="BH364" s="108"/>
      <c r="BI364" s="108"/>
      <c r="BJ364" s="108"/>
      <c r="BK364" s="108"/>
      <c r="BL364" s="108"/>
      <c r="BM364" s="109"/>
      <c r="BN364" s="108"/>
      <c r="BO364" s="108"/>
      <c r="BP364" s="108"/>
    </row>
    <row r="365" spans="1:68" ht="12" customHeight="1" x14ac:dyDescent="0.2">
      <c r="A365" s="179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9"/>
      <c r="BN365" s="108"/>
      <c r="BO365" s="108"/>
      <c r="BP365" s="108"/>
    </row>
    <row r="366" spans="1:68" ht="12" customHeight="1" x14ac:dyDescent="0.2">
      <c r="A366" s="179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  <c r="BC366" s="108"/>
      <c r="BD366" s="108"/>
      <c r="BE366" s="108"/>
      <c r="BF366" s="108"/>
      <c r="BG366" s="108"/>
      <c r="BH366" s="108"/>
      <c r="BI366" s="108"/>
      <c r="BJ366" s="108"/>
      <c r="BK366" s="108"/>
      <c r="BL366" s="108"/>
      <c r="BM366" s="109"/>
      <c r="BN366" s="108"/>
      <c r="BO366" s="108"/>
      <c r="BP366" s="108"/>
    </row>
    <row r="367" spans="1:68" ht="12" customHeight="1" x14ac:dyDescent="0.2">
      <c r="A367" s="179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  <c r="BG367" s="108"/>
      <c r="BH367" s="108"/>
      <c r="BI367" s="108"/>
      <c r="BJ367" s="108"/>
      <c r="BK367" s="108"/>
      <c r="BL367" s="108"/>
      <c r="BM367" s="109"/>
      <c r="BN367" s="108"/>
      <c r="BO367" s="108"/>
      <c r="BP367" s="108"/>
    </row>
    <row r="368" spans="1:68" ht="12" customHeight="1" x14ac:dyDescent="0.2">
      <c r="A368" s="179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9"/>
      <c r="BN368" s="108"/>
      <c r="BO368" s="108"/>
      <c r="BP368" s="108"/>
    </row>
    <row r="369" spans="1:68" ht="12" customHeight="1" x14ac:dyDescent="0.2">
      <c r="A369" s="179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  <c r="BC369" s="108"/>
      <c r="BD369" s="108"/>
      <c r="BE369" s="108"/>
      <c r="BF369" s="108"/>
      <c r="BG369" s="108"/>
      <c r="BH369" s="108"/>
      <c r="BI369" s="108"/>
      <c r="BJ369" s="108"/>
      <c r="BK369" s="108"/>
      <c r="BL369" s="108"/>
      <c r="BM369" s="109"/>
      <c r="BN369" s="108"/>
      <c r="BO369" s="108"/>
      <c r="BP369" s="108"/>
    </row>
    <row r="370" spans="1:68" ht="12" customHeight="1" x14ac:dyDescent="0.2">
      <c r="A370" s="179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  <c r="BC370" s="108"/>
      <c r="BD370" s="108"/>
      <c r="BE370" s="108"/>
      <c r="BF370" s="108"/>
      <c r="BG370" s="108"/>
      <c r="BH370" s="108"/>
      <c r="BI370" s="108"/>
      <c r="BJ370" s="108"/>
      <c r="BK370" s="108"/>
      <c r="BL370" s="108"/>
      <c r="BM370" s="109"/>
      <c r="BN370" s="108"/>
      <c r="BO370" s="108"/>
      <c r="BP370" s="108"/>
    </row>
    <row r="371" spans="1:68" ht="12" customHeight="1" x14ac:dyDescent="0.2">
      <c r="A371" s="179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  <c r="BC371" s="108"/>
      <c r="BD371" s="108"/>
      <c r="BE371" s="108"/>
      <c r="BF371" s="108"/>
      <c r="BG371" s="108"/>
      <c r="BH371" s="108"/>
      <c r="BI371" s="108"/>
      <c r="BJ371" s="108"/>
      <c r="BK371" s="108"/>
      <c r="BL371" s="108"/>
      <c r="BM371" s="109"/>
      <c r="BN371" s="108"/>
      <c r="BO371" s="108"/>
      <c r="BP371" s="108"/>
    </row>
    <row r="372" spans="1:68" ht="12" customHeight="1" x14ac:dyDescent="0.2">
      <c r="A372" s="179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  <c r="BC372" s="108"/>
      <c r="BD372" s="108"/>
      <c r="BE372" s="108"/>
      <c r="BF372" s="108"/>
      <c r="BG372" s="108"/>
      <c r="BH372" s="108"/>
      <c r="BI372" s="108"/>
      <c r="BJ372" s="108"/>
      <c r="BK372" s="108"/>
      <c r="BL372" s="108"/>
      <c r="BM372" s="109"/>
      <c r="BN372" s="108"/>
      <c r="BO372" s="108"/>
      <c r="BP372" s="108"/>
    </row>
    <row r="373" spans="1:68" ht="12" customHeight="1" x14ac:dyDescent="0.2">
      <c r="A373" s="179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  <c r="BC373" s="108"/>
      <c r="BD373" s="108"/>
      <c r="BE373" s="108"/>
      <c r="BF373" s="108"/>
      <c r="BG373" s="108"/>
      <c r="BH373" s="108"/>
      <c r="BI373" s="108"/>
      <c r="BJ373" s="108"/>
      <c r="BK373" s="108"/>
      <c r="BL373" s="108"/>
      <c r="BM373" s="109"/>
      <c r="BN373" s="108"/>
      <c r="BO373" s="108"/>
      <c r="BP373" s="108"/>
    </row>
    <row r="374" spans="1:68" ht="12" customHeight="1" x14ac:dyDescent="0.2">
      <c r="A374" s="179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  <c r="BC374" s="108"/>
      <c r="BD374" s="108"/>
      <c r="BE374" s="108"/>
      <c r="BF374" s="108"/>
      <c r="BG374" s="108"/>
      <c r="BH374" s="108"/>
      <c r="BI374" s="108"/>
      <c r="BJ374" s="108"/>
      <c r="BK374" s="108"/>
      <c r="BL374" s="108"/>
      <c r="BM374" s="109"/>
      <c r="BN374" s="108"/>
      <c r="BO374" s="108"/>
      <c r="BP374" s="108"/>
    </row>
    <row r="375" spans="1:68" ht="12" customHeight="1" x14ac:dyDescent="0.2">
      <c r="A375" s="179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  <c r="BC375" s="108"/>
      <c r="BD375" s="108"/>
      <c r="BE375" s="108"/>
      <c r="BF375" s="108"/>
      <c r="BG375" s="108"/>
      <c r="BH375" s="108"/>
      <c r="BI375" s="108"/>
      <c r="BJ375" s="108"/>
      <c r="BK375" s="108"/>
      <c r="BL375" s="108"/>
      <c r="BM375" s="109"/>
      <c r="BN375" s="108"/>
      <c r="BO375" s="108"/>
      <c r="BP375" s="108"/>
    </row>
    <row r="376" spans="1:68" ht="12" customHeight="1" x14ac:dyDescent="0.2">
      <c r="A376" s="179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  <c r="BC376" s="108"/>
      <c r="BD376" s="108"/>
      <c r="BE376" s="108"/>
      <c r="BF376" s="108"/>
      <c r="BG376" s="108"/>
      <c r="BH376" s="108"/>
      <c r="BI376" s="108"/>
      <c r="BJ376" s="108"/>
      <c r="BK376" s="108"/>
      <c r="BL376" s="108"/>
      <c r="BM376" s="109"/>
      <c r="BN376" s="108"/>
      <c r="BO376" s="108"/>
      <c r="BP376" s="108"/>
    </row>
    <row r="377" spans="1:68" ht="12" customHeight="1" x14ac:dyDescent="0.2">
      <c r="A377" s="179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8"/>
      <c r="BE377" s="108"/>
      <c r="BF377" s="108"/>
      <c r="BG377" s="108"/>
      <c r="BH377" s="108"/>
      <c r="BI377" s="108"/>
      <c r="BJ377" s="108"/>
      <c r="BK377" s="108"/>
      <c r="BL377" s="108"/>
      <c r="BM377" s="109"/>
      <c r="BN377" s="108"/>
      <c r="BO377" s="108"/>
      <c r="BP377" s="108"/>
    </row>
    <row r="378" spans="1:68" ht="12" customHeight="1" x14ac:dyDescent="0.2">
      <c r="A378" s="179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  <c r="BG378" s="108"/>
      <c r="BH378" s="108"/>
      <c r="BI378" s="108"/>
      <c r="BJ378" s="108"/>
      <c r="BK378" s="108"/>
      <c r="BL378" s="108"/>
      <c r="BM378" s="109"/>
      <c r="BN378" s="108"/>
      <c r="BO378" s="108"/>
      <c r="BP378" s="108"/>
    </row>
    <row r="379" spans="1:68" ht="12" customHeight="1" x14ac:dyDescent="0.2">
      <c r="A379" s="179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  <c r="BC379" s="108"/>
      <c r="BD379" s="108"/>
      <c r="BE379" s="108"/>
      <c r="BF379" s="108"/>
      <c r="BG379" s="108"/>
      <c r="BH379" s="108"/>
      <c r="BI379" s="108"/>
      <c r="BJ379" s="108"/>
      <c r="BK379" s="108"/>
      <c r="BL379" s="108"/>
      <c r="BM379" s="109"/>
      <c r="BN379" s="108"/>
      <c r="BO379" s="108"/>
      <c r="BP379" s="108"/>
    </row>
    <row r="380" spans="1:68" ht="12" customHeight="1" x14ac:dyDescent="0.2">
      <c r="A380" s="179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  <c r="BC380" s="108"/>
      <c r="BD380" s="108"/>
      <c r="BE380" s="108"/>
      <c r="BF380" s="108"/>
      <c r="BG380" s="108"/>
      <c r="BH380" s="108"/>
      <c r="BI380" s="108"/>
      <c r="BJ380" s="108"/>
      <c r="BK380" s="108"/>
      <c r="BL380" s="108"/>
      <c r="BM380" s="109"/>
      <c r="BN380" s="108"/>
      <c r="BO380" s="108"/>
      <c r="BP380" s="108"/>
    </row>
    <row r="381" spans="1:68" ht="12" customHeight="1" x14ac:dyDescent="0.2">
      <c r="A381" s="179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  <c r="BC381" s="108"/>
      <c r="BD381" s="108"/>
      <c r="BE381" s="108"/>
      <c r="BF381" s="108"/>
      <c r="BG381" s="108"/>
      <c r="BH381" s="108"/>
      <c r="BI381" s="108"/>
      <c r="BJ381" s="108"/>
      <c r="BK381" s="108"/>
      <c r="BL381" s="108"/>
      <c r="BM381" s="109"/>
      <c r="BN381" s="108"/>
      <c r="BO381" s="108"/>
      <c r="BP381" s="108"/>
    </row>
    <row r="382" spans="1:68" ht="12" customHeight="1" x14ac:dyDescent="0.2">
      <c r="A382" s="179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  <c r="BG382" s="108"/>
      <c r="BH382" s="108"/>
      <c r="BI382" s="108"/>
      <c r="BJ382" s="108"/>
      <c r="BK382" s="108"/>
      <c r="BL382" s="108"/>
      <c r="BM382" s="109"/>
      <c r="BN382" s="108"/>
      <c r="BO382" s="108"/>
      <c r="BP382" s="108"/>
    </row>
    <row r="383" spans="1:68" ht="12" customHeight="1" x14ac:dyDescent="0.2">
      <c r="A383" s="179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  <c r="BC383" s="108"/>
      <c r="BD383" s="108"/>
      <c r="BE383" s="108"/>
      <c r="BF383" s="108"/>
      <c r="BG383" s="108"/>
      <c r="BH383" s="108"/>
      <c r="BI383" s="108"/>
      <c r="BJ383" s="108"/>
      <c r="BK383" s="108"/>
      <c r="BL383" s="108"/>
      <c r="BM383" s="109"/>
      <c r="BN383" s="108"/>
      <c r="BO383" s="108"/>
      <c r="BP383" s="108"/>
    </row>
    <row r="384" spans="1:68" ht="12" customHeight="1" x14ac:dyDescent="0.2">
      <c r="A384" s="179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  <c r="BC384" s="108"/>
      <c r="BD384" s="108"/>
      <c r="BE384" s="108"/>
      <c r="BF384" s="108"/>
      <c r="BG384" s="108"/>
      <c r="BH384" s="108"/>
      <c r="BI384" s="108"/>
      <c r="BJ384" s="108"/>
      <c r="BK384" s="108"/>
      <c r="BL384" s="108"/>
      <c r="BM384" s="109"/>
      <c r="BN384" s="108"/>
      <c r="BO384" s="108"/>
      <c r="BP384" s="108"/>
    </row>
    <row r="385" spans="1:68" ht="12" customHeight="1" x14ac:dyDescent="0.2">
      <c r="A385" s="179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  <c r="BC385" s="108"/>
      <c r="BD385" s="108"/>
      <c r="BE385" s="108"/>
      <c r="BF385" s="108"/>
      <c r="BG385" s="108"/>
      <c r="BH385" s="108"/>
      <c r="BI385" s="108"/>
      <c r="BJ385" s="108"/>
      <c r="BK385" s="108"/>
      <c r="BL385" s="108"/>
      <c r="BM385" s="109"/>
      <c r="BN385" s="108"/>
      <c r="BO385" s="108"/>
      <c r="BP385" s="108"/>
    </row>
    <row r="386" spans="1:68" ht="12" customHeight="1" x14ac:dyDescent="0.2">
      <c r="A386" s="179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  <c r="BG386" s="108"/>
      <c r="BH386" s="108"/>
      <c r="BI386" s="108"/>
      <c r="BJ386" s="108"/>
      <c r="BK386" s="108"/>
      <c r="BL386" s="108"/>
      <c r="BM386" s="109"/>
      <c r="BN386" s="108"/>
      <c r="BO386" s="108"/>
      <c r="BP386" s="108"/>
    </row>
    <row r="387" spans="1:68" ht="12" customHeight="1" x14ac:dyDescent="0.2">
      <c r="A387" s="179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  <c r="BG387" s="108"/>
      <c r="BH387" s="108"/>
      <c r="BI387" s="108"/>
      <c r="BJ387" s="108"/>
      <c r="BK387" s="108"/>
      <c r="BL387" s="108"/>
      <c r="BM387" s="109"/>
      <c r="BN387" s="108"/>
      <c r="BO387" s="108"/>
      <c r="BP387" s="108"/>
    </row>
    <row r="388" spans="1:68" ht="12" customHeight="1" x14ac:dyDescent="0.2">
      <c r="A388" s="179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  <c r="BG388" s="108"/>
      <c r="BH388" s="108"/>
      <c r="BI388" s="108"/>
      <c r="BJ388" s="108"/>
      <c r="BK388" s="108"/>
      <c r="BL388" s="108"/>
      <c r="BM388" s="109"/>
      <c r="BN388" s="108"/>
      <c r="BO388" s="108"/>
      <c r="BP388" s="108"/>
    </row>
    <row r="389" spans="1:68" ht="12" customHeight="1" x14ac:dyDescent="0.2">
      <c r="A389" s="179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8"/>
      <c r="BL389" s="108"/>
      <c r="BM389" s="109"/>
      <c r="BN389" s="108"/>
      <c r="BO389" s="108"/>
      <c r="BP389" s="108"/>
    </row>
    <row r="390" spans="1:68" ht="12" customHeight="1" x14ac:dyDescent="0.2">
      <c r="A390" s="179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  <c r="BG390" s="108"/>
      <c r="BH390" s="108"/>
      <c r="BI390" s="108"/>
      <c r="BJ390" s="108"/>
      <c r="BK390" s="108"/>
      <c r="BL390" s="108"/>
      <c r="BM390" s="109"/>
      <c r="BN390" s="108"/>
      <c r="BO390" s="108"/>
      <c r="BP390" s="108"/>
    </row>
    <row r="391" spans="1:68" ht="12" customHeight="1" x14ac:dyDescent="0.2">
      <c r="A391" s="179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  <c r="BG391" s="108"/>
      <c r="BH391" s="108"/>
      <c r="BI391" s="108"/>
      <c r="BJ391" s="108"/>
      <c r="BK391" s="108"/>
      <c r="BL391" s="108"/>
      <c r="BM391" s="109"/>
      <c r="BN391" s="108"/>
      <c r="BO391" s="108"/>
      <c r="BP391" s="108"/>
    </row>
    <row r="392" spans="1:68" ht="12" customHeight="1" x14ac:dyDescent="0.2">
      <c r="A392" s="179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  <c r="BC392" s="108"/>
      <c r="BD392" s="108"/>
      <c r="BE392" s="108"/>
      <c r="BF392" s="108"/>
      <c r="BG392" s="108"/>
      <c r="BH392" s="108"/>
      <c r="BI392" s="108"/>
      <c r="BJ392" s="108"/>
      <c r="BK392" s="108"/>
      <c r="BL392" s="108"/>
      <c r="BM392" s="109"/>
      <c r="BN392" s="108"/>
      <c r="BO392" s="108"/>
      <c r="BP392" s="108"/>
    </row>
    <row r="393" spans="1:68" ht="12" customHeight="1" x14ac:dyDescent="0.2">
      <c r="A393" s="179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  <c r="BC393" s="108"/>
      <c r="BD393" s="108"/>
      <c r="BE393" s="108"/>
      <c r="BF393" s="108"/>
      <c r="BG393" s="108"/>
      <c r="BH393" s="108"/>
      <c r="BI393" s="108"/>
      <c r="BJ393" s="108"/>
      <c r="BK393" s="108"/>
      <c r="BL393" s="108"/>
      <c r="BM393" s="109"/>
      <c r="BN393" s="108"/>
      <c r="BO393" s="108"/>
      <c r="BP393" s="108"/>
    </row>
    <row r="394" spans="1:68" ht="12" customHeight="1" x14ac:dyDescent="0.2">
      <c r="A394" s="179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  <c r="BC394" s="108"/>
      <c r="BD394" s="108"/>
      <c r="BE394" s="108"/>
      <c r="BF394" s="108"/>
      <c r="BG394" s="108"/>
      <c r="BH394" s="108"/>
      <c r="BI394" s="108"/>
      <c r="BJ394" s="108"/>
      <c r="BK394" s="108"/>
      <c r="BL394" s="108"/>
      <c r="BM394" s="109"/>
      <c r="BN394" s="108"/>
      <c r="BO394" s="108"/>
      <c r="BP394" s="108"/>
    </row>
    <row r="395" spans="1:68" ht="12" customHeight="1" x14ac:dyDescent="0.2">
      <c r="A395" s="179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  <c r="BK395" s="108"/>
      <c r="BL395" s="108"/>
      <c r="BM395" s="109"/>
      <c r="BN395" s="108"/>
      <c r="BO395" s="108"/>
      <c r="BP395" s="108"/>
    </row>
    <row r="396" spans="1:68" ht="12" customHeight="1" x14ac:dyDescent="0.2">
      <c r="A396" s="179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  <c r="BG396" s="108"/>
      <c r="BH396" s="108"/>
      <c r="BI396" s="108"/>
      <c r="BJ396" s="108"/>
      <c r="BK396" s="108"/>
      <c r="BL396" s="108"/>
      <c r="BM396" s="109"/>
      <c r="BN396" s="108"/>
      <c r="BO396" s="108"/>
      <c r="BP396" s="108"/>
    </row>
    <row r="397" spans="1:68" ht="12" customHeight="1" x14ac:dyDescent="0.2">
      <c r="A397" s="179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  <c r="BC397" s="108"/>
      <c r="BD397" s="108"/>
      <c r="BE397" s="108"/>
      <c r="BF397" s="108"/>
      <c r="BG397" s="108"/>
      <c r="BH397" s="108"/>
      <c r="BI397" s="108"/>
      <c r="BJ397" s="108"/>
      <c r="BK397" s="108"/>
      <c r="BL397" s="108"/>
      <c r="BM397" s="109"/>
      <c r="BN397" s="108"/>
      <c r="BO397" s="108"/>
      <c r="BP397" s="108"/>
    </row>
    <row r="398" spans="1:68" ht="12" customHeight="1" x14ac:dyDescent="0.2">
      <c r="A398" s="179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  <c r="BG398" s="108"/>
      <c r="BH398" s="108"/>
      <c r="BI398" s="108"/>
      <c r="BJ398" s="108"/>
      <c r="BK398" s="108"/>
      <c r="BL398" s="108"/>
      <c r="BM398" s="109"/>
      <c r="BN398" s="108"/>
      <c r="BO398" s="108"/>
      <c r="BP398" s="108"/>
    </row>
    <row r="399" spans="1:68" ht="12" customHeight="1" x14ac:dyDescent="0.2">
      <c r="A399" s="179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  <c r="BC399" s="108"/>
      <c r="BD399" s="108"/>
      <c r="BE399" s="108"/>
      <c r="BF399" s="108"/>
      <c r="BG399" s="108"/>
      <c r="BH399" s="108"/>
      <c r="BI399" s="108"/>
      <c r="BJ399" s="108"/>
      <c r="BK399" s="108"/>
      <c r="BL399" s="108"/>
      <c r="BM399" s="109"/>
      <c r="BN399" s="108"/>
      <c r="BO399" s="108"/>
      <c r="BP399" s="108"/>
    </row>
    <row r="400" spans="1:68" ht="12" customHeight="1" x14ac:dyDescent="0.2">
      <c r="A400" s="179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  <c r="BC400" s="108"/>
      <c r="BD400" s="108"/>
      <c r="BE400" s="108"/>
      <c r="BF400" s="108"/>
      <c r="BG400" s="108"/>
      <c r="BH400" s="108"/>
      <c r="BI400" s="108"/>
      <c r="BJ400" s="108"/>
      <c r="BK400" s="108"/>
      <c r="BL400" s="108"/>
      <c r="BM400" s="109"/>
      <c r="BN400" s="108"/>
      <c r="BO400" s="108"/>
      <c r="BP400" s="108"/>
    </row>
    <row r="401" spans="1:68" ht="12" customHeight="1" x14ac:dyDescent="0.2">
      <c r="A401" s="179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  <c r="BC401" s="108"/>
      <c r="BD401" s="108"/>
      <c r="BE401" s="108"/>
      <c r="BF401" s="108"/>
      <c r="BG401" s="108"/>
      <c r="BH401" s="108"/>
      <c r="BI401" s="108"/>
      <c r="BJ401" s="108"/>
      <c r="BK401" s="108"/>
      <c r="BL401" s="108"/>
      <c r="BM401" s="109"/>
      <c r="BN401" s="108"/>
      <c r="BO401" s="108"/>
      <c r="BP401" s="108"/>
    </row>
    <row r="402" spans="1:68" ht="12" customHeight="1" x14ac:dyDescent="0.2">
      <c r="A402" s="179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  <c r="BC402" s="108"/>
      <c r="BD402" s="108"/>
      <c r="BE402" s="108"/>
      <c r="BF402" s="108"/>
      <c r="BG402" s="108"/>
      <c r="BH402" s="108"/>
      <c r="BI402" s="108"/>
      <c r="BJ402" s="108"/>
      <c r="BK402" s="108"/>
      <c r="BL402" s="108"/>
      <c r="BM402" s="109"/>
      <c r="BN402" s="108"/>
      <c r="BO402" s="108"/>
      <c r="BP402" s="108"/>
    </row>
    <row r="403" spans="1:68" ht="12" customHeight="1" x14ac:dyDescent="0.2">
      <c r="A403" s="179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9"/>
      <c r="BN403" s="108"/>
      <c r="BO403" s="108"/>
      <c r="BP403" s="108"/>
    </row>
    <row r="404" spans="1:68" ht="12" customHeight="1" x14ac:dyDescent="0.2">
      <c r="A404" s="179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  <c r="BC404" s="108"/>
      <c r="BD404" s="108"/>
      <c r="BE404" s="108"/>
      <c r="BF404" s="108"/>
      <c r="BG404" s="108"/>
      <c r="BH404" s="108"/>
      <c r="BI404" s="108"/>
      <c r="BJ404" s="108"/>
      <c r="BK404" s="108"/>
      <c r="BL404" s="108"/>
      <c r="BM404" s="109"/>
      <c r="BN404" s="108"/>
      <c r="BO404" s="108"/>
      <c r="BP404" s="108"/>
    </row>
    <row r="405" spans="1:68" ht="12" customHeight="1" x14ac:dyDescent="0.2">
      <c r="A405" s="179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  <c r="BG405" s="108"/>
      <c r="BH405" s="108"/>
      <c r="BI405" s="108"/>
      <c r="BJ405" s="108"/>
      <c r="BK405" s="108"/>
      <c r="BL405" s="108"/>
      <c r="BM405" s="109"/>
      <c r="BN405" s="108"/>
      <c r="BO405" s="108"/>
      <c r="BP405" s="108"/>
    </row>
    <row r="406" spans="1:68" ht="12" customHeight="1" x14ac:dyDescent="0.2">
      <c r="A406" s="179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9"/>
      <c r="BN406" s="108"/>
      <c r="BO406" s="108"/>
      <c r="BP406" s="108"/>
    </row>
    <row r="407" spans="1:68" ht="12" customHeight="1" x14ac:dyDescent="0.2">
      <c r="A407" s="179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  <c r="BG407" s="108"/>
      <c r="BH407" s="108"/>
      <c r="BI407" s="108"/>
      <c r="BJ407" s="108"/>
      <c r="BK407" s="108"/>
      <c r="BL407" s="108"/>
      <c r="BM407" s="109"/>
      <c r="BN407" s="108"/>
      <c r="BO407" s="108"/>
      <c r="BP407" s="108"/>
    </row>
    <row r="408" spans="1:68" ht="12" customHeight="1" x14ac:dyDescent="0.2">
      <c r="A408" s="179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  <c r="BC408" s="108"/>
      <c r="BD408" s="108"/>
      <c r="BE408" s="108"/>
      <c r="BF408" s="108"/>
      <c r="BG408" s="108"/>
      <c r="BH408" s="108"/>
      <c r="BI408" s="108"/>
      <c r="BJ408" s="108"/>
      <c r="BK408" s="108"/>
      <c r="BL408" s="108"/>
      <c r="BM408" s="109"/>
      <c r="BN408" s="108"/>
      <c r="BO408" s="108"/>
      <c r="BP408" s="108"/>
    </row>
    <row r="409" spans="1:68" ht="12" customHeight="1" x14ac:dyDescent="0.2">
      <c r="A409" s="179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  <c r="BG409" s="108"/>
      <c r="BH409" s="108"/>
      <c r="BI409" s="108"/>
      <c r="BJ409" s="108"/>
      <c r="BK409" s="108"/>
      <c r="BL409" s="108"/>
      <c r="BM409" s="109"/>
      <c r="BN409" s="108"/>
      <c r="BO409" s="108"/>
      <c r="BP409" s="108"/>
    </row>
    <row r="410" spans="1:68" ht="12" customHeight="1" x14ac:dyDescent="0.2">
      <c r="A410" s="179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  <c r="BG410" s="108"/>
      <c r="BH410" s="108"/>
      <c r="BI410" s="108"/>
      <c r="BJ410" s="108"/>
      <c r="BK410" s="108"/>
      <c r="BL410" s="108"/>
      <c r="BM410" s="109"/>
      <c r="BN410" s="108"/>
      <c r="BO410" s="108"/>
      <c r="BP410" s="108"/>
    </row>
    <row r="411" spans="1:68" ht="12" customHeight="1" x14ac:dyDescent="0.2">
      <c r="A411" s="179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  <c r="BC411" s="108"/>
      <c r="BD411" s="108"/>
      <c r="BE411" s="108"/>
      <c r="BF411" s="108"/>
      <c r="BG411" s="108"/>
      <c r="BH411" s="108"/>
      <c r="BI411" s="108"/>
      <c r="BJ411" s="108"/>
      <c r="BK411" s="108"/>
      <c r="BL411" s="108"/>
      <c r="BM411" s="109"/>
      <c r="BN411" s="108"/>
      <c r="BO411" s="108"/>
      <c r="BP411" s="108"/>
    </row>
    <row r="412" spans="1:68" ht="12" customHeight="1" x14ac:dyDescent="0.2">
      <c r="A412" s="179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  <c r="BG412" s="108"/>
      <c r="BH412" s="108"/>
      <c r="BI412" s="108"/>
      <c r="BJ412" s="108"/>
      <c r="BK412" s="108"/>
      <c r="BL412" s="108"/>
      <c r="BM412" s="109"/>
      <c r="BN412" s="108"/>
      <c r="BO412" s="108"/>
      <c r="BP412" s="108"/>
    </row>
    <row r="413" spans="1:68" ht="12" customHeight="1" x14ac:dyDescent="0.2">
      <c r="A413" s="179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  <c r="BG413" s="108"/>
      <c r="BH413" s="108"/>
      <c r="BI413" s="108"/>
      <c r="BJ413" s="108"/>
      <c r="BK413" s="108"/>
      <c r="BL413" s="108"/>
      <c r="BM413" s="109"/>
      <c r="BN413" s="108"/>
      <c r="BO413" s="108"/>
      <c r="BP413" s="108"/>
    </row>
    <row r="414" spans="1:68" ht="12" customHeight="1" x14ac:dyDescent="0.2">
      <c r="A414" s="179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  <c r="BC414" s="108"/>
      <c r="BD414" s="108"/>
      <c r="BE414" s="108"/>
      <c r="BF414" s="108"/>
      <c r="BG414" s="108"/>
      <c r="BH414" s="108"/>
      <c r="BI414" s="108"/>
      <c r="BJ414" s="108"/>
      <c r="BK414" s="108"/>
      <c r="BL414" s="108"/>
      <c r="BM414" s="109"/>
      <c r="BN414" s="108"/>
      <c r="BO414" s="108"/>
      <c r="BP414" s="108"/>
    </row>
    <row r="415" spans="1:68" ht="12" customHeight="1" x14ac:dyDescent="0.2">
      <c r="A415" s="179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8"/>
      <c r="BI415" s="108"/>
      <c r="BJ415" s="108"/>
      <c r="BK415" s="108"/>
      <c r="BL415" s="108"/>
      <c r="BM415" s="109"/>
      <c r="BN415" s="108"/>
      <c r="BO415" s="108"/>
      <c r="BP415" s="108"/>
    </row>
    <row r="416" spans="1:68" ht="12" customHeight="1" x14ac:dyDescent="0.2">
      <c r="A416" s="179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  <c r="BG416" s="108"/>
      <c r="BH416" s="108"/>
      <c r="BI416" s="108"/>
      <c r="BJ416" s="108"/>
      <c r="BK416" s="108"/>
      <c r="BL416" s="108"/>
      <c r="BM416" s="109"/>
      <c r="BN416" s="108"/>
      <c r="BO416" s="108"/>
      <c r="BP416" s="108"/>
    </row>
    <row r="417" spans="1:68" ht="12" customHeight="1" x14ac:dyDescent="0.2">
      <c r="A417" s="179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  <c r="BG417" s="108"/>
      <c r="BH417" s="108"/>
      <c r="BI417" s="108"/>
      <c r="BJ417" s="108"/>
      <c r="BK417" s="108"/>
      <c r="BL417" s="108"/>
      <c r="BM417" s="109"/>
      <c r="BN417" s="108"/>
      <c r="BO417" s="108"/>
      <c r="BP417" s="108"/>
    </row>
    <row r="418" spans="1:68" ht="12" customHeight="1" x14ac:dyDescent="0.2">
      <c r="A418" s="179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  <c r="BG418" s="108"/>
      <c r="BH418" s="108"/>
      <c r="BI418" s="108"/>
      <c r="BJ418" s="108"/>
      <c r="BK418" s="108"/>
      <c r="BL418" s="108"/>
      <c r="BM418" s="109"/>
      <c r="BN418" s="108"/>
      <c r="BO418" s="108"/>
      <c r="BP418" s="108"/>
    </row>
    <row r="419" spans="1:68" ht="12" customHeight="1" x14ac:dyDescent="0.2">
      <c r="A419" s="179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8"/>
      <c r="BI419" s="108"/>
      <c r="BJ419" s="108"/>
      <c r="BK419" s="108"/>
      <c r="BL419" s="108"/>
      <c r="BM419" s="109"/>
      <c r="BN419" s="108"/>
      <c r="BO419" s="108"/>
      <c r="BP419" s="108"/>
    </row>
    <row r="420" spans="1:68" ht="12" customHeight="1" x14ac:dyDescent="0.2">
      <c r="A420" s="179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8"/>
      <c r="BI420" s="108"/>
      <c r="BJ420" s="108"/>
      <c r="BK420" s="108"/>
      <c r="BL420" s="108"/>
      <c r="BM420" s="109"/>
      <c r="BN420" s="108"/>
      <c r="BO420" s="108"/>
      <c r="BP420" s="108"/>
    </row>
    <row r="421" spans="1:68" ht="12" customHeight="1" x14ac:dyDescent="0.2">
      <c r="A421" s="179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8"/>
      <c r="BI421" s="108"/>
      <c r="BJ421" s="108"/>
      <c r="BK421" s="108"/>
      <c r="BL421" s="108"/>
      <c r="BM421" s="109"/>
      <c r="BN421" s="108"/>
      <c r="BO421" s="108"/>
      <c r="BP421" s="108"/>
    </row>
    <row r="422" spans="1:68" ht="12" customHeight="1" x14ac:dyDescent="0.2">
      <c r="A422" s="179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108"/>
      <c r="BL422" s="108"/>
      <c r="BM422" s="109"/>
      <c r="BN422" s="108"/>
      <c r="BO422" s="108"/>
      <c r="BP422" s="108"/>
    </row>
    <row r="423" spans="1:68" ht="12" customHeight="1" x14ac:dyDescent="0.2">
      <c r="A423" s="179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8"/>
      <c r="BI423" s="108"/>
      <c r="BJ423" s="108"/>
      <c r="BK423" s="108"/>
      <c r="BL423" s="108"/>
      <c r="BM423" s="109"/>
      <c r="BN423" s="108"/>
      <c r="BO423" s="108"/>
      <c r="BP423" s="108"/>
    </row>
    <row r="424" spans="1:68" ht="12" customHeight="1" x14ac:dyDescent="0.2">
      <c r="A424" s="179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8"/>
      <c r="BI424" s="108"/>
      <c r="BJ424" s="108"/>
      <c r="BK424" s="108"/>
      <c r="BL424" s="108"/>
      <c r="BM424" s="109"/>
      <c r="BN424" s="108"/>
      <c r="BO424" s="108"/>
      <c r="BP424" s="108"/>
    </row>
    <row r="425" spans="1:68" ht="12" customHeight="1" x14ac:dyDescent="0.2">
      <c r="A425" s="179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8"/>
      <c r="BI425" s="108"/>
      <c r="BJ425" s="108"/>
      <c r="BK425" s="108"/>
      <c r="BL425" s="108"/>
      <c r="BM425" s="109"/>
      <c r="BN425" s="108"/>
      <c r="BO425" s="108"/>
      <c r="BP425" s="108"/>
    </row>
    <row r="426" spans="1:68" ht="12" customHeight="1" x14ac:dyDescent="0.2">
      <c r="A426" s="179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8"/>
      <c r="BI426" s="108"/>
      <c r="BJ426" s="108"/>
      <c r="BK426" s="108"/>
      <c r="BL426" s="108"/>
      <c r="BM426" s="109"/>
      <c r="BN426" s="108"/>
      <c r="BO426" s="108"/>
      <c r="BP426" s="108"/>
    </row>
    <row r="427" spans="1:68" ht="12" customHeight="1" x14ac:dyDescent="0.2">
      <c r="A427" s="179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8"/>
      <c r="BI427" s="108"/>
      <c r="BJ427" s="108"/>
      <c r="BK427" s="108"/>
      <c r="BL427" s="108"/>
      <c r="BM427" s="109"/>
      <c r="BN427" s="108"/>
      <c r="BO427" s="108"/>
      <c r="BP427" s="108"/>
    </row>
    <row r="428" spans="1:68" ht="12" customHeight="1" x14ac:dyDescent="0.2">
      <c r="A428" s="179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8"/>
      <c r="BI428" s="108"/>
      <c r="BJ428" s="108"/>
      <c r="BK428" s="108"/>
      <c r="BL428" s="108"/>
      <c r="BM428" s="109"/>
      <c r="BN428" s="108"/>
      <c r="BO428" s="108"/>
      <c r="BP428" s="108"/>
    </row>
    <row r="429" spans="1:68" ht="12" customHeight="1" x14ac:dyDescent="0.2">
      <c r="A429" s="179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  <c r="BG429" s="108"/>
      <c r="BH429" s="108"/>
      <c r="BI429" s="108"/>
      <c r="BJ429" s="108"/>
      <c r="BK429" s="108"/>
      <c r="BL429" s="108"/>
      <c r="BM429" s="109"/>
      <c r="BN429" s="108"/>
      <c r="BO429" s="108"/>
      <c r="BP429" s="108"/>
    </row>
    <row r="430" spans="1:68" ht="12" customHeight="1" x14ac:dyDescent="0.2">
      <c r="A430" s="179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  <c r="BG430" s="108"/>
      <c r="BH430" s="108"/>
      <c r="BI430" s="108"/>
      <c r="BJ430" s="108"/>
      <c r="BK430" s="108"/>
      <c r="BL430" s="108"/>
      <c r="BM430" s="109"/>
      <c r="BN430" s="108"/>
      <c r="BO430" s="108"/>
      <c r="BP430" s="108"/>
    </row>
    <row r="431" spans="1:68" ht="12" customHeight="1" x14ac:dyDescent="0.2">
      <c r="A431" s="179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8"/>
      <c r="BI431" s="108"/>
      <c r="BJ431" s="108"/>
      <c r="BK431" s="108"/>
      <c r="BL431" s="108"/>
      <c r="BM431" s="109"/>
      <c r="BN431" s="108"/>
      <c r="BO431" s="108"/>
      <c r="BP431" s="108"/>
    </row>
    <row r="432" spans="1:68" ht="12" customHeight="1" x14ac:dyDescent="0.2">
      <c r="A432" s="179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  <c r="BG432" s="108"/>
      <c r="BH432" s="108"/>
      <c r="BI432" s="108"/>
      <c r="BJ432" s="108"/>
      <c r="BK432" s="108"/>
      <c r="BL432" s="108"/>
      <c r="BM432" s="109"/>
      <c r="BN432" s="108"/>
      <c r="BO432" s="108"/>
      <c r="BP432" s="108"/>
    </row>
    <row r="433" spans="1:68" ht="12" customHeight="1" x14ac:dyDescent="0.2">
      <c r="A433" s="179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  <c r="BG433" s="108"/>
      <c r="BH433" s="108"/>
      <c r="BI433" s="108"/>
      <c r="BJ433" s="108"/>
      <c r="BK433" s="108"/>
      <c r="BL433" s="108"/>
      <c r="BM433" s="109"/>
      <c r="BN433" s="108"/>
      <c r="BO433" s="108"/>
      <c r="BP433" s="108"/>
    </row>
    <row r="434" spans="1:68" ht="12" customHeight="1" x14ac:dyDescent="0.2">
      <c r="A434" s="179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8"/>
      <c r="BI434" s="108"/>
      <c r="BJ434" s="108"/>
      <c r="BK434" s="108"/>
      <c r="BL434" s="108"/>
      <c r="BM434" s="109"/>
      <c r="BN434" s="108"/>
      <c r="BO434" s="108"/>
      <c r="BP434" s="108"/>
    </row>
    <row r="435" spans="1:68" ht="12" customHeight="1" x14ac:dyDescent="0.2">
      <c r="A435" s="179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8"/>
      <c r="BI435" s="108"/>
      <c r="BJ435" s="108"/>
      <c r="BK435" s="108"/>
      <c r="BL435" s="108"/>
      <c r="BM435" s="109"/>
      <c r="BN435" s="108"/>
      <c r="BO435" s="108"/>
      <c r="BP435" s="108"/>
    </row>
    <row r="436" spans="1:68" ht="12" customHeight="1" x14ac:dyDescent="0.2">
      <c r="A436" s="179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108"/>
      <c r="BL436" s="108"/>
      <c r="BM436" s="109"/>
      <c r="BN436" s="108"/>
      <c r="BO436" s="108"/>
      <c r="BP436" s="108"/>
    </row>
    <row r="437" spans="1:68" ht="12" customHeight="1" x14ac:dyDescent="0.2">
      <c r="A437" s="179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108"/>
      <c r="BL437" s="108"/>
      <c r="BM437" s="109"/>
      <c r="BN437" s="108"/>
      <c r="BO437" s="108"/>
      <c r="BP437" s="108"/>
    </row>
    <row r="438" spans="1:68" ht="12" customHeight="1" x14ac:dyDescent="0.2">
      <c r="A438" s="179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108"/>
      <c r="BL438" s="108"/>
      <c r="BM438" s="109"/>
      <c r="BN438" s="108"/>
      <c r="BO438" s="108"/>
      <c r="BP438" s="108"/>
    </row>
    <row r="439" spans="1:68" ht="12" customHeight="1" x14ac:dyDescent="0.2">
      <c r="A439" s="179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8"/>
      <c r="BI439" s="108"/>
      <c r="BJ439" s="108"/>
      <c r="BK439" s="108"/>
      <c r="BL439" s="108"/>
      <c r="BM439" s="109"/>
      <c r="BN439" s="108"/>
      <c r="BO439" s="108"/>
      <c r="BP439" s="108"/>
    </row>
    <row r="440" spans="1:68" ht="12" customHeight="1" x14ac:dyDescent="0.2">
      <c r="A440" s="179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8"/>
      <c r="BI440" s="108"/>
      <c r="BJ440" s="108"/>
      <c r="BK440" s="108"/>
      <c r="BL440" s="108"/>
      <c r="BM440" s="109"/>
      <c r="BN440" s="108"/>
      <c r="BO440" s="108"/>
      <c r="BP440" s="108"/>
    </row>
    <row r="441" spans="1:68" ht="12" customHeight="1" x14ac:dyDescent="0.2">
      <c r="A441" s="179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9"/>
      <c r="BN441" s="108"/>
      <c r="BO441" s="108"/>
      <c r="BP441" s="108"/>
    </row>
    <row r="442" spans="1:68" ht="12" customHeight="1" x14ac:dyDescent="0.2">
      <c r="A442" s="179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  <c r="BG442" s="108"/>
      <c r="BH442" s="108"/>
      <c r="BI442" s="108"/>
      <c r="BJ442" s="108"/>
      <c r="BK442" s="108"/>
      <c r="BL442" s="108"/>
      <c r="BM442" s="109"/>
      <c r="BN442" s="108"/>
      <c r="BO442" s="108"/>
      <c r="BP442" s="108"/>
    </row>
    <row r="443" spans="1:68" ht="12" customHeight="1" x14ac:dyDescent="0.2">
      <c r="A443" s="179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  <c r="BG443" s="108"/>
      <c r="BH443" s="108"/>
      <c r="BI443" s="108"/>
      <c r="BJ443" s="108"/>
      <c r="BK443" s="108"/>
      <c r="BL443" s="108"/>
      <c r="BM443" s="109"/>
      <c r="BN443" s="108"/>
      <c r="BO443" s="108"/>
      <c r="BP443" s="108"/>
    </row>
    <row r="444" spans="1:68" ht="12" customHeight="1" x14ac:dyDescent="0.2">
      <c r="A444" s="179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9"/>
      <c r="BN444" s="108"/>
      <c r="BO444" s="108"/>
      <c r="BP444" s="108"/>
    </row>
    <row r="445" spans="1:68" ht="12" customHeight="1" x14ac:dyDescent="0.2">
      <c r="A445" s="179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  <c r="BG445" s="108"/>
      <c r="BH445" s="108"/>
      <c r="BI445" s="108"/>
      <c r="BJ445" s="108"/>
      <c r="BK445" s="108"/>
      <c r="BL445" s="108"/>
      <c r="BM445" s="109"/>
      <c r="BN445" s="108"/>
      <c r="BO445" s="108"/>
      <c r="BP445" s="108"/>
    </row>
    <row r="446" spans="1:68" ht="12" customHeight="1" x14ac:dyDescent="0.2">
      <c r="A446" s="179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  <c r="BG446" s="108"/>
      <c r="BH446" s="108"/>
      <c r="BI446" s="108"/>
      <c r="BJ446" s="108"/>
      <c r="BK446" s="108"/>
      <c r="BL446" s="108"/>
      <c r="BM446" s="109"/>
      <c r="BN446" s="108"/>
      <c r="BO446" s="108"/>
      <c r="BP446" s="108"/>
    </row>
    <row r="447" spans="1:68" ht="12" customHeight="1" x14ac:dyDescent="0.2">
      <c r="A447" s="179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  <c r="BG447" s="108"/>
      <c r="BH447" s="108"/>
      <c r="BI447" s="108"/>
      <c r="BJ447" s="108"/>
      <c r="BK447" s="108"/>
      <c r="BL447" s="108"/>
      <c r="BM447" s="109"/>
      <c r="BN447" s="108"/>
      <c r="BO447" s="108"/>
      <c r="BP447" s="108"/>
    </row>
    <row r="448" spans="1:68" ht="12" customHeight="1" x14ac:dyDescent="0.2">
      <c r="A448" s="179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  <c r="BG448" s="108"/>
      <c r="BH448" s="108"/>
      <c r="BI448" s="108"/>
      <c r="BJ448" s="108"/>
      <c r="BK448" s="108"/>
      <c r="BL448" s="108"/>
      <c r="BM448" s="109"/>
      <c r="BN448" s="108"/>
      <c r="BO448" s="108"/>
      <c r="BP448" s="108"/>
    </row>
    <row r="449" spans="1:68" ht="12" customHeight="1" x14ac:dyDescent="0.2">
      <c r="A449" s="179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  <c r="BG449" s="108"/>
      <c r="BH449" s="108"/>
      <c r="BI449" s="108"/>
      <c r="BJ449" s="108"/>
      <c r="BK449" s="108"/>
      <c r="BL449" s="108"/>
      <c r="BM449" s="109"/>
      <c r="BN449" s="108"/>
      <c r="BO449" s="108"/>
      <c r="BP449" s="108"/>
    </row>
    <row r="450" spans="1:68" ht="12" customHeight="1" x14ac:dyDescent="0.2">
      <c r="A450" s="179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  <c r="BG450" s="108"/>
      <c r="BH450" s="108"/>
      <c r="BI450" s="108"/>
      <c r="BJ450" s="108"/>
      <c r="BK450" s="108"/>
      <c r="BL450" s="108"/>
      <c r="BM450" s="109"/>
      <c r="BN450" s="108"/>
      <c r="BO450" s="108"/>
      <c r="BP450" s="108"/>
    </row>
    <row r="451" spans="1:68" ht="12" customHeight="1" x14ac:dyDescent="0.2">
      <c r="A451" s="179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  <c r="BG451" s="108"/>
      <c r="BH451" s="108"/>
      <c r="BI451" s="108"/>
      <c r="BJ451" s="108"/>
      <c r="BK451" s="108"/>
      <c r="BL451" s="108"/>
      <c r="BM451" s="109"/>
      <c r="BN451" s="108"/>
      <c r="BO451" s="108"/>
      <c r="BP451" s="108"/>
    </row>
    <row r="452" spans="1:68" ht="12" customHeight="1" x14ac:dyDescent="0.2">
      <c r="A452" s="179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  <c r="BC452" s="108"/>
      <c r="BD452" s="108"/>
      <c r="BE452" s="108"/>
      <c r="BF452" s="108"/>
      <c r="BG452" s="108"/>
      <c r="BH452" s="108"/>
      <c r="BI452" s="108"/>
      <c r="BJ452" s="108"/>
      <c r="BK452" s="108"/>
      <c r="BL452" s="108"/>
      <c r="BM452" s="109"/>
      <c r="BN452" s="108"/>
      <c r="BO452" s="108"/>
      <c r="BP452" s="108"/>
    </row>
    <row r="453" spans="1:68" ht="12" customHeight="1" x14ac:dyDescent="0.2">
      <c r="A453" s="179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  <c r="BG453" s="108"/>
      <c r="BH453" s="108"/>
      <c r="BI453" s="108"/>
      <c r="BJ453" s="108"/>
      <c r="BK453" s="108"/>
      <c r="BL453" s="108"/>
      <c r="BM453" s="109"/>
      <c r="BN453" s="108"/>
      <c r="BO453" s="108"/>
      <c r="BP453" s="108"/>
    </row>
    <row r="454" spans="1:68" ht="12" customHeight="1" x14ac:dyDescent="0.2">
      <c r="A454" s="179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  <c r="BC454" s="108"/>
      <c r="BD454" s="108"/>
      <c r="BE454" s="108"/>
      <c r="BF454" s="108"/>
      <c r="BG454" s="108"/>
      <c r="BH454" s="108"/>
      <c r="BI454" s="108"/>
      <c r="BJ454" s="108"/>
      <c r="BK454" s="108"/>
      <c r="BL454" s="108"/>
      <c r="BM454" s="109"/>
      <c r="BN454" s="108"/>
      <c r="BO454" s="108"/>
      <c r="BP454" s="108"/>
    </row>
    <row r="455" spans="1:68" ht="12" customHeight="1" x14ac:dyDescent="0.2">
      <c r="A455" s="179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  <c r="BC455" s="108"/>
      <c r="BD455" s="108"/>
      <c r="BE455" s="108"/>
      <c r="BF455" s="108"/>
      <c r="BG455" s="108"/>
      <c r="BH455" s="108"/>
      <c r="BI455" s="108"/>
      <c r="BJ455" s="108"/>
      <c r="BK455" s="108"/>
      <c r="BL455" s="108"/>
      <c r="BM455" s="109"/>
      <c r="BN455" s="108"/>
      <c r="BO455" s="108"/>
      <c r="BP455" s="108"/>
    </row>
    <row r="456" spans="1:68" ht="12" customHeight="1" x14ac:dyDescent="0.2">
      <c r="A456" s="179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8"/>
      <c r="BI456" s="108"/>
      <c r="BJ456" s="108"/>
      <c r="BK456" s="108"/>
      <c r="BL456" s="108"/>
      <c r="BM456" s="109"/>
      <c r="BN456" s="108"/>
      <c r="BO456" s="108"/>
      <c r="BP456" s="108"/>
    </row>
    <row r="457" spans="1:68" ht="12" customHeight="1" x14ac:dyDescent="0.2">
      <c r="A457" s="179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  <c r="BC457" s="108"/>
      <c r="BD457" s="108"/>
      <c r="BE457" s="108"/>
      <c r="BF457" s="108"/>
      <c r="BG457" s="108"/>
      <c r="BH457" s="108"/>
      <c r="BI457" s="108"/>
      <c r="BJ457" s="108"/>
      <c r="BK457" s="108"/>
      <c r="BL457" s="108"/>
      <c r="BM457" s="109"/>
      <c r="BN457" s="108"/>
      <c r="BO457" s="108"/>
      <c r="BP457" s="108"/>
    </row>
    <row r="458" spans="1:68" ht="12" customHeight="1" x14ac:dyDescent="0.2">
      <c r="A458" s="179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  <c r="BC458" s="108"/>
      <c r="BD458" s="108"/>
      <c r="BE458" s="108"/>
      <c r="BF458" s="108"/>
      <c r="BG458" s="108"/>
      <c r="BH458" s="108"/>
      <c r="BI458" s="108"/>
      <c r="BJ458" s="108"/>
      <c r="BK458" s="108"/>
      <c r="BL458" s="108"/>
      <c r="BM458" s="109"/>
      <c r="BN458" s="108"/>
      <c r="BO458" s="108"/>
      <c r="BP458" s="108"/>
    </row>
    <row r="459" spans="1:68" ht="12" customHeight="1" x14ac:dyDescent="0.2">
      <c r="A459" s="179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  <c r="BC459" s="108"/>
      <c r="BD459" s="108"/>
      <c r="BE459" s="108"/>
      <c r="BF459" s="108"/>
      <c r="BG459" s="108"/>
      <c r="BH459" s="108"/>
      <c r="BI459" s="108"/>
      <c r="BJ459" s="108"/>
      <c r="BK459" s="108"/>
      <c r="BL459" s="108"/>
      <c r="BM459" s="109"/>
      <c r="BN459" s="108"/>
      <c r="BO459" s="108"/>
      <c r="BP459" s="108"/>
    </row>
    <row r="460" spans="1:68" ht="12" customHeight="1" x14ac:dyDescent="0.2">
      <c r="A460" s="179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  <c r="BC460" s="108"/>
      <c r="BD460" s="108"/>
      <c r="BE460" s="108"/>
      <c r="BF460" s="108"/>
      <c r="BG460" s="108"/>
      <c r="BH460" s="108"/>
      <c r="BI460" s="108"/>
      <c r="BJ460" s="108"/>
      <c r="BK460" s="108"/>
      <c r="BL460" s="108"/>
      <c r="BM460" s="109"/>
      <c r="BN460" s="108"/>
      <c r="BO460" s="108"/>
      <c r="BP460" s="108"/>
    </row>
    <row r="461" spans="1:68" ht="12" customHeight="1" x14ac:dyDescent="0.2">
      <c r="A461" s="179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  <c r="BC461" s="108"/>
      <c r="BD461" s="108"/>
      <c r="BE461" s="108"/>
      <c r="BF461" s="108"/>
      <c r="BG461" s="108"/>
      <c r="BH461" s="108"/>
      <c r="BI461" s="108"/>
      <c r="BJ461" s="108"/>
      <c r="BK461" s="108"/>
      <c r="BL461" s="108"/>
      <c r="BM461" s="109"/>
      <c r="BN461" s="108"/>
      <c r="BO461" s="108"/>
      <c r="BP461" s="108"/>
    </row>
    <row r="462" spans="1:68" ht="12" customHeight="1" x14ac:dyDescent="0.2">
      <c r="A462" s="179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  <c r="BC462" s="108"/>
      <c r="BD462" s="108"/>
      <c r="BE462" s="108"/>
      <c r="BF462" s="108"/>
      <c r="BG462" s="108"/>
      <c r="BH462" s="108"/>
      <c r="BI462" s="108"/>
      <c r="BJ462" s="108"/>
      <c r="BK462" s="108"/>
      <c r="BL462" s="108"/>
      <c r="BM462" s="109"/>
      <c r="BN462" s="108"/>
      <c r="BO462" s="108"/>
      <c r="BP462" s="108"/>
    </row>
    <row r="463" spans="1:68" ht="12" customHeight="1" x14ac:dyDescent="0.2">
      <c r="A463" s="179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  <c r="BG463" s="108"/>
      <c r="BH463" s="108"/>
      <c r="BI463" s="108"/>
      <c r="BJ463" s="108"/>
      <c r="BK463" s="108"/>
      <c r="BL463" s="108"/>
      <c r="BM463" s="109"/>
      <c r="BN463" s="108"/>
      <c r="BO463" s="108"/>
      <c r="BP463" s="108"/>
    </row>
    <row r="464" spans="1:68" ht="12" customHeight="1" x14ac:dyDescent="0.2">
      <c r="A464" s="179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  <c r="BG464" s="108"/>
      <c r="BH464" s="108"/>
      <c r="BI464" s="108"/>
      <c r="BJ464" s="108"/>
      <c r="BK464" s="108"/>
      <c r="BL464" s="108"/>
      <c r="BM464" s="109"/>
      <c r="BN464" s="108"/>
      <c r="BO464" s="108"/>
      <c r="BP464" s="108"/>
    </row>
    <row r="465" spans="1:68" ht="12" customHeight="1" x14ac:dyDescent="0.2">
      <c r="A465" s="179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  <c r="BG465" s="108"/>
      <c r="BH465" s="108"/>
      <c r="BI465" s="108"/>
      <c r="BJ465" s="108"/>
      <c r="BK465" s="108"/>
      <c r="BL465" s="108"/>
      <c r="BM465" s="109"/>
      <c r="BN465" s="108"/>
      <c r="BO465" s="108"/>
      <c r="BP465" s="108"/>
    </row>
    <row r="466" spans="1:68" ht="12" customHeight="1" x14ac:dyDescent="0.2">
      <c r="A466" s="179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  <c r="BG466" s="108"/>
      <c r="BH466" s="108"/>
      <c r="BI466" s="108"/>
      <c r="BJ466" s="108"/>
      <c r="BK466" s="108"/>
      <c r="BL466" s="108"/>
      <c r="BM466" s="109"/>
      <c r="BN466" s="108"/>
      <c r="BO466" s="108"/>
      <c r="BP466" s="108"/>
    </row>
    <row r="467" spans="1:68" ht="12" customHeight="1" x14ac:dyDescent="0.2">
      <c r="A467" s="179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  <c r="BG467" s="108"/>
      <c r="BH467" s="108"/>
      <c r="BI467" s="108"/>
      <c r="BJ467" s="108"/>
      <c r="BK467" s="108"/>
      <c r="BL467" s="108"/>
      <c r="BM467" s="109"/>
      <c r="BN467" s="108"/>
      <c r="BO467" s="108"/>
      <c r="BP467" s="108"/>
    </row>
    <row r="468" spans="1:68" ht="12" customHeight="1" x14ac:dyDescent="0.2">
      <c r="A468" s="179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  <c r="BG468" s="108"/>
      <c r="BH468" s="108"/>
      <c r="BI468" s="108"/>
      <c r="BJ468" s="108"/>
      <c r="BK468" s="108"/>
      <c r="BL468" s="108"/>
      <c r="BM468" s="109"/>
      <c r="BN468" s="108"/>
      <c r="BO468" s="108"/>
      <c r="BP468" s="108"/>
    </row>
    <row r="469" spans="1:68" ht="12" customHeight="1" x14ac:dyDescent="0.2">
      <c r="A469" s="179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8"/>
      <c r="BI469" s="108"/>
      <c r="BJ469" s="108"/>
      <c r="BK469" s="108"/>
      <c r="BL469" s="108"/>
      <c r="BM469" s="109"/>
      <c r="BN469" s="108"/>
      <c r="BO469" s="108"/>
      <c r="BP469" s="108"/>
    </row>
    <row r="470" spans="1:68" ht="12" customHeight="1" x14ac:dyDescent="0.2">
      <c r="A470" s="179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8"/>
      <c r="BI470" s="108"/>
      <c r="BJ470" s="108"/>
      <c r="BK470" s="108"/>
      <c r="BL470" s="108"/>
      <c r="BM470" s="109"/>
      <c r="BN470" s="108"/>
      <c r="BO470" s="108"/>
      <c r="BP470" s="108"/>
    </row>
    <row r="471" spans="1:68" ht="12" customHeight="1" x14ac:dyDescent="0.2">
      <c r="A471" s="179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/>
      <c r="BH471" s="108"/>
      <c r="BI471" s="108"/>
      <c r="BJ471" s="108"/>
      <c r="BK471" s="108"/>
      <c r="BL471" s="108"/>
      <c r="BM471" s="109"/>
      <c r="BN471" s="108"/>
      <c r="BO471" s="108"/>
      <c r="BP471" s="108"/>
    </row>
    <row r="472" spans="1:68" ht="12" customHeight="1" x14ac:dyDescent="0.2">
      <c r="A472" s="179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108"/>
      <c r="BL472" s="108"/>
      <c r="BM472" s="109"/>
      <c r="BN472" s="108"/>
      <c r="BO472" s="108"/>
      <c r="BP472" s="108"/>
    </row>
    <row r="473" spans="1:68" ht="12" customHeight="1" x14ac:dyDescent="0.2">
      <c r="A473" s="179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  <c r="BG473" s="108"/>
      <c r="BH473" s="108"/>
      <c r="BI473" s="108"/>
      <c r="BJ473" s="108"/>
      <c r="BK473" s="108"/>
      <c r="BL473" s="108"/>
      <c r="BM473" s="109"/>
      <c r="BN473" s="108"/>
      <c r="BO473" s="108"/>
      <c r="BP473" s="108"/>
    </row>
    <row r="474" spans="1:68" ht="12" customHeight="1" x14ac:dyDescent="0.2">
      <c r="A474" s="179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  <c r="BG474" s="108"/>
      <c r="BH474" s="108"/>
      <c r="BI474" s="108"/>
      <c r="BJ474" s="108"/>
      <c r="BK474" s="108"/>
      <c r="BL474" s="108"/>
      <c r="BM474" s="109"/>
      <c r="BN474" s="108"/>
      <c r="BO474" s="108"/>
      <c r="BP474" s="108"/>
    </row>
    <row r="475" spans="1:68" ht="12" customHeight="1" x14ac:dyDescent="0.2">
      <c r="A475" s="179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  <c r="BG475" s="108"/>
      <c r="BH475" s="108"/>
      <c r="BI475" s="108"/>
      <c r="BJ475" s="108"/>
      <c r="BK475" s="108"/>
      <c r="BL475" s="108"/>
      <c r="BM475" s="109"/>
      <c r="BN475" s="108"/>
      <c r="BO475" s="108"/>
      <c r="BP475" s="108"/>
    </row>
    <row r="476" spans="1:68" ht="12" customHeight="1" x14ac:dyDescent="0.2">
      <c r="A476" s="179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8"/>
      <c r="BI476" s="108"/>
      <c r="BJ476" s="108"/>
      <c r="BK476" s="108"/>
      <c r="BL476" s="108"/>
      <c r="BM476" s="109"/>
      <c r="BN476" s="108"/>
      <c r="BO476" s="108"/>
      <c r="BP476" s="108"/>
    </row>
    <row r="477" spans="1:68" ht="12" customHeight="1" x14ac:dyDescent="0.2">
      <c r="A477" s="179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/>
      <c r="BG477" s="108"/>
      <c r="BH477" s="108"/>
      <c r="BI477" s="108"/>
      <c r="BJ477" s="108"/>
      <c r="BK477" s="108"/>
      <c r="BL477" s="108"/>
      <c r="BM477" s="109"/>
      <c r="BN477" s="108"/>
      <c r="BO477" s="108"/>
      <c r="BP477" s="108"/>
    </row>
    <row r="478" spans="1:68" ht="12" customHeight="1" x14ac:dyDescent="0.2">
      <c r="A478" s="179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/>
      <c r="BG478" s="108"/>
      <c r="BH478" s="108"/>
      <c r="BI478" s="108"/>
      <c r="BJ478" s="108"/>
      <c r="BK478" s="108"/>
      <c r="BL478" s="108"/>
      <c r="BM478" s="109"/>
      <c r="BN478" s="108"/>
      <c r="BO478" s="108"/>
      <c r="BP478" s="108"/>
    </row>
    <row r="479" spans="1:68" ht="12" customHeight="1" x14ac:dyDescent="0.2">
      <c r="A479" s="179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9"/>
      <c r="BN479" s="108"/>
      <c r="BO479" s="108"/>
      <c r="BP479" s="108"/>
    </row>
    <row r="480" spans="1:68" ht="12" customHeight="1" x14ac:dyDescent="0.2">
      <c r="A480" s="179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  <c r="BC480" s="108"/>
      <c r="BD480" s="108"/>
      <c r="BE480" s="108"/>
      <c r="BF480" s="108"/>
      <c r="BG480" s="108"/>
      <c r="BH480" s="108"/>
      <c r="BI480" s="108"/>
      <c r="BJ480" s="108"/>
      <c r="BK480" s="108"/>
      <c r="BL480" s="108"/>
      <c r="BM480" s="109"/>
      <c r="BN480" s="108"/>
      <c r="BO480" s="108"/>
      <c r="BP480" s="108"/>
    </row>
    <row r="481" spans="1:68" ht="12" customHeight="1" x14ac:dyDescent="0.2">
      <c r="A481" s="179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  <c r="BC481" s="108"/>
      <c r="BD481" s="108"/>
      <c r="BE481" s="108"/>
      <c r="BF481" s="108"/>
      <c r="BG481" s="108"/>
      <c r="BH481" s="108"/>
      <c r="BI481" s="108"/>
      <c r="BJ481" s="108"/>
      <c r="BK481" s="108"/>
      <c r="BL481" s="108"/>
      <c r="BM481" s="109"/>
      <c r="BN481" s="108"/>
      <c r="BO481" s="108"/>
      <c r="BP481" s="108"/>
    </row>
    <row r="482" spans="1:68" ht="12" customHeight="1" x14ac:dyDescent="0.2">
      <c r="A482" s="179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9"/>
      <c r="BN482" s="108"/>
      <c r="BO482" s="108"/>
      <c r="BP482" s="108"/>
    </row>
    <row r="483" spans="1:68" ht="12" customHeight="1" x14ac:dyDescent="0.2">
      <c r="A483" s="179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  <c r="BC483" s="108"/>
      <c r="BD483" s="108"/>
      <c r="BE483" s="108"/>
      <c r="BF483" s="108"/>
      <c r="BG483" s="108"/>
      <c r="BH483" s="108"/>
      <c r="BI483" s="108"/>
      <c r="BJ483" s="108"/>
      <c r="BK483" s="108"/>
      <c r="BL483" s="108"/>
      <c r="BM483" s="109"/>
      <c r="BN483" s="108"/>
      <c r="BO483" s="108"/>
      <c r="BP483" s="108"/>
    </row>
    <row r="484" spans="1:68" ht="12" customHeight="1" x14ac:dyDescent="0.2">
      <c r="A484" s="179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  <c r="BG484" s="108"/>
      <c r="BH484" s="108"/>
      <c r="BI484" s="108"/>
      <c r="BJ484" s="108"/>
      <c r="BK484" s="108"/>
      <c r="BL484" s="108"/>
      <c r="BM484" s="109"/>
      <c r="BN484" s="108"/>
      <c r="BO484" s="108"/>
      <c r="BP484" s="108"/>
    </row>
    <row r="485" spans="1:68" ht="12" customHeight="1" x14ac:dyDescent="0.2">
      <c r="A485" s="179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  <c r="BG485" s="108"/>
      <c r="BH485" s="108"/>
      <c r="BI485" s="108"/>
      <c r="BJ485" s="108"/>
      <c r="BK485" s="108"/>
      <c r="BL485" s="108"/>
      <c r="BM485" s="109"/>
      <c r="BN485" s="108"/>
      <c r="BO485" s="108"/>
      <c r="BP485" s="108"/>
    </row>
    <row r="486" spans="1:68" ht="12" customHeight="1" x14ac:dyDescent="0.2">
      <c r="A486" s="179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  <c r="BG486" s="108"/>
      <c r="BH486" s="108"/>
      <c r="BI486" s="108"/>
      <c r="BJ486" s="108"/>
      <c r="BK486" s="108"/>
      <c r="BL486" s="108"/>
      <c r="BM486" s="109"/>
      <c r="BN486" s="108"/>
      <c r="BO486" s="108"/>
      <c r="BP486" s="108"/>
    </row>
    <row r="487" spans="1:68" ht="12" customHeight="1" x14ac:dyDescent="0.2">
      <c r="A487" s="179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  <c r="BG487" s="108"/>
      <c r="BH487" s="108"/>
      <c r="BI487" s="108"/>
      <c r="BJ487" s="108"/>
      <c r="BK487" s="108"/>
      <c r="BL487" s="108"/>
      <c r="BM487" s="109"/>
      <c r="BN487" s="108"/>
      <c r="BO487" s="108"/>
      <c r="BP487" s="108"/>
    </row>
    <row r="488" spans="1:68" ht="12" customHeight="1" x14ac:dyDescent="0.2">
      <c r="A488" s="179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  <c r="BG488" s="108"/>
      <c r="BH488" s="108"/>
      <c r="BI488" s="108"/>
      <c r="BJ488" s="108"/>
      <c r="BK488" s="108"/>
      <c r="BL488" s="108"/>
      <c r="BM488" s="109"/>
      <c r="BN488" s="108"/>
      <c r="BO488" s="108"/>
      <c r="BP488" s="108"/>
    </row>
    <row r="489" spans="1:68" ht="12" customHeight="1" x14ac:dyDescent="0.2">
      <c r="A489" s="179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08"/>
      <c r="BL489" s="108"/>
      <c r="BM489" s="109"/>
      <c r="BN489" s="108"/>
      <c r="BO489" s="108"/>
      <c r="BP489" s="108"/>
    </row>
    <row r="490" spans="1:68" ht="12" customHeight="1" x14ac:dyDescent="0.2">
      <c r="A490" s="179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  <c r="BG490" s="108"/>
      <c r="BH490" s="108"/>
      <c r="BI490" s="108"/>
      <c r="BJ490" s="108"/>
      <c r="BK490" s="108"/>
      <c r="BL490" s="108"/>
      <c r="BM490" s="109"/>
      <c r="BN490" s="108"/>
      <c r="BO490" s="108"/>
      <c r="BP490" s="108"/>
    </row>
    <row r="491" spans="1:68" ht="12" customHeight="1" x14ac:dyDescent="0.2">
      <c r="A491" s="179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  <c r="BG491" s="108"/>
      <c r="BH491" s="108"/>
      <c r="BI491" s="108"/>
      <c r="BJ491" s="108"/>
      <c r="BK491" s="108"/>
      <c r="BL491" s="108"/>
      <c r="BM491" s="109"/>
      <c r="BN491" s="108"/>
      <c r="BO491" s="108"/>
      <c r="BP491" s="108"/>
    </row>
    <row r="492" spans="1:68" ht="12" customHeight="1" x14ac:dyDescent="0.2">
      <c r="A492" s="179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  <c r="BG492" s="108"/>
      <c r="BH492" s="108"/>
      <c r="BI492" s="108"/>
      <c r="BJ492" s="108"/>
      <c r="BK492" s="108"/>
      <c r="BL492" s="108"/>
      <c r="BM492" s="109"/>
      <c r="BN492" s="108"/>
      <c r="BO492" s="108"/>
      <c r="BP492" s="108"/>
    </row>
    <row r="493" spans="1:68" ht="12" customHeight="1" x14ac:dyDescent="0.2">
      <c r="A493" s="179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  <c r="BK493" s="108"/>
      <c r="BL493" s="108"/>
      <c r="BM493" s="109"/>
      <c r="BN493" s="108"/>
      <c r="BO493" s="108"/>
      <c r="BP493" s="108"/>
    </row>
    <row r="494" spans="1:68" ht="12" customHeight="1" x14ac:dyDescent="0.2">
      <c r="A494" s="179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  <c r="BG494" s="108"/>
      <c r="BH494" s="108"/>
      <c r="BI494" s="108"/>
      <c r="BJ494" s="108"/>
      <c r="BK494" s="108"/>
      <c r="BL494" s="108"/>
      <c r="BM494" s="109"/>
      <c r="BN494" s="108"/>
      <c r="BO494" s="108"/>
      <c r="BP494" s="108"/>
    </row>
    <row r="495" spans="1:68" ht="12" customHeight="1" x14ac:dyDescent="0.2">
      <c r="A495" s="179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  <c r="BG495" s="108"/>
      <c r="BH495" s="108"/>
      <c r="BI495" s="108"/>
      <c r="BJ495" s="108"/>
      <c r="BK495" s="108"/>
      <c r="BL495" s="108"/>
      <c r="BM495" s="109"/>
      <c r="BN495" s="108"/>
      <c r="BO495" s="108"/>
      <c r="BP495" s="108"/>
    </row>
    <row r="496" spans="1:68" ht="12" customHeight="1" x14ac:dyDescent="0.2">
      <c r="A496" s="179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  <c r="BC496" s="108"/>
      <c r="BD496" s="108"/>
      <c r="BE496" s="108"/>
      <c r="BF496" s="108"/>
      <c r="BG496" s="108"/>
      <c r="BH496" s="108"/>
      <c r="BI496" s="108"/>
      <c r="BJ496" s="108"/>
      <c r="BK496" s="108"/>
      <c r="BL496" s="108"/>
      <c r="BM496" s="109"/>
      <c r="BN496" s="108"/>
      <c r="BO496" s="108"/>
      <c r="BP496" s="108"/>
    </row>
    <row r="497" spans="1:68" ht="12" customHeight="1" x14ac:dyDescent="0.2">
      <c r="A497" s="179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  <c r="BC497" s="108"/>
      <c r="BD497" s="108"/>
      <c r="BE497" s="108"/>
      <c r="BF497" s="108"/>
      <c r="BG497" s="108"/>
      <c r="BH497" s="108"/>
      <c r="BI497" s="108"/>
      <c r="BJ497" s="108"/>
      <c r="BK497" s="108"/>
      <c r="BL497" s="108"/>
      <c r="BM497" s="109"/>
      <c r="BN497" s="108"/>
      <c r="BO497" s="108"/>
      <c r="BP497" s="108"/>
    </row>
    <row r="498" spans="1:68" ht="12" customHeight="1" x14ac:dyDescent="0.2">
      <c r="A498" s="179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  <c r="BC498" s="108"/>
      <c r="BD498" s="108"/>
      <c r="BE498" s="108"/>
      <c r="BF498" s="108"/>
      <c r="BG498" s="108"/>
      <c r="BH498" s="108"/>
      <c r="BI498" s="108"/>
      <c r="BJ498" s="108"/>
      <c r="BK498" s="108"/>
      <c r="BL498" s="108"/>
      <c r="BM498" s="109"/>
      <c r="BN498" s="108"/>
      <c r="BO498" s="108"/>
      <c r="BP498" s="108"/>
    </row>
    <row r="499" spans="1:68" ht="12" customHeight="1" x14ac:dyDescent="0.2">
      <c r="A499" s="179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  <c r="BC499" s="108"/>
      <c r="BD499" s="108"/>
      <c r="BE499" s="108"/>
      <c r="BF499" s="108"/>
      <c r="BG499" s="108"/>
      <c r="BH499" s="108"/>
      <c r="BI499" s="108"/>
      <c r="BJ499" s="108"/>
      <c r="BK499" s="108"/>
      <c r="BL499" s="108"/>
      <c r="BM499" s="109"/>
      <c r="BN499" s="108"/>
      <c r="BO499" s="108"/>
      <c r="BP499" s="108"/>
    </row>
    <row r="500" spans="1:68" ht="12" customHeight="1" x14ac:dyDescent="0.2">
      <c r="A500" s="179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  <c r="BC500" s="108"/>
      <c r="BD500" s="108"/>
      <c r="BE500" s="108"/>
      <c r="BF500" s="108"/>
      <c r="BG500" s="108"/>
      <c r="BH500" s="108"/>
      <c r="BI500" s="108"/>
      <c r="BJ500" s="108"/>
      <c r="BK500" s="108"/>
      <c r="BL500" s="108"/>
      <c r="BM500" s="109"/>
      <c r="BN500" s="108"/>
      <c r="BO500" s="108"/>
      <c r="BP500" s="108"/>
    </row>
    <row r="501" spans="1:68" ht="12" customHeight="1" x14ac:dyDescent="0.2">
      <c r="A501" s="179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  <c r="BC501" s="108"/>
      <c r="BD501" s="108"/>
      <c r="BE501" s="108"/>
      <c r="BF501" s="108"/>
      <c r="BG501" s="108"/>
      <c r="BH501" s="108"/>
      <c r="BI501" s="108"/>
      <c r="BJ501" s="108"/>
      <c r="BK501" s="108"/>
      <c r="BL501" s="108"/>
      <c r="BM501" s="109"/>
      <c r="BN501" s="108"/>
      <c r="BO501" s="108"/>
      <c r="BP501" s="108"/>
    </row>
    <row r="502" spans="1:68" ht="12" customHeight="1" x14ac:dyDescent="0.2">
      <c r="A502" s="179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  <c r="BC502" s="108"/>
      <c r="BD502" s="108"/>
      <c r="BE502" s="108"/>
      <c r="BF502" s="108"/>
      <c r="BG502" s="108"/>
      <c r="BH502" s="108"/>
      <c r="BI502" s="108"/>
      <c r="BJ502" s="108"/>
      <c r="BK502" s="108"/>
      <c r="BL502" s="108"/>
      <c r="BM502" s="109"/>
      <c r="BN502" s="108"/>
      <c r="BO502" s="108"/>
      <c r="BP502" s="108"/>
    </row>
    <row r="503" spans="1:68" ht="12" customHeight="1" x14ac:dyDescent="0.2">
      <c r="A503" s="179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  <c r="BC503" s="108"/>
      <c r="BD503" s="108"/>
      <c r="BE503" s="108"/>
      <c r="BF503" s="108"/>
      <c r="BG503" s="108"/>
      <c r="BH503" s="108"/>
      <c r="BI503" s="108"/>
      <c r="BJ503" s="108"/>
      <c r="BK503" s="108"/>
      <c r="BL503" s="108"/>
      <c r="BM503" s="109"/>
      <c r="BN503" s="108"/>
      <c r="BO503" s="108"/>
      <c r="BP503" s="108"/>
    </row>
    <row r="504" spans="1:68" ht="12" customHeight="1" x14ac:dyDescent="0.2">
      <c r="A504" s="179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  <c r="BC504" s="108"/>
      <c r="BD504" s="108"/>
      <c r="BE504" s="108"/>
      <c r="BF504" s="108"/>
      <c r="BG504" s="108"/>
      <c r="BH504" s="108"/>
      <c r="BI504" s="108"/>
      <c r="BJ504" s="108"/>
      <c r="BK504" s="108"/>
      <c r="BL504" s="108"/>
      <c r="BM504" s="109"/>
      <c r="BN504" s="108"/>
      <c r="BO504" s="108"/>
      <c r="BP504" s="108"/>
    </row>
    <row r="505" spans="1:68" ht="12" customHeight="1" x14ac:dyDescent="0.2">
      <c r="A505" s="179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  <c r="BC505" s="108"/>
      <c r="BD505" s="108"/>
      <c r="BE505" s="108"/>
      <c r="BF505" s="108"/>
      <c r="BG505" s="108"/>
      <c r="BH505" s="108"/>
      <c r="BI505" s="108"/>
      <c r="BJ505" s="108"/>
      <c r="BK505" s="108"/>
      <c r="BL505" s="108"/>
      <c r="BM505" s="109"/>
      <c r="BN505" s="108"/>
      <c r="BO505" s="108"/>
      <c r="BP505" s="108"/>
    </row>
    <row r="506" spans="1:68" ht="12" customHeight="1" x14ac:dyDescent="0.2">
      <c r="A506" s="179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  <c r="BC506" s="108"/>
      <c r="BD506" s="108"/>
      <c r="BE506" s="108"/>
      <c r="BF506" s="108"/>
      <c r="BG506" s="108"/>
      <c r="BH506" s="108"/>
      <c r="BI506" s="108"/>
      <c r="BJ506" s="108"/>
      <c r="BK506" s="108"/>
      <c r="BL506" s="108"/>
      <c r="BM506" s="109"/>
      <c r="BN506" s="108"/>
      <c r="BO506" s="108"/>
      <c r="BP506" s="108"/>
    </row>
    <row r="507" spans="1:68" ht="12" customHeight="1" x14ac:dyDescent="0.2">
      <c r="A507" s="179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  <c r="BC507" s="108"/>
      <c r="BD507" s="108"/>
      <c r="BE507" s="108"/>
      <c r="BF507" s="108"/>
      <c r="BG507" s="108"/>
      <c r="BH507" s="108"/>
      <c r="BI507" s="108"/>
      <c r="BJ507" s="108"/>
      <c r="BK507" s="108"/>
      <c r="BL507" s="108"/>
      <c r="BM507" s="109"/>
      <c r="BN507" s="108"/>
      <c r="BO507" s="108"/>
      <c r="BP507" s="108"/>
    </row>
    <row r="508" spans="1:68" ht="12" customHeight="1" x14ac:dyDescent="0.2">
      <c r="A508" s="179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  <c r="BC508" s="108"/>
      <c r="BD508" s="108"/>
      <c r="BE508" s="108"/>
      <c r="BF508" s="108"/>
      <c r="BG508" s="108"/>
      <c r="BH508" s="108"/>
      <c r="BI508" s="108"/>
      <c r="BJ508" s="108"/>
      <c r="BK508" s="108"/>
      <c r="BL508" s="108"/>
      <c r="BM508" s="109"/>
      <c r="BN508" s="108"/>
      <c r="BO508" s="108"/>
      <c r="BP508" s="108"/>
    </row>
    <row r="509" spans="1:68" ht="12" customHeight="1" x14ac:dyDescent="0.2">
      <c r="A509" s="179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  <c r="BC509" s="108"/>
      <c r="BD509" s="108"/>
      <c r="BE509" s="108"/>
      <c r="BF509" s="108"/>
      <c r="BG509" s="108"/>
      <c r="BH509" s="108"/>
      <c r="BI509" s="108"/>
      <c r="BJ509" s="108"/>
      <c r="BK509" s="108"/>
      <c r="BL509" s="108"/>
      <c r="BM509" s="109"/>
      <c r="BN509" s="108"/>
      <c r="BO509" s="108"/>
      <c r="BP509" s="108"/>
    </row>
    <row r="510" spans="1:68" ht="12" customHeight="1" x14ac:dyDescent="0.2">
      <c r="A510" s="179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  <c r="BC510" s="108"/>
      <c r="BD510" s="108"/>
      <c r="BE510" s="108"/>
      <c r="BF510" s="108"/>
      <c r="BG510" s="108"/>
      <c r="BH510" s="108"/>
      <c r="BI510" s="108"/>
      <c r="BJ510" s="108"/>
      <c r="BK510" s="108"/>
      <c r="BL510" s="108"/>
      <c r="BM510" s="109"/>
      <c r="BN510" s="108"/>
      <c r="BO510" s="108"/>
      <c r="BP510" s="108"/>
    </row>
    <row r="511" spans="1:68" ht="12" customHeight="1" x14ac:dyDescent="0.2">
      <c r="A511" s="179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  <c r="BC511" s="108"/>
      <c r="BD511" s="108"/>
      <c r="BE511" s="108"/>
      <c r="BF511" s="108"/>
      <c r="BG511" s="108"/>
      <c r="BH511" s="108"/>
      <c r="BI511" s="108"/>
      <c r="BJ511" s="108"/>
      <c r="BK511" s="108"/>
      <c r="BL511" s="108"/>
      <c r="BM511" s="109"/>
      <c r="BN511" s="108"/>
      <c r="BO511" s="108"/>
      <c r="BP511" s="108"/>
    </row>
    <row r="512" spans="1:68" ht="12" customHeight="1" x14ac:dyDescent="0.2">
      <c r="A512" s="179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  <c r="BC512" s="108"/>
      <c r="BD512" s="108"/>
      <c r="BE512" s="108"/>
      <c r="BF512" s="108"/>
      <c r="BG512" s="108"/>
      <c r="BH512" s="108"/>
      <c r="BI512" s="108"/>
      <c r="BJ512" s="108"/>
      <c r="BK512" s="108"/>
      <c r="BL512" s="108"/>
      <c r="BM512" s="109"/>
      <c r="BN512" s="108"/>
      <c r="BO512" s="108"/>
      <c r="BP512" s="108"/>
    </row>
    <row r="513" spans="1:68" ht="12" customHeight="1" x14ac:dyDescent="0.2">
      <c r="A513" s="179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  <c r="BC513" s="108"/>
      <c r="BD513" s="108"/>
      <c r="BE513" s="108"/>
      <c r="BF513" s="108"/>
      <c r="BG513" s="108"/>
      <c r="BH513" s="108"/>
      <c r="BI513" s="108"/>
      <c r="BJ513" s="108"/>
      <c r="BK513" s="108"/>
      <c r="BL513" s="108"/>
      <c r="BM513" s="109"/>
      <c r="BN513" s="108"/>
      <c r="BO513" s="108"/>
      <c r="BP513" s="108"/>
    </row>
    <row r="514" spans="1:68" ht="12" customHeight="1" x14ac:dyDescent="0.2">
      <c r="A514" s="179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  <c r="BG514" s="108"/>
      <c r="BH514" s="108"/>
      <c r="BI514" s="108"/>
      <c r="BJ514" s="108"/>
      <c r="BK514" s="108"/>
      <c r="BL514" s="108"/>
      <c r="BM514" s="109"/>
      <c r="BN514" s="108"/>
      <c r="BO514" s="108"/>
      <c r="BP514" s="108"/>
    </row>
    <row r="515" spans="1:68" ht="12" customHeight="1" x14ac:dyDescent="0.2">
      <c r="A515" s="179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  <c r="BG515" s="108"/>
      <c r="BH515" s="108"/>
      <c r="BI515" s="108"/>
      <c r="BJ515" s="108"/>
      <c r="BK515" s="108"/>
      <c r="BL515" s="108"/>
      <c r="BM515" s="109"/>
      <c r="BN515" s="108"/>
      <c r="BO515" s="108"/>
      <c r="BP515" s="108"/>
    </row>
    <row r="516" spans="1:68" ht="12" customHeight="1" x14ac:dyDescent="0.2">
      <c r="A516" s="179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  <c r="BG516" s="108"/>
      <c r="BH516" s="108"/>
      <c r="BI516" s="108"/>
      <c r="BJ516" s="108"/>
      <c r="BK516" s="108"/>
      <c r="BL516" s="108"/>
      <c r="BM516" s="109"/>
      <c r="BN516" s="108"/>
      <c r="BO516" s="108"/>
      <c r="BP516" s="108"/>
    </row>
    <row r="517" spans="1:68" ht="12" customHeight="1" x14ac:dyDescent="0.2">
      <c r="A517" s="179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9"/>
      <c r="BN517" s="108"/>
      <c r="BO517" s="108"/>
      <c r="BP517" s="108"/>
    </row>
    <row r="518" spans="1:68" ht="12" customHeight="1" x14ac:dyDescent="0.2">
      <c r="A518" s="179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  <c r="BG518" s="108"/>
      <c r="BH518" s="108"/>
      <c r="BI518" s="108"/>
      <c r="BJ518" s="108"/>
      <c r="BK518" s="108"/>
      <c r="BL518" s="108"/>
      <c r="BM518" s="109"/>
      <c r="BN518" s="108"/>
      <c r="BO518" s="108"/>
      <c r="BP518" s="108"/>
    </row>
    <row r="519" spans="1:68" ht="12" customHeight="1" x14ac:dyDescent="0.2">
      <c r="A519" s="179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  <c r="BG519" s="108"/>
      <c r="BH519" s="108"/>
      <c r="BI519" s="108"/>
      <c r="BJ519" s="108"/>
      <c r="BK519" s="108"/>
      <c r="BL519" s="108"/>
      <c r="BM519" s="109"/>
      <c r="BN519" s="108"/>
      <c r="BO519" s="108"/>
      <c r="BP519" s="108"/>
    </row>
    <row r="520" spans="1:68" ht="12" customHeight="1" x14ac:dyDescent="0.2">
      <c r="A520" s="179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9"/>
      <c r="BN520" s="108"/>
      <c r="BO520" s="108"/>
      <c r="BP520" s="108"/>
    </row>
    <row r="521" spans="1:68" ht="12" customHeight="1" x14ac:dyDescent="0.2">
      <c r="A521" s="179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  <c r="BG521" s="108"/>
      <c r="BH521" s="108"/>
      <c r="BI521" s="108"/>
      <c r="BJ521" s="108"/>
      <c r="BK521" s="108"/>
      <c r="BL521" s="108"/>
      <c r="BM521" s="109"/>
      <c r="BN521" s="108"/>
      <c r="BO521" s="108"/>
      <c r="BP521" s="108"/>
    </row>
    <row r="522" spans="1:68" ht="12" customHeight="1" x14ac:dyDescent="0.2">
      <c r="A522" s="179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  <c r="BG522" s="108"/>
      <c r="BH522" s="108"/>
      <c r="BI522" s="108"/>
      <c r="BJ522" s="108"/>
      <c r="BK522" s="108"/>
      <c r="BL522" s="108"/>
      <c r="BM522" s="109"/>
      <c r="BN522" s="108"/>
      <c r="BO522" s="108"/>
      <c r="BP522" s="108"/>
    </row>
    <row r="523" spans="1:68" ht="12" customHeight="1" x14ac:dyDescent="0.2">
      <c r="A523" s="179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  <c r="BG523" s="108"/>
      <c r="BH523" s="108"/>
      <c r="BI523" s="108"/>
      <c r="BJ523" s="108"/>
      <c r="BK523" s="108"/>
      <c r="BL523" s="108"/>
      <c r="BM523" s="109"/>
      <c r="BN523" s="108"/>
      <c r="BO523" s="108"/>
      <c r="BP523" s="108"/>
    </row>
    <row r="524" spans="1:68" ht="12" customHeight="1" x14ac:dyDescent="0.2">
      <c r="A524" s="179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  <c r="BG524" s="108"/>
      <c r="BH524" s="108"/>
      <c r="BI524" s="108"/>
      <c r="BJ524" s="108"/>
      <c r="BK524" s="108"/>
      <c r="BL524" s="108"/>
      <c r="BM524" s="109"/>
      <c r="BN524" s="108"/>
      <c r="BO524" s="108"/>
      <c r="BP524" s="108"/>
    </row>
    <row r="525" spans="1:68" ht="12" customHeight="1" x14ac:dyDescent="0.2">
      <c r="A525" s="179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  <c r="BG525" s="108"/>
      <c r="BH525" s="108"/>
      <c r="BI525" s="108"/>
      <c r="BJ525" s="108"/>
      <c r="BK525" s="108"/>
      <c r="BL525" s="108"/>
      <c r="BM525" s="109"/>
      <c r="BN525" s="108"/>
      <c r="BO525" s="108"/>
      <c r="BP525" s="108"/>
    </row>
    <row r="526" spans="1:68" ht="12" customHeight="1" x14ac:dyDescent="0.2">
      <c r="A526" s="179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  <c r="BG526" s="108"/>
      <c r="BH526" s="108"/>
      <c r="BI526" s="108"/>
      <c r="BJ526" s="108"/>
      <c r="BK526" s="108"/>
      <c r="BL526" s="108"/>
      <c r="BM526" s="109"/>
      <c r="BN526" s="108"/>
      <c r="BO526" s="108"/>
      <c r="BP526" s="108"/>
    </row>
    <row r="527" spans="1:68" ht="12" customHeight="1" x14ac:dyDescent="0.2">
      <c r="A527" s="179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  <c r="BC527" s="108"/>
      <c r="BD527" s="108"/>
      <c r="BE527" s="108"/>
      <c r="BF527" s="108"/>
      <c r="BG527" s="108"/>
      <c r="BH527" s="108"/>
      <c r="BI527" s="108"/>
      <c r="BJ527" s="108"/>
      <c r="BK527" s="108"/>
      <c r="BL527" s="108"/>
      <c r="BM527" s="109"/>
      <c r="BN527" s="108"/>
      <c r="BO527" s="108"/>
      <c r="BP527" s="108"/>
    </row>
    <row r="528" spans="1:68" ht="12" customHeight="1" x14ac:dyDescent="0.2">
      <c r="A528" s="179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  <c r="BC528" s="108"/>
      <c r="BD528" s="108"/>
      <c r="BE528" s="108"/>
      <c r="BF528" s="108"/>
      <c r="BG528" s="108"/>
      <c r="BH528" s="108"/>
      <c r="BI528" s="108"/>
      <c r="BJ528" s="108"/>
      <c r="BK528" s="108"/>
      <c r="BL528" s="108"/>
      <c r="BM528" s="109"/>
      <c r="BN528" s="108"/>
      <c r="BO528" s="108"/>
      <c r="BP528" s="108"/>
    </row>
    <row r="529" spans="1:68" ht="12" customHeight="1" x14ac:dyDescent="0.2">
      <c r="A529" s="179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  <c r="BC529" s="108"/>
      <c r="BD529" s="108"/>
      <c r="BE529" s="108"/>
      <c r="BF529" s="108"/>
      <c r="BG529" s="108"/>
      <c r="BH529" s="108"/>
      <c r="BI529" s="108"/>
      <c r="BJ529" s="108"/>
      <c r="BK529" s="108"/>
      <c r="BL529" s="108"/>
      <c r="BM529" s="109"/>
      <c r="BN529" s="108"/>
      <c r="BO529" s="108"/>
      <c r="BP529" s="108"/>
    </row>
    <row r="530" spans="1:68" ht="12" customHeight="1" x14ac:dyDescent="0.2">
      <c r="A530" s="179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  <c r="BC530" s="108"/>
      <c r="BD530" s="108"/>
      <c r="BE530" s="108"/>
      <c r="BF530" s="108"/>
      <c r="BG530" s="108"/>
      <c r="BH530" s="108"/>
      <c r="BI530" s="108"/>
      <c r="BJ530" s="108"/>
      <c r="BK530" s="108"/>
      <c r="BL530" s="108"/>
      <c r="BM530" s="109"/>
      <c r="BN530" s="108"/>
      <c r="BO530" s="108"/>
      <c r="BP530" s="108"/>
    </row>
    <row r="531" spans="1:68" ht="12" customHeight="1" x14ac:dyDescent="0.2">
      <c r="A531" s="179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  <c r="BC531" s="108"/>
      <c r="BD531" s="108"/>
      <c r="BE531" s="108"/>
      <c r="BF531" s="108"/>
      <c r="BG531" s="108"/>
      <c r="BH531" s="108"/>
      <c r="BI531" s="108"/>
      <c r="BJ531" s="108"/>
      <c r="BK531" s="108"/>
      <c r="BL531" s="108"/>
      <c r="BM531" s="109"/>
      <c r="BN531" s="108"/>
      <c r="BO531" s="108"/>
      <c r="BP531" s="108"/>
    </row>
    <row r="532" spans="1:68" ht="12" customHeight="1" x14ac:dyDescent="0.2">
      <c r="A532" s="179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  <c r="BC532" s="108"/>
      <c r="BD532" s="108"/>
      <c r="BE532" s="108"/>
      <c r="BF532" s="108"/>
      <c r="BG532" s="108"/>
      <c r="BH532" s="108"/>
      <c r="BI532" s="108"/>
      <c r="BJ532" s="108"/>
      <c r="BK532" s="108"/>
      <c r="BL532" s="108"/>
      <c r="BM532" s="109"/>
      <c r="BN532" s="108"/>
      <c r="BO532" s="108"/>
      <c r="BP532" s="108"/>
    </row>
    <row r="533" spans="1:68" ht="12" customHeight="1" x14ac:dyDescent="0.2">
      <c r="A533" s="179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  <c r="BC533" s="108"/>
      <c r="BD533" s="108"/>
      <c r="BE533" s="108"/>
      <c r="BF533" s="108"/>
      <c r="BG533" s="108"/>
      <c r="BH533" s="108"/>
      <c r="BI533" s="108"/>
      <c r="BJ533" s="108"/>
      <c r="BK533" s="108"/>
      <c r="BL533" s="108"/>
      <c r="BM533" s="109"/>
      <c r="BN533" s="108"/>
      <c r="BO533" s="108"/>
      <c r="BP533" s="108"/>
    </row>
    <row r="534" spans="1:68" ht="12" customHeight="1" x14ac:dyDescent="0.2">
      <c r="A534" s="179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  <c r="BC534" s="108"/>
      <c r="BD534" s="108"/>
      <c r="BE534" s="108"/>
      <c r="BF534" s="108"/>
      <c r="BG534" s="108"/>
      <c r="BH534" s="108"/>
      <c r="BI534" s="108"/>
      <c r="BJ534" s="108"/>
      <c r="BK534" s="108"/>
      <c r="BL534" s="108"/>
      <c r="BM534" s="109"/>
      <c r="BN534" s="108"/>
      <c r="BO534" s="108"/>
      <c r="BP534" s="108"/>
    </row>
    <row r="535" spans="1:68" ht="12" customHeight="1" x14ac:dyDescent="0.2">
      <c r="A535" s="179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  <c r="BC535" s="108"/>
      <c r="BD535" s="108"/>
      <c r="BE535" s="108"/>
      <c r="BF535" s="108"/>
      <c r="BG535" s="108"/>
      <c r="BH535" s="108"/>
      <c r="BI535" s="108"/>
      <c r="BJ535" s="108"/>
      <c r="BK535" s="108"/>
      <c r="BL535" s="108"/>
      <c r="BM535" s="109"/>
      <c r="BN535" s="108"/>
      <c r="BO535" s="108"/>
      <c r="BP535" s="108"/>
    </row>
    <row r="536" spans="1:68" ht="12" customHeight="1" x14ac:dyDescent="0.2">
      <c r="A536" s="179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  <c r="BC536" s="108"/>
      <c r="BD536" s="108"/>
      <c r="BE536" s="108"/>
      <c r="BF536" s="108"/>
      <c r="BG536" s="108"/>
      <c r="BH536" s="108"/>
      <c r="BI536" s="108"/>
      <c r="BJ536" s="108"/>
      <c r="BK536" s="108"/>
      <c r="BL536" s="108"/>
      <c r="BM536" s="109"/>
      <c r="BN536" s="108"/>
      <c r="BO536" s="108"/>
      <c r="BP536" s="108"/>
    </row>
    <row r="537" spans="1:68" ht="12" customHeight="1" x14ac:dyDescent="0.2">
      <c r="A537" s="179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  <c r="BC537" s="108"/>
      <c r="BD537" s="108"/>
      <c r="BE537" s="108"/>
      <c r="BF537" s="108"/>
      <c r="BG537" s="108"/>
      <c r="BH537" s="108"/>
      <c r="BI537" s="108"/>
      <c r="BJ537" s="108"/>
      <c r="BK537" s="108"/>
      <c r="BL537" s="108"/>
      <c r="BM537" s="109"/>
      <c r="BN537" s="108"/>
      <c r="BO537" s="108"/>
      <c r="BP537" s="108"/>
    </row>
    <row r="538" spans="1:68" ht="12" customHeight="1" x14ac:dyDescent="0.2">
      <c r="A538" s="179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  <c r="BC538" s="108"/>
      <c r="BD538" s="108"/>
      <c r="BE538" s="108"/>
      <c r="BF538" s="108"/>
      <c r="BG538" s="108"/>
      <c r="BH538" s="108"/>
      <c r="BI538" s="108"/>
      <c r="BJ538" s="108"/>
      <c r="BK538" s="108"/>
      <c r="BL538" s="108"/>
      <c r="BM538" s="109"/>
      <c r="BN538" s="108"/>
      <c r="BO538" s="108"/>
      <c r="BP538" s="108"/>
    </row>
    <row r="539" spans="1:68" ht="12" customHeight="1" x14ac:dyDescent="0.2">
      <c r="A539" s="179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  <c r="BC539" s="108"/>
      <c r="BD539" s="108"/>
      <c r="BE539" s="108"/>
      <c r="BF539" s="108"/>
      <c r="BG539" s="108"/>
      <c r="BH539" s="108"/>
      <c r="BI539" s="108"/>
      <c r="BJ539" s="108"/>
      <c r="BK539" s="108"/>
      <c r="BL539" s="108"/>
      <c r="BM539" s="109"/>
      <c r="BN539" s="108"/>
      <c r="BO539" s="108"/>
      <c r="BP539" s="108"/>
    </row>
    <row r="540" spans="1:68" ht="12" customHeight="1" x14ac:dyDescent="0.2">
      <c r="A540" s="179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  <c r="BC540" s="108"/>
      <c r="BD540" s="108"/>
      <c r="BE540" s="108"/>
      <c r="BF540" s="108"/>
      <c r="BG540" s="108"/>
      <c r="BH540" s="108"/>
      <c r="BI540" s="108"/>
      <c r="BJ540" s="108"/>
      <c r="BK540" s="108"/>
      <c r="BL540" s="108"/>
      <c r="BM540" s="109"/>
      <c r="BN540" s="108"/>
      <c r="BO540" s="108"/>
      <c r="BP540" s="108"/>
    </row>
    <row r="541" spans="1:68" ht="12" customHeight="1" x14ac:dyDescent="0.2">
      <c r="A541" s="179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  <c r="BG541" s="108"/>
      <c r="BH541" s="108"/>
      <c r="BI541" s="108"/>
      <c r="BJ541" s="108"/>
      <c r="BK541" s="108"/>
      <c r="BL541" s="108"/>
      <c r="BM541" s="109"/>
      <c r="BN541" s="108"/>
      <c r="BO541" s="108"/>
      <c r="BP541" s="108"/>
    </row>
    <row r="542" spans="1:68" ht="12" customHeight="1" x14ac:dyDescent="0.2">
      <c r="A542" s="179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  <c r="BG542" s="108"/>
      <c r="BH542" s="108"/>
      <c r="BI542" s="108"/>
      <c r="BJ542" s="108"/>
      <c r="BK542" s="108"/>
      <c r="BL542" s="108"/>
      <c r="BM542" s="109"/>
      <c r="BN542" s="108"/>
      <c r="BO542" s="108"/>
      <c r="BP542" s="108"/>
    </row>
    <row r="543" spans="1:68" ht="12" customHeight="1" x14ac:dyDescent="0.2">
      <c r="A543" s="179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  <c r="BC543" s="108"/>
      <c r="BD543" s="108"/>
      <c r="BE543" s="108"/>
      <c r="BF543" s="108"/>
      <c r="BG543" s="108"/>
      <c r="BH543" s="108"/>
      <c r="BI543" s="108"/>
      <c r="BJ543" s="108"/>
      <c r="BK543" s="108"/>
      <c r="BL543" s="108"/>
      <c r="BM543" s="109"/>
      <c r="BN543" s="108"/>
      <c r="BO543" s="108"/>
      <c r="BP543" s="108"/>
    </row>
    <row r="544" spans="1:68" ht="12" customHeight="1" x14ac:dyDescent="0.2">
      <c r="A544" s="179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  <c r="BC544" s="108"/>
      <c r="BD544" s="108"/>
      <c r="BE544" s="108"/>
      <c r="BF544" s="108"/>
      <c r="BG544" s="108"/>
      <c r="BH544" s="108"/>
      <c r="BI544" s="108"/>
      <c r="BJ544" s="108"/>
      <c r="BK544" s="108"/>
      <c r="BL544" s="108"/>
      <c r="BM544" s="109"/>
      <c r="BN544" s="108"/>
      <c r="BO544" s="108"/>
      <c r="BP544" s="108"/>
    </row>
    <row r="545" spans="1:68" ht="12" customHeight="1" x14ac:dyDescent="0.2">
      <c r="A545" s="179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  <c r="BK545" s="108"/>
      <c r="BL545" s="108"/>
      <c r="BM545" s="109"/>
      <c r="BN545" s="108"/>
      <c r="BO545" s="108"/>
      <c r="BP545" s="108"/>
    </row>
    <row r="546" spans="1:68" ht="12" customHeight="1" x14ac:dyDescent="0.2">
      <c r="A546" s="179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  <c r="BG546" s="108"/>
      <c r="BH546" s="108"/>
      <c r="BI546" s="108"/>
      <c r="BJ546" s="108"/>
      <c r="BK546" s="108"/>
      <c r="BL546" s="108"/>
      <c r="BM546" s="109"/>
      <c r="BN546" s="108"/>
      <c r="BO546" s="108"/>
      <c r="BP546" s="108"/>
    </row>
    <row r="547" spans="1:68" ht="12" customHeight="1" x14ac:dyDescent="0.2">
      <c r="A547" s="179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  <c r="BC547" s="108"/>
      <c r="BD547" s="108"/>
      <c r="BE547" s="108"/>
      <c r="BF547" s="108"/>
      <c r="BG547" s="108"/>
      <c r="BH547" s="108"/>
      <c r="BI547" s="108"/>
      <c r="BJ547" s="108"/>
      <c r="BK547" s="108"/>
      <c r="BL547" s="108"/>
      <c r="BM547" s="109"/>
      <c r="BN547" s="108"/>
      <c r="BO547" s="108"/>
      <c r="BP547" s="108"/>
    </row>
    <row r="548" spans="1:68" ht="12" customHeight="1" x14ac:dyDescent="0.2">
      <c r="A548" s="179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  <c r="BC548" s="108"/>
      <c r="BD548" s="108"/>
      <c r="BE548" s="108"/>
      <c r="BF548" s="108"/>
      <c r="BG548" s="108"/>
      <c r="BH548" s="108"/>
      <c r="BI548" s="108"/>
      <c r="BJ548" s="108"/>
      <c r="BK548" s="108"/>
      <c r="BL548" s="108"/>
      <c r="BM548" s="109"/>
      <c r="BN548" s="108"/>
      <c r="BO548" s="108"/>
      <c r="BP548" s="108"/>
    </row>
    <row r="549" spans="1:68" ht="12" customHeight="1" x14ac:dyDescent="0.2">
      <c r="A549" s="179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  <c r="BG549" s="108"/>
      <c r="BH549" s="108"/>
      <c r="BI549" s="108"/>
      <c r="BJ549" s="108"/>
      <c r="BK549" s="108"/>
      <c r="BL549" s="108"/>
      <c r="BM549" s="109"/>
      <c r="BN549" s="108"/>
      <c r="BO549" s="108"/>
      <c r="BP549" s="108"/>
    </row>
    <row r="550" spans="1:68" ht="12" customHeight="1" x14ac:dyDescent="0.2">
      <c r="A550" s="179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  <c r="BG550" s="108"/>
      <c r="BH550" s="108"/>
      <c r="BI550" s="108"/>
      <c r="BJ550" s="108"/>
      <c r="BK550" s="108"/>
      <c r="BL550" s="108"/>
      <c r="BM550" s="109"/>
      <c r="BN550" s="108"/>
      <c r="BO550" s="108"/>
      <c r="BP550" s="108"/>
    </row>
    <row r="551" spans="1:68" ht="12" customHeight="1" x14ac:dyDescent="0.2">
      <c r="A551" s="179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  <c r="BG551" s="108"/>
      <c r="BH551" s="108"/>
      <c r="BI551" s="108"/>
      <c r="BJ551" s="108"/>
      <c r="BK551" s="108"/>
      <c r="BL551" s="108"/>
      <c r="BM551" s="109"/>
      <c r="BN551" s="108"/>
      <c r="BO551" s="108"/>
      <c r="BP551" s="108"/>
    </row>
    <row r="552" spans="1:68" ht="12" customHeight="1" x14ac:dyDescent="0.2">
      <c r="A552" s="179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  <c r="BC552" s="108"/>
      <c r="BD552" s="108"/>
      <c r="BE552" s="108"/>
      <c r="BF552" s="108"/>
      <c r="BG552" s="108"/>
      <c r="BH552" s="108"/>
      <c r="BI552" s="108"/>
      <c r="BJ552" s="108"/>
      <c r="BK552" s="108"/>
      <c r="BL552" s="108"/>
      <c r="BM552" s="109"/>
      <c r="BN552" s="108"/>
      <c r="BO552" s="108"/>
      <c r="BP552" s="108"/>
    </row>
    <row r="553" spans="1:68" ht="12" customHeight="1" x14ac:dyDescent="0.2">
      <c r="A553" s="179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  <c r="BG553" s="108"/>
      <c r="BH553" s="108"/>
      <c r="BI553" s="108"/>
      <c r="BJ553" s="108"/>
      <c r="BK553" s="108"/>
      <c r="BL553" s="108"/>
      <c r="BM553" s="109"/>
      <c r="BN553" s="108"/>
      <c r="BO553" s="108"/>
      <c r="BP553" s="108"/>
    </row>
    <row r="554" spans="1:68" ht="12" customHeight="1" x14ac:dyDescent="0.2">
      <c r="A554" s="179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108"/>
      <c r="BL554" s="108"/>
      <c r="BM554" s="109"/>
      <c r="BN554" s="108"/>
      <c r="BO554" s="108"/>
      <c r="BP554" s="108"/>
    </row>
    <row r="555" spans="1:68" ht="12" customHeight="1" x14ac:dyDescent="0.2">
      <c r="A555" s="179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9"/>
      <c r="BN555" s="108"/>
      <c r="BO555" s="108"/>
      <c r="BP555" s="108"/>
    </row>
    <row r="556" spans="1:68" ht="12" customHeight="1" x14ac:dyDescent="0.2">
      <c r="A556" s="179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  <c r="BG556" s="108"/>
      <c r="BH556" s="108"/>
      <c r="BI556" s="108"/>
      <c r="BJ556" s="108"/>
      <c r="BK556" s="108"/>
      <c r="BL556" s="108"/>
      <c r="BM556" s="109"/>
      <c r="BN556" s="108"/>
      <c r="BO556" s="108"/>
      <c r="BP556" s="108"/>
    </row>
    <row r="557" spans="1:68" ht="12" customHeight="1" x14ac:dyDescent="0.2">
      <c r="A557" s="179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108"/>
      <c r="BL557" s="108"/>
      <c r="BM557" s="109"/>
      <c r="BN557" s="108"/>
      <c r="BO557" s="108"/>
      <c r="BP557" s="108"/>
    </row>
    <row r="558" spans="1:68" ht="12" customHeight="1" x14ac:dyDescent="0.2">
      <c r="A558" s="179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9"/>
      <c r="BN558" s="108"/>
      <c r="BO558" s="108"/>
      <c r="BP558" s="108"/>
    </row>
    <row r="559" spans="1:68" ht="12" customHeight="1" x14ac:dyDescent="0.2">
      <c r="A559" s="179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108"/>
      <c r="BL559" s="108"/>
      <c r="BM559" s="109"/>
      <c r="BN559" s="108"/>
      <c r="BO559" s="108"/>
      <c r="BP559" s="108"/>
    </row>
    <row r="560" spans="1:68" ht="12" customHeight="1" x14ac:dyDescent="0.2">
      <c r="A560" s="179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108"/>
      <c r="BL560" s="108"/>
      <c r="BM560" s="109"/>
      <c r="BN560" s="108"/>
      <c r="BO560" s="108"/>
      <c r="BP560" s="108"/>
    </row>
    <row r="561" spans="1:68" ht="12" customHeight="1" x14ac:dyDescent="0.2">
      <c r="A561" s="179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  <c r="BG561" s="108"/>
      <c r="BH561" s="108"/>
      <c r="BI561" s="108"/>
      <c r="BJ561" s="108"/>
      <c r="BK561" s="108"/>
      <c r="BL561" s="108"/>
      <c r="BM561" s="109"/>
      <c r="BN561" s="108"/>
      <c r="BO561" s="108"/>
      <c r="BP561" s="108"/>
    </row>
    <row r="562" spans="1:68" ht="12" customHeight="1" x14ac:dyDescent="0.2">
      <c r="A562" s="179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  <c r="BG562" s="108"/>
      <c r="BH562" s="108"/>
      <c r="BI562" s="108"/>
      <c r="BJ562" s="108"/>
      <c r="BK562" s="108"/>
      <c r="BL562" s="108"/>
      <c r="BM562" s="109"/>
      <c r="BN562" s="108"/>
      <c r="BO562" s="108"/>
      <c r="BP562" s="108"/>
    </row>
    <row r="563" spans="1:68" ht="12" customHeight="1" x14ac:dyDescent="0.2">
      <c r="A563" s="179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  <c r="BG563" s="108"/>
      <c r="BH563" s="108"/>
      <c r="BI563" s="108"/>
      <c r="BJ563" s="108"/>
      <c r="BK563" s="108"/>
      <c r="BL563" s="108"/>
      <c r="BM563" s="109"/>
      <c r="BN563" s="108"/>
      <c r="BO563" s="108"/>
      <c r="BP563" s="108"/>
    </row>
    <row r="564" spans="1:68" ht="12" customHeight="1" x14ac:dyDescent="0.2">
      <c r="A564" s="179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  <c r="BG564" s="108"/>
      <c r="BH564" s="108"/>
      <c r="BI564" s="108"/>
      <c r="BJ564" s="108"/>
      <c r="BK564" s="108"/>
      <c r="BL564" s="108"/>
      <c r="BM564" s="109"/>
      <c r="BN564" s="108"/>
      <c r="BO564" s="108"/>
      <c r="BP564" s="108"/>
    </row>
    <row r="565" spans="1:68" ht="12" customHeight="1" x14ac:dyDescent="0.2">
      <c r="A565" s="179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  <c r="BG565" s="108"/>
      <c r="BH565" s="108"/>
      <c r="BI565" s="108"/>
      <c r="BJ565" s="108"/>
      <c r="BK565" s="108"/>
      <c r="BL565" s="108"/>
      <c r="BM565" s="109"/>
      <c r="BN565" s="108"/>
      <c r="BO565" s="108"/>
      <c r="BP565" s="108"/>
    </row>
    <row r="566" spans="1:68" ht="12" customHeight="1" x14ac:dyDescent="0.2">
      <c r="A566" s="179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  <c r="BG566" s="108"/>
      <c r="BH566" s="108"/>
      <c r="BI566" s="108"/>
      <c r="BJ566" s="108"/>
      <c r="BK566" s="108"/>
      <c r="BL566" s="108"/>
      <c r="BM566" s="109"/>
      <c r="BN566" s="108"/>
      <c r="BO566" s="108"/>
      <c r="BP566" s="108"/>
    </row>
    <row r="567" spans="1:68" ht="12" customHeight="1" x14ac:dyDescent="0.2">
      <c r="A567" s="179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  <c r="BG567" s="108"/>
      <c r="BH567" s="108"/>
      <c r="BI567" s="108"/>
      <c r="BJ567" s="108"/>
      <c r="BK567" s="108"/>
      <c r="BL567" s="108"/>
      <c r="BM567" s="109"/>
      <c r="BN567" s="108"/>
      <c r="BO567" s="108"/>
      <c r="BP567" s="108"/>
    </row>
    <row r="568" spans="1:68" ht="12" customHeight="1" x14ac:dyDescent="0.2">
      <c r="A568" s="179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  <c r="BC568" s="108"/>
      <c r="BD568" s="108"/>
      <c r="BE568" s="108"/>
      <c r="BF568" s="108"/>
      <c r="BG568" s="108"/>
      <c r="BH568" s="108"/>
      <c r="BI568" s="108"/>
      <c r="BJ568" s="108"/>
      <c r="BK568" s="108"/>
      <c r="BL568" s="108"/>
      <c r="BM568" s="109"/>
      <c r="BN568" s="108"/>
      <c r="BO568" s="108"/>
      <c r="BP568" s="108"/>
    </row>
    <row r="569" spans="1:68" ht="12" customHeight="1" x14ac:dyDescent="0.2">
      <c r="A569" s="179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  <c r="BG569" s="108"/>
      <c r="BH569" s="108"/>
      <c r="BI569" s="108"/>
      <c r="BJ569" s="108"/>
      <c r="BK569" s="108"/>
      <c r="BL569" s="108"/>
      <c r="BM569" s="109"/>
      <c r="BN569" s="108"/>
      <c r="BO569" s="108"/>
      <c r="BP569" s="108"/>
    </row>
    <row r="570" spans="1:68" ht="12" customHeight="1" x14ac:dyDescent="0.2">
      <c r="A570" s="179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  <c r="BC570" s="108"/>
      <c r="BD570" s="108"/>
      <c r="BE570" s="108"/>
      <c r="BF570" s="108"/>
      <c r="BG570" s="108"/>
      <c r="BH570" s="108"/>
      <c r="BI570" s="108"/>
      <c r="BJ570" s="108"/>
      <c r="BK570" s="108"/>
      <c r="BL570" s="108"/>
      <c r="BM570" s="109"/>
      <c r="BN570" s="108"/>
      <c r="BO570" s="108"/>
      <c r="BP570" s="108"/>
    </row>
    <row r="571" spans="1:68" ht="12" customHeight="1" x14ac:dyDescent="0.2">
      <c r="A571" s="179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  <c r="BC571" s="108"/>
      <c r="BD571" s="108"/>
      <c r="BE571" s="108"/>
      <c r="BF571" s="108"/>
      <c r="BG571" s="108"/>
      <c r="BH571" s="108"/>
      <c r="BI571" s="108"/>
      <c r="BJ571" s="108"/>
      <c r="BK571" s="108"/>
      <c r="BL571" s="108"/>
      <c r="BM571" s="109"/>
      <c r="BN571" s="108"/>
      <c r="BO571" s="108"/>
      <c r="BP571" s="108"/>
    </row>
    <row r="572" spans="1:68" ht="12" customHeight="1" x14ac:dyDescent="0.2">
      <c r="A572" s="179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  <c r="BC572" s="108"/>
      <c r="BD572" s="108"/>
      <c r="BE572" s="108"/>
      <c r="BF572" s="108"/>
      <c r="BG572" s="108"/>
      <c r="BH572" s="108"/>
      <c r="BI572" s="108"/>
      <c r="BJ572" s="108"/>
      <c r="BK572" s="108"/>
      <c r="BL572" s="108"/>
      <c r="BM572" s="109"/>
      <c r="BN572" s="108"/>
      <c r="BO572" s="108"/>
      <c r="BP572" s="108"/>
    </row>
    <row r="573" spans="1:68" ht="12" customHeight="1" x14ac:dyDescent="0.2">
      <c r="A573" s="179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  <c r="BG573" s="108"/>
      <c r="BH573" s="108"/>
      <c r="BI573" s="108"/>
      <c r="BJ573" s="108"/>
      <c r="BK573" s="108"/>
      <c r="BL573" s="108"/>
      <c r="BM573" s="109"/>
      <c r="BN573" s="108"/>
      <c r="BO573" s="108"/>
      <c r="BP573" s="108"/>
    </row>
    <row r="574" spans="1:68" ht="12" customHeight="1" x14ac:dyDescent="0.2">
      <c r="A574" s="179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  <c r="BC574" s="108"/>
      <c r="BD574" s="108"/>
      <c r="BE574" s="108"/>
      <c r="BF574" s="108"/>
      <c r="BG574" s="108"/>
      <c r="BH574" s="108"/>
      <c r="BI574" s="108"/>
      <c r="BJ574" s="108"/>
      <c r="BK574" s="108"/>
      <c r="BL574" s="108"/>
      <c r="BM574" s="109"/>
      <c r="BN574" s="108"/>
      <c r="BO574" s="108"/>
      <c r="BP574" s="108"/>
    </row>
    <row r="575" spans="1:68" ht="12" customHeight="1" x14ac:dyDescent="0.2">
      <c r="A575" s="179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  <c r="BC575" s="108"/>
      <c r="BD575" s="108"/>
      <c r="BE575" s="108"/>
      <c r="BF575" s="108"/>
      <c r="BG575" s="108"/>
      <c r="BH575" s="108"/>
      <c r="BI575" s="108"/>
      <c r="BJ575" s="108"/>
      <c r="BK575" s="108"/>
      <c r="BL575" s="108"/>
      <c r="BM575" s="109"/>
      <c r="BN575" s="108"/>
      <c r="BO575" s="108"/>
      <c r="BP575" s="108"/>
    </row>
    <row r="576" spans="1:68" ht="12" customHeight="1" x14ac:dyDescent="0.2">
      <c r="A576" s="179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  <c r="BC576" s="108"/>
      <c r="BD576" s="108"/>
      <c r="BE576" s="108"/>
      <c r="BF576" s="108"/>
      <c r="BG576" s="108"/>
      <c r="BH576" s="108"/>
      <c r="BI576" s="108"/>
      <c r="BJ576" s="108"/>
      <c r="BK576" s="108"/>
      <c r="BL576" s="108"/>
      <c r="BM576" s="109"/>
      <c r="BN576" s="108"/>
      <c r="BO576" s="108"/>
      <c r="BP576" s="108"/>
    </row>
    <row r="577" spans="1:68" ht="12" customHeight="1" x14ac:dyDescent="0.2">
      <c r="A577" s="179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  <c r="BC577" s="108"/>
      <c r="BD577" s="108"/>
      <c r="BE577" s="108"/>
      <c r="BF577" s="108"/>
      <c r="BG577" s="108"/>
      <c r="BH577" s="108"/>
      <c r="BI577" s="108"/>
      <c r="BJ577" s="108"/>
      <c r="BK577" s="108"/>
      <c r="BL577" s="108"/>
      <c r="BM577" s="109"/>
      <c r="BN577" s="108"/>
      <c r="BO577" s="108"/>
      <c r="BP577" s="108"/>
    </row>
    <row r="578" spans="1:68" ht="12" customHeight="1" x14ac:dyDescent="0.2">
      <c r="A578" s="179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  <c r="BC578" s="108"/>
      <c r="BD578" s="108"/>
      <c r="BE578" s="108"/>
      <c r="BF578" s="108"/>
      <c r="BG578" s="108"/>
      <c r="BH578" s="108"/>
      <c r="BI578" s="108"/>
      <c r="BJ578" s="108"/>
      <c r="BK578" s="108"/>
      <c r="BL578" s="108"/>
      <c r="BM578" s="109"/>
      <c r="BN578" s="108"/>
      <c r="BO578" s="108"/>
      <c r="BP578" s="108"/>
    </row>
    <row r="579" spans="1:68" ht="12" customHeight="1" x14ac:dyDescent="0.2">
      <c r="A579" s="179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  <c r="BC579" s="108"/>
      <c r="BD579" s="108"/>
      <c r="BE579" s="108"/>
      <c r="BF579" s="108"/>
      <c r="BG579" s="108"/>
      <c r="BH579" s="108"/>
      <c r="BI579" s="108"/>
      <c r="BJ579" s="108"/>
      <c r="BK579" s="108"/>
      <c r="BL579" s="108"/>
      <c r="BM579" s="109"/>
      <c r="BN579" s="108"/>
      <c r="BO579" s="108"/>
      <c r="BP579" s="108"/>
    </row>
    <row r="580" spans="1:68" ht="12" customHeight="1" x14ac:dyDescent="0.2">
      <c r="A580" s="179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  <c r="BC580" s="108"/>
      <c r="BD580" s="108"/>
      <c r="BE580" s="108"/>
      <c r="BF580" s="108"/>
      <c r="BG580" s="108"/>
      <c r="BH580" s="108"/>
      <c r="BI580" s="108"/>
      <c r="BJ580" s="108"/>
      <c r="BK580" s="108"/>
      <c r="BL580" s="108"/>
      <c r="BM580" s="109"/>
      <c r="BN580" s="108"/>
      <c r="BO580" s="108"/>
      <c r="BP580" s="108"/>
    </row>
    <row r="581" spans="1:68" ht="12" customHeight="1" x14ac:dyDescent="0.2">
      <c r="A581" s="179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  <c r="BC581" s="108"/>
      <c r="BD581" s="108"/>
      <c r="BE581" s="108"/>
      <c r="BF581" s="108"/>
      <c r="BG581" s="108"/>
      <c r="BH581" s="108"/>
      <c r="BI581" s="108"/>
      <c r="BJ581" s="108"/>
      <c r="BK581" s="108"/>
      <c r="BL581" s="108"/>
      <c r="BM581" s="109"/>
      <c r="BN581" s="108"/>
      <c r="BO581" s="108"/>
      <c r="BP581" s="108"/>
    </row>
    <row r="582" spans="1:68" ht="12" customHeight="1" x14ac:dyDescent="0.2">
      <c r="A582" s="179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  <c r="BC582" s="108"/>
      <c r="BD582" s="108"/>
      <c r="BE582" s="108"/>
      <c r="BF582" s="108"/>
      <c r="BG582" s="108"/>
      <c r="BH582" s="108"/>
      <c r="BI582" s="108"/>
      <c r="BJ582" s="108"/>
      <c r="BK582" s="108"/>
      <c r="BL582" s="108"/>
      <c r="BM582" s="109"/>
      <c r="BN582" s="108"/>
      <c r="BO582" s="108"/>
      <c r="BP582" s="108"/>
    </row>
    <row r="583" spans="1:68" ht="12" customHeight="1" x14ac:dyDescent="0.2">
      <c r="A583" s="179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  <c r="BC583" s="108"/>
      <c r="BD583" s="108"/>
      <c r="BE583" s="108"/>
      <c r="BF583" s="108"/>
      <c r="BG583" s="108"/>
      <c r="BH583" s="108"/>
      <c r="BI583" s="108"/>
      <c r="BJ583" s="108"/>
      <c r="BK583" s="108"/>
      <c r="BL583" s="108"/>
      <c r="BM583" s="109"/>
      <c r="BN583" s="108"/>
      <c r="BO583" s="108"/>
      <c r="BP583" s="108"/>
    </row>
    <row r="584" spans="1:68" ht="12" customHeight="1" x14ac:dyDescent="0.2">
      <c r="A584" s="179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  <c r="BC584" s="108"/>
      <c r="BD584" s="108"/>
      <c r="BE584" s="108"/>
      <c r="BF584" s="108"/>
      <c r="BG584" s="108"/>
      <c r="BH584" s="108"/>
      <c r="BI584" s="108"/>
      <c r="BJ584" s="108"/>
      <c r="BK584" s="108"/>
      <c r="BL584" s="108"/>
      <c r="BM584" s="109"/>
      <c r="BN584" s="108"/>
      <c r="BO584" s="108"/>
      <c r="BP584" s="108"/>
    </row>
    <row r="585" spans="1:68" ht="12" customHeight="1" x14ac:dyDescent="0.2">
      <c r="A585" s="179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  <c r="BC585" s="108"/>
      <c r="BD585" s="108"/>
      <c r="BE585" s="108"/>
      <c r="BF585" s="108"/>
      <c r="BG585" s="108"/>
      <c r="BH585" s="108"/>
      <c r="BI585" s="108"/>
      <c r="BJ585" s="108"/>
      <c r="BK585" s="108"/>
      <c r="BL585" s="108"/>
      <c r="BM585" s="109"/>
      <c r="BN585" s="108"/>
      <c r="BO585" s="108"/>
      <c r="BP585" s="108"/>
    </row>
    <row r="586" spans="1:68" ht="12" customHeight="1" x14ac:dyDescent="0.2">
      <c r="A586" s="179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  <c r="BC586" s="108"/>
      <c r="BD586" s="108"/>
      <c r="BE586" s="108"/>
      <c r="BF586" s="108"/>
      <c r="BG586" s="108"/>
      <c r="BH586" s="108"/>
      <c r="BI586" s="108"/>
      <c r="BJ586" s="108"/>
      <c r="BK586" s="108"/>
      <c r="BL586" s="108"/>
      <c r="BM586" s="109"/>
      <c r="BN586" s="108"/>
      <c r="BO586" s="108"/>
      <c r="BP586" s="108"/>
    </row>
    <row r="587" spans="1:68" ht="12" customHeight="1" x14ac:dyDescent="0.2">
      <c r="A587" s="179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  <c r="BC587" s="108"/>
      <c r="BD587" s="108"/>
      <c r="BE587" s="108"/>
      <c r="BF587" s="108"/>
      <c r="BG587" s="108"/>
      <c r="BH587" s="108"/>
      <c r="BI587" s="108"/>
      <c r="BJ587" s="108"/>
      <c r="BK587" s="108"/>
      <c r="BL587" s="108"/>
      <c r="BM587" s="109"/>
      <c r="BN587" s="108"/>
      <c r="BO587" s="108"/>
      <c r="BP587" s="108"/>
    </row>
    <row r="588" spans="1:68" ht="12" customHeight="1" x14ac:dyDescent="0.2">
      <c r="A588" s="179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  <c r="BC588" s="108"/>
      <c r="BD588" s="108"/>
      <c r="BE588" s="108"/>
      <c r="BF588" s="108"/>
      <c r="BG588" s="108"/>
      <c r="BH588" s="108"/>
      <c r="BI588" s="108"/>
      <c r="BJ588" s="108"/>
      <c r="BK588" s="108"/>
      <c r="BL588" s="108"/>
      <c r="BM588" s="109"/>
      <c r="BN588" s="108"/>
      <c r="BO588" s="108"/>
      <c r="BP588" s="108"/>
    </row>
    <row r="589" spans="1:68" ht="12" customHeight="1" x14ac:dyDescent="0.2">
      <c r="A589" s="179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  <c r="BC589" s="108"/>
      <c r="BD589" s="108"/>
      <c r="BE589" s="108"/>
      <c r="BF589" s="108"/>
      <c r="BG589" s="108"/>
      <c r="BH589" s="108"/>
      <c r="BI589" s="108"/>
      <c r="BJ589" s="108"/>
      <c r="BK589" s="108"/>
      <c r="BL589" s="108"/>
      <c r="BM589" s="109"/>
      <c r="BN589" s="108"/>
      <c r="BO589" s="108"/>
      <c r="BP589" s="108"/>
    </row>
    <row r="590" spans="1:68" ht="12" customHeight="1" x14ac:dyDescent="0.2">
      <c r="A590" s="179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  <c r="BC590" s="108"/>
      <c r="BD590" s="108"/>
      <c r="BE590" s="108"/>
      <c r="BF590" s="108"/>
      <c r="BG590" s="108"/>
      <c r="BH590" s="108"/>
      <c r="BI590" s="108"/>
      <c r="BJ590" s="108"/>
      <c r="BK590" s="108"/>
      <c r="BL590" s="108"/>
      <c r="BM590" s="109"/>
      <c r="BN590" s="108"/>
      <c r="BO590" s="108"/>
      <c r="BP590" s="108"/>
    </row>
    <row r="591" spans="1:68" ht="12" customHeight="1" x14ac:dyDescent="0.2">
      <c r="A591" s="179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  <c r="BG591" s="108"/>
      <c r="BH591" s="108"/>
      <c r="BI591" s="108"/>
      <c r="BJ591" s="108"/>
      <c r="BK591" s="108"/>
      <c r="BL591" s="108"/>
      <c r="BM591" s="109"/>
      <c r="BN591" s="108"/>
      <c r="BO591" s="108"/>
      <c r="BP591" s="108"/>
    </row>
    <row r="592" spans="1:68" ht="12" customHeight="1" x14ac:dyDescent="0.2">
      <c r="A592" s="179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  <c r="BH592" s="108"/>
      <c r="BI592" s="108"/>
      <c r="BJ592" s="108"/>
      <c r="BK592" s="108"/>
      <c r="BL592" s="108"/>
      <c r="BM592" s="109"/>
      <c r="BN592" s="108"/>
      <c r="BO592" s="108"/>
      <c r="BP592" s="108"/>
    </row>
    <row r="593" spans="1:68" ht="12" customHeight="1" x14ac:dyDescent="0.2">
      <c r="A593" s="179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9"/>
      <c r="BN593" s="108"/>
      <c r="BO593" s="108"/>
      <c r="BP593" s="108"/>
    </row>
    <row r="594" spans="1:68" ht="12" customHeight="1" x14ac:dyDescent="0.2">
      <c r="A594" s="179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  <c r="BC594" s="108"/>
      <c r="BD594" s="108"/>
      <c r="BE594" s="108"/>
      <c r="BF594" s="108"/>
      <c r="BG594" s="108"/>
      <c r="BH594" s="108"/>
      <c r="BI594" s="108"/>
      <c r="BJ594" s="108"/>
      <c r="BK594" s="108"/>
      <c r="BL594" s="108"/>
      <c r="BM594" s="109"/>
      <c r="BN594" s="108"/>
      <c r="BO594" s="108"/>
      <c r="BP594" s="108"/>
    </row>
    <row r="595" spans="1:68" ht="12" customHeight="1" x14ac:dyDescent="0.2">
      <c r="A595" s="179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  <c r="BC595" s="108"/>
      <c r="BD595" s="108"/>
      <c r="BE595" s="108"/>
      <c r="BF595" s="108"/>
      <c r="BG595" s="108"/>
      <c r="BH595" s="108"/>
      <c r="BI595" s="108"/>
      <c r="BJ595" s="108"/>
      <c r="BK595" s="108"/>
      <c r="BL595" s="108"/>
      <c r="BM595" s="109"/>
      <c r="BN595" s="108"/>
      <c r="BO595" s="108"/>
      <c r="BP595" s="108"/>
    </row>
    <row r="596" spans="1:68" ht="12" customHeight="1" x14ac:dyDescent="0.2">
      <c r="A596" s="179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9"/>
      <c r="BN596" s="108"/>
      <c r="BO596" s="108"/>
      <c r="BP596" s="108"/>
    </row>
    <row r="597" spans="1:68" ht="12" customHeight="1" x14ac:dyDescent="0.2">
      <c r="A597" s="179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  <c r="BC597" s="108"/>
      <c r="BD597" s="108"/>
      <c r="BE597" s="108"/>
      <c r="BF597" s="108"/>
      <c r="BG597" s="108"/>
      <c r="BH597" s="108"/>
      <c r="BI597" s="108"/>
      <c r="BJ597" s="108"/>
      <c r="BK597" s="108"/>
      <c r="BL597" s="108"/>
      <c r="BM597" s="109"/>
      <c r="BN597" s="108"/>
      <c r="BO597" s="108"/>
      <c r="BP597" s="108"/>
    </row>
    <row r="598" spans="1:68" ht="12" customHeight="1" x14ac:dyDescent="0.2">
      <c r="A598" s="179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  <c r="BC598" s="108"/>
      <c r="BD598" s="108"/>
      <c r="BE598" s="108"/>
      <c r="BF598" s="108"/>
      <c r="BG598" s="108"/>
      <c r="BH598" s="108"/>
      <c r="BI598" s="108"/>
      <c r="BJ598" s="108"/>
      <c r="BK598" s="108"/>
      <c r="BL598" s="108"/>
      <c r="BM598" s="109"/>
      <c r="BN598" s="108"/>
      <c r="BO598" s="108"/>
      <c r="BP598" s="108"/>
    </row>
    <row r="599" spans="1:68" ht="12" customHeight="1" x14ac:dyDescent="0.2">
      <c r="A599" s="179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  <c r="BC599" s="108"/>
      <c r="BD599" s="108"/>
      <c r="BE599" s="108"/>
      <c r="BF599" s="108"/>
      <c r="BG599" s="108"/>
      <c r="BH599" s="108"/>
      <c r="BI599" s="108"/>
      <c r="BJ599" s="108"/>
      <c r="BK599" s="108"/>
      <c r="BL599" s="108"/>
      <c r="BM599" s="109"/>
      <c r="BN599" s="108"/>
      <c r="BO599" s="108"/>
      <c r="BP599" s="108"/>
    </row>
    <row r="600" spans="1:68" ht="12" customHeight="1" x14ac:dyDescent="0.2">
      <c r="A600" s="179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  <c r="BC600" s="108"/>
      <c r="BD600" s="108"/>
      <c r="BE600" s="108"/>
      <c r="BF600" s="108"/>
      <c r="BG600" s="108"/>
      <c r="BH600" s="108"/>
      <c r="BI600" s="108"/>
      <c r="BJ600" s="108"/>
      <c r="BK600" s="108"/>
      <c r="BL600" s="108"/>
      <c r="BM600" s="109"/>
      <c r="BN600" s="108"/>
      <c r="BO600" s="108"/>
      <c r="BP600" s="108"/>
    </row>
    <row r="601" spans="1:68" ht="12" customHeight="1" x14ac:dyDescent="0.2">
      <c r="A601" s="179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108"/>
      <c r="BL601" s="108"/>
      <c r="BM601" s="109"/>
      <c r="BN601" s="108"/>
      <c r="BO601" s="108"/>
      <c r="BP601" s="108"/>
    </row>
    <row r="602" spans="1:68" ht="12" customHeight="1" x14ac:dyDescent="0.2">
      <c r="A602" s="179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  <c r="BC602" s="108"/>
      <c r="BD602" s="108"/>
      <c r="BE602" s="108"/>
      <c r="BF602" s="108"/>
      <c r="BG602" s="108"/>
      <c r="BH602" s="108"/>
      <c r="BI602" s="108"/>
      <c r="BJ602" s="108"/>
      <c r="BK602" s="108"/>
      <c r="BL602" s="108"/>
      <c r="BM602" s="109"/>
      <c r="BN602" s="108"/>
      <c r="BO602" s="108"/>
      <c r="BP602" s="108"/>
    </row>
    <row r="603" spans="1:68" ht="12" customHeight="1" x14ac:dyDescent="0.2">
      <c r="A603" s="179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  <c r="BC603" s="108"/>
      <c r="BD603" s="108"/>
      <c r="BE603" s="108"/>
      <c r="BF603" s="108"/>
      <c r="BG603" s="108"/>
      <c r="BH603" s="108"/>
      <c r="BI603" s="108"/>
      <c r="BJ603" s="108"/>
      <c r="BK603" s="108"/>
      <c r="BL603" s="108"/>
      <c r="BM603" s="109"/>
      <c r="BN603" s="108"/>
      <c r="BO603" s="108"/>
      <c r="BP603" s="108"/>
    </row>
    <row r="604" spans="1:68" ht="12" customHeight="1" x14ac:dyDescent="0.2">
      <c r="A604" s="179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  <c r="BC604" s="108"/>
      <c r="BD604" s="108"/>
      <c r="BE604" s="108"/>
      <c r="BF604" s="108"/>
      <c r="BG604" s="108"/>
      <c r="BH604" s="108"/>
      <c r="BI604" s="108"/>
      <c r="BJ604" s="108"/>
      <c r="BK604" s="108"/>
      <c r="BL604" s="108"/>
      <c r="BM604" s="109"/>
      <c r="BN604" s="108"/>
      <c r="BO604" s="108"/>
      <c r="BP604" s="108"/>
    </row>
    <row r="605" spans="1:68" ht="12" customHeight="1" x14ac:dyDescent="0.2">
      <c r="A605" s="179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  <c r="BC605" s="108"/>
      <c r="BD605" s="108"/>
      <c r="BE605" s="108"/>
      <c r="BF605" s="108"/>
      <c r="BG605" s="108"/>
      <c r="BH605" s="108"/>
      <c r="BI605" s="108"/>
      <c r="BJ605" s="108"/>
      <c r="BK605" s="108"/>
      <c r="BL605" s="108"/>
      <c r="BM605" s="109"/>
      <c r="BN605" s="108"/>
      <c r="BO605" s="108"/>
      <c r="BP605" s="108"/>
    </row>
    <row r="606" spans="1:68" ht="12" customHeight="1" x14ac:dyDescent="0.2">
      <c r="A606" s="179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  <c r="BC606" s="108"/>
      <c r="BD606" s="108"/>
      <c r="BE606" s="108"/>
      <c r="BF606" s="108"/>
      <c r="BG606" s="108"/>
      <c r="BH606" s="108"/>
      <c r="BI606" s="108"/>
      <c r="BJ606" s="108"/>
      <c r="BK606" s="108"/>
      <c r="BL606" s="108"/>
      <c r="BM606" s="109"/>
      <c r="BN606" s="108"/>
      <c r="BO606" s="108"/>
      <c r="BP606" s="108"/>
    </row>
    <row r="607" spans="1:68" ht="12" customHeight="1" x14ac:dyDescent="0.2">
      <c r="A607" s="179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  <c r="BC607" s="108"/>
      <c r="BD607" s="108"/>
      <c r="BE607" s="108"/>
      <c r="BF607" s="108"/>
      <c r="BG607" s="108"/>
      <c r="BH607" s="108"/>
      <c r="BI607" s="108"/>
      <c r="BJ607" s="108"/>
      <c r="BK607" s="108"/>
      <c r="BL607" s="108"/>
      <c r="BM607" s="109"/>
      <c r="BN607" s="108"/>
      <c r="BO607" s="108"/>
      <c r="BP607" s="108"/>
    </row>
    <row r="608" spans="1:68" ht="12" customHeight="1" x14ac:dyDescent="0.2">
      <c r="A608" s="179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  <c r="BG608" s="108"/>
      <c r="BH608" s="108"/>
      <c r="BI608" s="108"/>
      <c r="BJ608" s="108"/>
      <c r="BK608" s="108"/>
      <c r="BL608" s="108"/>
      <c r="BM608" s="109"/>
      <c r="BN608" s="108"/>
      <c r="BO608" s="108"/>
      <c r="BP608" s="108"/>
    </row>
    <row r="609" spans="1:68" ht="12" customHeight="1" x14ac:dyDescent="0.2">
      <c r="A609" s="179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  <c r="BC609" s="108"/>
      <c r="BD609" s="108"/>
      <c r="BE609" s="108"/>
      <c r="BF609" s="108"/>
      <c r="BG609" s="108"/>
      <c r="BH609" s="108"/>
      <c r="BI609" s="108"/>
      <c r="BJ609" s="108"/>
      <c r="BK609" s="108"/>
      <c r="BL609" s="108"/>
      <c r="BM609" s="109"/>
      <c r="BN609" s="108"/>
      <c r="BO609" s="108"/>
      <c r="BP609" s="108"/>
    </row>
    <row r="610" spans="1:68" ht="12" customHeight="1" x14ac:dyDescent="0.2">
      <c r="A610" s="179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  <c r="BC610" s="108"/>
      <c r="BD610" s="108"/>
      <c r="BE610" s="108"/>
      <c r="BF610" s="108"/>
      <c r="BG610" s="108"/>
      <c r="BH610" s="108"/>
      <c r="BI610" s="108"/>
      <c r="BJ610" s="108"/>
      <c r="BK610" s="108"/>
      <c r="BL610" s="108"/>
      <c r="BM610" s="109"/>
      <c r="BN610" s="108"/>
      <c r="BO610" s="108"/>
      <c r="BP610" s="108"/>
    </row>
    <row r="611" spans="1:68" ht="12" customHeight="1" x14ac:dyDescent="0.2">
      <c r="A611" s="179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  <c r="BC611" s="108"/>
      <c r="BD611" s="108"/>
      <c r="BE611" s="108"/>
      <c r="BF611" s="108"/>
      <c r="BG611" s="108"/>
      <c r="BH611" s="108"/>
      <c r="BI611" s="108"/>
      <c r="BJ611" s="108"/>
      <c r="BK611" s="108"/>
      <c r="BL611" s="108"/>
      <c r="BM611" s="109"/>
      <c r="BN611" s="108"/>
      <c r="BO611" s="108"/>
      <c r="BP611" s="108"/>
    </row>
    <row r="612" spans="1:68" ht="12" customHeight="1" x14ac:dyDescent="0.2">
      <c r="A612" s="179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  <c r="BC612" s="108"/>
      <c r="BD612" s="108"/>
      <c r="BE612" s="108"/>
      <c r="BF612" s="108"/>
      <c r="BG612" s="108"/>
      <c r="BH612" s="108"/>
      <c r="BI612" s="108"/>
      <c r="BJ612" s="108"/>
      <c r="BK612" s="108"/>
      <c r="BL612" s="108"/>
      <c r="BM612" s="109"/>
      <c r="BN612" s="108"/>
      <c r="BO612" s="108"/>
      <c r="BP612" s="108"/>
    </row>
    <row r="613" spans="1:68" ht="12" customHeight="1" x14ac:dyDescent="0.2">
      <c r="A613" s="179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  <c r="BC613" s="108"/>
      <c r="BD613" s="108"/>
      <c r="BE613" s="108"/>
      <c r="BF613" s="108"/>
      <c r="BG613" s="108"/>
      <c r="BH613" s="108"/>
      <c r="BI613" s="108"/>
      <c r="BJ613" s="108"/>
      <c r="BK613" s="108"/>
      <c r="BL613" s="108"/>
      <c r="BM613" s="109"/>
      <c r="BN613" s="108"/>
      <c r="BO613" s="108"/>
      <c r="BP613" s="108"/>
    </row>
    <row r="614" spans="1:68" ht="12" customHeight="1" x14ac:dyDescent="0.2">
      <c r="A614" s="179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  <c r="BC614" s="108"/>
      <c r="BD614" s="108"/>
      <c r="BE614" s="108"/>
      <c r="BF614" s="108"/>
      <c r="BG614" s="108"/>
      <c r="BH614" s="108"/>
      <c r="BI614" s="108"/>
      <c r="BJ614" s="108"/>
      <c r="BK614" s="108"/>
      <c r="BL614" s="108"/>
      <c r="BM614" s="109"/>
      <c r="BN614" s="108"/>
      <c r="BO614" s="108"/>
      <c r="BP614" s="108"/>
    </row>
    <row r="615" spans="1:68" ht="12" customHeight="1" x14ac:dyDescent="0.2">
      <c r="A615" s="179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  <c r="BC615" s="108"/>
      <c r="BD615" s="108"/>
      <c r="BE615" s="108"/>
      <c r="BF615" s="108"/>
      <c r="BG615" s="108"/>
      <c r="BH615" s="108"/>
      <c r="BI615" s="108"/>
      <c r="BJ615" s="108"/>
      <c r="BK615" s="108"/>
      <c r="BL615" s="108"/>
      <c r="BM615" s="109"/>
      <c r="BN615" s="108"/>
      <c r="BO615" s="108"/>
      <c r="BP615" s="108"/>
    </row>
    <row r="616" spans="1:68" ht="12" customHeight="1" x14ac:dyDescent="0.2">
      <c r="A616" s="179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  <c r="BC616" s="108"/>
      <c r="BD616" s="108"/>
      <c r="BE616" s="108"/>
      <c r="BF616" s="108"/>
      <c r="BG616" s="108"/>
      <c r="BH616" s="108"/>
      <c r="BI616" s="108"/>
      <c r="BJ616" s="108"/>
      <c r="BK616" s="108"/>
      <c r="BL616" s="108"/>
      <c r="BM616" s="109"/>
      <c r="BN616" s="108"/>
      <c r="BO616" s="108"/>
      <c r="BP616" s="108"/>
    </row>
    <row r="617" spans="1:68" ht="12" customHeight="1" x14ac:dyDescent="0.2">
      <c r="A617" s="179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  <c r="BG617" s="108"/>
      <c r="BH617" s="108"/>
      <c r="BI617" s="108"/>
      <c r="BJ617" s="108"/>
      <c r="BK617" s="108"/>
      <c r="BL617" s="108"/>
      <c r="BM617" s="109"/>
      <c r="BN617" s="108"/>
      <c r="BO617" s="108"/>
      <c r="BP617" s="108"/>
    </row>
    <row r="618" spans="1:68" ht="12" customHeight="1" x14ac:dyDescent="0.2">
      <c r="A618" s="179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  <c r="BC618" s="108"/>
      <c r="BD618" s="108"/>
      <c r="BE618" s="108"/>
      <c r="BF618" s="108"/>
      <c r="BG618" s="108"/>
      <c r="BH618" s="108"/>
      <c r="BI618" s="108"/>
      <c r="BJ618" s="108"/>
      <c r="BK618" s="108"/>
      <c r="BL618" s="108"/>
      <c r="BM618" s="109"/>
      <c r="BN618" s="108"/>
      <c r="BO618" s="108"/>
      <c r="BP618" s="108"/>
    </row>
    <row r="619" spans="1:68" ht="12" customHeight="1" x14ac:dyDescent="0.2">
      <c r="A619" s="179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  <c r="BC619" s="108"/>
      <c r="BD619" s="108"/>
      <c r="BE619" s="108"/>
      <c r="BF619" s="108"/>
      <c r="BG619" s="108"/>
      <c r="BH619" s="108"/>
      <c r="BI619" s="108"/>
      <c r="BJ619" s="108"/>
      <c r="BK619" s="108"/>
      <c r="BL619" s="108"/>
      <c r="BM619" s="109"/>
      <c r="BN619" s="108"/>
      <c r="BO619" s="108"/>
      <c r="BP619" s="108"/>
    </row>
    <row r="620" spans="1:68" ht="12" customHeight="1" x14ac:dyDescent="0.2">
      <c r="A620" s="179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  <c r="BC620" s="108"/>
      <c r="BD620" s="108"/>
      <c r="BE620" s="108"/>
      <c r="BF620" s="108"/>
      <c r="BG620" s="108"/>
      <c r="BH620" s="108"/>
      <c r="BI620" s="108"/>
      <c r="BJ620" s="108"/>
      <c r="BK620" s="108"/>
      <c r="BL620" s="108"/>
      <c r="BM620" s="109"/>
      <c r="BN620" s="108"/>
      <c r="BO620" s="108"/>
      <c r="BP620" s="108"/>
    </row>
    <row r="621" spans="1:68" ht="12" customHeight="1" x14ac:dyDescent="0.2">
      <c r="A621" s="179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  <c r="BC621" s="108"/>
      <c r="BD621" s="108"/>
      <c r="BE621" s="108"/>
      <c r="BF621" s="108"/>
      <c r="BG621" s="108"/>
      <c r="BH621" s="108"/>
      <c r="BI621" s="108"/>
      <c r="BJ621" s="108"/>
      <c r="BK621" s="108"/>
      <c r="BL621" s="108"/>
      <c r="BM621" s="109"/>
      <c r="BN621" s="108"/>
      <c r="BO621" s="108"/>
      <c r="BP621" s="108"/>
    </row>
    <row r="622" spans="1:68" ht="12" customHeight="1" x14ac:dyDescent="0.2">
      <c r="A622" s="179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  <c r="BC622" s="108"/>
      <c r="BD622" s="108"/>
      <c r="BE622" s="108"/>
      <c r="BF622" s="108"/>
      <c r="BG622" s="108"/>
      <c r="BH622" s="108"/>
      <c r="BI622" s="108"/>
      <c r="BJ622" s="108"/>
      <c r="BK622" s="108"/>
      <c r="BL622" s="108"/>
      <c r="BM622" s="109"/>
      <c r="BN622" s="108"/>
      <c r="BO622" s="108"/>
      <c r="BP622" s="108"/>
    </row>
    <row r="623" spans="1:68" ht="12" customHeight="1" x14ac:dyDescent="0.2">
      <c r="A623" s="179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  <c r="BC623" s="108"/>
      <c r="BD623" s="108"/>
      <c r="BE623" s="108"/>
      <c r="BF623" s="108"/>
      <c r="BG623" s="108"/>
      <c r="BH623" s="108"/>
      <c r="BI623" s="108"/>
      <c r="BJ623" s="108"/>
      <c r="BK623" s="108"/>
      <c r="BL623" s="108"/>
      <c r="BM623" s="109"/>
      <c r="BN623" s="108"/>
      <c r="BO623" s="108"/>
      <c r="BP623" s="108"/>
    </row>
    <row r="624" spans="1:68" ht="12" customHeight="1" x14ac:dyDescent="0.2">
      <c r="A624" s="179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  <c r="BC624" s="108"/>
      <c r="BD624" s="108"/>
      <c r="BE624" s="108"/>
      <c r="BF624" s="108"/>
      <c r="BG624" s="108"/>
      <c r="BH624" s="108"/>
      <c r="BI624" s="108"/>
      <c r="BJ624" s="108"/>
      <c r="BK624" s="108"/>
      <c r="BL624" s="108"/>
      <c r="BM624" s="109"/>
      <c r="BN624" s="108"/>
      <c r="BO624" s="108"/>
      <c r="BP624" s="108"/>
    </row>
    <row r="625" spans="1:68" ht="12" customHeight="1" x14ac:dyDescent="0.2">
      <c r="A625" s="179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  <c r="BC625" s="108"/>
      <c r="BD625" s="108"/>
      <c r="BE625" s="108"/>
      <c r="BF625" s="108"/>
      <c r="BG625" s="108"/>
      <c r="BH625" s="108"/>
      <c r="BI625" s="108"/>
      <c r="BJ625" s="108"/>
      <c r="BK625" s="108"/>
      <c r="BL625" s="108"/>
      <c r="BM625" s="109"/>
      <c r="BN625" s="108"/>
      <c r="BO625" s="108"/>
      <c r="BP625" s="108"/>
    </row>
    <row r="626" spans="1:68" ht="12" customHeight="1" x14ac:dyDescent="0.2">
      <c r="A626" s="179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  <c r="BD626" s="108"/>
      <c r="BE626" s="108"/>
      <c r="BF626" s="108"/>
      <c r="BG626" s="108"/>
      <c r="BH626" s="108"/>
      <c r="BI626" s="108"/>
      <c r="BJ626" s="108"/>
      <c r="BK626" s="108"/>
      <c r="BL626" s="108"/>
      <c r="BM626" s="109"/>
      <c r="BN626" s="108"/>
      <c r="BO626" s="108"/>
      <c r="BP626" s="108"/>
    </row>
    <row r="627" spans="1:68" ht="12" customHeight="1" x14ac:dyDescent="0.2">
      <c r="A627" s="179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  <c r="BC627" s="108"/>
      <c r="BD627" s="108"/>
      <c r="BE627" s="108"/>
      <c r="BF627" s="108"/>
      <c r="BG627" s="108"/>
      <c r="BH627" s="108"/>
      <c r="BI627" s="108"/>
      <c r="BJ627" s="108"/>
      <c r="BK627" s="108"/>
      <c r="BL627" s="108"/>
      <c r="BM627" s="109"/>
      <c r="BN627" s="108"/>
      <c r="BO627" s="108"/>
      <c r="BP627" s="108"/>
    </row>
    <row r="628" spans="1:68" ht="12" customHeight="1" x14ac:dyDescent="0.2">
      <c r="A628" s="179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  <c r="BC628" s="108"/>
      <c r="BD628" s="108"/>
      <c r="BE628" s="108"/>
      <c r="BF628" s="108"/>
      <c r="BG628" s="108"/>
      <c r="BH628" s="108"/>
      <c r="BI628" s="108"/>
      <c r="BJ628" s="108"/>
      <c r="BK628" s="108"/>
      <c r="BL628" s="108"/>
      <c r="BM628" s="109"/>
      <c r="BN628" s="108"/>
      <c r="BO628" s="108"/>
      <c r="BP628" s="108"/>
    </row>
    <row r="629" spans="1:68" ht="12" customHeight="1" x14ac:dyDescent="0.2">
      <c r="A629" s="179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  <c r="BC629" s="108"/>
      <c r="BD629" s="108"/>
      <c r="BE629" s="108"/>
      <c r="BF629" s="108"/>
      <c r="BG629" s="108"/>
      <c r="BH629" s="108"/>
      <c r="BI629" s="108"/>
      <c r="BJ629" s="108"/>
      <c r="BK629" s="108"/>
      <c r="BL629" s="108"/>
      <c r="BM629" s="109"/>
      <c r="BN629" s="108"/>
      <c r="BO629" s="108"/>
      <c r="BP629" s="108"/>
    </row>
    <row r="630" spans="1:68" ht="12" customHeight="1" x14ac:dyDescent="0.2">
      <c r="A630" s="179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  <c r="BC630" s="108"/>
      <c r="BD630" s="108"/>
      <c r="BE630" s="108"/>
      <c r="BF630" s="108"/>
      <c r="BG630" s="108"/>
      <c r="BH630" s="108"/>
      <c r="BI630" s="108"/>
      <c r="BJ630" s="108"/>
      <c r="BK630" s="108"/>
      <c r="BL630" s="108"/>
      <c r="BM630" s="109"/>
      <c r="BN630" s="108"/>
      <c r="BO630" s="108"/>
      <c r="BP630" s="108"/>
    </row>
    <row r="631" spans="1:68" ht="12" customHeight="1" x14ac:dyDescent="0.2">
      <c r="A631" s="179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9"/>
      <c r="BN631" s="108"/>
      <c r="BO631" s="108"/>
      <c r="BP631" s="108"/>
    </row>
    <row r="632" spans="1:68" ht="12" customHeight="1" x14ac:dyDescent="0.2">
      <c r="A632" s="179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  <c r="BC632" s="108"/>
      <c r="BD632" s="108"/>
      <c r="BE632" s="108"/>
      <c r="BF632" s="108"/>
      <c r="BG632" s="108"/>
      <c r="BH632" s="108"/>
      <c r="BI632" s="108"/>
      <c r="BJ632" s="108"/>
      <c r="BK632" s="108"/>
      <c r="BL632" s="108"/>
      <c r="BM632" s="109"/>
      <c r="BN632" s="108"/>
      <c r="BO632" s="108"/>
      <c r="BP632" s="108"/>
    </row>
    <row r="633" spans="1:68" ht="12" customHeight="1" x14ac:dyDescent="0.2">
      <c r="A633" s="179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  <c r="BC633" s="108"/>
      <c r="BD633" s="108"/>
      <c r="BE633" s="108"/>
      <c r="BF633" s="108"/>
      <c r="BG633" s="108"/>
      <c r="BH633" s="108"/>
      <c r="BI633" s="108"/>
      <c r="BJ633" s="108"/>
      <c r="BK633" s="108"/>
      <c r="BL633" s="108"/>
      <c r="BM633" s="109"/>
      <c r="BN633" s="108"/>
      <c r="BO633" s="108"/>
      <c r="BP633" s="108"/>
    </row>
    <row r="634" spans="1:68" ht="12" customHeight="1" x14ac:dyDescent="0.2">
      <c r="A634" s="179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9"/>
      <c r="BN634" s="108"/>
      <c r="BO634" s="108"/>
      <c r="BP634" s="108"/>
    </row>
    <row r="635" spans="1:68" ht="12" customHeight="1" x14ac:dyDescent="0.2">
      <c r="A635" s="179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  <c r="BC635" s="108"/>
      <c r="BD635" s="108"/>
      <c r="BE635" s="108"/>
      <c r="BF635" s="108"/>
      <c r="BG635" s="108"/>
      <c r="BH635" s="108"/>
      <c r="BI635" s="108"/>
      <c r="BJ635" s="108"/>
      <c r="BK635" s="108"/>
      <c r="BL635" s="108"/>
      <c r="BM635" s="109"/>
      <c r="BN635" s="108"/>
      <c r="BO635" s="108"/>
      <c r="BP635" s="108"/>
    </row>
    <row r="636" spans="1:68" ht="12" customHeight="1" x14ac:dyDescent="0.2">
      <c r="A636" s="179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  <c r="BG636" s="108"/>
      <c r="BH636" s="108"/>
      <c r="BI636" s="108"/>
      <c r="BJ636" s="108"/>
      <c r="BK636" s="108"/>
      <c r="BL636" s="108"/>
      <c r="BM636" s="109"/>
      <c r="BN636" s="108"/>
      <c r="BO636" s="108"/>
      <c r="BP636" s="108"/>
    </row>
    <row r="637" spans="1:68" ht="12" customHeight="1" x14ac:dyDescent="0.2">
      <c r="A637" s="179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  <c r="BG637" s="108"/>
      <c r="BH637" s="108"/>
      <c r="BI637" s="108"/>
      <c r="BJ637" s="108"/>
      <c r="BK637" s="108"/>
      <c r="BL637" s="108"/>
      <c r="BM637" s="109"/>
      <c r="BN637" s="108"/>
      <c r="BO637" s="108"/>
      <c r="BP637" s="108"/>
    </row>
    <row r="638" spans="1:68" ht="12" customHeight="1" x14ac:dyDescent="0.2">
      <c r="A638" s="179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  <c r="BD638" s="108"/>
      <c r="BE638" s="108"/>
      <c r="BF638" s="108"/>
      <c r="BG638" s="108"/>
      <c r="BH638" s="108"/>
      <c r="BI638" s="108"/>
      <c r="BJ638" s="108"/>
      <c r="BK638" s="108"/>
      <c r="BL638" s="108"/>
      <c r="BM638" s="109"/>
      <c r="BN638" s="108"/>
      <c r="BO638" s="108"/>
      <c r="BP638" s="108"/>
    </row>
    <row r="639" spans="1:68" ht="12" customHeight="1" x14ac:dyDescent="0.2">
      <c r="A639" s="179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  <c r="BD639" s="108"/>
      <c r="BE639" s="108"/>
      <c r="BF639" s="108"/>
      <c r="BG639" s="108"/>
      <c r="BH639" s="108"/>
      <c r="BI639" s="108"/>
      <c r="BJ639" s="108"/>
      <c r="BK639" s="108"/>
      <c r="BL639" s="108"/>
      <c r="BM639" s="109"/>
      <c r="BN639" s="108"/>
      <c r="BO639" s="108"/>
      <c r="BP639" s="108"/>
    </row>
    <row r="640" spans="1:68" ht="12" customHeight="1" x14ac:dyDescent="0.2">
      <c r="A640" s="179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  <c r="BC640" s="108"/>
      <c r="BD640" s="108"/>
      <c r="BE640" s="108"/>
      <c r="BF640" s="108"/>
      <c r="BG640" s="108"/>
      <c r="BH640" s="108"/>
      <c r="BI640" s="108"/>
      <c r="BJ640" s="108"/>
      <c r="BK640" s="108"/>
      <c r="BL640" s="108"/>
      <c r="BM640" s="109"/>
      <c r="BN640" s="108"/>
      <c r="BO640" s="108"/>
      <c r="BP640" s="108"/>
    </row>
    <row r="641" spans="1:68" ht="12" customHeight="1" x14ac:dyDescent="0.2">
      <c r="A641" s="179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  <c r="BC641" s="108"/>
      <c r="BD641" s="108"/>
      <c r="BE641" s="108"/>
      <c r="BF641" s="108"/>
      <c r="BG641" s="108"/>
      <c r="BH641" s="108"/>
      <c r="BI641" s="108"/>
      <c r="BJ641" s="108"/>
      <c r="BK641" s="108"/>
      <c r="BL641" s="108"/>
      <c r="BM641" s="109"/>
      <c r="BN641" s="108"/>
      <c r="BO641" s="108"/>
      <c r="BP641" s="108"/>
    </row>
    <row r="642" spans="1:68" ht="12" customHeight="1" x14ac:dyDescent="0.2">
      <c r="A642" s="179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  <c r="BC642" s="108"/>
      <c r="BD642" s="108"/>
      <c r="BE642" s="108"/>
      <c r="BF642" s="108"/>
      <c r="BG642" s="108"/>
      <c r="BH642" s="108"/>
      <c r="BI642" s="108"/>
      <c r="BJ642" s="108"/>
      <c r="BK642" s="108"/>
      <c r="BL642" s="108"/>
      <c r="BM642" s="109"/>
      <c r="BN642" s="108"/>
      <c r="BO642" s="108"/>
      <c r="BP642" s="108"/>
    </row>
    <row r="643" spans="1:68" ht="12" customHeight="1" x14ac:dyDescent="0.2">
      <c r="A643" s="179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  <c r="BD643" s="108"/>
      <c r="BE643" s="108"/>
      <c r="BF643" s="108"/>
      <c r="BG643" s="108"/>
      <c r="BH643" s="108"/>
      <c r="BI643" s="108"/>
      <c r="BJ643" s="108"/>
      <c r="BK643" s="108"/>
      <c r="BL643" s="108"/>
      <c r="BM643" s="109"/>
      <c r="BN643" s="108"/>
      <c r="BO643" s="108"/>
      <c r="BP643" s="108"/>
    </row>
    <row r="644" spans="1:68" ht="12" customHeight="1" x14ac:dyDescent="0.2">
      <c r="A644" s="179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  <c r="BC644" s="108"/>
      <c r="BD644" s="108"/>
      <c r="BE644" s="108"/>
      <c r="BF644" s="108"/>
      <c r="BG644" s="108"/>
      <c r="BH644" s="108"/>
      <c r="BI644" s="108"/>
      <c r="BJ644" s="108"/>
      <c r="BK644" s="108"/>
      <c r="BL644" s="108"/>
      <c r="BM644" s="109"/>
      <c r="BN644" s="108"/>
      <c r="BO644" s="108"/>
      <c r="BP644" s="108"/>
    </row>
    <row r="645" spans="1:68" ht="12" customHeight="1" x14ac:dyDescent="0.2">
      <c r="A645" s="179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  <c r="BC645" s="108"/>
      <c r="BD645" s="108"/>
      <c r="BE645" s="108"/>
      <c r="BF645" s="108"/>
      <c r="BG645" s="108"/>
      <c r="BH645" s="108"/>
      <c r="BI645" s="108"/>
      <c r="BJ645" s="108"/>
      <c r="BK645" s="108"/>
      <c r="BL645" s="108"/>
      <c r="BM645" s="109"/>
      <c r="BN645" s="108"/>
      <c r="BO645" s="108"/>
      <c r="BP645" s="108"/>
    </row>
    <row r="646" spans="1:68" ht="12" customHeight="1" x14ac:dyDescent="0.2">
      <c r="A646" s="179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  <c r="BC646" s="108"/>
      <c r="BD646" s="108"/>
      <c r="BE646" s="108"/>
      <c r="BF646" s="108"/>
      <c r="BG646" s="108"/>
      <c r="BH646" s="108"/>
      <c r="BI646" s="108"/>
      <c r="BJ646" s="108"/>
      <c r="BK646" s="108"/>
      <c r="BL646" s="108"/>
      <c r="BM646" s="109"/>
      <c r="BN646" s="108"/>
      <c r="BO646" s="108"/>
      <c r="BP646" s="108"/>
    </row>
    <row r="647" spans="1:68" ht="12" customHeight="1" x14ac:dyDescent="0.2">
      <c r="A647" s="179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  <c r="BC647" s="108"/>
      <c r="BD647" s="108"/>
      <c r="BE647" s="108"/>
      <c r="BF647" s="108"/>
      <c r="BG647" s="108"/>
      <c r="BH647" s="108"/>
      <c r="BI647" s="108"/>
      <c r="BJ647" s="108"/>
      <c r="BK647" s="108"/>
      <c r="BL647" s="108"/>
      <c r="BM647" s="109"/>
      <c r="BN647" s="108"/>
      <c r="BO647" s="108"/>
      <c r="BP647" s="108"/>
    </row>
    <row r="648" spans="1:68" ht="12" customHeight="1" x14ac:dyDescent="0.2">
      <c r="A648" s="179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  <c r="BC648" s="108"/>
      <c r="BD648" s="108"/>
      <c r="BE648" s="108"/>
      <c r="BF648" s="108"/>
      <c r="BG648" s="108"/>
      <c r="BH648" s="108"/>
      <c r="BI648" s="108"/>
      <c r="BJ648" s="108"/>
      <c r="BK648" s="108"/>
      <c r="BL648" s="108"/>
      <c r="BM648" s="109"/>
      <c r="BN648" s="108"/>
      <c r="BO648" s="108"/>
      <c r="BP648" s="108"/>
    </row>
    <row r="649" spans="1:68" ht="12" customHeight="1" x14ac:dyDescent="0.2">
      <c r="A649" s="179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  <c r="BC649" s="108"/>
      <c r="BD649" s="108"/>
      <c r="BE649" s="108"/>
      <c r="BF649" s="108"/>
      <c r="BG649" s="108"/>
      <c r="BH649" s="108"/>
      <c r="BI649" s="108"/>
      <c r="BJ649" s="108"/>
      <c r="BK649" s="108"/>
      <c r="BL649" s="108"/>
      <c r="BM649" s="109"/>
      <c r="BN649" s="108"/>
      <c r="BO649" s="108"/>
      <c r="BP649" s="108"/>
    </row>
    <row r="650" spans="1:68" ht="12" customHeight="1" x14ac:dyDescent="0.2">
      <c r="A650" s="179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  <c r="BC650" s="108"/>
      <c r="BD650" s="108"/>
      <c r="BE650" s="108"/>
      <c r="BF650" s="108"/>
      <c r="BG650" s="108"/>
      <c r="BH650" s="108"/>
      <c r="BI650" s="108"/>
      <c r="BJ650" s="108"/>
      <c r="BK650" s="108"/>
      <c r="BL650" s="108"/>
      <c r="BM650" s="109"/>
      <c r="BN650" s="108"/>
      <c r="BO650" s="108"/>
      <c r="BP650" s="108"/>
    </row>
    <row r="651" spans="1:68" ht="12" customHeight="1" x14ac:dyDescent="0.2">
      <c r="A651" s="179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  <c r="BD651" s="108"/>
      <c r="BE651" s="108"/>
      <c r="BF651" s="108"/>
      <c r="BG651" s="108"/>
      <c r="BH651" s="108"/>
      <c r="BI651" s="108"/>
      <c r="BJ651" s="108"/>
      <c r="BK651" s="108"/>
      <c r="BL651" s="108"/>
      <c r="BM651" s="109"/>
      <c r="BN651" s="108"/>
      <c r="BO651" s="108"/>
      <c r="BP651" s="108"/>
    </row>
    <row r="652" spans="1:68" ht="12" customHeight="1" x14ac:dyDescent="0.2">
      <c r="A652" s="179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  <c r="BC652" s="108"/>
      <c r="BD652" s="108"/>
      <c r="BE652" s="108"/>
      <c r="BF652" s="108"/>
      <c r="BG652" s="108"/>
      <c r="BH652" s="108"/>
      <c r="BI652" s="108"/>
      <c r="BJ652" s="108"/>
      <c r="BK652" s="108"/>
      <c r="BL652" s="108"/>
      <c r="BM652" s="109"/>
      <c r="BN652" s="108"/>
      <c r="BO652" s="108"/>
      <c r="BP652" s="108"/>
    </row>
    <row r="653" spans="1:68" ht="12" customHeight="1" x14ac:dyDescent="0.2">
      <c r="A653" s="179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  <c r="BD653" s="108"/>
      <c r="BE653" s="108"/>
      <c r="BF653" s="108"/>
      <c r="BG653" s="108"/>
      <c r="BH653" s="108"/>
      <c r="BI653" s="108"/>
      <c r="BJ653" s="108"/>
      <c r="BK653" s="108"/>
      <c r="BL653" s="108"/>
      <c r="BM653" s="109"/>
      <c r="BN653" s="108"/>
      <c r="BO653" s="108"/>
      <c r="BP653" s="108"/>
    </row>
    <row r="654" spans="1:68" ht="12" customHeight="1" x14ac:dyDescent="0.2">
      <c r="A654" s="179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  <c r="BD654" s="108"/>
      <c r="BE654" s="108"/>
      <c r="BF654" s="108"/>
      <c r="BG654" s="108"/>
      <c r="BH654" s="108"/>
      <c r="BI654" s="108"/>
      <c r="BJ654" s="108"/>
      <c r="BK654" s="108"/>
      <c r="BL654" s="108"/>
      <c r="BM654" s="109"/>
      <c r="BN654" s="108"/>
      <c r="BO654" s="108"/>
      <c r="BP654" s="108"/>
    </row>
    <row r="655" spans="1:68" ht="12" customHeight="1" x14ac:dyDescent="0.2">
      <c r="A655" s="179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  <c r="BD655" s="108"/>
      <c r="BE655" s="108"/>
      <c r="BF655" s="108"/>
      <c r="BG655" s="108"/>
      <c r="BH655" s="108"/>
      <c r="BI655" s="108"/>
      <c r="BJ655" s="108"/>
      <c r="BK655" s="108"/>
      <c r="BL655" s="108"/>
      <c r="BM655" s="109"/>
      <c r="BN655" s="108"/>
      <c r="BO655" s="108"/>
      <c r="BP655" s="108"/>
    </row>
    <row r="656" spans="1:68" ht="12" customHeight="1" x14ac:dyDescent="0.2">
      <c r="A656" s="179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  <c r="BD656" s="108"/>
      <c r="BE656" s="108"/>
      <c r="BF656" s="108"/>
      <c r="BG656" s="108"/>
      <c r="BH656" s="108"/>
      <c r="BI656" s="108"/>
      <c r="BJ656" s="108"/>
      <c r="BK656" s="108"/>
      <c r="BL656" s="108"/>
      <c r="BM656" s="109"/>
      <c r="BN656" s="108"/>
      <c r="BO656" s="108"/>
      <c r="BP656" s="108"/>
    </row>
    <row r="657" spans="1:68" ht="12" customHeight="1" x14ac:dyDescent="0.2">
      <c r="A657" s="179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  <c r="BD657" s="108"/>
      <c r="BE657" s="108"/>
      <c r="BF657" s="108"/>
      <c r="BG657" s="108"/>
      <c r="BH657" s="108"/>
      <c r="BI657" s="108"/>
      <c r="BJ657" s="108"/>
      <c r="BK657" s="108"/>
      <c r="BL657" s="108"/>
      <c r="BM657" s="109"/>
      <c r="BN657" s="108"/>
      <c r="BO657" s="108"/>
      <c r="BP657" s="108"/>
    </row>
    <row r="658" spans="1:68" ht="12" customHeight="1" x14ac:dyDescent="0.2">
      <c r="A658" s="179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  <c r="BD658" s="108"/>
      <c r="BE658" s="108"/>
      <c r="BF658" s="108"/>
      <c r="BG658" s="108"/>
      <c r="BH658" s="108"/>
      <c r="BI658" s="108"/>
      <c r="BJ658" s="108"/>
      <c r="BK658" s="108"/>
      <c r="BL658" s="108"/>
      <c r="BM658" s="109"/>
      <c r="BN658" s="108"/>
      <c r="BO658" s="108"/>
      <c r="BP658" s="108"/>
    </row>
    <row r="659" spans="1:68" ht="12" customHeight="1" x14ac:dyDescent="0.2">
      <c r="A659" s="179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  <c r="BD659" s="108"/>
      <c r="BE659" s="108"/>
      <c r="BF659" s="108"/>
      <c r="BG659" s="108"/>
      <c r="BH659" s="108"/>
      <c r="BI659" s="108"/>
      <c r="BJ659" s="108"/>
      <c r="BK659" s="108"/>
      <c r="BL659" s="108"/>
      <c r="BM659" s="109"/>
      <c r="BN659" s="108"/>
      <c r="BO659" s="108"/>
      <c r="BP659" s="108"/>
    </row>
    <row r="660" spans="1:68" ht="12" customHeight="1" x14ac:dyDescent="0.2">
      <c r="A660" s="179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  <c r="BC660" s="108"/>
      <c r="BD660" s="108"/>
      <c r="BE660" s="108"/>
      <c r="BF660" s="108"/>
      <c r="BG660" s="108"/>
      <c r="BH660" s="108"/>
      <c r="BI660" s="108"/>
      <c r="BJ660" s="108"/>
      <c r="BK660" s="108"/>
      <c r="BL660" s="108"/>
      <c r="BM660" s="109"/>
      <c r="BN660" s="108"/>
      <c r="BO660" s="108"/>
      <c r="BP660" s="108"/>
    </row>
    <row r="661" spans="1:68" ht="12" customHeight="1" x14ac:dyDescent="0.2">
      <c r="A661" s="179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  <c r="BC661" s="108"/>
      <c r="BD661" s="108"/>
      <c r="BE661" s="108"/>
      <c r="BF661" s="108"/>
      <c r="BG661" s="108"/>
      <c r="BH661" s="108"/>
      <c r="BI661" s="108"/>
      <c r="BJ661" s="108"/>
      <c r="BK661" s="108"/>
      <c r="BL661" s="108"/>
      <c r="BM661" s="109"/>
      <c r="BN661" s="108"/>
      <c r="BO661" s="108"/>
      <c r="BP661" s="108"/>
    </row>
    <row r="662" spans="1:68" ht="12" customHeight="1" x14ac:dyDescent="0.2">
      <c r="A662" s="179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  <c r="BC662" s="108"/>
      <c r="BD662" s="108"/>
      <c r="BE662" s="108"/>
      <c r="BF662" s="108"/>
      <c r="BG662" s="108"/>
      <c r="BH662" s="108"/>
      <c r="BI662" s="108"/>
      <c r="BJ662" s="108"/>
      <c r="BK662" s="108"/>
      <c r="BL662" s="108"/>
      <c r="BM662" s="109"/>
      <c r="BN662" s="108"/>
      <c r="BO662" s="108"/>
      <c r="BP662" s="108"/>
    </row>
    <row r="663" spans="1:68" ht="12" customHeight="1" x14ac:dyDescent="0.2">
      <c r="A663" s="179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  <c r="BC663" s="108"/>
      <c r="BD663" s="108"/>
      <c r="BE663" s="108"/>
      <c r="BF663" s="108"/>
      <c r="BG663" s="108"/>
      <c r="BH663" s="108"/>
      <c r="BI663" s="108"/>
      <c r="BJ663" s="108"/>
      <c r="BK663" s="108"/>
      <c r="BL663" s="108"/>
      <c r="BM663" s="109"/>
      <c r="BN663" s="108"/>
      <c r="BO663" s="108"/>
      <c r="BP663" s="108"/>
    </row>
    <row r="664" spans="1:68" ht="12" customHeight="1" x14ac:dyDescent="0.2">
      <c r="A664" s="179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  <c r="BC664" s="108"/>
      <c r="BD664" s="108"/>
      <c r="BE664" s="108"/>
      <c r="BF664" s="108"/>
      <c r="BG664" s="108"/>
      <c r="BH664" s="108"/>
      <c r="BI664" s="108"/>
      <c r="BJ664" s="108"/>
      <c r="BK664" s="108"/>
      <c r="BL664" s="108"/>
      <c r="BM664" s="109"/>
      <c r="BN664" s="108"/>
      <c r="BO664" s="108"/>
      <c r="BP664" s="108"/>
    </row>
    <row r="665" spans="1:68" ht="12" customHeight="1" x14ac:dyDescent="0.2">
      <c r="A665" s="179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  <c r="BC665" s="108"/>
      <c r="BD665" s="108"/>
      <c r="BE665" s="108"/>
      <c r="BF665" s="108"/>
      <c r="BG665" s="108"/>
      <c r="BH665" s="108"/>
      <c r="BI665" s="108"/>
      <c r="BJ665" s="108"/>
      <c r="BK665" s="108"/>
      <c r="BL665" s="108"/>
      <c r="BM665" s="109"/>
      <c r="BN665" s="108"/>
      <c r="BO665" s="108"/>
      <c r="BP665" s="108"/>
    </row>
    <row r="666" spans="1:68" ht="12" customHeight="1" x14ac:dyDescent="0.2">
      <c r="A666" s="179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  <c r="BC666" s="108"/>
      <c r="BD666" s="108"/>
      <c r="BE666" s="108"/>
      <c r="BF666" s="108"/>
      <c r="BG666" s="108"/>
      <c r="BH666" s="108"/>
      <c r="BI666" s="108"/>
      <c r="BJ666" s="108"/>
      <c r="BK666" s="108"/>
      <c r="BL666" s="108"/>
      <c r="BM666" s="109"/>
      <c r="BN666" s="108"/>
      <c r="BO666" s="108"/>
      <c r="BP666" s="108"/>
    </row>
    <row r="667" spans="1:68" ht="12" customHeight="1" x14ac:dyDescent="0.2">
      <c r="A667" s="179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  <c r="BD667" s="108"/>
      <c r="BE667" s="108"/>
      <c r="BF667" s="108"/>
      <c r="BG667" s="108"/>
      <c r="BH667" s="108"/>
      <c r="BI667" s="108"/>
      <c r="BJ667" s="108"/>
      <c r="BK667" s="108"/>
      <c r="BL667" s="108"/>
      <c r="BM667" s="109"/>
      <c r="BN667" s="108"/>
      <c r="BO667" s="108"/>
      <c r="BP667" s="108"/>
    </row>
    <row r="668" spans="1:68" ht="12" customHeight="1" x14ac:dyDescent="0.2">
      <c r="A668" s="179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  <c r="BC668" s="108"/>
      <c r="BD668" s="108"/>
      <c r="BE668" s="108"/>
      <c r="BF668" s="108"/>
      <c r="BG668" s="108"/>
      <c r="BH668" s="108"/>
      <c r="BI668" s="108"/>
      <c r="BJ668" s="108"/>
      <c r="BK668" s="108"/>
      <c r="BL668" s="108"/>
      <c r="BM668" s="109"/>
      <c r="BN668" s="108"/>
      <c r="BO668" s="108"/>
      <c r="BP668" s="108"/>
    </row>
    <row r="669" spans="1:68" ht="12" customHeight="1" x14ac:dyDescent="0.2">
      <c r="A669" s="179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9"/>
      <c r="BN669" s="108"/>
      <c r="BO669" s="108"/>
      <c r="BP669" s="108"/>
    </row>
    <row r="670" spans="1:68" ht="12" customHeight="1" x14ac:dyDescent="0.2">
      <c r="A670" s="179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  <c r="BC670" s="108"/>
      <c r="BD670" s="108"/>
      <c r="BE670" s="108"/>
      <c r="BF670" s="108"/>
      <c r="BG670" s="108"/>
      <c r="BH670" s="108"/>
      <c r="BI670" s="108"/>
      <c r="BJ670" s="108"/>
      <c r="BK670" s="108"/>
      <c r="BL670" s="108"/>
      <c r="BM670" s="109"/>
      <c r="BN670" s="108"/>
      <c r="BO670" s="108"/>
      <c r="BP670" s="108"/>
    </row>
    <row r="671" spans="1:68" ht="12" customHeight="1" x14ac:dyDescent="0.2">
      <c r="A671" s="179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  <c r="BC671" s="108"/>
      <c r="BD671" s="108"/>
      <c r="BE671" s="108"/>
      <c r="BF671" s="108"/>
      <c r="BG671" s="108"/>
      <c r="BH671" s="108"/>
      <c r="BI671" s="108"/>
      <c r="BJ671" s="108"/>
      <c r="BK671" s="108"/>
      <c r="BL671" s="108"/>
      <c r="BM671" s="109"/>
      <c r="BN671" s="108"/>
      <c r="BO671" s="108"/>
      <c r="BP671" s="108"/>
    </row>
    <row r="672" spans="1:68" ht="12" customHeight="1" x14ac:dyDescent="0.2">
      <c r="A672" s="179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9"/>
      <c r="BN672" s="108"/>
      <c r="BO672" s="108"/>
      <c r="BP672" s="108"/>
    </row>
    <row r="673" spans="1:68" ht="12" customHeight="1" x14ac:dyDescent="0.2">
      <c r="A673" s="179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  <c r="BC673" s="108"/>
      <c r="BD673" s="108"/>
      <c r="BE673" s="108"/>
      <c r="BF673" s="108"/>
      <c r="BG673" s="108"/>
      <c r="BH673" s="108"/>
      <c r="BI673" s="108"/>
      <c r="BJ673" s="108"/>
      <c r="BK673" s="108"/>
      <c r="BL673" s="108"/>
      <c r="BM673" s="109"/>
      <c r="BN673" s="108"/>
      <c r="BO673" s="108"/>
      <c r="BP673" s="108"/>
    </row>
    <row r="674" spans="1:68" ht="12" customHeight="1" x14ac:dyDescent="0.2">
      <c r="A674" s="179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  <c r="BD674" s="108"/>
      <c r="BE674" s="108"/>
      <c r="BF674" s="108"/>
      <c r="BG674" s="108"/>
      <c r="BH674" s="108"/>
      <c r="BI674" s="108"/>
      <c r="BJ674" s="108"/>
      <c r="BK674" s="108"/>
      <c r="BL674" s="108"/>
      <c r="BM674" s="109"/>
      <c r="BN674" s="108"/>
      <c r="BO674" s="108"/>
      <c r="BP674" s="108"/>
    </row>
    <row r="675" spans="1:68" ht="12" customHeight="1" x14ac:dyDescent="0.2">
      <c r="A675" s="179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  <c r="BD675" s="108"/>
      <c r="BE675" s="108"/>
      <c r="BF675" s="108"/>
      <c r="BG675" s="108"/>
      <c r="BH675" s="108"/>
      <c r="BI675" s="108"/>
      <c r="BJ675" s="108"/>
      <c r="BK675" s="108"/>
      <c r="BL675" s="108"/>
      <c r="BM675" s="109"/>
      <c r="BN675" s="108"/>
      <c r="BO675" s="108"/>
      <c r="BP675" s="108"/>
    </row>
    <row r="676" spans="1:68" ht="12" customHeight="1" x14ac:dyDescent="0.2">
      <c r="A676" s="179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  <c r="BD676" s="108"/>
      <c r="BE676" s="108"/>
      <c r="BF676" s="108"/>
      <c r="BG676" s="108"/>
      <c r="BH676" s="108"/>
      <c r="BI676" s="108"/>
      <c r="BJ676" s="108"/>
      <c r="BK676" s="108"/>
      <c r="BL676" s="108"/>
      <c r="BM676" s="109"/>
      <c r="BN676" s="108"/>
      <c r="BO676" s="108"/>
      <c r="BP676" s="108"/>
    </row>
    <row r="677" spans="1:68" ht="12" customHeight="1" x14ac:dyDescent="0.2">
      <c r="A677" s="179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  <c r="BD677" s="108"/>
      <c r="BE677" s="108"/>
      <c r="BF677" s="108"/>
      <c r="BG677" s="108"/>
      <c r="BH677" s="108"/>
      <c r="BI677" s="108"/>
      <c r="BJ677" s="108"/>
      <c r="BK677" s="108"/>
      <c r="BL677" s="108"/>
      <c r="BM677" s="109"/>
      <c r="BN677" s="108"/>
      <c r="BO677" s="108"/>
      <c r="BP677" s="108"/>
    </row>
    <row r="678" spans="1:68" ht="12" customHeight="1" x14ac:dyDescent="0.2">
      <c r="A678" s="179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  <c r="BC678" s="108"/>
      <c r="BD678" s="108"/>
      <c r="BE678" s="108"/>
      <c r="BF678" s="108"/>
      <c r="BG678" s="108"/>
      <c r="BH678" s="108"/>
      <c r="BI678" s="108"/>
      <c r="BJ678" s="108"/>
      <c r="BK678" s="108"/>
      <c r="BL678" s="108"/>
      <c r="BM678" s="109"/>
      <c r="BN678" s="108"/>
      <c r="BO678" s="108"/>
      <c r="BP678" s="108"/>
    </row>
    <row r="679" spans="1:68" ht="12" customHeight="1" x14ac:dyDescent="0.2">
      <c r="A679" s="179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  <c r="BC679" s="108"/>
      <c r="BD679" s="108"/>
      <c r="BE679" s="108"/>
      <c r="BF679" s="108"/>
      <c r="BG679" s="108"/>
      <c r="BH679" s="108"/>
      <c r="BI679" s="108"/>
      <c r="BJ679" s="108"/>
      <c r="BK679" s="108"/>
      <c r="BL679" s="108"/>
      <c r="BM679" s="109"/>
      <c r="BN679" s="108"/>
      <c r="BO679" s="108"/>
      <c r="BP679" s="108"/>
    </row>
    <row r="680" spans="1:68" ht="12" customHeight="1" x14ac:dyDescent="0.2">
      <c r="A680" s="179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  <c r="BC680" s="108"/>
      <c r="BD680" s="108"/>
      <c r="BE680" s="108"/>
      <c r="BF680" s="108"/>
      <c r="BG680" s="108"/>
      <c r="BH680" s="108"/>
      <c r="BI680" s="108"/>
      <c r="BJ680" s="108"/>
      <c r="BK680" s="108"/>
      <c r="BL680" s="108"/>
      <c r="BM680" s="109"/>
      <c r="BN680" s="108"/>
      <c r="BO680" s="108"/>
      <c r="BP680" s="108"/>
    </row>
    <row r="681" spans="1:68" ht="12" customHeight="1" x14ac:dyDescent="0.2">
      <c r="A681" s="179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  <c r="BC681" s="108"/>
      <c r="BD681" s="108"/>
      <c r="BE681" s="108"/>
      <c r="BF681" s="108"/>
      <c r="BG681" s="108"/>
      <c r="BH681" s="108"/>
      <c r="BI681" s="108"/>
      <c r="BJ681" s="108"/>
      <c r="BK681" s="108"/>
      <c r="BL681" s="108"/>
      <c r="BM681" s="109"/>
      <c r="BN681" s="108"/>
      <c r="BO681" s="108"/>
      <c r="BP681" s="108"/>
    </row>
    <row r="682" spans="1:68" ht="12" customHeight="1" x14ac:dyDescent="0.2">
      <c r="A682" s="179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  <c r="BC682" s="108"/>
      <c r="BD682" s="108"/>
      <c r="BE682" s="108"/>
      <c r="BF682" s="108"/>
      <c r="BG682" s="108"/>
      <c r="BH682" s="108"/>
      <c r="BI682" s="108"/>
      <c r="BJ682" s="108"/>
      <c r="BK682" s="108"/>
      <c r="BL682" s="108"/>
      <c r="BM682" s="109"/>
      <c r="BN682" s="108"/>
      <c r="BO682" s="108"/>
      <c r="BP682" s="108"/>
    </row>
    <row r="683" spans="1:68" ht="12" customHeight="1" x14ac:dyDescent="0.2">
      <c r="A683" s="179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  <c r="BC683" s="108"/>
      <c r="BD683" s="108"/>
      <c r="BE683" s="108"/>
      <c r="BF683" s="108"/>
      <c r="BG683" s="108"/>
      <c r="BH683" s="108"/>
      <c r="BI683" s="108"/>
      <c r="BJ683" s="108"/>
      <c r="BK683" s="108"/>
      <c r="BL683" s="108"/>
      <c r="BM683" s="109"/>
      <c r="BN683" s="108"/>
      <c r="BO683" s="108"/>
      <c r="BP683" s="108"/>
    </row>
    <row r="684" spans="1:68" ht="12" customHeight="1" x14ac:dyDescent="0.2">
      <c r="A684" s="179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  <c r="BD684" s="108"/>
      <c r="BE684" s="108"/>
      <c r="BF684" s="108"/>
      <c r="BG684" s="108"/>
      <c r="BH684" s="108"/>
      <c r="BI684" s="108"/>
      <c r="BJ684" s="108"/>
      <c r="BK684" s="108"/>
      <c r="BL684" s="108"/>
      <c r="BM684" s="109"/>
      <c r="BN684" s="108"/>
      <c r="BO684" s="108"/>
      <c r="BP684" s="108"/>
    </row>
    <row r="685" spans="1:68" ht="12" customHeight="1" x14ac:dyDescent="0.2">
      <c r="A685" s="179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  <c r="BC685" s="108"/>
      <c r="BD685" s="108"/>
      <c r="BE685" s="108"/>
      <c r="BF685" s="108"/>
      <c r="BG685" s="108"/>
      <c r="BH685" s="108"/>
      <c r="BI685" s="108"/>
      <c r="BJ685" s="108"/>
      <c r="BK685" s="108"/>
      <c r="BL685" s="108"/>
      <c r="BM685" s="109"/>
      <c r="BN685" s="108"/>
      <c r="BO685" s="108"/>
      <c r="BP685" s="108"/>
    </row>
    <row r="686" spans="1:68" ht="12" customHeight="1" x14ac:dyDescent="0.2">
      <c r="A686" s="179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  <c r="BC686" s="108"/>
      <c r="BD686" s="108"/>
      <c r="BE686" s="108"/>
      <c r="BF686" s="108"/>
      <c r="BG686" s="108"/>
      <c r="BH686" s="108"/>
      <c r="BI686" s="108"/>
      <c r="BJ686" s="108"/>
      <c r="BK686" s="108"/>
      <c r="BL686" s="108"/>
      <c r="BM686" s="109"/>
      <c r="BN686" s="108"/>
      <c r="BO686" s="108"/>
      <c r="BP686" s="108"/>
    </row>
    <row r="687" spans="1:68" ht="12" customHeight="1" x14ac:dyDescent="0.2">
      <c r="A687" s="179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  <c r="BC687" s="108"/>
      <c r="BD687" s="108"/>
      <c r="BE687" s="108"/>
      <c r="BF687" s="108"/>
      <c r="BG687" s="108"/>
      <c r="BH687" s="108"/>
      <c r="BI687" s="108"/>
      <c r="BJ687" s="108"/>
      <c r="BK687" s="108"/>
      <c r="BL687" s="108"/>
      <c r="BM687" s="109"/>
      <c r="BN687" s="108"/>
      <c r="BO687" s="108"/>
      <c r="BP687" s="108"/>
    </row>
    <row r="688" spans="1:68" ht="12" customHeight="1" x14ac:dyDescent="0.2">
      <c r="A688" s="179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  <c r="BC688" s="108"/>
      <c r="BD688" s="108"/>
      <c r="BE688" s="108"/>
      <c r="BF688" s="108"/>
      <c r="BG688" s="108"/>
      <c r="BH688" s="108"/>
      <c r="BI688" s="108"/>
      <c r="BJ688" s="108"/>
      <c r="BK688" s="108"/>
      <c r="BL688" s="108"/>
      <c r="BM688" s="109"/>
      <c r="BN688" s="108"/>
      <c r="BO688" s="108"/>
      <c r="BP688" s="108"/>
    </row>
    <row r="689" spans="1:68" ht="12" customHeight="1" x14ac:dyDescent="0.2">
      <c r="A689" s="179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  <c r="BD689" s="108"/>
      <c r="BE689" s="108"/>
      <c r="BF689" s="108"/>
      <c r="BG689" s="108"/>
      <c r="BH689" s="108"/>
      <c r="BI689" s="108"/>
      <c r="BJ689" s="108"/>
      <c r="BK689" s="108"/>
      <c r="BL689" s="108"/>
      <c r="BM689" s="109"/>
      <c r="BN689" s="108"/>
      <c r="BO689" s="108"/>
      <c r="BP689" s="108"/>
    </row>
    <row r="690" spans="1:68" ht="12" customHeight="1" x14ac:dyDescent="0.2">
      <c r="A690" s="179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  <c r="BD690" s="108"/>
      <c r="BE690" s="108"/>
      <c r="BF690" s="108"/>
      <c r="BG690" s="108"/>
      <c r="BH690" s="108"/>
      <c r="BI690" s="108"/>
      <c r="BJ690" s="108"/>
      <c r="BK690" s="108"/>
      <c r="BL690" s="108"/>
      <c r="BM690" s="109"/>
      <c r="BN690" s="108"/>
      <c r="BO690" s="108"/>
      <c r="BP690" s="108"/>
    </row>
    <row r="691" spans="1:68" ht="12" customHeight="1" x14ac:dyDescent="0.2">
      <c r="A691" s="179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  <c r="BC691" s="108"/>
      <c r="BD691" s="108"/>
      <c r="BE691" s="108"/>
      <c r="BF691" s="108"/>
      <c r="BG691" s="108"/>
      <c r="BH691" s="108"/>
      <c r="BI691" s="108"/>
      <c r="BJ691" s="108"/>
      <c r="BK691" s="108"/>
      <c r="BL691" s="108"/>
      <c r="BM691" s="109"/>
      <c r="BN691" s="108"/>
      <c r="BO691" s="108"/>
      <c r="BP691" s="108"/>
    </row>
    <row r="692" spans="1:68" ht="12" customHeight="1" x14ac:dyDescent="0.2">
      <c r="A692" s="179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  <c r="BD692" s="108"/>
      <c r="BE692" s="108"/>
      <c r="BF692" s="108"/>
      <c r="BG692" s="108"/>
      <c r="BH692" s="108"/>
      <c r="BI692" s="108"/>
      <c r="BJ692" s="108"/>
      <c r="BK692" s="108"/>
      <c r="BL692" s="108"/>
      <c r="BM692" s="109"/>
      <c r="BN692" s="108"/>
      <c r="BO692" s="108"/>
      <c r="BP692" s="108"/>
    </row>
    <row r="693" spans="1:68" ht="12" customHeight="1" x14ac:dyDescent="0.2">
      <c r="A693" s="179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  <c r="BG693" s="108"/>
      <c r="BH693" s="108"/>
      <c r="BI693" s="108"/>
      <c r="BJ693" s="108"/>
      <c r="BK693" s="108"/>
      <c r="BL693" s="108"/>
      <c r="BM693" s="109"/>
      <c r="BN693" s="108"/>
      <c r="BO693" s="108"/>
      <c r="BP693" s="108"/>
    </row>
    <row r="694" spans="1:68" ht="12" customHeight="1" x14ac:dyDescent="0.2">
      <c r="A694" s="179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  <c r="BD694" s="108"/>
      <c r="BE694" s="108"/>
      <c r="BF694" s="108"/>
      <c r="BG694" s="108"/>
      <c r="BH694" s="108"/>
      <c r="BI694" s="108"/>
      <c r="BJ694" s="108"/>
      <c r="BK694" s="108"/>
      <c r="BL694" s="108"/>
      <c r="BM694" s="109"/>
      <c r="BN694" s="108"/>
      <c r="BO694" s="108"/>
      <c r="BP694" s="108"/>
    </row>
    <row r="695" spans="1:68" ht="12" customHeight="1" x14ac:dyDescent="0.2">
      <c r="A695" s="179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  <c r="BC695" s="108"/>
      <c r="BD695" s="108"/>
      <c r="BE695" s="108"/>
      <c r="BF695" s="108"/>
      <c r="BG695" s="108"/>
      <c r="BH695" s="108"/>
      <c r="BI695" s="108"/>
      <c r="BJ695" s="108"/>
      <c r="BK695" s="108"/>
      <c r="BL695" s="108"/>
      <c r="BM695" s="109"/>
      <c r="BN695" s="108"/>
      <c r="BO695" s="108"/>
      <c r="BP695" s="108"/>
    </row>
    <row r="696" spans="1:68" ht="12" customHeight="1" x14ac:dyDescent="0.2">
      <c r="A696" s="179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  <c r="BD696" s="108"/>
      <c r="BE696" s="108"/>
      <c r="BF696" s="108"/>
      <c r="BG696" s="108"/>
      <c r="BH696" s="108"/>
      <c r="BI696" s="108"/>
      <c r="BJ696" s="108"/>
      <c r="BK696" s="108"/>
      <c r="BL696" s="108"/>
      <c r="BM696" s="109"/>
      <c r="BN696" s="108"/>
      <c r="BO696" s="108"/>
      <c r="BP696" s="108"/>
    </row>
    <row r="697" spans="1:68" ht="12" customHeight="1" x14ac:dyDescent="0.2">
      <c r="A697" s="179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  <c r="BC697" s="108"/>
      <c r="BD697" s="108"/>
      <c r="BE697" s="108"/>
      <c r="BF697" s="108"/>
      <c r="BG697" s="108"/>
      <c r="BH697" s="108"/>
      <c r="BI697" s="108"/>
      <c r="BJ697" s="108"/>
      <c r="BK697" s="108"/>
      <c r="BL697" s="108"/>
      <c r="BM697" s="109"/>
      <c r="BN697" s="108"/>
      <c r="BO697" s="108"/>
      <c r="BP697" s="108"/>
    </row>
    <row r="698" spans="1:68" ht="12" customHeight="1" x14ac:dyDescent="0.2">
      <c r="A698" s="179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  <c r="BD698" s="108"/>
      <c r="BE698" s="108"/>
      <c r="BF698" s="108"/>
      <c r="BG698" s="108"/>
      <c r="BH698" s="108"/>
      <c r="BI698" s="108"/>
      <c r="BJ698" s="108"/>
      <c r="BK698" s="108"/>
      <c r="BL698" s="108"/>
      <c r="BM698" s="109"/>
      <c r="BN698" s="108"/>
      <c r="BO698" s="108"/>
      <c r="BP698" s="108"/>
    </row>
    <row r="699" spans="1:68" ht="12" customHeight="1" x14ac:dyDescent="0.2">
      <c r="A699" s="179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  <c r="BC699" s="108"/>
      <c r="BD699" s="108"/>
      <c r="BE699" s="108"/>
      <c r="BF699" s="108"/>
      <c r="BG699" s="108"/>
      <c r="BH699" s="108"/>
      <c r="BI699" s="108"/>
      <c r="BJ699" s="108"/>
      <c r="BK699" s="108"/>
      <c r="BL699" s="108"/>
      <c r="BM699" s="109"/>
      <c r="BN699" s="108"/>
      <c r="BO699" s="108"/>
      <c r="BP699" s="108"/>
    </row>
    <row r="700" spans="1:68" ht="12" customHeight="1" x14ac:dyDescent="0.2">
      <c r="A700" s="179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  <c r="BC700" s="108"/>
      <c r="BD700" s="108"/>
      <c r="BE700" s="108"/>
      <c r="BF700" s="108"/>
      <c r="BG700" s="108"/>
      <c r="BH700" s="108"/>
      <c r="BI700" s="108"/>
      <c r="BJ700" s="108"/>
      <c r="BK700" s="108"/>
      <c r="BL700" s="108"/>
      <c r="BM700" s="109"/>
      <c r="BN700" s="108"/>
      <c r="BO700" s="108"/>
      <c r="BP700" s="108"/>
    </row>
    <row r="701" spans="1:68" ht="12" customHeight="1" x14ac:dyDescent="0.2">
      <c r="A701" s="179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  <c r="BC701" s="108"/>
      <c r="BD701" s="108"/>
      <c r="BE701" s="108"/>
      <c r="BF701" s="108"/>
      <c r="BG701" s="108"/>
      <c r="BH701" s="108"/>
      <c r="BI701" s="108"/>
      <c r="BJ701" s="108"/>
      <c r="BK701" s="108"/>
      <c r="BL701" s="108"/>
      <c r="BM701" s="109"/>
      <c r="BN701" s="108"/>
      <c r="BO701" s="108"/>
      <c r="BP701" s="108"/>
    </row>
    <row r="702" spans="1:68" ht="12" customHeight="1" x14ac:dyDescent="0.2">
      <c r="A702" s="179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  <c r="BC702" s="108"/>
      <c r="BD702" s="108"/>
      <c r="BE702" s="108"/>
      <c r="BF702" s="108"/>
      <c r="BG702" s="108"/>
      <c r="BH702" s="108"/>
      <c r="BI702" s="108"/>
      <c r="BJ702" s="108"/>
      <c r="BK702" s="108"/>
      <c r="BL702" s="108"/>
      <c r="BM702" s="109"/>
      <c r="BN702" s="108"/>
      <c r="BO702" s="108"/>
      <c r="BP702" s="108"/>
    </row>
    <row r="703" spans="1:68" ht="12" customHeight="1" x14ac:dyDescent="0.2">
      <c r="A703" s="179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  <c r="BC703" s="108"/>
      <c r="BD703" s="108"/>
      <c r="BE703" s="108"/>
      <c r="BF703" s="108"/>
      <c r="BG703" s="108"/>
      <c r="BH703" s="108"/>
      <c r="BI703" s="108"/>
      <c r="BJ703" s="108"/>
      <c r="BK703" s="108"/>
      <c r="BL703" s="108"/>
      <c r="BM703" s="109"/>
      <c r="BN703" s="108"/>
      <c r="BO703" s="108"/>
      <c r="BP703" s="108"/>
    </row>
    <row r="704" spans="1:68" ht="12" customHeight="1" x14ac:dyDescent="0.2">
      <c r="A704" s="179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  <c r="BD704" s="108"/>
      <c r="BE704" s="108"/>
      <c r="BF704" s="108"/>
      <c r="BG704" s="108"/>
      <c r="BH704" s="108"/>
      <c r="BI704" s="108"/>
      <c r="BJ704" s="108"/>
      <c r="BK704" s="108"/>
      <c r="BL704" s="108"/>
      <c r="BM704" s="109"/>
      <c r="BN704" s="108"/>
      <c r="BO704" s="108"/>
      <c r="BP704" s="108"/>
    </row>
    <row r="705" spans="1:68" ht="12" customHeight="1" x14ac:dyDescent="0.2">
      <c r="A705" s="179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  <c r="BG705" s="108"/>
      <c r="BH705" s="108"/>
      <c r="BI705" s="108"/>
      <c r="BJ705" s="108"/>
      <c r="BK705" s="108"/>
      <c r="BL705" s="108"/>
      <c r="BM705" s="109"/>
      <c r="BN705" s="108"/>
      <c r="BO705" s="108"/>
      <c r="BP705" s="108"/>
    </row>
    <row r="706" spans="1:68" ht="12" customHeight="1" x14ac:dyDescent="0.2">
      <c r="A706" s="179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  <c r="BG706" s="108"/>
      <c r="BH706" s="108"/>
      <c r="BI706" s="108"/>
      <c r="BJ706" s="108"/>
      <c r="BK706" s="108"/>
      <c r="BL706" s="108"/>
      <c r="BM706" s="109"/>
      <c r="BN706" s="108"/>
      <c r="BO706" s="108"/>
      <c r="BP706" s="108"/>
    </row>
    <row r="707" spans="1:68" ht="12" customHeight="1" x14ac:dyDescent="0.2">
      <c r="A707" s="179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9"/>
      <c r="BN707" s="108"/>
      <c r="BO707" s="108"/>
      <c r="BP707" s="108"/>
    </row>
    <row r="708" spans="1:68" ht="12" customHeight="1" x14ac:dyDescent="0.2">
      <c r="A708" s="179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  <c r="BD708" s="108"/>
      <c r="BE708" s="108"/>
      <c r="BF708" s="108"/>
      <c r="BG708" s="108"/>
      <c r="BH708" s="108"/>
      <c r="BI708" s="108"/>
      <c r="BJ708" s="108"/>
      <c r="BK708" s="108"/>
      <c r="BL708" s="108"/>
      <c r="BM708" s="109"/>
      <c r="BN708" s="108"/>
      <c r="BO708" s="108"/>
      <c r="BP708" s="108"/>
    </row>
    <row r="709" spans="1:68" ht="12" customHeight="1" x14ac:dyDescent="0.2">
      <c r="A709" s="179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  <c r="BC709" s="108"/>
      <c r="BD709" s="108"/>
      <c r="BE709" s="108"/>
      <c r="BF709" s="108"/>
      <c r="BG709" s="108"/>
      <c r="BH709" s="108"/>
      <c r="BI709" s="108"/>
      <c r="BJ709" s="108"/>
      <c r="BK709" s="108"/>
      <c r="BL709" s="108"/>
      <c r="BM709" s="109"/>
      <c r="BN709" s="108"/>
      <c r="BO709" s="108"/>
      <c r="BP709" s="108"/>
    </row>
    <row r="710" spans="1:68" ht="12" customHeight="1" x14ac:dyDescent="0.2">
      <c r="A710" s="179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9"/>
      <c r="BN710" s="108"/>
      <c r="BO710" s="108"/>
      <c r="BP710" s="108"/>
    </row>
    <row r="711" spans="1:68" ht="12" customHeight="1" x14ac:dyDescent="0.2">
      <c r="A711" s="179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  <c r="BC711" s="108"/>
      <c r="BD711" s="108"/>
      <c r="BE711" s="108"/>
      <c r="BF711" s="108"/>
      <c r="BG711" s="108"/>
      <c r="BH711" s="108"/>
      <c r="BI711" s="108"/>
      <c r="BJ711" s="108"/>
      <c r="BK711" s="108"/>
      <c r="BL711" s="108"/>
      <c r="BM711" s="109"/>
      <c r="BN711" s="108"/>
      <c r="BO711" s="108"/>
      <c r="BP711" s="108"/>
    </row>
    <row r="712" spans="1:68" ht="12" customHeight="1" x14ac:dyDescent="0.2">
      <c r="A712" s="179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  <c r="BD712" s="108"/>
      <c r="BE712" s="108"/>
      <c r="BF712" s="108"/>
      <c r="BG712" s="108"/>
      <c r="BH712" s="108"/>
      <c r="BI712" s="108"/>
      <c r="BJ712" s="108"/>
      <c r="BK712" s="108"/>
      <c r="BL712" s="108"/>
      <c r="BM712" s="109"/>
      <c r="BN712" s="108"/>
      <c r="BO712" s="108"/>
      <c r="BP712" s="108"/>
    </row>
    <row r="713" spans="1:68" ht="12" customHeight="1" x14ac:dyDescent="0.2">
      <c r="A713" s="179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  <c r="BG713" s="108"/>
      <c r="BH713" s="108"/>
      <c r="BI713" s="108"/>
      <c r="BJ713" s="108"/>
      <c r="BK713" s="108"/>
      <c r="BL713" s="108"/>
      <c r="BM713" s="109"/>
      <c r="BN713" s="108"/>
      <c r="BO713" s="108"/>
      <c r="BP713" s="108"/>
    </row>
    <row r="714" spans="1:68" ht="12" customHeight="1" x14ac:dyDescent="0.2">
      <c r="A714" s="179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  <c r="BG714" s="108"/>
      <c r="BH714" s="108"/>
      <c r="BI714" s="108"/>
      <c r="BJ714" s="108"/>
      <c r="BK714" s="108"/>
      <c r="BL714" s="108"/>
      <c r="BM714" s="109"/>
      <c r="BN714" s="108"/>
      <c r="BO714" s="108"/>
      <c r="BP714" s="108"/>
    </row>
    <row r="715" spans="1:68" ht="12" customHeight="1" x14ac:dyDescent="0.2">
      <c r="A715" s="179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  <c r="BC715" s="108"/>
      <c r="BD715" s="108"/>
      <c r="BE715" s="108"/>
      <c r="BF715" s="108"/>
      <c r="BG715" s="108"/>
      <c r="BH715" s="108"/>
      <c r="BI715" s="108"/>
      <c r="BJ715" s="108"/>
      <c r="BK715" s="108"/>
      <c r="BL715" s="108"/>
      <c r="BM715" s="109"/>
      <c r="BN715" s="108"/>
      <c r="BO715" s="108"/>
      <c r="BP715" s="108"/>
    </row>
    <row r="716" spans="1:68" ht="12" customHeight="1" x14ac:dyDescent="0.2">
      <c r="A716" s="179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  <c r="BC716" s="108"/>
      <c r="BD716" s="108"/>
      <c r="BE716" s="108"/>
      <c r="BF716" s="108"/>
      <c r="BG716" s="108"/>
      <c r="BH716" s="108"/>
      <c r="BI716" s="108"/>
      <c r="BJ716" s="108"/>
      <c r="BK716" s="108"/>
      <c r="BL716" s="108"/>
      <c r="BM716" s="109"/>
      <c r="BN716" s="108"/>
      <c r="BO716" s="108"/>
      <c r="BP716" s="108"/>
    </row>
    <row r="717" spans="1:68" ht="12" customHeight="1" x14ac:dyDescent="0.2">
      <c r="A717" s="179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  <c r="BG717" s="108"/>
      <c r="BH717" s="108"/>
      <c r="BI717" s="108"/>
      <c r="BJ717" s="108"/>
      <c r="BK717" s="108"/>
      <c r="BL717" s="108"/>
      <c r="BM717" s="109"/>
      <c r="BN717" s="108"/>
      <c r="BO717" s="108"/>
      <c r="BP717" s="108"/>
    </row>
    <row r="718" spans="1:68" ht="12" customHeight="1" x14ac:dyDescent="0.2">
      <c r="A718" s="179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  <c r="BG718" s="108"/>
      <c r="BH718" s="108"/>
      <c r="BI718" s="108"/>
      <c r="BJ718" s="108"/>
      <c r="BK718" s="108"/>
      <c r="BL718" s="108"/>
      <c r="BM718" s="109"/>
      <c r="BN718" s="108"/>
      <c r="BO718" s="108"/>
      <c r="BP718" s="108"/>
    </row>
    <row r="719" spans="1:68" ht="12" customHeight="1" x14ac:dyDescent="0.2">
      <c r="A719" s="179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  <c r="BC719" s="108"/>
      <c r="BD719" s="108"/>
      <c r="BE719" s="108"/>
      <c r="BF719" s="108"/>
      <c r="BG719" s="108"/>
      <c r="BH719" s="108"/>
      <c r="BI719" s="108"/>
      <c r="BJ719" s="108"/>
      <c r="BK719" s="108"/>
      <c r="BL719" s="108"/>
      <c r="BM719" s="109"/>
      <c r="BN719" s="108"/>
      <c r="BO719" s="108"/>
      <c r="BP719" s="108"/>
    </row>
    <row r="720" spans="1:68" ht="12" customHeight="1" x14ac:dyDescent="0.2">
      <c r="A720" s="179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  <c r="BC720" s="108"/>
      <c r="BD720" s="108"/>
      <c r="BE720" s="108"/>
      <c r="BF720" s="108"/>
      <c r="BG720" s="108"/>
      <c r="BH720" s="108"/>
      <c r="BI720" s="108"/>
      <c r="BJ720" s="108"/>
      <c r="BK720" s="108"/>
      <c r="BL720" s="108"/>
      <c r="BM720" s="109"/>
      <c r="BN720" s="108"/>
      <c r="BO720" s="108"/>
      <c r="BP720" s="108"/>
    </row>
    <row r="721" spans="1:68" ht="12" customHeight="1" x14ac:dyDescent="0.2">
      <c r="A721" s="179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  <c r="BC721" s="108"/>
      <c r="BD721" s="108"/>
      <c r="BE721" s="108"/>
      <c r="BF721" s="108"/>
      <c r="BG721" s="108"/>
      <c r="BH721" s="108"/>
      <c r="BI721" s="108"/>
      <c r="BJ721" s="108"/>
      <c r="BK721" s="108"/>
      <c r="BL721" s="108"/>
      <c r="BM721" s="109"/>
      <c r="BN721" s="108"/>
      <c r="BO721" s="108"/>
      <c r="BP721" s="108"/>
    </row>
    <row r="722" spans="1:68" ht="12" customHeight="1" x14ac:dyDescent="0.2">
      <c r="A722" s="179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  <c r="BC722" s="108"/>
      <c r="BD722" s="108"/>
      <c r="BE722" s="108"/>
      <c r="BF722" s="108"/>
      <c r="BG722" s="108"/>
      <c r="BH722" s="108"/>
      <c r="BI722" s="108"/>
      <c r="BJ722" s="108"/>
      <c r="BK722" s="108"/>
      <c r="BL722" s="108"/>
      <c r="BM722" s="109"/>
      <c r="BN722" s="108"/>
      <c r="BO722" s="108"/>
      <c r="BP722" s="108"/>
    </row>
    <row r="723" spans="1:68" ht="12" customHeight="1" x14ac:dyDescent="0.2">
      <c r="A723" s="179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  <c r="BE723" s="108"/>
      <c r="BF723" s="108"/>
      <c r="BG723" s="108"/>
      <c r="BH723" s="108"/>
      <c r="BI723" s="108"/>
      <c r="BJ723" s="108"/>
      <c r="BK723" s="108"/>
      <c r="BL723" s="108"/>
      <c r="BM723" s="109"/>
      <c r="BN723" s="108"/>
      <c r="BO723" s="108"/>
      <c r="BP723" s="108"/>
    </row>
    <row r="724" spans="1:68" ht="12" customHeight="1" x14ac:dyDescent="0.2">
      <c r="A724" s="179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  <c r="BC724" s="108"/>
      <c r="BD724" s="108"/>
      <c r="BE724" s="108"/>
      <c r="BF724" s="108"/>
      <c r="BG724" s="108"/>
      <c r="BH724" s="108"/>
      <c r="BI724" s="108"/>
      <c r="BJ724" s="108"/>
      <c r="BK724" s="108"/>
      <c r="BL724" s="108"/>
      <c r="BM724" s="109"/>
      <c r="BN724" s="108"/>
      <c r="BO724" s="108"/>
      <c r="BP724" s="108"/>
    </row>
    <row r="725" spans="1:68" ht="12" customHeight="1" x14ac:dyDescent="0.2">
      <c r="A725" s="179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  <c r="BD725" s="108"/>
      <c r="BE725" s="108"/>
      <c r="BF725" s="108"/>
      <c r="BG725" s="108"/>
      <c r="BH725" s="108"/>
      <c r="BI725" s="108"/>
      <c r="BJ725" s="108"/>
      <c r="BK725" s="108"/>
      <c r="BL725" s="108"/>
      <c r="BM725" s="109"/>
      <c r="BN725" s="108"/>
      <c r="BO725" s="108"/>
      <c r="BP725" s="108"/>
    </row>
    <row r="726" spans="1:68" ht="12" customHeight="1" x14ac:dyDescent="0.2">
      <c r="A726" s="179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  <c r="BC726" s="108"/>
      <c r="BD726" s="108"/>
      <c r="BE726" s="108"/>
      <c r="BF726" s="108"/>
      <c r="BG726" s="108"/>
      <c r="BH726" s="108"/>
      <c r="BI726" s="108"/>
      <c r="BJ726" s="108"/>
      <c r="BK726" s="108"/>
      <c r="BL726" s="108"/>
      <c r="BM726" s="109"/>
      <c r="BN726" s="108"/>
      <c r="BO726" s="108"/>
      <c r="BP726" s="108"/>
    </row>
    <row r="727" spans="1:68" ht="12" customHeight="1" x14ac:dyDescent="0.2">
      <c r="A727" s="179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  <c r="BD727" s="108"/>
      <c r="BE727" s="108"/>
      <c r="BF727" s="108"/>
      <c r="BG727" s="108"/>
      <c r="BH727" s="108"/>
      <c r="BI727" s="108"/>
      <c r="BJ727" s="108"/>
      <c r="BK727" s="108"/>
      <c r="BL727" s="108"/>
      <c r="BM727" s="109"/>
      <c r="BN727" s="108"/>
      <c r="BO727" s="108"/>
      <c r="BP727" s="108"/>
    </row>
    <row r="728" spans="1:68" ht="12" customHeight="1" x14ac:dyDescent="0.2">
      <c r="A728" s="179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  <c r="BC728" s="108"/>
      <c r="BD728" s="108"/>
      <c r="BE728" s="108"/>
      <c r="BF728" s="108"/>
      <c r="BG728" s="108"/>
      <c r="BH728" s="108"/>
      <c r="BI728" s="108"/>
      <c r="BJ728" s="108"/>
      <c r="BK728" s="108"/>
      <c r="BL728" s="108"/>
      <c r="BM728" s="109"/>
      <c r="BN728" s="108"/>
      <c r="BO728" s="108"/>
      <c r="BP728" s="108"/>
    </row>
    <row r="729" spans="1:68" ht="12" customHeight="1" x14ac:dyDescent="0.2">
      <c r="A729" s="179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  <c r="BD729" s="108"/>
      <c r="BE729" s="108"/>
      <c r="BF729" s="108"/>
      <c r="BG729" s="108"/>
      <c r="BH729" s="108"/>
      <c r="BI729" s="108"/>
      <c r="BJ729" s="108"/>
      <c r="BK729" s="108"/>
      <c r="BL729" s="108"/>
      <c r="BM729" s="109"/>
      <c r="BN729" s="108"/>
      <c r="BO729" s="108"/>
      <c r="BP729" s="108"/>
    </row>
    <row r="730" spans="1:68" ht="12" customHeight="1" x14ac:dyDescent="0.2">
      <c r="A730" s="179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  <c r="BD730" s="108"/>
      <c r="BE730" s="108"/>
      <c r="BF730" s="108"/>
      <c r="BG730" s="108"/>
      <c r="BH730" s="108"/>
      <c r="BI730" s="108"/>
      <c r="BJ730" s="108"/>
      <c r="BK730" s="108"/>
      <c r="BL730" s="108"/>
      <c r="BM730" s="109"/>
      <c r="BN730" s="108"/>
      <c r="BO730" s="108"/>
      <c r="BP730" s="108"/>
    </row>
    <row r="731" spans="1:68" ht="12" customHeight="1" x14ac:dyDescent="0.2">
      <c r="A731" s="179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  <c r="BC731" s="108"/>
      <c r="BD731" s="108"/>
      <c r="BE731" s="108"/>
      <c r="BF731" s="108"/>
      <c r="BG731" s="108"/>
      <c r="BH731" s="108"/>
      <c r="BI731" s="108"/>
      <c r="BJ731" s="108"/>
      <c r="BK731" s="108"/>
      <c r="BL731" s="108"/>
      <c r="BM731" s="109"/>
      <c r="BN731" s="108"/>
      <c r="BO731" s="108"/>
      <c r="BP731" s="108"/>
    </row>
    <row r="732" spans="1:68" ht="12" customHeight="1" x14ac:dyDescent="0.2">
      <c r="A732" s="179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  <c r="BC732" s="108"/>
      <c r="BD732" s="108"/>
      <c r="BE732" s="108"/>
      <c r="BF732" s="108"/>
      <c r="BG732" s="108"/>
      <c r="BH732" s="108"/>
      <c r="BI732" s="108"/>
      <c r="BJ732" s="108"/>
      <c r="BK732" s="108"/>
      <c r="BL732" s="108"/>
      <c r="BM732" s="109"/>
      <c r="BN732" s="108"/>
      <c r="BO732" s="108"/>
      <c r="BP732" s="108"/>
    </row>
    <row r="733" spans="1:68" ht="12" customHeight="1" x14ac:dyDescent="0.2">
      <c r="A733" s="179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  <c r="BC733" s="108"/>
      <c r="BD733" s="108"/>
      <c r="BE733" s="108"/>
      <c r="BF733" s="108"/>
      <c r="BG733" s="108"/>
      <c r="BH733" s="108"/>
      <c r="BI733" s="108"/>
      <c r="BJ733" s="108"/>
      <c r="BK733" s="108"/>
      <c r="BL733" s="108"/>
      <c r="BM733" s="109"/>
      <c r="BN733" s="108"/>
      <c r="BO733" s="108"/>
      <c r="BP733" s="108"/>
    </row>
    <row r="734" spans="1:68" ht="12" customHeight="1" x14ac:dyDescent="0.2">
      <c r="A734" s="179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  <c r="BD734" s="108"/>
      <c r="BE734" s="108"/>
      <c r="BF734" s="108"/>
      <c r="BG734" s="108"/>
      <c r="BH734" s="108"/>
      <c r="BI734" s="108"/>
      <c r="BJ734" s="108"/>
      <c r="BK734" s="108"/>
      <c r="BL734" s="108"/>
      <c r="BM734" s="109"/>
      <c r="BN734" s="108"/>
      <c r="BO734" s="108"/>
      <c r="BP734" s="108"/>
    </row>
    <row r="735" spans="1:68" ht="12" customHeight="1" x14ac:dyDescent="0.2">
      <c r="A735" s="179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  <c r="BD735" s="108"/>
      <c r="BE735" s="108"/>
      <c r="BF735" s="108"/>
      <c r="BG735" s="108"/>
      <c r="BH735" s="108"/>
      <c r="BI735" s="108"/>
      <c r="BJ735" s="108"/>
      <c r="BK735" s="108"/>
      <c r="BL735" s="108"/>
      <c r="BM735" s="109"/>
      <c r="BN735" s="108"/>
      <c r="BO735" s="108"/>
      <c r="BP735" s="108"/>
    </row>
    <row r="736" spans="1:68" ht="12" customHeight="1" x14ac:dyDescent="0.2">
      <c r="A736" s="179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  <c r="BD736" s="108"/>
      <c r="BE736" s="108"/>
      <c r="BF736" s="108"/>
      <c r="BG736" s="108"/>
      <c r="BH736" s="108"/>
      <c r="BI736" s="108"/>
      <c r="BJ736" s="108"/>
      <c r="BK736" s="108"/>
      <c r="BL736" s="108"/>
      <c r="BM736" s="109"/>
      <c r="BN736" s="108"/>
      <c r="BO736" s="108"/>
      <c r="BP736" s="108"/>
    </row>
    <row r="737" spans="1:68" ht="12" customHeight="1" x14ac:dyDescent="0.2">
      <c r="A737" s="179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  <c r="BC737" s="108"/>
      <c r="BD737" s="108"/>
      <c r="BE737" s="108"/>
      <c r="BF737" s="108"/>
      <c r="BG737" s="108"/>
      <c r="BH737" s="108"/>
      <c r="BI737" s="108"/>
      <c r="BJ737" s="108"/>
      <c r="BK737" s="108"/>
      <c r="BL737" s="108"/>
      <c r="BM737" s="109"/>
      <c r="BN737" s="108"/>
      <c r="BO737" s="108"/>
      <c r="BP737" s="108"/>
    </row>
    <row r="738" spans="1:68" ht="12" customHeight="1" x14ac:dyDescent="0.2">
      <c r="A738" s="179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  <c r="BC738" s="108"/>
      <c r="BD738" s="108"/>
      <c r="BE738" s="108"/>
      <c r="BF738" s="108"/>
      <c r="BG738" s="108"/>
      <c r="BH738" s="108"/>
      <c r="BI738" s="108"/>
      <c r="BJ738" s="108"/>
      <c r="BK738" s="108"/>
      <c r="BL738" s="108"/>
      <c r="BM738" s="109"/>
      <c r="BN738" s="108"/>
      <c r="BO738" s="108"/>
      <c r="BP738" s="108"/>
    </row>
    <row r="739" spans="1:68" ht="12" customHeight="1" x14ac:dyDescent="0.2">
      <c r="A739" s="179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  <c r="BD739" s="108"/>
      <c r="BE739" s="108"/>
      <c r="BF739" s="108"/>
      <c r="BG739" s="108"/>
      <c r="BH739" s="108"/>
      <c r="BI739" s="108"/>
      <c r="BJ739" s="108"/>
      <c r="BK739" s="108"/>
      <c r="BL739" s="108"/>
      <c r="BM739" s="109"/>
      <c r="BN739" s="108"/>
      <c r="BO739" s="108"/>
      <c r="BP739" s="108"/>
    </row>
    <row r="740" spans="1:68" ht="12" customHeight="1" x14ac:dyDescent="0.2">
      <c r="A740" s="179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  <c r="BD740" s="108"/>
      <c r="BE740" s="108"/>
      <c r="BF740" s="108"/>
      <c r="BG740" s="108"/>
      <c r="BH740" s="108"/>
      <c r="BI740" s="108"/>
      <c r="BJ740" s="108"/>
      <c r="BK740" s="108"/>
      <c r="BL740" s="108"/>
      <c r="BM740" s="109"/>
      <c r="BN740" s="108"/>
      <c r="BO740" s="108"/>
      <c r="BP740" s="108"/>
    </row>
    <row r="741" spans="1:68" ht="12" customHeight="1" x14ac:dyDescent="0.2">
      <c r="A741" s="179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  <c r="BD741" s="108"/>
      <c r="BE741" s="108"/>
      <c r="BF741" s="108"/>
      <c r="BG741" s="108"/>
      <c r="BH741" s="108"/>
      <c r="BI741" s="108"/>
      <c r="BJ741" s="108"/>
      <c r="BK741" s="108"/>
      <c r="BL741" s="108"/>
      <c r="BM741" s="109"/>
      <c r="BN741" s="108"/>
      <c r="BO741" s="108"/>
      <c r="BP741" s="108"/>
    </row>
    <row r="742" spans="1:68" ht="12" customHeight="1" x14ac:dyDescent="0.2">
      <c r="A742" s="179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  <c r="BC742" s="108"/>
      <c r="BD742" s="108"/>
      <c r="BE742" s="108"/>
      <c r="BF742" s="108"/>
      <c r="BG742" s="108"/>
      <c r="BH742" s="108"/>
      <c r="BI742" s="108"/>
      <c r="BJ742" s="108"/>
      <c r="BK742" s="108"/>
      <c r="BL742" s="108"/>
      <c r="BM742" s="109"/>
      <c r="BN742" s="108"/>
      <c r="BO742" s="108"/>
      <c r="BP742" s="108"/>
    </row>
    <row r="743" spans="1:68" ht="12" customHeight="1" x14ac:dyDescent="0.2">
      <c r="A743" s="179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  <c r="BD743" s="108"/>
      <c r="BE743" s="108"/>
      <c r="BF743" s="108"/>
      <c r="BG743" s="108"/>
      <c r="BH743" s="108"/>
      <c r="BI743" s="108"/>
      <c r="BJ743" s="108"/>
      <c r="BK743" s="108"/>
      <c r="BL743" s="108"/>
      <c r="BM743" s="109"/>
      <c r="BN743" s="108"/>
      <c r="BO743" s="108"/>
      <c r="BP743" s="108"/>
    </row>
    <row r="744" spans="1:68" ht="12" customHeight="1" x14ac:dyDescent="0.2">
      <c r="A744" s="179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  <c r="BD744" s="108"/>
      <c r="BE744" s="108"/>
      <c r="BF744" s="108"/>
      <c r="BG744" s="108"/>
      <c r="BH744" s="108"/>
      <c r="BI744" s="108"/>
      <c r="BJ744" s="108"/>
      <c r="BK744" s="108"/>
      <c r="BL744" s="108"/>
      <c r="BM744" s="109"/>
      <c r="BN744" s="108"/>
      <c r="BO744" s="108"/>
      <c r="BP744" s="108"/>
    </row>
    <row r="745" spans="1:68" ht="12" customHeight="1" x14ac:dyDescent="0.2">
      <c r="A745" s="179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9"/>
      <c r="BN745" s="108"/>
      <c r="BO745" s="108"/>
      <c r="BP745" s="108"/>
    </row>
    <row r="746" spans="1:68" ht="12" customHeight="1" x14ac:dyDescent="0.2">
      <c r="A746" s="179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  <c r="BD746" s="108"/>
      <c r="BE746" s="108"/>
      <c r="BF746" s="108"/>
      <c r="BG746" s="108"/>
      <c r="BH746" s="108"/>
      <c r="BI746" s="108"/>
      <c r="BJ746" s="108"/>
      <c r="BK746" s="108"/>
      <c r="BL746" s="108"/>
      <c r="BM746" s="109"/>
      <c r="BN746" s="108"/>
      <c r="BO746" s="108"/>
      <c r="BP746" s="108"/>
    </row>
    <row r="747" spans="1:68" ht="12" customHeight="1" x14ac:dyDescent="0.2">
      <c r="A747" s="179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  <c r="BC747" s="108"/>
      <c r="BD747" s="108"/>
      <c r="BE747" s="108"/>
      <c r="BF747" s="108"/>
      <c r="BG747" s="108"/>
      <c r="BH747" s="108"/>
      <c r="BI747" s="108"/>
      <c r="BJ747" s="108"/>
      <c r="BK747" s="108"/>
      <c r="BL747" s="108"/>
      <c r="BM747" s="109"/>
      <c r="BN747" s="108"/>
      <c r="BO747" s="108"/>
      <c r="BP747" s="108"/>
    </row>
    <row r="748" spans="1:68" ht="12" customHeight="1" x14ac:dyDescent="0.2">
      <c r="A748" s="179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9"/>
      <c r="BN748" s="108"/>
      <c r="BO748" s="108"/>
      <c r="BP748" s="108"/>
    </row>
    <row r="749" spans="1:68" ht="12" customHeight="1" x14ac:dyDescent="0.2">
      <c r="A749" s="179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  <c r="BC749" s="108"/>
      <c r="BD749" s="108"/>
      <c r="BE749" s="108"/>
      <c r="BF749" s="108"/>
      <c r="BG749" s="108"/>
      <c r="BH749" s="108"/>
      <c r="BI749" s="108"/>
      <c r="BJ749" s="108"/>
      <c r="BK749" s="108"/>
      <c r="BL749" s="108"/>
      <c r="BM749" s="109"/>
      <c r="BN749" s="108"/>
      <c r="BO749" s="108"/>
      <c r="BP749" s="108"/>
    </row>
    <row r="750" spans="1:68" ht="12" customHeight="1" x14ac:dyDescent="0.2">
      <c r="A750" s="179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  <c r="BD750" s="108"/>
      <c r="BE750" s="108"/>
      <c r="BF750" s="108"/>
      <c r="BG750" s="108"/>
      <c r="BH750" s="108"/>
      <c r="BI750" s="108"/>
      <c r="BJ750" s="108"/>
      <c r="BK750" s="108"/>
      <c r="BL750" s="108"/>
      <c r="BM750" s="109"/>
      <c r="BN750" s="108"/>
      <c r="BO750" s="108"/>
      <c r="BP750" s="108"/>
    </row>
    <row r="751" spans="1:68" ht="12" customHeight="1" x14ac:dyDescent="0.2">
      <c r="A751" s="179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  <c r="BC751" s="108"/>
      <c r="BD751" s="108"/>
      <c r="BE751" s="108"/>
      <c r="BF751" s="108"/>
      <c r="BG751" s="108"/>
      <c r="BH751" s="108"/>
      <c r="BI751" s="108"/>
      <c r="BJ751" s="108"/>
      <c r="BK751" s="108"/>
      <c r="BL751" s="108"/>
      <c r="BM751" s="109"/>
      <c r="BN751" s="108"/>
      <c r="BO751" s="108"/>
      <c r="BP751" s="108"/>
    </row>
    <row r="752" spans="1:68" ht="12" customHeight="1" x14ac:dyDescent="0.2">
      <c r="A752" s="179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  <c r="BD752" s="108"/>
      <c r="BE752" s="108"/>
      <c r="BF752" s="108"/>
      <c r="BG752" s="108"/>
      <c r="BH752" s="108"/>
      <c r="BI752" s="108"/>
      <c r="BJ752" s="108"/>
      <c r="BK752" s="108"/>
      <c r="BL752" s="108"/>
      <c r="BM752" s="109"/>
      <c r="BN752" s="108"/>
      <c r="BO752" s="108"/>
      <c r="BP752" s="108"/>
    </row>
    <row r="753" spans="1:68" ht="12" customHeight="1" x14ac:dyDescent="0.2">
      <c r="A753" s="179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  <c r="BC753" s="108"/>
      <c r="BD753" s="108"/>
      <c r="BE753" s="108"/>
      <c r="BF753" s="108"/>
      <c r="BG753" s="108"/>
      <c r="BH753" s="108"/>
      <c r="BI753" s="108"/>
      <c r="BJ753" s="108"/>
      <c r="BK753" s="108"/>
      <c r="BL753" s="108"/>
      <c r="BM753" s="109"/>
      <c r="BN753" s="108"/>
      <c r="BO753" s="108"/>
      <c r="BP753" s="108"/>
    </row>
    <row r="754" spans="1:68" ht="12" customHeight="1" x14ac:dyDescent="0.2">
      <c r="A754" s="179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  <c r="BD754" s="108"/>
      <c r="BE754" s="108"/>
      <c r="BF754" s="108"/>
      <c r="BG754" s="108"/>
      <c r="BH754" s="108"/>
      <c r="BI754" s="108"/>
      <c r="BJ754" s="108"/>
      <c r="BK754" s="108"/>
      <c r="BL754" s="108"/>
      <c r="BM754" s="109"/>
      <c r="BN754" s="108"/>
      <c r="BO754" s="108"/>
      <c r="BP754" s="108"/>
    </row>
    <row r="755" spans="1:68" ht="12" customHeight="1" x14ac:dyDescent="0.2">
      <c r="A755" s="179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  <c r="BD755" s="108"/>
      <c r="BE755" s="108"/>
      <c r="BF755" s="108"/>
      <c r="BG755" s="108"/>
      <c r="BH755" s="108"/>
      <c r="BI755" s="108"/>
      <c r="BJ755" s="108"/>
      <c r="BK755" s="108"/>
      <c r="BL755" s="108"/>
      <c r="BM755" s="109"/>
      <c r="BN755" s="108"/>
      <c r="BO755" s="108"/>
      <c r="BP755" s="108"/>
    </row>
    <row r="756" spans="1:68" ht="12" customHeight="1" x14ac:dyDescent="0.2">
      <c r="A756" s="179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  <c r="BG756" s="108"/>
      <c r="BH756" s="108"/>
      <c r="BI756" s="108"/>
      <c r="BJ756" s="108"/>
      <c r="BK756" s="108"/>
      <c r="BL756" s="108"/>
      <c r="BM756" s="109"/>
      <c r="BN756" s="108"/>
      <c r="BO756" s="108"/>
      <c r="BP756" s="108"/>
    </row>
    <row r="757" spans="1:68" ht="12" customHeight="1" x14ac:dyDescent="0.2">
      <c r="A757" s="179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  <c r="BD757" s="108"/>
      <c r="BE757" s="108"/>
      <c r="BF757" s="108"/>
      <c r="BG757" s="108"/>
      <c r="BH757" s="108"/>
      <c r="BI757" s="108"/>
      <c r="BJ757" s="108"/>
      <c r="BK757" s="108"/>
      <c r="BL757" s="108"/>
      <c r="BM757" s="109"/>
      <c r="BN757" s="108"/>
      <c r="BO757" s="108"/>
      <c r="BP757" s="108"/>
    </row>
    <row r="758" spans="1:68" ht="12" customHeight="1" x14ac:dyDescent="0.2">
      <c r="A758" s="179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  <c r="BD758" s="108"/>
      <c r="BE758" s="108"/>
      <c r="BF758" s="108"/>
      <c r="BG758" s="108"/>
      <c r="BH758" s="108"/>
      <c r="BI758" s="108"/>
      <c r="BJ758" s="108"/>
      <c r="BK758" s="108"/>
      <c r="BL758" s="108"/>
      <c r="BM758" s="109"/>
      <c r="BN758" s="108"/>
      <c r="BO758" s="108"/>
      <c r="BP758" s="108"/>
    </row>
    <row r="759" spans="1:68" ht="12" customHeight="1" x14ac:dyDescent="0.2">
      <c r="A759" s="179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  <c r="BC759" s="108"/>
      <c r="BD759" s="108"/>
      <c r="BE759" s="108"/>
      <c r="BF759" s="108"/>
      <c r="BG759" s="108"/>
      <c r="BH759" s="108"/>
      <c r="BI759" s="108"/>
      <c r="BJ759" s="108"/>
      <c r="BK759" s="108"/>
      <c r="BL759" s="108"/>
      <c r="BM759" s="109"/>
      <c r="BN759" s="108"/>
      <c r="BO759" s="108"/>
      <c r="BP759" s="108"/>
    </row>
    <row r="760" spans="1:68" ht="12" customHeight="1" x14ac:dyDescent="0.2">
      <c r="A760" s="179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  <c r="BG760" s="108"/>
      <c r="BH760" s="108"/>
      <c r="BI760" s="108"/>
      <c r="BJ760" s="108"/>
      <c r="BK760" s="108"/>
      <c r="BL760" s="108"/>
      <c r="BM760" s="109"/>
      <c r="BN760" s="108"/>
      <c r="BO760" s="108"/>
      <c r="BP760" s="108"/>
    </row>
    <row r="761" spans="1:68" ht="12" customHeight="1" x14ac:dyDescent="0.2">
      <c r="A761" s="179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  <c r="BD761" s="108"/>
      <c r="BE761" s="108"/>
      <c r="BF761" s="108"/>
      <c r="BG761" s="108"/>
      <c r="BH761" s="108"/>
      <c r="BI761" s="108"/>
      <c r="BJ761" s="108"/>
      <c r="BK761" s="108"/>
      <c r="BL761" s="108"/>
      <c r="BM761" s="109"/>
      <c r="BN761" s="108"/>
      <c r="BO761" s="108"/>
      <c r="BP761" s="108"/>
    </row>
    <row r="762" spans="1:68" ht="12" customHeight="1" x14ac:dyDescent="0.2">
      <c r="A762" s="179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  <c r="BC762" s="108"/>
      <c r="BD762" s="108"/>
      <c r="BE762" s="108"/>
      <c r="BF762" s="108"/>
      <c r="BG762" s="108"/>
      <c r="BH762" s="108"/>
      <c r="BI762" s="108"/>
      <c r="BJ762" s="108"/>
      <c r="BK762" s="108"/>
      <c r="BL762" s="108"/>
      <c r="BM762" s="109"/>
      <c r="BN762" s="108"/>
      <c r="BO762" s="108"/>
      <c r="BP762" s="108"/>
    </row>
    <row r="763" spans="1:68" ht="12" customHeight="1" x14ac:dyDescent="0.2">
      <c r="A763" s="179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  <c r="BD763" s="108"/>
      <c r="BE763" s="108"/>
      <c r="BF763" s="108"/>
      <c r="BG763" s="108"/>
      <c r="BH763" s="108"/>
      <c r="BI763" s="108"/>
      <c r="BJ763" s="108"/>
      <c r="BK763" s="108"/>
      <c r="BL763" s="108"/>
      <c r="BM763" s="109"/>
      <c r="BN763" s="108"/>
      <c r="BO763" s="108"/>
      <c r="BP763" s="108"/>
    </row>
    <row r="764" spans="1:68" ht="12" customHeight="1" x14ac:dyDescent="0.2">
      <c r="A764" s="179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  <c r="BG764" s="108"/>
      <c r="BH764" s="108"/>
      <c r="BI764" s="108"/>
      <c r="BJ764" s="108"/>
      <c r="BK764" s="108"/>
      <c r="BL764" s="108"/>
      <c r="BM764" s="109"/>
      <c r="BN764" s="108"/>
      <c r="BO764" s="108"/>
      <c r="BP764" s="108"/>
    </row>
    <row r="765" spans="1:68" ht="12" customHeight="1" x14ac:dyDescent="0.2">
      <c r="A765" s="179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  <c r="BD765" s="108"/>
      <c r="BE765" s="108"/>
      <c r="BF765" s="108"/>
      <c r="BG765" s="108"/>
      <c r="BH765" s="108"/>
      <c r="BI765" s="108"/>
      <c r="BJ765" s="108"/>
      <c r="BK765" s="108"/>
      <c r="BL765" s="108"/>
      <c r="BM765" s="109"/>
      <c r="BN765" s="108"/>
      <c r="BO765" s="108"/>
      <c r="BP765" s="108"/>
    </row>
    <row r="766" spans="1:68" ht="12" customHeight="1" x14ac:dyDescent="0.2">
      <c r="A766" s="179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  <c r="BD766" s="108"/>
      <c r="BE766" s="108"/>
      <c r="BF766" s="108"/>
      <c r="BG766" s="108"/>
      <c r="BH766" s="108"/>
      <c r="BI766" s="108"/>
      <c r="BJ766" s="108"/>
      <c r="BK766" s="108"/>
      <c r="BL766" s="108"/>
      <c r="BM766" s="109"/>
      <c r="BN766" s="108"/>
      <c r="BO766" s="108"/>
      <c r="BP766" s="108"/>
    </row>
    <row r="767" spans="1:68" ht="12" customHeight="1" x14ac:dyDescent="0.2">
      <c r="A767" s="179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  <c r="BD767" s="108"/>
      <c r="BE767" s="108"/>
      <c r="BF767" s="108"/>
      <c r="BG767" s="108"/>
      <c r="BH767" s="108"/>
      <c r="BI767" s="108"/>
      <c r="BJ767" s="108"/>
      <c r="BK767" s="108"/>
      <c r="BL767" s="108"/>
      <c r="BM767" s="109"/>
      <c r="BN767" s="108"/>
      <c r="BO767" s="108"/>
      <c r="BP767" s="108"/>
    </row>
    <row r="768" spans="1:68" ht="12" customHeight="1" x14ac:dyDescent="0.2">
      <c r="A768" s="179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  <c r="BD768" s="108"/>
      <c r="BE768" s="108"/>
      <c r="BF768" s="108"/>
      <c r="BG768" s="108"/>
      <c r="BH768" s="108"/>
      <c r="BI768" s="108"/>
      <c r="BJ768" s="108"/>
      <c r="BK768" s="108"/>
      <c r="BL768" s="108"/>
      <c r="BM768" s="109"/>
      <c r="BN768" s="108"/>
      <c r="BO768" s="108"/>
      <c r="BP768" s="108"/>
    </row>
    <row r="769" spans="1:68" ht="12" customHeight="1" x14ac:dyDescent="0.2">
      <c r="A769" s="179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  <c r="BC769" s="108"/>
      <c r="BD769" s="108"/>
      <c r="BE769" s="108"/>
      <c r="BF769" s="108"/>
      <c r="BG769" s="108"/>
      <c r="BH769" s="108"/>
      <c r="BI769" s="108"/>
      <c r="BJ769" s="108"/>
      <c r="BK769" s="108"/>
      <c r="BL769" s="108"/>
      <c r="BM769" s="109"/>
      <c r="BN769" s="108"/>
      <c r="BO769" s="108"/>
      <c r="BP769" s="108"/>
    </row>
    <row r="770" spans="1:68" ht="12" customHeight="1" x14ac:dyDescent="0.2">
      <c r="A770" s="179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  <c r="BD770" s="108"/>
      <c r="BE770" s="108"/>
      <c r="BF770" s="108"/>
      <c r="BG770" s="108"/>
      <c r="BH770" s="108"/>
      <c r="BI770" s="108"/>
      <c r="BJ770" s="108"/>
      <c r="BK770" s="108"/>
      <c r="BL770" s="108"/>
      <c r="BM770" s="109"/>
      <c r="BN770" s="108"/>
      <c r="BO770" s="108"/>
      <c r="BP770" s="108"/>
    </row>
    <row r="771" spans="1:68" ht="12" customHeight="1" x14ac:dyDescent="0.2">
      <c r="A771" s="179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  <c r="BC771" s="108"/>
      <c r="BD771" s="108"/>
      <c r="BE771" s="108"/>
      <c r="BF771" s="108"/>
      <c r="BG771" s="108"/>
      <c r="BH771" s="108"/>
      <c r="BI771" s="108"/>
      <c r="BJ771" s="108"/>
      <c r="BK771" s="108"/>
      <c r="BL771" s="108"/>
      <c r="BM771" s="109"/>
      <c r="BN771" s="108"/>
      <c r="BO771" s="108"/>
      <c r="BP771" s="108"/>
    </row>
    <row r="772" spans="1:68" ht="12" customHeight="1" x14ac:dyDescent="0.2">
      <c r="A772" s="179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  <c r="BD772" s="108"/>
      <c r="BE772" s="108"/>
      <c r="BF772" s="108"/>
      <c r="BG772" s="108"/>
      <c r="BH772" s="108"/>
      <c r="BI772" s="108"/>
      <c r="BJ772" s="108"/>
      <c r="BK772" s="108"/>
      <c r="BL772" s="108"/>
      <c r="BM772" s="109"/>
      <c r="BN772" s="108"/>
      <c r="BO772" s="108"/>
      <c r="BP772" s="108"/>
    </row>
    <row r="773" spans="1:68" ht="12" customHeight="1" x14ac:dyDescent="0.2">
      <c r="A773" s="179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  <c r="BG773" s="108"/>
      <c r="BH773" s="108"/>
      <c r="BI773" s="108"/>
      <c r="BJ773" s="108"/>
      <c r="BK773" s="108"/>
      <c r="BL773" s="108"/>
      <c r="BM773" s="109"/>
      <c r="BN773" s="108"/>
      <c r="BO773" s="108"/>
      <c r="BP773" s="108"/>
    </row>
    <row r="774" spans="1:68" ht="12" customHeight="1" x14ac:dyDescent="0.2">
      <c r="A774" s="179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  <c r="BD774" s="108"/>
      <c r="BE774" s="108"/>
      <c r="BF774" s="108"/>
      <c r="BG774" s="108"/>
      <c r="BH774" s="108"/>
      <c r="BI774" s="108"/>
      <c r="BJ774" s="108"/>
      <c r="BK774" s="108"/>
      <c r="BL774" s="108"/>
      <c r="BM774" s="109"/>
      <c r="BN774" s="108"/>
      <c r="BO774" s="108"/>
      <c r="BP774" s="108"/>
    </row>
    <row r="775" spans="1:68" ht="12" customHeight="1" x14ac:dyDescent="0.2">
      <c r="A775" s="179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  <c r="BD775" s="108"/>
      <c r="BE775" s="108"/>
      <c r="BF775" s="108"/>
      <c r="BG775" s="108"/>
      <c r="BH775" s="108"/>
      <c r="BI775" s="108"/>
      <c r="BJ775" s="108"/>
      <c r="BK775" s="108"/>
      <c r="BL775" s="108"/>
      <c r="BM775" s="109"/>
      <c r="BN775" s="108"/>
      <c r="BO775" s="108"/>
      <c r="BP775" s="108"/>
    </row>
    <row r="776" spans="1:68" ht="12" customHeight="1" x14ac:dyDescent="0.2">
      <c r="A776" s="179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  <c r="BC776" s="108"/>
      <c r="BD776" s="108"/>
      <c r="BE776" s="108"/>
      <c r="BF776" s="108"/>
      <c r="BG776" s="108"/>
      <c r="BH776" s="108"/>
      <c r="BI776" s="108"/>
      <c r="BJ776" s="108"/>
      <c r="BK776" s="108"/>
      <c r="BL776" s="108"/>
      <c r="BM776" s="109"/>
      <c r="BN776" s="108"/>
      <c r="BO776" s="108"/>
      <c r="BP776" s="108"/>
    </row>
    <row r="777" spans="1:68" ht="12" customHeight="1" x14ac:dyDescent="0.2">
      <c r="A777" s="179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  <c r="BD777" s="108"/>
      <c r="BE777" s="108"/>
      <c r="BF777" s="108"/>
      <c r="BG777" s="108"/>
      <c r="BH777" s="108"/>
      <c r="BI777" s="108"/>
      <c r="BJ777" s="108"/>
      <c r="BK777" s="108"/>
      <c r="BL777" s="108"/>
      <c r="BM777" s="109"/>
      <c r="BN777" s="108"/>
      <c r="BO777" s="108"/>
      <c r="BP777" s="108"/>
    </row>
    <row r="778" spans="1:68" ht="12" customHeight="1" x14ac:dyDescent="0.2">
      <c r="A778" s="179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  <c r="BD778" s="108"/>
      <c r="BE778" s="108"/>
      <c r="BF778" s="108"/>
      <c r="BG778" s="108"/>
      <c r="BH778" s="108"/>
      <c r="BI778" s="108"/>
      <c r="BJ778" s="108"/>
      <c r="BK778" s="108"/>
      <c r="BL778" s="108"/>
      <c r="BM778" s="109"/>
      <c r="BN778" s="108"/>
      <c r="BO778" s="108"/>
      <c r="BP778" s="108"/>
    </row>
    <row r="779" spans="1:68" ht="12" customHeight="1" x14ac:dyDescent="0.2">
      <c r="A779" s="179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  <c r="BG779" s="108"/>
      <c r="BH779" s="108"/>
      <c r="BI779" s="108"/>
      <c r="BJ779" s="108"/>
      <c r="BK779" s="108"/>
      <c r="BL779" s="108"/>
      <c r="BM779" s="109"/>
      <c r="BN779" s="108"/>
      <c r="BO779" s="108"/>
      <c r="BP779" s="108"/>
    </row>
    <row r="780" spans="1:68" ht="12" customHeight="1" x14ac:dyDescent="0.2">
      <c r="A780" s="179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  <c r="BD780" s="108"/>
      <c r="BE780" s="108"/>
      <c r="BF780" s="108"/>
      <c r="BG780" s="108"/>
      <c r="BH780" s="108"/>
      <c r="BI780" s="108"/>
      <c r="BJ780" s="108"/>
      <c r="BK780" s="108"/>
      <c r="BL780" s="108"/>
      <c r="BM780" s="109"/>
      <c r="BN780" s="108"/>
      <c r="BO780" s="108"/>
      <c r="BP780" s="108"/>
    </row>
    <row r="781" spans="1:68" ht="12" customHeight="1" x14ac:dyDescent="0.2">
      <c r="A781" s="179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  <c r="BC781" s="108"/>
      <c r="BD781" s="108"/>
      <c r="BE781" s="108"/>
      <c r="BF781" s="108"/>
      <c r="BG781" s="108"/>
      <c r="BH781" s="108"/>
      <c r="BI781" s="108"/>
      <c r="BJ781" s="108"/>
      <c r="BK781" s="108"/>
      <c r="BL781" s="108"/>
      <c r="BM781" s="109"/>
      <c r="BN781" s="108"/>
      <c r="BO781" s="108"/>
      <c r="BP781" s="108"/>
    </row>
    <row r="782" spans="1:68" ht="12" customHeight="1" x14ac:dyDescent="0.2">
      <c r="A782" s="179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  <c r="BD782" s="108"/>
      <c r="BE782" s="108"/>
      <c r="BF782" s="108"/>
      <c r="BG782" s="108"/>
      <c r="BH782" s="108"/>
      <c r="BI782" s="108"/>
      <c r="BJ782" s="108"/>
      <c r="BK782" s="108"/>
      <c r="BL782" s="108"/>
      <c r="BM782" s="109"/>
      <c r="BN782" s="108"/>
      <c r="BO782" s="108"/>
      <c r="BP782" s="108"/>
    </row>
    <row r="783" spans="1:68" ht="12" customHeight="1" x14ac:dyDescent="0.2">
      <c r="A783" s="179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9"/>
      <c r="BN783" s="108"/>
      <c r="BO783" s="108"/>
      <c r="BP783" s="108"/>
    </row>
    <row r="784" spans="1:68" ht="12" customHeight="1" x14ac:dyDescent="0.2">
      <c r="A784" s="179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  <c r="BD784" s="108"/>
      <c r="BE784" s="108"/>
      <c r="BF784" s="108"/>
      <c r="BG784" s="108"/>
      <c r="BH784" s="108"/>
      <c r="BI784" s="108"/>
      <c r="BJ784" s="108"/>
      <c r="BK784" s="108"/>
      <c r="BL784" s="108"/>
      <c r="BM784" s="109"/>
      <c r="BN784" s="108"/>
      <c r="BO784" s="108"/>
      <c r="BP784" s="108"/>
    </row>
    <row r="785" spans="1:68" ht="12" customHeight="1" x14ac:dyDescent="0.2">
      <c r="A785" s="179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  <c r="BC785" s="108"/>
      <c r="BD785" s="108"/>
      <c r="BE785" s="108"/>
      <c r="BF785" s="108"/>
      <c r="BG785" s="108"/>
      <c r="BH785" s="108"/>
      <c r="BI785" s="108"/>
      <c r="BJ785" s="108"/>
      <c r="BK785" s="108"/>
      <c r="BL785" s="108"/>
      <c r="BM785" s="109"/>
      <c r="BN785" s="108"/>
      <c r="BO785" s="108"/>
      <c r="BP785" s="108"/>
    </row>
    <row r="786" spans="1:68" ht="12" customHeight="1" x14ac:dyDescent="0.2">
      <c r="A786" s="179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9"/>
      <c r="BN786" s="108"/>
      <c r="BO786" s="108"/>
      <c r="BP786" s="108"/>
    </row>
    <row r="787" spans="1:68" ht="12" customHeight="1" x14ac:dyDescent="0.2">
      <c r="A787" s="179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  <c r="BD787" s="108"/>
      <c r="BE787" s="108"/>
      <c r="BF787" s="108"/>
      <c r="BG787" s="108"/>
      <c r="BH787" s="108"/>
      <c r="BI787" s="108"/>
      <c r="BJ787" s="108"/>
      <c r="BK787" s="108"/>
      <c r="BL787" s="108"/>
      <c r="BM787" s="109"/>
      <c r="BN787" s="108"/>
      <c r="BO787" s="108"/>
      <c r="BP787" s="108"/>
    </row>
    <row r="788" spans="1:68" ht="12" customHeight="1" x14ac:dyDescent="0.2">
      <c r="A788" s="179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  <c r="BD788" s="108"/>
      <c r="BE788" s="108"/>
      <c r="BF788" s="108"/>
      <c r="BG788" s="108"/>
      <c r="BH788" s="108"/>
      <c r="BI788" s="108"/>
      <c r="BJ788" s="108"/>
      <c r="BK788" s="108"/>
      <c r="BL788" s="108"/>
      <c r="BM788" s="109"/>
      <c r="BN788" s="108"/>
      <c r="BO788" s="108"/>
      <c r="BP788" s="108"/>
    </row>
    <row r="789" spans="1:68" ht="12" customHeight="1" x14ac:dyDescent="0.2">
      <c r="A789" s="179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  <c r="BC789" s="108"/>
      <c r="BD789" s="108"/>
      <c r="BE789" s="108"/>
      <c r="BF789" s="108"/>
      <c r="BG789" s="108"/>
      <c r="BH789" s="108"/>
      <c r="BI789" s="108"/>
      <c r="BJ789" s="108"/>
      <c r="BK789" s="108"/>
      <c r="BL789" s="108"/>
      <c r="BM789" s="109"/>
      <c r="BN789" s="108"/>
      <c r="BO789" s="108"/>
      <c r="BP789" s="108"/>
    </row>
    <row r="790" spans="1:68" ht="12" customHeight="1" x14ac:dyDescent="0.2">
      <c r="A790" s="179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  <c r="BC790" s="108"/>
      <c r="BD790" s="108"/>
      <c r="BE790" s="108"/>
      <c r="BF790" s="108"/>
      <c r="BG790" s="108"/>
      <c r="BH790" s="108"/>
      <c r="BI790" s="108"/>
      <c r="BJ790" s="108"/>
      <c r="BK790" s="108"/>
      <c r="BL790" s="108"/>
      <c r="BM790" s="109"/>
      <c r="BN790" s="108"/>
      <c r="BO790" s="108"/>
      <c r="BP790" s="108"/>
    </row>
    <row r="791" spans="1:68" ht="12" customHeight="1" x14ac:dyDescent="0.2">
      <c r="A791" s="179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  <c r="BC791" s="108"/>
      <c r="BD791" s="108"/>
      <c r="BE791" s="108"/>
      <c r="BF791" s="108"/>
      <c r="BG791" s="108"/>
      <c r="BH791" s="108"/>
      <c r="BI791" s="108"/>
      <c r="BJ791" s="108"/>
      <c r="BK791" s="108"/>
      <c r="BL791" s="108"/>
      <c r="BM791" s="109"/>
      <c r="BN791" s="108"/>
      <c r="BO791" s="108"/>
      <c r="BP791" s="108"/>
    </row>
    <row r="792" spans="1:68" ht="12" customHeight="1" x14ac:dyDescent="0.2">
      <c r="A792" s="179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  <c r="BC792" s="108"/>
      <c r="BD792" s="108"/>
      <c r="BE792" s="108"/>
      <c r="BF792" s="108"/>
      <c r="BG792" s="108"/>
      <c r="BH792" s="108"/>
      <c r="BI792" s="108"/>
      <c r="BJ792" s="108"/>
      <c r="BK792" s="108"/>
      <c r="BL792" s="108"/>
      <c r="BM792" s="109"/>
      <c r="BN792" s="108"/>
      <c r="BO792" s="108"/>
      <c r="BP792" s="108"/>
    </row>
    <row r="793" spans="1:68" ht="12" customHeight="1" x14ac:dyDescent="0.2">
      <c r="A793" s="179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  <c r="BC793" s="108"/>
      <c r="BD793" s="108"/>
      <c r="BE793" s="108"/>
      <c r="BF793" s="108"/>
      <c r="BG793" s="108"/>
      <c r="BH793" s="108"/>
      <c r="BI793" s="108"/>
      <c r="BJ793" s="108"/>
      <c r="BK793" s="108"/>
      <c r="BL793" s="108"/>
      <c r="BM793" s="109"/>
      <c r="BN793" s="108"/>
      <c r="BO793" s="108"/>
      <c r="BP793" s="108"/>
    </row>
    <row r="794" spans="1:68" ht="12" customHeight="1" x14ac:dyDescent="0.2">
      <c r="A794" s="179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  <c r="BC794" s="108"/>
      <c r="BD794" s="108"/>
      <c r="BE794" s="108"/>
      <c r="BF794" s="108"/>
      <c r="BG794" s="108"/>
      <c r="BH794" s="108"/>
      <c r="BI794" s="108"/>
      <c r="BJ794" s="108"/>
      <c r="BK794" s="108"/>
      <c r="BL794" s="108"/>
      <c r="BM794" s="109"/>
      <c r="BN794" s="108"/>
      <c r="BO794" s="108"/>
      <c r="BP794" s="108"/>
    </row>
    <row r="795" spans="1:68" ht="12" customHeight="1" x14ac:dyDescent="0.2">
      <c r="A795" s="179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  <c r="BC795" s="108"/>
      <c r="BD795" s="108"/>
      <c r="BE795" s="108"/>
      <c r="BF795" s="108"/>
      <c r="BG795" s="108"/>
      <c r="BH795" s="108"/>
      <c r="BI795" s="108"/>
      <c r="BJ795" s="108"/>
      <c r="BK795" s="108"/>
      <c r="BL795" s="108"/>
      <c r="BM795" s="109"/>
      <c r="BN795" s="108"/>
      <c r="BO795" s="108"/>
      <c r="BP795" s="108"/>
    </row>
    <row r="796" spans="1:68" ht="12" customHeight="1" x14ac:dyDescent="0.2">
      <c r="A796" s="179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  <c r="BC796" s="108"/>
      <c r="BD796" s="108"/>
      <c r="BE796" s="108"/>
      <c r="BF796" s="108"/>
      <c r="BG796" s="108"/>
      <c r="BH796" s="108"/>
      <c r="BI796" s="108"/>
      <c r="BJ796" s="108"/>
      <c r="BK796" s="108"/>
      <c r="BL796" s="108"/>
      <c r="BM796" s="109"/>
      <c r="BN796" s="108"/>
      <c r="BO796" s="108"/>
      <c r="BP796" s="108"/>
    </row>
    <row r="797" spans="1:68" ht="12" customHeight="1" x14ac:dyDescent="0.2">
      <c r="A797" s="179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  <c r="BC797" s="108"/>
      <c r="BD797" s="108"/>
      <c r="BE797" s="108"/>
      <c r="BF797" s="108"/>
      <c r="BG797" s="108"/>
      <c r="BH797" s="108"/>
      <c r="BI797" s="108"/>
      <c r="BJ797" s="108"/>
      <c r="BK797" s="108"/>
      <c r="BL797" s="108"/>
      <c r="BM797" s="109"/>
      <c r="BN797" s="108"/>
      <c r="BO797" s="108"/>
      <c r="BP797" s="108"/>
    </row>
    <row r="798" spans="1:68" ht="12" customHeight="1" x14ac:dyDescent="0.2">
      <c r="A798" s="179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  <c r="BC798" s="108"/>
      <c r="BD798" s="108"/>
      <c r="BE798" s="108"/>
      <c r="BF798" s="108"/>
      <c r="BG798" s="108"/>
      <c r="BH798" s="108"/>
      <c r="BI798" s="108"/>
      <c r="BJ798" s="108"/>
      <c r="BK798" s="108"/>
      <c r="BL798" s="108"/>
      <c r="BM798" s="109"/>
      <c r="BN798" s="108"/>
      <c r="BO798" s="108"/>
      <c r="BP798" s="108"/>
    </row>
    <row r="799" spans="1:68" ht="12" customHeight="1" x14ac:dyDescent="0.2">
      <c r="A799" s="179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  <c r="BC799" s="108"/>
      <c r="BD799" s="108"/>
      <c r="BE799" s="108"/>
      <c r="BF799" s="108"/>
      <c r="BG799" s="108"/>
      <c r="BH799" s="108"/>
      <c r="BI799" s="108"/>
      <c r="BJ799" s="108"/>
      <c r="BK799" s="108"/>
      <c r="BL799" s="108"/>
      <c r="BM799" s="109"/>
      <c r="BN799" s="108"/>
      <c r="BO799" s="108"/>
      <c r="BP799" s="108"/>
    </row>
    <row r="800" spans="1:68" ht="12" customHeight="1" x14ac:dyDescent="0.2">
      <c r="A800" s="179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  <c r="BC800" s="108"/>
      <c r="BD800" s="108"/>
      <c r="BE800" s="108"/>
      <c r="BF800" s="108"/>
      <c r="BG800" s="108"/>
      <c r="BH800" s="108"/>
      <c r="BI800" s="108"/>
      <c r="BJ800" s="108"/>
      <c r="BK800" s="108"/>
      <c r="BL800" s="108"/>
      <c r="BM800" s="109"/>
      <c r="BN800" s="108"/>
      <c r="BO800" s="108"/>
      <c r="BP800" s="108"/>
    </row>
    <row r="801" spans="1:68" ht="12" customHeight="1" x14ac:dyDescent="0.2">
      <c r="A801" s="179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  <c r="BD801" s="108"/>
      <c r="BE801" s="108"/>
      <c r="BF801" s="108"/>
      <c r="BG801" s="108"/>
      <c r="BH801" s="108"/>
      <c r="BI801" s="108"/>
      <c r="BJ801" s="108"/>
      <c r="BK801" s="108"/>
      <c r="BL801" s="108"/>
      <c r="BM801" s="109"/>
      <c r="BN801" s="108"/>
      <c r="BO801" s="108"/>
      <c r="BP801" s="108"/>
    </row>
    <row r="802" spans="1:68" ht="12" customHeight="1" x14ac:dyDescent="0.2">
      <c r="A802" s="179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  <c r="BC802" s="108"/>
      <c r="BD802" s="108"/>
      <c r="BE802" s="108"/>
      <c r="BF802" s="108"/>
      <c r="BG802" s="108"/>
      <c r="BH802" s="108"/>
      <c r="BI802" s="108"/>
      <c r="BJ802" s="108"/>
      <c r="BK802" s="108"/>
      <c r="BL802" s="108"/>
      <c r="BM802" s="109"/>
      <c r="BN802" s="108"/>
      <c r="BO802" s="108"/>
      <c r="BP802" s="108"/>
    </row>
    <row r="803" spans="1:68" ht="12" customHeight="1" x14ac:dyDescent="0.2">
      <c r="A803" s="179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  <c r="BC803" s="108"/>
      <c r="BD803" s="108"/>
      <c r="BE803" s="108"/>
      <c r="BF803" s="108"/>
      <c r="BG803" s="108"/>
      <c r="BH803" s="108"/>
      <c r="BI803" s="108"/>
      <c r="BJ803" s="108"/>
      <c r="BK803" s="108"/>
      <c r="BL803" s="108"/>
      <c r="BM803" s="109"/>
      <c r="BN803" s="108"/>
      <c r="BO803" s="108"/>
      <c r="BP803" s="108"/>
    </row>
    <row r="804" spans="1:68" ht="12" customHeight="1" x14ac:dyDescent="0.2">
      <c r="A804" s="179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  <c r="BC804" s="108"/>
      <c r="BD804" s="108"/>
      <c r="BE804" s="108"/>
      <c r="BF804" s="108"/>
      <c r="BG804" s="108"/>
      <c r="BH804" s="108"/>
      <c r="BI804" s="108"/>
      <c r="BJ804" s="108"/>
      <c r="BK804" s="108"/>
      <c r="BL804" s="108"/>
      <c r="BM804" s="109"/>
      <c r="BN804" s="108"/>
      <c r="BO804" s="108"/>
      <c r="BP804" s="108"/>
    </row>
    <row r="805" spans="1:68" ht="12" customHeight="1" x14ac:dyDescent="0.2">
      <c r="A805" s="179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  <c r="BC805" s="108"/>
      <c r="BD805" s="108"/>
      <c r="BE805" s="108"/>
      <c r="BF805" s="108"/>
      <c r="BG805" s="108"/>
      <c r="BH805" s="108"/>
      <c r="BI805" s="108"/>
      <c r="BJ805" s="108"/>
      <c r="BK805" s="108"/>
      <c r="BL805" s="108"/>
      <c r="BM805" s="109"/>
      <c r="BN805" s="108"/>
      <c r="BO805" s="108"/>
      <c r="BP805" s="108"/>
    </row>
    <row r="806" spans="1:68" ht="12" customHeight="1" x14ac:dyDescent="0.2">
      <c r="A806" s="179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  <c r="BC806" s="108"/>
      <c r="BD806" s="108"/>
      <c r="BE806" s="108"/>
      <c r="BF806" s="108"/>
      <c r="BG806" s="108"/>
      <c r="BH806" s="108"/>
      <c r="BI806" s="108"/>
      <c r="BJ806" s="108"/>
      <c r="BK806" s="108"/>
      <c r="BL806" s="108"/>
      <c r="BM806" s="109"/>
      <c r="BN806" s="108"/>
      <c r="BO806" s="108"/>
      <c r="BP806" s="108"/>
    </row>
    <row r="807" spans="1:68" ht="12" customHeight="1" x14ac:dyDescent="0.2">
      <c r="A807" s="179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  <c r="BC807" s="108"/>
      <c r="BD807" s="108"/>
      <c r="BE807" s="108"/>
      <c r="BF807" s="108"/>
      <c r="BG807" s="108"/>
      <c r="BH807" s="108"/>
      <c r="BI807" s="108"/>
      <c r="BJ807" s="108"/>
      <c r="BK807" s="108"/>
      <c r="BL807" s="108"/>
      <c r="BM807" s="109"/>
      <c r="BN807" s="108"/>
      <c r="BO807" s="108"/>
      <c r="BP807" s="108"/>
    </row>
    <row r="808" spans="1:68" ht="12" customHeight="1" x14ac:dyDescent="0.2">
      <c r="A808" s="179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  <c r="BC808" s="108"/>
      <c r="BD808" s="108"/>
      <c r="BE808" s="108"/>
      <c r="BF808" s="108"/>
      <c r="BG808" s="108"/>
      <c r="BH808" s="108"/>
      <c r="BI808" s="108"/>
      <c r="BJ808" s="108"/>
      <c r="BK808" s="108"/>
      <c r="BL808" s="108"/>
      <c r="BM808" s="109"/>
      <c r="BN808" s="108"/>
      <c r="BO808" s="108"/>
      <c r="BP808" s="108"/>
    </row>
    <row r="809" spans="1:68" ht="12" customHeight="1" x14ac:dyDescent="0.2">
      <c r="A809" s="179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  <c r="BC809" s="108"/>
      <c r="BD809" s="108"/>
      <c r="BE809" s="108"/>
      <c r="BF809" s="108"/>
      <c r="BG809" s="108"/>
      <c r="BH809" s="108"/>
      <c r="BI809" s="108"/>
      <c r="BJ809" s="108"/>
      <c r="BK809" s="108"/>
      <c r="BL809" s="108"/>
      <c r="BM809" s="109"/>
      <c r="BN809" s="108"/>
      <c r="BO809" s="108"/>
      <c r="BP809" s="108"/>
    </row>
    <row r="810" spans="1:68" ht="12" customHeight="1" x14ac:dyDescent="0.2">
      <c r="A810" s="179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  <c r="BC810" s="108"/>
      <c r="BD810" s="108"/>
      <c r="BE810" s="108"/>
      <c r="BF810" s="108"/>
      <c r="BG810" s="108"/>
      <c r="BH810" s="108"/>
      <c r="BI810" s="108"/>
      <c r="BJ810" s="108"/>
      <c r="BK810" s="108"/>
      <c r="BL810" s="108"/>
      <c r="BM810" s="109"/>
      <c r="BN810" s="108"/>
      <c r="BO810" s="108"/>
      <c r="BP810" s="108"/>
    </row>
    <row r="811" spans="1:68" ht="12" customHeight="1" x14ac:dyDescent="0.2">
      <c r="A811" s="179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  <c r="BC811" s="108"/>
      <c r="BD811" s="108"/>
      <c r="BE811" s="108"/>
      <c r="BF811" s="108"/>
      <c r="BG811" s="108"/>
      <c r="BH811" s="108"/>
      <c r="BI811" s="108"/>
      <c r="BJ811" s="108"/>
      <c r="BK811" s="108"/>
      <c r="BL811" s="108"/>
      <c r="BM811" s="109"/>
      <c r="BN811" s="108"/>
      <c r="BO811" s="108"/>
      <c r="BP811" s="108"/>
    </row>
    <row r="812" spans="1:68" ht="12" customHeight="1" x14ac:dyDescent="0.2">
      <c r="A812" s="179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  <c r="BC812" s="108"/>
      <c r="BD812" s="108"/>
      <c r="BE812" s="108"/>
      <c r="BF812" s="108"/>
      <c r="BG812" s="108"/>
      <c r="BH812" s="108"/>
      <c r="BI812" s="108"/>
      <c r="BJ812" s="108"/>
      <c r="BK812" s="108"/>
      <c r="BL812" s="108"/>
      <c r="BM812" s="109"/>
      <c r="BN812" s="108"/>
      <c r="BO812" s="108"/>
      <c r="BP812" s="108"/>
    </row>
    <row r="813" spans="1:68" ht="12" customHeight="1" x14ac:dyDescent="0.2">
      <c r="A813" s="179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  <c r="BC813" s="108"/>
      <c r="BD813" s="108"/>
      <c r="BE813" s="108"/>
      <c r="BF813" s="108"/>
      <c r="BG813" s="108"/>
      <c r="BH813" s="108"/>
      <c r="BI813" s="108"/>
      <c r="BJ813" s="108"/>
      <c r="BK813" s="108"/>
      <c r="BL813" s="108"/>
      <c r="BM813" s="109"/>
      <c r="BN813" s="108"/>
      <c r="BO813" s="108"/>
      <c r="BP813" s="108"/>
    </row>
    <row r="814" spans="1:68" ht="12" customHeight="1" x14ac:dyDescent="0.2">
      <c r="A814" s="179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  <c r="BC814" s="108"/>
      <c r="BD814" s="108"/>
      <c r="BE814" s="108"/>
      <c r="BF814" s="108"/>
      <c r="BG814" s="108"/>
      <c r="BH814" s="108"/>
      <c r="BI814" s="108"/>
      <c r="BJ814" s="108"/>
      <c r="BK814" s="108"/>
      <c r="BL814" s="108"/>
      <c r="BM814" s="109"/>
      <c r="BN814" s="108"/>
      <c r="BO814" s="108"/>
      <c r="BP814" s="108"/>
    </row>
    <row r="815" spans="1:68" ht="12" customHeight="1" x14ac:dyDescent="0.2">
      <c r="A815" s="179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  <c r="BC815" s="108"/>
      <c r="BD815" s="108"/>
      <c r="BE815" s="108"/>
      <c r="BF815" s="108"/>
      <c r="BG815" s="108"/>
      <c r="BH815" s="108"/>
      <c r="BI815" s="108"/>
      <c r="BJ815" s="108"/>
      <c r="BK815" s="108"/>
      <c r="BL815" s="108"/>
      <c r="BM815" s="109"/>
      <c r="BN815" s="108"/>
      <c r="BO815" s="108"/>
      <c r="BP815" s="108"/>
    </row>
    <row r="816" spans="1:68" ht="12" customHeight="1" x14ac:dyDescent="0.2">
      <c r="A816" s="179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  <c r="BC816" s="108"/>
      <c r="BD816" s="108"/>
      <c r="BE816" s="108"/>
      <c r="BF816" s="108"/>
      <c r="BG816" s="108"/>
      <c r="BH816" s="108"/>
      <c r="BI816" s="108"/>
      <c r="BJ816" s="108"/>
      <c r="BK816" s="108"/>
      <c r="BL816" s="108"/>
      <c r="BM816" s="109"/>
      <c r="BN816" s="108"/>
      <c r="BO816" s="108"/>
      <c r="BP816" s="108"/>
    </row>
    <row r="817" spans="1:68" ht="12" customHeight="1" x14ac:dyDescent="0.2">
      <c r="A817" s="179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  <c r="BC817" s="108"/>
      <c r="BD817" s="108"/>
      <c r="BE817" s="108"/>
      <c r="BF817" s="108"/>
      <c r="BG817" s="108"/>
      <c r="BH817" s="108"/>
      <c r="BI817" s="108"/>
      <c r="BJ817" s="108"/>
      <c r="BK817" s="108"/>
      <c r="BL817" s="108"/>
      <c r="BM817" s="109"/>
      <c r="BN817" s="108"/>
      <c r="BO817" s="108"/>
      <c r="BP817" s="108"/>
    </row>
    <row r="818" spans="1:68" ht="12" customHeight="1" x14ac:dyDescent="0.2">
      <c r="A818" s="179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  <c r="BC818" s="108"/>
      <c r="BD818" s="108"/>
      <c r="BE818" s="108"/>
      <c r="BF818" s="108"/>
      <c r="BG818" s="108"/>
      <c r="BH818" s="108"/>
      <c r="BI818" s="108"/>
      <c r="BJ818" s="108"/>
      <c r="BK818" s="108"/>
      <c r="BL818" s="108"/>
      <c r="BM818" s="109"/>
      <c r="BN818" s="108"/>
      <c r="BO818" s="108"/>
      <c r="BP818" s="108"/>
    </row>
    <row r="819" spans="1:68" ht="12" customHeight="1" x14ac:dyDescent="0.2">
      <c r="A819" s="179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  <c r="BC819" s="108"/>
      <c r="BD819" s="108"/>
      <c r="BE819" s="108"/>
      <c r="BF819" s="108"/>
      <c r="BG819" s="108"/>
      <c r="BH819" s="108"/>
      <c r="BI819" s="108"/>
      <c r="BJ819" s="108"/>
      <c r="BK819" s="108"/>
      <c r="BL819" s="108"/>
      <c r="BM819" s="109"/>
      <c r="BN819" s="108"/>
      <c r="BO819" s="108"/>
      <c r="BP819" s="108"/>
    </row>
    <row r="820" spans="1:68" ht="12" customHeight="1" x14ac:dyDescent="0.2">
      <c r="A820" s="179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  <c r="BC820" s="108"/>
      <c r="BD820" s="108"/>
      <c r="BE820" s="108"/>
      <c r="BF820" s="108"/>
      <c r="BG820" s="108"/>
      <c r="BH820" s="108"/>
      <c r="BI820" s="108"/>
      <c r="BJ820" s="108"/>
      <c r="BK820" s="108"/>
      <c r="BL820" s="108"/>
      <c r="BM820" s="109"/>
      <c r="BN820" s="108"/>
      <c r="BO820" s="108"/>
      <c r="BP820" s="108"/>
    </row>
    <row r="821" spans="1:68" ht="12" customHeight="1" x14ac:dyDescent="0.2">
      <c r="A821" s="179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9"/>
      <c r="BN821" s="108"/>
      <c r="BO821" s="108"/>
      <c r="BP821" s="108"/>
    </row>
    <row r="822" spans="1:68" ht="12" customHeight="1" x14ac:dyDescent="0.2">
      <c r="A822" s="179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  <c r="BC822" s="108"/>
      <c r="BD822" s="108"/>
      <c r="BE822" s="108"/>
      <c r="BF822" s="108"/>
      <c r="BG822" s="108"/>
      <c r="BH822" s="108"/>
      <c r="BI822" s="108"/>
      <c r="BJ822" s="108"/>
      <c r="BK822" s="108"/>
      <c r="BL822" s="108"/>
      <c r="BM822" s="109"/>
      <c r="BN822" s="108"/>
      <c r="BO822" s="108"/>
      <c r="BP822" s="108"/>
    </row>
    <row r="823" spans="1:68" ht="12" customHeight="1" x14ac:dyDescent="0.2">
      <c r="A823" s="179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  <c r="BC823" s="108"/>
      <c r="BD823" s="108"/>
      <c r="BE823" s="108"/>
      <c r="BF823" s="108"/>
      <c r="BG823" s="108"/>
      <c r="BH823" s="108"/>
      <c r="BI823" s="108"/>
      <c r="BJ823" s="108"/>
      <c r="BK823" s="108"/>
      <c r="BL823" s="108"/>
      <c r="BM823" s="109"/>
      <c r="BN823" s="108"/>
      <c r="BO823" s="108"/>
      <c r="BP823" s="108"/>
    </row>
    <row r="824" spans="1:68" ht="12" customHeight="1" x14ac:dyDescent="0.2">
      <c r="A824" s="179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9"/>
      <c r="BN824" s="108"/>
      <c r="BO824" s="108"/>
      <c r="BP824" s="108"/>
    </row>
    <row r="825" spans="1:68" ht="12" customHeight="1" x14ac:dyDescent="0.2">
      <c r="A825" s="179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  <c r="BC825" s="108"/>
      <c r="BD825" s="108"/>
      <c r="BE825" s="108"/>
      <c r="BF825" s="108"/>
      <c r="BG825" s="108"/>
      <c r="BH825" s="108"/>
      <c r="BI825" s="108"/>
      <c r="BJ825" s="108"/>
      <c r="BK825" s="108"/>
      <c r="BL825" s="108"/>
      <c r="BM825" s="109"/>
      <c r="BN825" s="108"/>
      <c r="BO825" s="108"/>
      <c r="BP825" s="108"/>
    </row>
    <row r="826" spans="1:68" ht="12" customHeight="1" x14ac:dyDescent="0.2">
      <c r="A826" s="179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  <c r="BC826" s="108"/>
      <c r="BD826" s="108"/>
      <c r="BE826" s="108"/>
      <c r="BF826" s="108"/>
      <c r="BG826" s="108"/>
      <c r="BH826" s="108"/>
      <c r="BI826" s="108"/>
      <c r="BJ826" s="108"/>
      <c r="BK826" s="108"/>
      <c r="BL826" s="108"/>
      <c r="BM826" s="109"/>
      <c r="BN826" s="108"/>
      <c r="BO826" s="108"/>
      <c r="BP826" s="108"/>
    </row>
    <row r="827" spans="1:68" ht="12" customHeight="1" x14ac:dyDescent="0.2">
      <c r="A827" s="179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  <c r="BC827" s="108"/>
      <c r="BD827" s="108"/>
      <c r="BE827" s="108"/>
      <c r="BF827" s="108"/>
      <c r="BG827" s="108"/>
      <c r="BH827" s="108"/>
      <c r="BI827" s="108"/>
      <c r="BJ827" s="108"/>
      <c r="BK827" s="108"/>
      <c r="BL827" s="108"/>
      <c r="BM827" s="109"/>
      <c r="BN827" s="108"/>
      <c r="BO827" s="108"/>
      <c r="BP827" s="108"/>
    </row>
    <row r="828" spans="1:68" ht="12" customHeight="1" x14ac:dyDescent="0.2">
      <c r="A828" s="179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  <c r="BC828" s="108"/>
      <c r="BD828" s="108"/>
      <c r="BE828" s="108"/>
      <c r="BF828" s="108"/>
      <c r="BG828" s="108"/>
      <c r="BH828" s="108"/>
      <c r="BI828" s="108"/>
      <c r="BJ828" s="108"/>
      <c r="BK828" s="108"/>
      <c r="BL828" s="108"/>
      <c r="BM828" s="109"/>
      <c r="BN828" s="108"/>
      <c r="BO828" s="108"/>
      <c r="BP828" s="108"/>
    </row>
    <row r="829" spans="1:68" ht="12" customHeight="1" x14ac:dyDescent="0.2">
      <c r="A829" s="179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  <c r="BC829" s="108"/>
      <c r="BD829" s="108"/>
      <c r="BE829" s="108"/>
      <c r="BF829" s="108"/>
      <c r="BG829" s="108"/>
      <c r="BH829" s="108"/>
      <c r="BI829" s="108"/>
      <c r="BJ829" s="108"/>
      <c r="BK829" s="108"/>
      <c r="BL829" s="108"/>
      <c r="BM829" s="109"/>
      <c r="BN829" s="108"/>
      <c r="BO829" s="108"/>
      <c r="BP829" s="108"/>
    </row>
    <row r="830" spans="1:68" ht="12" customHeight="1" x14ac:dyDescent="0.2">
      <c r="A830" s="179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  <c r="BC830" s="108"/>
      <c r="BD830" s="108"/>
      <c r="BE830" s="108"/>
      <c r="BF830" s="108"/>
      <c r="BG830" s="108"/>
      <c r="BH830" s="108"/>
      <c r="BI830" s="108"/>
      <c r="BJ830" s="108"/>
      <c r="BK830" s="108"/>
      <c r="BL830" s="108"/>
      <c r="BM830" s="109"/>
      <c r="BN830" s="108"/>
      <c r="BO830" s="108"/>
      <c r="BP830" s="108"/>
    </row>
    <row r="831" spans="1:68" ht="12" customHeight="1" x14ac:dyDescent="0.2">
      <c r="A831" s="179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  <c r="BC831" s="108"/>
      <c r="BD831" s="108"/>
      <c r="BE831" s="108"/>
      <c r="BF831" s="108"/>
      <c r="BG831" s="108"/>
      <c r="BH831" s="108"/>
      <c r="BI831" s="108"/>
      <c r="BJ831" s="108"/>
      <c r="BK831" s="108"/>
      <c r="BL831" s="108"/>
      <c r="BM831" s="109"/>
      <c r="BN831" s="108"/>
      <c r="BO831" s="108"/>
      <c r="BP831" s="108"/>
    </row>
    <row r="832" spans="1:68" ht="12" customHeight="1" x14ac:dyDescent="0.2">
      <c r="A832" s="179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  <c r="BC832" s="108"/>
      <c r="BD832" s="108"/>
      <c r="BE832" s="108"/>
      <c r="BF832" s="108"/>
      <c r="BG832" s="108"/>
      <c r="BH832" s="108"/>
      <c r="BI832" s="108"/>
      <c r="BJ832" s="108"/>
      <c r="BK832" s="108"/>
      <c r="BL832" s="108"/>
      <c r="BM832" s="109"/>
      <c r="BN832" s="108"/>
      <c r="BO832" s="108"/>
      <c r="BP832" s="108"/>
    </row>
    <row r="833" spans="1:68" ht="12" customHeight="1" x14ac:dyDescent="0.2">
      <c r="A833" s="179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  <c r="BC833" s="108"/>
      <c r="BD833" s="108"/>
      <c r="BE833" s="108"/>
      <c r="BF833" s="108"/>
      <c r="BG833" s="108"/>
      <c r="BH833" s="108"/>
      <c r="BI833" s="108"/>
      <c r="BJ833" s="108"/>
      <c r="BK833" s="108"/>
      <c r="BL833" s="108"/>
      <c r="BM833" s="109"/>
      <c r="BN833" s="108"/>
      <c r="BO833" s="108"/>
      <c r="BP833" s="108"/>
    </row>
    <row r="834" spans="1:68" ht="12" customHeight="1" x14ac:dyDescent="0.2">
      <c r="A834" s="179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  <c r="BC834" s="108"/>
      <c r="BD834" s="108"/>
      <c r="BE834" s="108"/>
      <c r="BF834" s="108"/>
      <c r="BG834" s="108"/>
      <c r="BH834" s="108"/>
      <c r="BI834" s="108"/>
      <c r="BJ834" s="108"/>
      <c r="BK834" s="108"/>
      <c r="BL834" s="108"/>
      <c r="BM834" s="109"/>
      <c r="BN834" s="108"/>
      <c r="BO834" s="108"/>
      <c r="BP834" s="108"/>
    </row>
    <row r="835" spans="1:68" ht="12" customHeight="1" x14ac:dyDescent="0.2">
      <c r="A835" s="179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  <c r="BC835" s="108"/>
      <c r="BD835" s="108"/>
      <c r="BE835" s="108"/>
      <c r="BF835" s="108"/>
      <c r="BG835" s="108"/>
      <c r="BH835" s="108"/>
      <c r="BI835" s="108"/>
      <c r="BJ835" s="108"/>
      <c r="BK835" s="108"/>
      <c r="BL835" s="108"/>
      <c r="BM835" s="109"/>
      <c r="BN835" s="108"/>
      <c r="BO835" s="108"/>
      <c r="BP835" s="108"/>
    </row>
    <row r="836" spans="1:68" ht="12" customHeight="1" x14ac:dyDescent="0.2">
      <c r="A836" s="179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  <c r="BC836" s="108"/>
      <c r="BD836" s="108"/>
      <c r="BE836" s="108"/>
      <c r="BF836" s="108"/>
      <c r="BG836" s="108"/>
      <c r="BH836" s="108"/>
      <c r="BI836" s="108"/>
      <c r="BJ836" s="108"/>
      <c r="BK836" s="108"/>
      <c r="BL836" s="108"/>
      <c r="BM836" s="109"/>
      <c r="BN836" s="108"/>
      <c r="BO836" s="108"/>
      <c r="BP836" s="108"/>
    </row>
    <row r="837" spans="1:68" ht="12" customHeight="1" x14ac:dyDescent="0.2">
      <c r="A837" s="179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  <c r="BC837" s="108"/>
      <c r="BD837" s="108"/>
      <c r="BE837" s="108"/>
      <c r="BF837" s="108"/>
      <c r="BG837" s="108"/>
      <c r="BH837" s="108"/>
      <c r="BI837" s="108"/>
      <c r="BJ837" s="108"/>
      <c r="BK837" s="108"/>
      <c r="BL837" s="108"/>
      <c r="BM837" s="109"/>
      <c r="BN837" s="108"/>
      <c r="BO837" s="108"/>
      <c r="BP837" s="108"/>
    </row>
    <row r="838" spans="1:68" ht="12" customHeight="1" x14ac:dyDescent="0.2">
      <c r="A838" s="179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  <c r="BC838" s="108"/>
      <c r="BD838" s="108"/>
      <c r="BE838" s="108"/>
      <c r="BF838" s="108"/>
      <c r="BG838" s="108"/>
      <c r="BH838" s="108"/>
      <c r="BI838" s="108"/>
      <c r="BJ838" s="108"/>
      <c r="BK838" s="108"/>
      <c r="BL838" s="108"/>
      <c r="BM838" s="109"/>
      <c r="BN838" s="108"/>
      <c r="BO838" s="108"/>
      <c r="BP838" s="108"/>
    </row>
    <row r="839" spans="1:68" ht="12" customHeight="1" x14ac:dyDescent="0.2">
      <c r="A839" s="179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  <c r="BC839" s="108"/>
      <c r="BD839" s="108"/>
      <c r="BE839" s="108"/>
      <c r="BF839" s="108"/>
      <c r="BG839" s="108"/>
      <c r="BH839" s="108"/>
      <c r="BI839" s="108"/>
      <c r="BJ839" s="108"/>
      <c r="BK839" s="108"/>
      <c r="BL839" s="108"/>
      <c r="BM839" s="109"/>
      <c r="BN839" s="108"/>
      <c r="BO839" s="108"/>
      <c r="BP839" s="108"/>
    </row>
    <row r="840" spans="1:68" ht="12" customHeight="1" x14ac:dyDescent="0.2">
      <c r="A840" s="179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  <c r="BC840" s="108"/>
      <c r="BD840" s="108"/>
      <c r="BE840" s="108"/>
      <c r="BF840" s="108"/>
      <c r="BG840" s="108"/>
      <c r="BH840" s="108"/>
      <c r="BI840" s="108"/>
      <c r="BJ840" s="108"/>
      <c r="BK840" s="108"/>
      <c r="BL840" s="108"/>
      <c r="BM840" s="109"/>
      <c r="BN840" s="108"/>
      <c r="BO840" s="108"/>
      <c r="BP840" s="108"/>
    </row>
    <row r="841" spans="1:68" ht="12" customHeight="1" x14ac:dyDescent="0.2">
      <c r="A841" s="179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  <c r="BC841" s="108"/>
      <c r="BD841" s="108"/>
      <c r="BE841" s="108"/>
      <c r="BF841" s="108"/>
      <c r="BG841" s="108"/>
      <c r="BH841" s="108"/>
      <c r="BI841" s="108"/>
      <c r="BJ841" s="108"/>
      <c r="BK841" s="108"/>
      <c r="BL841" s="108"/>
      <c r="BM841" s="109"/>
      <c r="BN841" s="108"/>
      <c r="BO841" s="108"/>
      <c r="BP841" s="108"/>
    </row>
    <row r="842" spans="1:68" ht="12" customHeight="1" x14ac:dyDescent="0.2">
      <c r="A842" s="179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  <c r="BC842" s="108"/>
      <c r="BD842" s="108"/>
      <c r="BE842" s="108"/>
      <c r="BF842" s="108"/>
      <c r="BG842" s="108"/>
      <c r="BH842" s="108"/>
      <c r="BI842" s="108"/>
      <c r="BJ842" s="108"/>
      <c r="BK842" s="108"/>
      <c r="BL842" s="108"/>
      <c r="BM842" s="109"/>
      <c r="BN842" s="108"/>
      <c r="BO842" s="108"/>
      <c r="BP842" s="108"/>
    </row>
    <row r="843" spans="1:68" ht="12" customHeight="1" x14ac:dyDescent="0.2">
      <c r="A843" s="179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  <c r="BC843" s="108"/>
      <c r="BD843" s="108"/>
      <c r="BE843" s="108"/>
      <c r="BF843" s="108"/>
      <c r="BG843" s="108"/>
      <c r="BH843" s="108"/>
      <c r="BI843" s="108"/>
      <c r="BJ843" s="108"/>
      <c r="BK843" s="108"/>
      <c r="BL843" s="108"/>
      <c r="BM843" s="109"/>
      <c r="BN843" s="108"/>
      <c r="BO843" s="108"/>
      <c r="BP843" s="108"/>
    </row>
    <row r="844" spans="1:68" ht="12" customHeight="1" x14ac:dyDescent="0.2">
      <c r="A844" s="179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  <c r="BC844" s="108"/>
      <c r="BD844" s="108"/>
      <c r="BE844" s="108"/>
      <c r="BF844" s="108"/>
      <c r="BG844" s="108"/>
      <c r="BH844" s="108"/>
      <c r="BI844" s="108"/>
      <c r="BJ844" s="108"/>
      <c r="BK844" s="108"/>
      <c r="BL844" s="108"/>
      <c r="BM844" s="109"/>
      <c r="BN844" s="108"/>
      <c r="BO844" s="108"/>
      <c r="BP844" s="108"/>
    </row>
    <row r="845" spans="1:68" ht="12" customHeight="1" x14ac:dyDescent="0.2">
      <c r="A845" s="179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  <c r="BC845" s="108"/>
      <c r="BD845" s="108"/>
      <c r="BE845" s="108"/>
      <c r="BF845" s="108"/>
      <c r="BG845" s="108"/>
      <c r="BH845" s="108"/>
      <c r="BI845" s="108"/>
      <c r="BJ845" s="108"/>
      <c r="BK845" s="108"/>
      <c r="BL845" s="108"/>
      <c r="BM845" s="109"/>
      <c r="BN845" s="108"/>
      <c r="BO845" s="108"/>
      <c r="BP845" s="108"/>
    </row>
    <row r="846" spans="1:68" ht="12" customHeight="1" x14ac:dyDescent="0.2">
      <c r="A846" s="179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  <c r="BC846" s="108"/>
      <c r="BD846" s="108"/>
      <c r="BE846" s="108"/>
      <c r="BF846" s="108"/>
      <c r="BG846" s="108"/>
      <c r="BH846" s="108"/>
      <c r="BI846" s="108"/>
      <c r="BJ846" s="108"/>
      <c r="BK846" s="108"/>
      <c r="BL846" s="108"/>
      <c r="BM846" s="109"/>
      <c r="BN846" s="108"/>
      <c r="BO846" s="108"/>
      <c r="BP846" s="108"/>
    </row>
    <row r="847" spans="1:68" ht="12" customHeight="1" x14ac:dyDescent="0.2">
      <c r="A847" s="179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  <c r="BC847" s="108"/>
      <c r="BD847" s="108"/>
      <c r="BE847" s="108"/>
      <c r="BF847" s="108"/>
      <c r="BG847" s="108"/>
      <c r="BH847" s="108"/>
      <c r="BI847" s="108"/>
      <c r="BJ847" s="108"/>
      <c r="BK847" s="108"/>
      <c r="BL847" s="108"/>
      <c r="BM847" s="109"/>
      <c r="BN847" s="108"/>
      <c r="BO847" s="108"/>
      <c r="BP847" s="108"/>
    </row>
    <row r="848" spans="1:68" ht="12" customHeight="1" x14ac:dyDescent="0.2">
      <c r="A848" s="179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  <c r="BC848" s="108"/>
      <c r="BD848" s="108"/>
      <c r="BE848" s="108"/>
      <c r="BF848" s="108"/>
      <c r="BG848" s="108"/>
      <c r="BH848" s="108"/>
      <c r="BI848" s="108"/>
      <c r="BJ848" s="108"/>
      <c r="BK848" s="108"/>
      <c r="BL848" s="108"/>
      <c r="BM848" s="109"/>
      <c r="BN848" s="108"/>
      <c r="BO848" s="108"/>
      <c r="BP848" s="108"/>
    </row>
    <row r="849" spans="1:68" ht="12" customHeight="1" x14ac:dyDescent="0.2">
      <c r="A849" s="179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  <c r="BC849" s="108"/>
      <c r="BD849" s="108"/>
      <c r="BE849" s="108"/>
      <c r="BF849" s="108"/>
      <c r="BG849" s="108"/>
      <c r="BH849" s="108"/>
      <c r="BI849" s="108"/>
      <c r="BJ849" s="108"/>
      <c r="BK849" s="108"/>
      <c r="BL849" s="108"/>
      <c r="BM849" s="109"/>
      <c r="BN849" s="108"/>
      <c r="BO849" s="108"/>
      <c r="BP849" s="108"/>
    </row>
    <row r="850" spans="1:68" ht="12" customHeight="1" x14ac:dyDescent="0.2">
      <c r="A850" s="179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  <c r="BC850" s="108"/>
      <c r="BD850" s="108"/>
      <c r="BE850" s="108"/>
      <c r="BF850" s="108"/>
      <c r="BG850" s="108"/>
      <c r="BH850" s="108"/>
      <c r="BI850" s="108"/>
      <c r="BJ850" s="108"/>
      <c r="BK850" s="108"/>
      <c r="BL850" s="108"/>
      <c r="BM850" s="109"/>
      <c r="BN850" s="108"/>
      <c r="BO850" s="108"/>
      <c r="BP850" s="108"/>
    </row>
    <row r="851" spans="1:68" ht="12" customHeight="1" x14ac:dyDescent="0.2">
      <c r="A851" s="179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  <c r="BC851" s="108"/>
      <c r="BD851" s="108"/>
      <c r="BE851" s="108"/>
      <c r="BF851" s="108"/>
      <c r="BG851" s="108"/>
      <c r="BH851" s="108"/>
      <c r="BI851" s="108"/>
      <c r="BJ851" s="108"/>
      <c r="BK851" s="108"/>
      <c r="BL851" s="108"/>
      <c r="BM851" s="109"/>
      <c r="BN851" s="108"/>
      <c r="BO851" s="108"/>
      <c r="BP851" s="108"/>
    </row>
    <row r="852" spans="1:68" ht="12" customHeight="1" x14ac:dyDescent="0.2">
      <c r="A852" s="179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  <c r="BC852" s="108"/>
      <c r="BD852" s="108"/>
      <c r="BE852" s="108"/>
      <c r="BF852" s="108"/>
      <c r="BG852" s="108"/>
      <c r="BH852" s="108"/>
      <c r="BI852" s="108"/>
      <c r="BJ852" s="108"/>
      <c r="BK852" s="108"/>
      <c r="BL852" s="108"/>
      <c r="BM852" s="109"/>
      <c r="BN852" s="108"/>
      <c r="BO852" s="108"/>
      <c r="BP852" s="108"/>
    </row>
    <row r="853" spans="1:68" ht="12" customHeight="1" x14ac:dyDescent="0.2">
      <c r="A853" s="179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  <c r="BC853" s="108"/>
      <c r="BD853" s="108"/>
      <c r="BE853" s="108"/>
      <c r="BF853" s="108"/>
      <c r="BG853" s="108"/>
      <c r="BH853" s="108"/>
      <c r="BI853" s="108"/>
      <c r="BJ853" s="108"/>
      <c r="BK853" s="108"/>
      <c r="BL853" s="108"/>
      <c r="BM853" s="109"/>
      <c r="BN853" s="108"/>
      <c r="BO853" s="108"/>
      <c r="BP853" s="108"/>
    </row>
    <row r="854" spans="1:68" ht="12" customHeight="1" x14ac:dyDescent="0.2">
      <c r="A854" s="179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08"/>
      <c r="BD854" s="108"/>
      <c r="BE854" s="108"/>
      <c r="BF854" s="108"/>
      <c r="BG854" s="108"/>
      <c r="BH854" s="108"/>
      <c r="BI854" s="108"/>
      <c r="BJ854" s="108"/>
      <c r="BK854" s="108"/>
      <c r="BL854" s="108"/>
      <c r="BM854" s="109"/>
      <c r="BN854" s="108"/>
      <c r="BO854" s="108"/>
      <c r="BP854" s="108"/>
    </row>
    <row r="855" spans="1:68" ht="12" customHeight="1" x14ac:dyDescent="0.2">
      <c r="A855" s="179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  <c r="BC855" s="108"/>
      <c r="BD855" s="108"/>
      <c r="BE855" s="108"/>
      <c r="BF855" s="108"/>
      <c r="BG855" s="108"/>
      <c r="BH855" s="108"/>
      <c r="BI855" s="108"/>
      <c r="BJ855" s="108"/>
      <c r="BK855" s="108"/>
      <c r="BL855" s="108"/>
      <c r="BM855" s="109"/>
      <c r="BN855" s="108"/>
      <c r="BO855" s="108"/>
      <c r="BP855" s="108"/>
    </row>
    <row r="856" spans="1:68" ht="12" customHeight="1" x14ac:dyDescent="0.2">
      <c r="A856" s="179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  <c r="BC856" s="108"/>
      <c r="BD856" s="108"/>
      <c r="BE856" s="108"/>
      <c r="BF856" s="108"/>
      <c r="BG856" s="108"/>
      <c r="BH856" s="108"/>
      <c r="BI856" s="108"/>
      <c r="BJ856" s="108"/>
      <c r="BK856" s="108"/>
      <c r="BL856" s="108"/>
      <c r="BM856" s="109"/>
      <c r="BN856" s="108"/>
      <c r="BO856" s="108"/>
      <c r="BP856" s="108"/>
    </row>
    <row r="857" spans="1:68" ht="12" customHeight="1" x14ac:dyDescent="0.2">
      <c r="A857" s="179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  <c r="BC857" s="108"/>
      <c r="BD857" s="108"/>
      <c r="BE857" s="108"/>
      <c r="BF857" s="108"/>
      <c r="BG857" s="108"/>
      <c r="BH857" s="108"/>
      <c r="BI857" s="108"/>
      <c r="BJ857" s="108"/>
      <c r="BK857" s="108"/>
      <c r="BL857" s="108"/>
      <c r="BM857" s="109"/>
      <c r="BN857" s="108"/>
      <c r="BO857" s="108"/>
      <c r="BP857" s="108"/>
    </row>
    <row r="858" spans="1:68" ht="12" customHeight="1" x14ac:dyDescent="0.2">
      <c r="A858" s="179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  <c r="BC858" s="108"/>
      <c r="BD858" s="108"/>
      <c r="BE858" s="108"/>
      <c r="BF858" s="108"/>
      <c r="BG858" s="108"/>
      <c r="BH858" s="108"/>
      <c r="BI858" s="108"/>
      <c r="BJ858" s="108"/>
      <c r="BK858" s="108"/>
      <c r="BL858" s="108"/>
      <c r="BM858" s="109"/>
      <c r="BN858" s="108"/>
      <c r="BO858" s="108"/>
      <c r="BP858" s="108"/>
    </row>
    <row r="859" spans="1:68" ht="12" customHeight="1" x14ac:dyDescent="0.2">
      <c r="A859" s="179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9"/>
      <c r="BN859" s="108"/>
      <c r="BO859" s="108"/>
      <c r="BP859" s="108"/>
    </row>
    <row r="860" spans="1:68" ht="12" customHeight="1" x14ac:dyDescent="0.2">
      <c r="A860" s="179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  <c r="BC860" s="108"/>
      <c r="BD860" s="108"/>
      <c r="BE860" s="108"/>
      <c r="BF860" s="108"/>
      <c r="BG860" s="108"/>
      <c r="BH860" s="108"/>
      <c r="BI860" s="108"/>
      <c r="BJ860" s="108"/>
      <c r="BK860" s="108"/>
      <c r="BL860" s="108"/>
      <c r="BM860" s="109"/>
      <c r="BN860" s="108"/>
      <c r="BO860" s="108"/>
      <c r="BP860" s="108"/>
    </row>
    <row r="861" spans="1:68" ht="12" customHeight="1" x14ac:dyDescent="0.2">
      <c r="A861" s="179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  <c r="BC861" s="108"/>
      <c r="BD861" s="108"/>
      <c r="BE861" s="108"/>
      <c r="BF861" s="108"/>
      <c r="BG861" s="108"/>
      <c r="BH861" s="108"/>
      <c r="BI861" s="108"/>
      <c r="BJ861" s="108"/>
      <c r="BK861" s="108"/>
      <c r="BL861" s="108"/>
      <c r="BM861" s="109"/>
      <c r="BN861" s="108"/>
      <c r="BO861" s="108"/>
      <c r="BP861" s="108"/>
    </row>
    <row r="862" spans="1:68" ht="12" customHeight="1" x14ac:dyDescent="0.2">
      <c r="A862" s="179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9"/>
      <c r="BN862" s="108"/>
      <c r="BO862" s="108"/>
      <c r="BP862" s="108"/>
    </row>
    <row r="863" spans="1:68" ht="12" customHeight="1" x14ac:dyDescent="0.2">
      <c r="A863" s="179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  <c r="BC863" s="108"/>
      <c r="BD863" s="108"/>
      <c r="BE863" s="108"/>
      <c r="BF863" s="108"/>
      <c r="BG863" s="108"/>
      <c r="BH863" s="108"/>
      <c r="BI863" s="108"/>
      <c r="BJ863" s="108"/>
      <c r="BK863" s="108"/>
      <c r="BL863" s="108"/>
      <c r="BM863" s="109"/>
      <c r="BN863" s="108"/>
      <c r="BO863" s="108"/>
      <c r="BP863" s="108"/>
    </row>
    <row r="864" spans="1:68" ht="12" customHeight="1" x14ac:dyDescent="0.2">
      <c r="A864" s="179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  <c r="BC864" s="108"/>
      <c r="BD864" s="108"/>
      <c r="BE864" s="108"/>
      <c r="BF864" s="108"/>
      <c r="BG864" s="108"/>
      <c r="BH864" s="108"/>
      <c r="BI864" s="108"/>
      <c r="BJ864" s="108"/>
      <c r="BK864" s="108"/>
      <c r="BL864" s="108"/>
      <c r="BM864" s="109"/>
      <c r="BN864" s="108"/>
      <c r="BO864" s="108"/>
      <c r="BP864" s="108"/>
    </row>
    <row r="865" spans="1:68" ht="12" customHeight="1" x14ac:dyDescent="0.2">
      <c r="A865" s="179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  <c r="BC865" s="108"/>
      <c r="BD865" s="108"/>
      <c r="BE865" s="108"/>
      <c r="BF865" s="108"/>
      <c r="BG865" s="108"/>
      <c r="BH865" s="108"/>
      <c r="BI865" s="108"/>
      <c r="BJ865" s="108"/>
      <c r="BK865" s="108"/>
      <c r="BL865" s="108"/>
      <c r="BM865" s="109"/>
      <c r="BN865" s="108"/>
      <c r="BO865" s="108"/>
      <c r="BP865" s="108"/>
    </row>
    <row r="866" spans="1:68" ht="12" customHeight="1" x14ac:dyDescent="0.2">
      <c r="A866" s="179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  <c r="BC866" s="108"/>
      <c r="BD866" s="108"/>
      <c r="BE866" s="108"/>
      <c r="BF866" s="108"/>
      <c r="BG866" s="108"/>
      <c r="BH866" s="108"/>
      <c r="BI866" s="108"/>
      <c r="BJ866" s="108"/>
      <c r="BK866" s="108"/>
      <c r="BL866" s="108"/>
      <c r="BM866" s="109"/>
      <c r="BN866" s="108"/>
      <c r="BO866" s="108"/>
      <c r="BP866" s="108"/>
    </row>
    <row r="867" spans="1:68" ht="12" customHeight="1" x14ac:dyDescent="0.2">
      <c r="A867" s="179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  <c r="BC867" s="108"/>
      <c r="BD867" s="108"/>
      <c r="BE867" s="108"/>
      <c r="BF867" s="108"/>
      <c r="BG867" s="108"/>
      <c r="BH867" s="108"/>
      <c r="BI867" s="108"/>
      <c r="BJ867" s="108"/>
      <c r="BK867" s="108"/>
      <c r="BL867" s="108"/>
      <c r="BM867" s="109"/>
      <c r="BN867" s="108"/>
      <c r="BO867" s="108"/>
      <c r="BP867" s="108"/>
    </row>
    <row r="868" spans="1:68" ht="12" customHeight="1" x14ac:dyDescent="0.2">
      <c r="A868" s="179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  <c r="BC868" s="108"/>
      <c r="BD868" s="108"/>
      <c r="BE868" s="108"/>
      <c r="BF868" s="108"/>
      <c r="BG868" s="108"/>
      <c r="BH868" s="108"/>
      <c r="BI868" s="108"/>
      <c r="BJ868" s="108"/>
      <c r="BK868" s="108"/>
      <c r="BL868" s="108"/>
      <c r="BM868" s="109"/>
      <c r="BN868" s="108"/>
      <c r="BO868" s="108"/>
      <c r="BP868" s="108"/>
    </row>
    <row r="869" spans="1:68" ht="12" customHeight="1" x14ac:dyDescent="0.2">
      <c r="A869" s="179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  <c r="BC869" s="108"/>
      <c r="BD869" s="108"/>
      <c r="BE869" s="108"/>
      <c r="BF869" s="108"/>
      <c r="BG869" s="108"/>
      <c r="BH869" s="108"/>
      <c r="BI869" s="108"/>
      <c r="BJ869" s="108"/>
      <c r="BK869" s="108"/>
      <c r="BL869" s="108"/>
      <c r="BM869" s="109"/>
      <c r="BN869" s="108"/>
      <c r="BO869" s="108"/>
      <c r="BP869" s="108"/>
    </row>
    <row r="870" spans="1:68" ht="12" customHeight="1" x14ac:dyDescent="0.2">
      <c r="A870" s="179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  <c r="BC870" s="108"/>
      <c r="BD870" s="108"/>
      <c r="BE870" s="108"/>
      <c r="BF870" s="108"/>
      <c r="BG870" s="108"/>
      <c r="BH870" s="108"/>
      <c r="BI870" s="108"/>
      <c r="BJ870" s="108"/>
      <c r="BK870" s="108"/>
      <c r="BL870" s="108"/>
      <c r="BM870" s="109"/>
      <c r="BN870" s="108"/>
      <c r="BO870" s="108"/>
      <c r="BP870" s="108"/>
    </row>
    <row r="871" spans="1:68" ht="12" customHeight="1" x14ac:dyDescent="0.2">
      <c r="A871" s="179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  <c r="BC871" s="108"/>
      <c r="BD871" s="108"/>
      <c r="BE871" s="108"/>
      <c r="BF871" s="108"/>
      <c r="BG871" s="108"/>
      <c r="BH871" s="108"/>
      <c r="BI871" s="108"/>
      <c r="BJ871" s="108"/>
      <c r="BK871" s="108"/>
      <c r="BL871" s="108"/>
      <c r="BM871" s="109"/>
      <c r="BN871" s="108"/>
      <c r="BO871" s="108"/>
      <c r="BP871" s="108"/>
    </row>
    <row r="872" spans="1:68" ht="12" customHeight="1" x14ac:dyDescent="0.2">
      <c r="A872" s="179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  <c r="BC872" s="108"/>
      <c r="BD872" s="108"/>
      <c r="BE872" s="108"/>
      <c r="BF872" s="108"/>
      <c r="BG872" s="108"/>
      <c r="BH872" s="108"/>
      <c r="BI872" s="108"/>
      <c r="BJ872" s="108"/>
      <c r="BK872" s="108"/>
      <c r="BL872" s="108"/>
      <c r="BM872" s="109"/>
      <c r="BN872" s="108"/>
      <c r="BO872" s="108"/>
      <c r="BP872" s="108"/>
    </row>
    <row r="873" spans="1:68" ht="12" customHeight="1" x14ac:dyDescent="0.2">
      <c r="A873" s="179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  <c r="BC873" s="108"/>
      <c r="BD873" s="108"/>
      <c r="BE873" s="108"/>
      <c r="BF873" s="108"/>
      <c r="BG873" s="108"/>
      <c r="BH873" s="108"/>
      <c r="BI873" s="108"/>
      <c r="BJ873" s="108"/>
      <c r="BK873" s="108"/>
      <c r="BL873" s="108"/>
      <c r="BM873" s="109"/>
      <c r="BN873" s="108"/>
      <c r="BO873" s="108"/>
      <c r="BP873" s="108"/>
    </row>
    <row r="874" spans="1:68" ht="12" customHeight="1" x14ac:dyDescent="0.2">
      <c r="A874" s="179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  <c r="BC874" s="108"/>
      <c r="BD874" s="108"/>
      <c r="BE874" s="108"/>
      <c r="BF874" s="108"/>
      <c r="BG874" s="108"/>
      <c r="BH874" s="108"/>
      <c r="BI874" s="108"/>
      <c r="BJ874" s="108"/>
      <c r="BK874" s="108"/>
      <c r="BL874" s="108"/>
      <c r="BM874" s="109"/>
      <c r="BN874" s="108"/>
      <c r="BO874" s="108"/>
      <c r="BP874" s="108"/>
    </row>
    <row r="875" spans="1:68" ht="12" customHeight="1" x14ac:dyDescent="0.2">
      <c r="A875" s="179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  <c r="BC875" s="108"/>
      <c r="BD875" s="108"/>
      <c r="BE875" s="108"/>
      <c r="BF875" s="108"/>
      <c r="BG875" s="108"/>
      <c r="BH875" s="108"/>
      <c r="BI875" s="108"/>
      <c r="BJ875" s="108"/>
      <c r="BK875" s="108"/>
      <c r="BL875" s="108"/>
      <c r="BM875" s="109"/>
      <c r="BN875" s="108"/>
      <c r="BO875" s="108"/>
      <c r="BP875" s="108"/>
    </row>
    <row r="876" spans="1:68" ht="12" customHeight="1" x14ac:dyDescent="0.2">
      <c r="A876" s="179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  <c r="BC876" s="108"/>
      <c r="BD876" s="108"/>
      <c r="BE876" s="108"/>
      <c r="BF876" s="108"/>
      <c r="BG876" s="108"/>
      <c r="BH876" s="108"/>
      <c r="BI876" s="108"/>
      <c r="BJ876" s="108"/>
      <c r="BK876" s="108"/>
      <c r="BL876" s="108"/>
      <c r="BM876" s="109"/>
      <c r="BN876" s="108"/>
      <c r="BO876" s="108"/>
      <c r="BP876" s="108"/>
    </row>
    <row r="877" spans="1:68" ht="12" customHeight="1" x14ac:dyDescent="0.2">
      <c r="A877" s="179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  <c r="BC877" s="108"/>
      <c r="BD877" s="108"/>
      <c r="BE877" s="108"/>
      <c r="BF877" s="108"/>
      <c r="BG877" s="108"/>
      <c r="BH877" s="108"/>
      <c r="BI877" s="108"/>
      <c r="BJ877" s="108"/>
      <c r="BK877" s="108"/>
      <c r="BL877" s="108"/>
      <c r="BM877" s="109"/>
      <c r="BN877" s="108"/>
      <c r="BO877" s="108"/>
      <c r="BP877" s="108"/>
    </row>
    <row r="878" spans="1:68" ht="12" customHeight="1" x14ac:dyDescent="0.2">
      <c r="A878" s="179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  <c r="BC878" s="108"/>
      <c r="BD878" s="108"/>
      <c r="BE878" s="108"/>
      <c r="BF878" s="108"/>
      <c r="BG878" s="108"/>
      <c r="BH878" s="108"/>
      <c r="BI878" s="108"/>
      <c r="BJ878" s="108"/>
      <c r="BK878" s="108"/>
      <c r="BL878" s="108"/>
      <c r="BM878" s="109"/>
      <c r="BN878" s="108"/>
      <c r="BO878" s="108"/>
      <c r="BP878" s="108"/>
    </row>
    <row r="879" spans="1:68" ht="12" customHeight="1" x14ac:dyDescent="0.2">
      <c r="A879" s="179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  <c r="BC879" s="108"/>
      <c r="BD879" s="108"/>
      <c r="BE879" s="108"/>
      <c r="BF879" s="108"/>
      <c r="BG879" s="108"/>
      <c r="BH879" s="108"/>
      <c r="BI879" s="108"/>
      <c r="BJ879" s="108"/>
      <c r="BK879" s="108"/>
      <c r="BL879" s="108"/>
      <c r="BM879" s="109"/>
      <c r="BN879" s="108"/>
      <c r="BO879" s="108"/>
      <c r="BP879" s="108"/>
    </row>
    <row r="880" spans="1:68" ht="12" customHeight="1" x14ac:dyDescent="0.2">
      <c r="A880" s="179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  <c r="BC880" s="108"/>
      <c r="BD880" s="108"/>
      <c r="BE880" s="108"/>
      <c r="BF880" s="108"/>
      <c r="BG880" s="108"/>
      <c r="BH880" s="108"/>
      <c r="BI880" s="108"/>
      <c r="BJ880" s="108"/>
      <c r="BK880" s="108"/>
      <c r="BL880" s="108"/>
      <c r="BM880" s="109"/>
      <c r="BN880" s="108"/>
      <c r="BO880" s="108"/>
      <c r="BP880" s="108"/>
    </row>
    <row r="881" spans="1:68" ht="12" customHeight="1" x14ac:dyDescent="0.2">
      <c r="A881" s="179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  <c r="BC881" s="108"/>
      <c r="BD881" s="108"/>
      <c r="BE881" s="108"/>
      <c r="BF881" s="108"/>
      <c r="BG881" s="108"/>
      <c r="BH881" s="108"/>
      <c r="BI881" s="108"/>
      <c r="BJ881" s="108"/>
      <c r="BK881" s="108"/>
      <c r="BL881" s="108"/>
      <c r="BM881" s="109"/>
      <c r="BN881" s="108"/>
      <c r="BO881" s="108"/>
      <c r="BP881" s="108"/>
    </row>
    <row r="882" spans="1:68" ht="12" customHeight="1" x14ac:dyDescent="0.2">
      <c r="A882" s="179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  <c r="BC882" s="108"/>
      <c r="BD882" s="108"/>
      <c r="BE882" s="108"/>
      <c r="BF882" s="108"/>
      <c r="BG882" s="108"/>
      <c r="BH882" s="108"/>
      <c r="BI882" s="108"/>
      <c r="BJ882" s="108"/>
      <c r="BK882" s="108"/>
      <c r="BL882" s="108"/>
      <c r="BM882" s="109"/>
      <c r="BN882" s="108"/>
      <c r="BO882" s="108"/>
      <c r="BP882" s="108"/>
    </row>
    <row r="883" spans="1:68" ht="12" customHeight="1" x14ac:dyDescent="0.2">
      <c r="A883" s="179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  <c r="BC883" s="108"/>
      <c r="BD883" s="108"/>
      <c r="BE883" s="108"/>
      <c r="BF883" s="108"/>
      <c r="BG883" s="108"/>
      <c r="BH883" s="108"/>
      <c r="BI883" s="108"/>
      <c r="BJ883" s="108"/>
      <c r="BK883" s="108"/>
      <c r="BL883" s="108"/>
      <c r="BM883" s="109"/>
      <c r="BN883" s="108"/>
      <c r="BO883" s="108"/>
      <c r="BP883" s="108"/>
    </row>
    <row r="884" spans="1:68" ht="12" customHeight="1" x14ac:dyDescent="0.2">
      <c r="A884" s="179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  <c r="BC884" s="108"/>
      <c r="BD884" s="108"/>
      <c r="BE884" s="108"/>
      <c r="BF884" s="108"/>
      <c r="BG884" s="108"/>
      <c r="BH884" s="108"/>
      <c r="BI884" s="108"/>
      <c r="BJ884" s="108"/>
      <c r="BK884" s="108"/>
      <c r="BL884" s="108"/>
      <c r="BM884" s="109"/>
      <c r="BN884" s="108"/>
      <c r="BO884" s="108"/>
      <c r="BP884" s="108"/>
    </row>
    <row r="885" spans="1:68" ht="12" customHeight="1" x14ac:dyDescent="0.2">
      <c r="A885" s="179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  <c r="BC885" s="108"/>
      <c r="BD885" s="108"/>
      <c r="BE885" s="108"/>
      <c r="BF885" s="108"/>
      <c r="BG885" s="108"/>
      <c r="BH885" s="108"/>
      <c r="BI885" s="108"/>
      <c r="BJ885" s="108"/>
      <c r="BK885" s="108"/>
      <c r="BL885" s="108"/>
      <c r="BM885" s="109"/>
      <c r="BN885" s="108"/>
      <c r="BO885" s="108"/>
      <c r="BP885" s="108"/>
    </row>
    <row r="886" spans="1:68" ht="12" customHeight="1" x14ac:dyDescent="0.2">
      <c r="A886" s="179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  <c r="BC886" s="108"/>
      <c r="BD886" s="108"/>
      <c r="BE886" s="108"/>
      <c r="BF886" s="108"/>
      <c r="BG886" s="108"/>
      <c r="BH886" s="108"/>
      <c r="BI886" s="108"/>
      <c r="BJ886" s="108"/>
      <c r="BK886" s="108"/>
      <c r="BL886" s="108"/>
      <c r="BM886" s="109"/>
      <c r="BN886" s="108"/>
      <c r="BO886" s="108"/>
      <c r="BP886" s="108"/>
    </row>
    <row r="887" spans="1:68" ht="12" customHeight="1" x14ac:dyDescent="0.2">
      <c r="A887" s="179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  <c r="BC887" s="108"/>
      <c r="BD887" s="108"/>
      <c r="BE887" s="108"/>
      <c r="BF887" s="108"/>
      <c r="BG887" s="108"/>
      <c r="BH887" s="108"/>
      <c r="BI887" s="108"/>
      <c r="BJ887" s="108"/>
      <c r="BK887" s="108"/>
      <c r="BL887" s="108"/>
      <c r="BM887" s="109"/>
      <c r="BN887" s="108"/>
      <c r="BO887" s="108"/>
      <c r="BP887" s="108"/>
    </row>
    <row r="888" spans="1:68" ht="12" customHeight="1" x14ac:dyDescent="0.2">
      <c r="A888" s="179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  <c r="BC888" s="108"/>
      <c r="BD888" s="108"/>
      <c r="BE888" s="108"/>
      <c r="BF888" s="108"/>
      <c r="BG888" s="108"/>
      <c r="BH888" s="108"/>
      <c r="BI888" s="108"/>
      <c r="BJ888" s="108"/>
      <c r="BK888" s="108"/>
      <c r="BL888" s="108"/>
      <c r="BM888" s="109"/>
      <c r="BN888" s="108"/>
      <c r="BO888" s="108"/>
      <c r="BP888" s="108"/>
    </row>
    <row r="889" spans="1:68" ht="12" customHeight="1" x14ac:dyDescent="0.2">
      <c r="A889" s="179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  <c r="BC889" s="108"/>
      <c r="BD889" s="108"/>
      <c r="BE889" s="108"/>
      <c r="BF889" s="108"/>
      <c r="BG889" s="108"/>
      <c r="BH889" s="108"/>
      <c r="BI889" s="108"/>
      <c r="BJ889" s="108"/>
      <c r="BK889" s="108"/>
      <c r="BL889" s="108"/>
      <c r="BM889" s="109"/>
      <c r="BN889" s="108"/>
      <c r="BO889" s="108"/>
      <c r="BP889" s="108"/>
    </row>
    <row r="890" spans="1:68" ht="12" customHeight="1" x14ac:dyDescent="0.2">
      <c r="A890" s="179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  <c r="BC890" s="108"/>
      <c r="BD890" s="108"/>
      <c r="BE890" s="108"/>
      <c r="BF890" s="108"/>
      <c r="BG890" s="108"/>
      <c r="BH890" s="108"/>
      <c r="BI890" s="108"/>
      <c r="BJ890" s="108"/>
      <c r="BK890" s="108"/>
      <c r="BL890" s="108"/>
      <c r="BM890" s="109"/>
      <c r="BN890" s="108"/>
      <c r="BO890" s="108"/>
      <c r="BP890" s="108"/>
    </row>
    <row r="891" spans="1:68" ht="12" customHeight="1" x14ac:dyDescent="0.2">
      <c r="A891" s="179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  <c r="BC891" s="108"/>
      <c r="BD891" s="108"/>
      <c r="BE891" s="108"/>
      <c r="BF891" s="108"/>
      <c r="BG891" s="108"/>
      <c r="BH891" s="108"/>
      <c r="BI891" s="108"/>
      <c r="BJ891" s="108"/>
      <c r="BK891" s="108"/>
      <c r="BL891" s="108"/>
      <c r="BM891" s="109"/>
      <c r="BN891" s="108"/>
      <c r="BO891" s="108"/>
      <c r="BP891" s="108"/>
    </row>
    <row r="892" spans="1:68" ht="12" customHeight="1" x14ac:dyDescent="0.2">
      <c r="A892" s="179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  <c r="BC892" s="108"/>
      <c r="BD892" s="108"/>
      <c r="BE892" s="108"/>
      <c r="BF892" s="108"/>
      <c r="BG892" s="108"/>
      <c r="BH892" s="108"/>
      <c r="BI892" s="108"/>
      <c r="BJ892" s="108"/>
      <c r="BK892" s="108"/>
      <c r="BL892" s="108"/>
      <c r="BM892" s="109"/>
      <c r="BN892" s="108"/>
      <c r="BO892" s="108"/>
      <c r="BP892" s="108"/>
    </row>
    <row r="893" spans="1:68" ht="12" customHeight="1" x14ac:dyDescent="0.2">
      <c r="A893" s="179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  <c r="BC893" s="108"/>
      <c r="BD893" s="108"/>
      <c r="BE893" s="108"/>
      <c r="BF893" s="108"/>
      <c r="BG893" s="108"/>
      <c r="BH893" s="108"/>
      <c r="BI893" s="108"/>
      <c r="BJ893" s="108"/>
      <c r="BK893" s="108"/>
      <c r="BL893" s="108"/>
      <c r="BM893" s="109"/>
      <c r="BN893" s="108"/>
      <c r="BO893" s="108"/>
      <c r="BP893" s="108"/>
    </row>
    <row r="894" spans="1:68" ht="12" customHeight="1" x14ac:dyDescent="0.2">
      <c r="A894" s="179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  <c r="BC894" s="108"/>
      <c r="BD894" s="108"/>
      <c r="BE894" s="108"/>
      <c r="BF894" s="108"/>
      <c r="BG894" s="108"/>
      <c r="BH894" s="108"/>
      <c r="BI894" s="108"/>
      <c r="BJ894" s="108"/>
      <c r="BK894" s="108"/>
      <c r="BL894" s="108"/>
      <c r="BM894" s="109"/>
      <c r="BN894" s="108"/>
      <c r="BO894" s="108"/>
      <c r="BP894" s="108"/>
    </row>
    <row r="895" spans="1:68" ht="12" customHeight="1" x14ac:dyDescent="0.2">
      <c r="A895" s="179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  <c r="BC895" s="108"/>
      <c r="BD895" s="108"/>
      <c r="BE895" s="108"/>
      <c r="BF895" s="108"/>
      <c r="BG895" s="108"/>
      <c r="BH895" s="108"/>
      <c r="BI895" s="108"/>
      <c r="BJ895" s="108"/>
      <c r="BK895" s="108"/>
      <c r="BL895" s="108"/>
      <c r="BM895" s="109"/>
      <c r="BN895" s="108"/>
      <c r="BO895" s="108"/>
      <c r="BP895" s="108"/>
    </row>
    <row r="896" spans="1:68" ht="12" customHeight="1" x14ac:dyDescent="0.2">
      <c r="A896" s="179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  <c r="BC896" s="108"/>
      <c r="BD896" s="108"/>
      <c r="BE896" s="108"/>
      <c r="BF896" s="108"/>
      <c r="BG896" s="108"/>
      <c r="BH896" s="108"/>
      <c r="BI896" s="108"/>
      <c r="BJ896" s="108"/>
      <c r="BK896" s="108"/>
      <c r="BL896" s="108"/>
      <c r="BM896" s="109"/>
      <c r="BN896" s="108"/>
      <c r="BO896" s="108"/>
      <c r="BP896" s="108"/>
    </row>
    <row r="897" spans="1:68" ht="12" customHeight="1" x14ac:dyDescent="0.2">
      <c r="A897" s="179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9"/>
      <c r="BN897" s="108"/>
      <c r="BO897" s="108"/>
      <c r="BP897" s="108"/>
    </row>
    <row r="898" spans="1:68" ht="12" customHeight="1" x14ac:dyDescent="0.2">
      <c r="A898" s="179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  <c r="BC898" s="108"/>
      <c r="BD898" s="108"/>
      <c r="BE898" s="108"/>
      <c r="BF898" s="108"/>
      <c r="BG898" s="108"/>
      <c r="BH898" s="108"/>
      <c r="BI898" s="108"/>
      <c r="BJ898" s="108"/>
      <c r="BK898" s="108"/>
      <c r="BL898" s="108"/>
      <c r="BM898" s="109"/>
      <c r="BN898" s="108"/>
      <c r="BO898" s="108"/>
      <c r="BP898" s="108"/>
    </row>
    <row r="899" spans="1:68" ht="12" customHeight="1" x14ac:dyDescent="0.2">
      <c r="A899" s="179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  <c r="BC899" s="108"/>
      <c r="BD899" s="108"/>
      <c r="BE899" s="108"/>
      <c r="BF899" s="108"/>
      <c r="BG899" s="108"/>
      <c r="BH899" s="108"/>
      <c r="BI899" s="108"/>
      <c r="BJ899" s="108"/>
      <c r="BK899" s="108"/>
      <c r="BL899" s="108"/>
      <c r="BM899" s="109"/>
      <c r="BN899" s="108"/>
      <c r="BO899" s="108"/>
      <c r="BP899" s="108"/>
    </row>
    <row r="900" spans="1:68" ht="12" customHeight="1" x14ac:dyDescent="0.2">
      <c r="A900" s="179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9"/>
      <c r="BN900" s="108"/>
      <c r="BO900" s="108"/>
      <c r="BP900" s="108"/>
    </row>
    <row r="901" spans="1:68" ht="12" customHeight="1" x14ac:dyDescent="0.2">
      <c r="A901" s="179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  <c r="BC901" s="108"/>
      <c r="BD901" s="108"/>
      <c r="BE901" s="108"/>
      <c r="BF901" s="108"/>
      <c r="BG901" s="108"/>
      <c r="BH901" s="108"/>
      <c r="BI901" s="108"/>
      <c r="BJ901" s="108"/>
      <c r="BK901" s="108"/>
      <c r="BL901" s="108"/>
      <c r="BM901" s="109"/>
      <c r="BN901" s="108"/>
      <c r="BO901" s="108"/>
      <c r="BP901" s="108"/>
    </row>
    <row r="902" spans="1:68" ht="12" customHeight="1" x14ac:dyDescent="0.2">
      <c r="A902" s="179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  <c r="BC902" s="108"/>
      <c r="BD902" s="108"/>
      <c r="BE902" s="108"/>
      <c r="BF902" s="108"/>
      <c r="BG902" s="108"/>
      <c r="BH902" s="108"/>
      <c r="BI902" s="108"/>
      <c r="BJ902" s="108"/>
      <c r="BK902" s="108"/>
      <c r="BL902" s="108"/>
      <c r="BM902" s="109"/>
      <c r="BN902" s="108"/>
      <c r="BO902" s="108"/>
      <c r="BP902" s="108"/>
    </row>
    <row r="903" spans="1:68" ht="12" customHeight="1" x14ac:dyDescent="0.2">
      <c r="A903" s="179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  <c r="BC903" s="108"/>
      <c r="BD903" s="108"/>
      <c r="BE903" s="108"/>
      <c r="BF903" s="108"/>
      <c r="BG903" s="108"/>
      <c r="BH903" s="108"/>
      <c r="BI903" s="108"/>
      <c r="BJ903" s="108"/>
      <c r="BK903" s="108"/>
      <c r="BL903" s="108"/>
      <c r="BM903" s="109"/>
      <c r="BN903" s="108"/>
      <c r="BO903" s="108"/>
      <c r="BP903" s="108"/>
    </row>
    <row r="904" spans="1:68" ht="12" customHeight="1" x14ac:dyDescent="0.2">
      <c r="A904" s="179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  <c r="BC904" s="108"/>
      <c r="BD904" s="108"/>
      <c r="BE904" s="108"/>
      <c r="BF904" s="108"/>
      <c r="BG904" s="108"/>
      <c r="BH904" s="108"/>
      <c r="BI904" s="108"/>
      <c r="BJ904" s="108"/>
      <c r="BK904" s="108"/>
      <c r="BL904" s="108"/>
      <c r="BM904" s="109"/>
      <c r="BN904" s="108"/>
      <c r="BO904" s="108"/>
      <c r="BP904" s="108"/>
    </row>
    <row r="905" spans="1:68" ht="12" customHeight="1" x14ac:dyDescent="0.2">
      <c r="A905" s="179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  <c r="BC905" s="108"/>
      <c r="BD905" s="108"/>
      <c r="BE905" s="108"/>
      <c r="BF905" s="108"/>
      <c r="BG905" s="108"/>
      <c r="BH905" s="108"/>
      <c r="BI905" s="108"/>
      <c r="BJ905" s="108"/>
      <c r="BK905" s="108"/>
      <c r="BL905" s="108"/>
      <c r="BM905" s="109"/>
      <c r="BN905" s="108"/>
      <c r="BO905" s="108"/>
      <c r="BP905" s="108"/>
    </row>
    <row r="906" spans="1:68" ht="12" customHeight="1" x14ac:dyDescent="0.2">
      <c r="A906" s="179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  <c r="BC906" s="108"/>
      <c r="BD906" s="108"/>
      <c r="BE906" s="108"/>
      <c r="BF906" s="108"/>
      <c r="BG906" s="108"/>
      <c r="BH906" s="108"/>
      <c r="BI906" s="108"/>
      <c r="BJ906" s="108"/>
      <c r="BK906" s="108"/>
      <c r="BL906" s="108"/>
      <c r="BM906" s="109"/>
      <c r="BN906" s="108"/>
      <c r="BO906" s="108"/>
      <c r="BP906" s="108"/>
    </row>
    <row r="907" spans="1:68" ht="12" customHeight="1" x14ac:dyDescent="0.2">
      <c r="A907" s="179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  <c r="BC907" s="108"/>
      <c r="BD907" s="108"/>
      <c r="BE907" s="108"/>
      <c r="BF907" s="108"/>
      <c r="BG907" s="108"/>
      <c r="BH907" s="108"/>
      <c r="BI907" s="108"/>
      <c r="BJ907" s="108"/>
      <c r="BK907" s="108"/>
      <c r="BL907" s="108"/>
      <c r="BM907" s="109"/>
      <c r="BN907" s="108"/>
      <c r="BO907" s="108"/>
      <c r="BP907" s="108"/>
    </row>
    <row r="908" spans="1:68" ht="12" customHeight="1" x14ac:dyDescent="0.2">
      <c r="A908" s="179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  <c r="BC908" s="108"/>
      <c r="BD908" s="108"/>
      <c r="BE908" s="108"/>
      <c r="BF908" s="108"/>
      <c r="BG908" s="108"/>
      <c r="BH908" s="108"/>
      <c r="BI908" s="108"/>
      <c r="BJ908" s="108"/>
      <c r="BK908" s="108"/>
      <c r="BL908" s="108"/>
      <c r="BM908" s="109"/>
      <c r="BN908" s="108"/>
      <c r="BO908" s="108"/>
      <c r="BP908" s="108"/>
    </row>
    <row r="909" spans="1:68" ht="12" customHeight="1" x14ac:dyDescent="0.2">
      <c r="A909" s="179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  <c r="BC909" s="108"/>
      <c r="BD909" s="108"/>
      <c r="BE909" s="108"/>
      <c r="BF909" s="108"/>
      <c r="BG909" s="108"/>
      <c r="BH909" s="108"/>
      <c r="BI909" s="108"/>
      <c r="BJ909" s="108"/>
      <c r="BK909" s="108"/>
      <c r="BL909" s="108"/>
      <c r="BM909" s="109"/>
      <c r="BN909" s="108"/>
      <c r="BO909" s="108"/>
      <c r="BP909" s="108"/>
    </row>
    <row r="910" spans="1:68" ht="12" customHeight="1" x14ac:dyDescent="0.2">
      <c r="A910" s="179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  <c r="BC910" s="108"/>
      <c r="BD910" s="108"/>
      <c r="BE910" s="108"/>
      <c r="BF910" s="108"/>
      <c r="BG910" s="108"/>
      <c r="BH910" s="108"/>
      <c r="BI910" s="108"/>
      <c r="BJ910" s="108"/>
      <c r="BK910" s="108"/>
      <c r="BL910" s="108"/>
      <c r="BM910" s="109"/>
      <c r="BN910" s="108"/>
      <c r="BO910" s="108"/>
      <c r="BP910" s="108"/>
    </row>
    <row r="911" spans="1:68" ht="12" customHeight="1" x14ac:dyDescent="0.2">
      <c r="A911" s="179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  <c r="BC911" s="108"/>
      <c r="BD911" s="108"/>
      <c r="BE911" s="108"/>
      <c r="BF911" s="108"/>
      <c r="BG911" s="108"/>
      <c r="BH911" s="108"/>
      <c r="BI911" s="108"/>
      <c r="BJ911" s="108"/>
      <c r="BK911" s="108"/>
      <c r="BL911" s="108"/>
      <c r="BM911" s="109"/>
      <c r="BN911" s="108"/>
      <c r="BO911" s="108"/>
      <c r="BP911" s="108"/>
    </row>
    <row r="912" spans="1:68" ht="12" customHeight="1" x14ac:dyDescent="0.2">
      <c r="A912" s="179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  <c r="BC912" s="108"/>
      <c r="BD912" s="108"/>
      <c r="BE912" s="108"/>
      <c r="BF912" s="108"/>
      <c r="BG912" s="108"/>
      <c r="BH912" s="108"/>
      <c r="BI912" s="108"/>
      <c r="BJ912" s="108"/>
      <c r="BK912" s="108"/>
      <c r="BL912" s="108"/>
      <c r="BM912" s="109"/>
      <c r="BN912" s="108"/>
      <c r="BO912" s="108"/>
      <c r="BP912" s="108"/>
    </row>
    <row r="913" spans="1:68" ht="12" customHeight="1" x14ac:dyDescent="0.2">
      <c r="A913" s="179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  <c r="BC913" s="108"/>
      <c r="BD913" s="108"/>
      <c r="BE913" s="108"/>
      <c r="BF913" s="108"/>
      <c r="BG913" s="108"/>
      <c r="BH913" s="108"/>
      <c r="BI913" s="108"/>
      <c r="BJ913" s="108"/>
      <c r="BK913" s="108"/>
      <c r="BL913" s="108"/>
      <c r="BM913" s="109"/>
      <c r="BN913" s="108"/>
      <c r="BO913" s="108"/>
      <c r="BP913" s="108"/>
    </row>
    <row r="914" spans="1:68" ht="12" customHeight="1" x14ac:dyDescent="0.2">
      <c r="A914" s="179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  <c r="BC914" s="108"/>
      <c r="BD914" s="108"/>
      <c r="BE914" s="108"/>
      <c r="BF914" s="108"/>
      <c r="BG914" s="108"/>
      <c r="BH914" s="108"/>
      <c r="BI914" s="108"/>
      <c r="BJ914" s="108"/>
      <c r="BK914" s="108"/>
      <c r="BL914" s="108"/>
      <c r="BM914" s="109"/>
      <c r="BN914" s="108"/>
      <c r="BO914" s="108"/>
      <c r="BP914" s="108"/>
    </row>
    <row r="915" spans="1:68" ht="12" customHeight="1" x14ac:dyDescent="0.2">
      <c r="A915" s="179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  <c r="BC915" s="108"/>
      <c r="BD915" s="108"/>
      <c r="BE915" s="108"/>
      <c r="BF915" s="108"/>
      <c r="BG915" s="108"/>
      <c r="BH915" s="108"/>
      <c r="BI915" s="108"/>
      <c r="BJ915" s="108"/>
      <c r="BK915" s="108"/>
      <c r="BL915" s="108"/>
      <c r="BM915" s="109"/>
      <c r="BN915" s="108"/>
      <c r="BO915" s="108"/>
      <c r="BP915" s="108"/>
    </row>
    <row r="916" spans="1:68" ht="12" customHeight="1" x14ac:dyDescent="0.2">
      <c r="A916" s="179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  <c r="BC916" s="108"/>
      <c r="BD916" s="108"/>
      <c r="BE916" s="108"/>
      <c r="BF916" s="108"/>
      <c r="BG916" s="108"/>
      <c r="BH916" s="108"/>
      <c r="BI916" s="108"/>
      <c r="BJ916" s="108"/>
      <c r="BK916" s="108"/>
      <c r="BL916" s="108"/>
      <c r="BM916" s="109"/>
      <c r="BN916" s="108"/>
      <c r="BO916" s="108"/>
      <c r="BP916" s="108"/>
    </row>
    <row r="917" spans="1:68" ht="12" customHeight="1" x14ac:dyDescent="0.2">
      <c r="A917" s="179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  <c r="BC917" s="108"/>
      <c r="BD917" s="108"/>
      <c r="BE917" s="108"/>
      <c r="BF917" s="108"/>
      <c r="BG917" s="108"/>
      <c r="BH917" s="108"/>
      <c r="BI917" s="108"/>
      <c r="BJ917" s="108"/>
      <c r="BK917" s="108"/>
      <c r="BL917" s="108"/>
      <c r="BM917" s="109"/>
      <c r="BN917" s="108"/>
      <c r="BO917" s="108"/>
      <c r="BP917" s="108"/>
    </row>
    <row r="918" spans="1:68" ht="12" customHeight="1" x14ac:dyDescent="0.2">
      <c r="A918" s="179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  <c r="BC918" s="108"/>
      <c r="BD918" s="108"/>
      <c r="BE918" s="108"/>
      <c r="BF918" s="108"/>
      <c r="BG918" s="108"/>
      <c r="BH918" s="108"/>
      <c r="BI918" s="108"/>
      <c r="BJ918" s="108"/>
      <c r="BK918" s="108"/>
      <c r="BL918" s="108"/>
      <c r="BM918" s="109"/>
      <c r="BN918" s="108"/>
      <c r="BO918" s="108"/>
      <c r="BP918" s="108"/>
    </row>
    <row r="919" spans="1:68" ht="12" customHeight="1" x14ac:dyDescent="0.2">
      <c r="A919" s="179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  <c r="BC919" s="108"/>
      <c r="BD919" s="108"/>
      <c r="BE919" s="108"/>
      <c r="BF919" s="108"/>
      <c r="BG919" s="108"/>
      <c r="BH919" s="108"/>
      <c r="BI919" s="108"/>
      <c r="BJ919" s="108"/>
      <c r="BK919" s="108"/>
      <c r="BL919" s="108"/>
      <c r="BM919" s="109"/>
      <c r="BN919" s="108"/>
      <c r="BO919" s="108"/>
      <c r="BP919" s="108"/>
    </row>
    <row r="920" spans="1:68" ht="12" customHeight="1" x14ac:dyDescent="0.2">
      <c r="A920" s="179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  <c r="BC920" s="108"/>
      <c r="BD920" s="108"/>
      <c r="BE920" s="108"/>
      <c r="BF920" s="108"/>
      <c r="BG920" s="108"/>
      <c r="BH920" s="108"/>
      <c r="BI920" s="108"/>
      <c r="BJ920" s="108"/>
      <c r="BK920" s="108"/>
      <c r="BL920" s="108"/>
      <c r="BM920" s="109"/>
      <c r="BN920" s="108"/>
      <c r="BO920" s="108"/>
      <c r="BP920" s="108"/>
    </row>
    <row r="921" spans="1:68" ht="12" customHeight="1" x14ac:dyDescent="0.2">
      <c r="A921" s="179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  <c r="BC921" s="108"/>
      <c r="BD921" s="108"/>
      <c r="BE921" s="108"/>
      <c r="BF921" s="108"/>
      <c r="BG921" s="108"/>
      <c r="BH921" s="108"/>
      <c r="BI921" s="108"/>
      <c r="BJ921" s="108"/>
      <c r="BK921" s="108"/>
      <c r="BL921" s="108"/>
      <c r="BM921" s="109"/>
      <c r="BN921" s="108"/>
      <c r="BO921" s="108"/>
      <c r="BP921" s="108"/>
    </row>
    <row r="922" spans="1:68" ht="12" customHeight="1" x14ac:dyDescent="0.2">
      <c r="A922" s="179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  <c r="BC922" s="108"/>
      <c r="BD922" s="108"/>
      <c r="BE922" s="108"/>
      <c r="BF922" s="108"/>
      <c r="BG922" s="108"/>
      <c r="BH922" s="108"/>
      <c r="BI922" s="108"/>
      <c r="BJ922" s="108"/>
      <c r="BK922" s="108"/>
      <c r="BL922" s="108"/>
      <c r="BM922" s="109"/>
      <c r="BN922" s="108"/>
      <c r="BO922" s="108"/>
      <c r="BP922" s="108"/>
    </row>
    <row r="923" spans="1:68" ht="12" customHeight="1" x14ac:dyDescent="0.2">
      <c r="A923" s="179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  <c r="BC923" s="108"/>
      <c r="BD923" s="108"/>
      <c r="BE923" s="108"/>
      <c r="BF923" s="108"/>
      <c r="BG923" s="108"/>
      <c r="BH923" s="108"/>
      <c r="BI923" s="108"/>
      <c r="BJ923" s="108"/>
      <c r="BK923" s="108"/>
      <c r="BL923" s="108"/>
      <c r="BM923" s="109"/>
      <c r="BN923" s="108"/>
      <c r="BO923" s="108"/>
      <c r="BP923" s="108"/>
    </row>
    <row r="924" spans="1:68" ht="12" customHeight="1" x14ac:dyDescent="0.2">
      <c r="A924" s="179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  <c r="BC924" s="108"/>
      <c r="BD924" s="108"/>
      <c r="BE924" s="108"/>
      <c r="BF924" s="108"/>
      <c r="BG924" s="108"/>
      <c r="BH924" s="108"/>
      <c r="BI924" s="108"/>
      <c r="BJ924" s="108"/>
      <c r="BK924" s="108"/>
      <c r="BL924" s="108"/>
      <c r="BM924" s="109"/>
      <c r="BN924" s="108"/>
      <c r="BO924" s="108"/>
      <c r="BP924" s="108"/>
    </row>
    <row r="925" spans="1:68" ht="12" customHeight="1" x14ac:dyDescent="0.2">
      <c r="A925" s="179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  <c r="BC925" s="108"/>
      <c r="BD925" s="108"/>
      <c r="BE925" s="108"/>
      <c r="BF925" s="108"/>
      <c r="BG925" s="108"/>
      <c r="BH925" s="108"/>
      <c r="BI925" s="108"/>
      <c r="BJ925" s="108"/>
      <c r="BK925" s="108"/>
      <c r="BL925" s="108"/>
      <c r="BM925" s="109"/>
      <c r="BN925" s="108"/>
      <c r="BO925" s="108"/>
      <c r="BP925" s="108"/>
    </row>
    <row r="926" spans="1:68" ht="12" customHeight="1" x14ac:dyDescent="0.2">
      <c r="A926" s="179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  <c r="BC926" s="108"/>
      <c r="BD926" s="108"/>
      <c r="BE926" s="108"/>
      <c r="BF926" s="108"/>
      <c r="BG926" s="108"/>
      <c r="BH926" s="108"/>
      <c r="BI926" s="108"/>
      <c r="BJ926" s="108"/>
      <c r="BK926" s="108"/>
      <c r="BL926" s="108"/>
      <c r="BM926" s="109"/>
      <c r="BN926" s="108"/>
      <c r="BO926" s="108"/>
      <c r="BP926" s="108"/>
    </row>
    <row r="927" spans="1:68" ht="12" customHeight="1" x14ac:dyDescent="0.2">
      <c r="A927" s="179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  <c r="BC927" s="108"/>
      <c r="BD927" s="108"/>
      <c r="BE927" s="108"/>
      <c r="BF927" s="108"/>
      <c r="BG927" s="108"/>
      <c r="BH927" s="108"/>
      <c r="BI927" s="108"/>
      <c r="BJ927" s="108"/>
      <c r="BK927" s="108"/>
      <c r="BL927" s="108"/>
      <c r="BM927" s="109"/>
      <c r="BN927" s="108"/>
      <c r="BO927" s="108"/>
      <c r="BP927" s="108"/>
    </row>
    <row r="928" spans="1:68" ht="12" customHeight="1" x14ac:dyDescent="0.2">
      <c r="A928" s="179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  <c r="BC928" s="108"/>
      <c r="BD928" s="108"/>
      <c r="BE928" s="108"/>
      <c r="BF928" s="108"/>
      <c r="BG928" s="108"/>
      <c r="BH928" s="108"/>
      <c r="BI928" s="108"/>
      <c r="BJ928" s="108"/>
      <c r="BK928" s="108"/>
      <c r="BL928" s="108"/>
      <c r="BM928" s="109"/>
      <c r="BN928" s="108"/>
      <c r="BO928" s="108"/>
      <c r="BP928" s="108"/>
    </row>
    <row r="929" spans="1:68" ht="12" customHeight="1" x14ac:dyDescent="0.2">
      <c r="A929" s="179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  <c r="BC929" s="108"/>
      <c r="BD929" s="108"/>
      <c r="BE929" s="108"/>
      <c r="BF929" s="108"/>
      <c r="BG929" s="108"/>
      <c r="BH929" s="108"/>
      <c r="BI929" s="108"/>
      <c r="BJ929" s="108"/>
      <c r="BK929" s="108"/>
      <c r="BL929" s="108"/>
      <c r="BM929" s="109"/>
      <c r="BN929" s="108"/>
      <c r="BO929" s="108"/>
      <c r="BP929" s="108"/>
    </row>
    <row r="930" spans="1:68" ht="12" customHeight="1" x14ac:dyDescent="0.2">
      <c r="A930" s="179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  <c r="BC930" s="108"/>
      <c r="BD930" s="108"/>
      <c r="BE930" s="108"/>
      <c r="BF930" s="108"/>
      <c r="BG930" s="108"/>
      <c r="BH930" s="108"/>
      <c r="BI930" s="108"/>
      <c r="BJ930" s="108"/>
      <c r="BK930" s="108"/>
      <c r="BL930" s="108"/>
      <c r="BM930" s="109"/>
      <c r="BN930" s="108"/>
      <c r="BO930" s="108"/>
      <c r="BP930" s="108"/>
    </row>
    <row r="931" spans="1:68" ht="12" customHeight="1" x14ac:dyDescent="0.2">
      <c r="A931" s="179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  <c r="BC931" s="108"/>
      <c r="BD931" s="108"/>
      <c r="BE931" s="108"/>
      <c r="BF931" s="108"/>
      <c r="BG931" s="108"/>
      <c r="BH931" s="108"/>
      <c r="BI931" s="108"/>
      <c r="BJ931" s="108"/>
      <c r="BK931" s="108"/>
      <c r="BL931" s="108"/>
      <c r="BM931" s="109"/>
      <c r="BN931" s="108"/>
      <c r="BO931" s="108"/>
      <c r="BP931" s="108"/>
    </row>
    <row r="932" spans="1:68" ht="12" customHeight="1" x14ac:dyDescent="0.2">
      <c r="A932" s="179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  <c r="BC932" s="108"/>
      <c r="BD932" s="108"/>
      <c r="BE932" s="108"/>
      <c r="BF932" s="108"/>
      <c r="BG932" s="108"/>
      <c r="BH932" s="108"/>
      <c r="BI932" s="108"/>
      <c r="BJ932" s="108"/>
      <c r="BK932" s="108"/>
      <c r="BL932" s="108"/>
      <c r="BM932" s="109"/>
      <c r="BN932" s="108"/>
      <c r="BO932" s="108"/>
      <c r="BP932" s="108"/>
    </row>
    <row r="933" spans="1:68" ht="12" customHeight="1" x14ac:dyDescent="0.2">
      <c r="A933" s="179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  <c r="BC933" s="108"/>
      <c r="BD933" s="108"/>
      <c r="BE933" s="108"/>
      <c r="BF933" s="108"/>
      <c r="BG933" s="108"/>
      <c r="BH933" s="108"/>
      <c r="BI933" s="108"/>
      <c r="BJ933" s="108"/>
      <c r="BK933" s="108"/>
      <c r="BL933" s="108"/>
      <c r="BM933" s="109"/>
      <c r="BN933" s="108"/>
      <c r="BO933" s="108"/>
      <c r="BP933" s="108"/>
    </row>
    <row r="934" spans="1:68" ht="12" customHeight="1" x14ac:dyDescent="0.2">
      <c r="A934" s="179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  <c r="BC934" s="108"/>
      <c r="BD934" s="108"/>
      <c r="BE934" s="108"/>
      <c r="BF934" s="108"/>
      <c r="BG934" s="108"/>
      <c r="BH934" s="108"/>
      <c r="BI934" s="108"/>
      <c r="BJ934" s="108"/>
      <c r="BK934" s="108"/>
      <c r="BL934" s="108"/>
      <c r="BM934" s="109"/>
      <c r="BN934" s="108"/>
      <c r="BO934" s="108"/>
      <c r="BP934" s="108"/>
    </row>
    <row r="935" spans="1:68" ht="12" customHeight="1" x14ac:dyDescent="0.2">
      <c r="A935" s="179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9"/>
      <c r="BN935" s="108"/>
      <c r="BO935" s="108"/>
      <c r="BP935" s="108"/>
    </row>
    <row r="936" spans="1:68" ht="12" customHeight="1" x14ac:dyDescent="0.2">
      <c r="A936" s="179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  <c r="BC936" s="108"/>
      <c r="BD936" s="108"/>
      <c r="BE936" s="108"/>
      <c r="BF936" s="108"/>
      <c r="BG936" s="108"/>
      <c r="BH936" s="108"/>
      <c r="BI936" s="108"/>
      <c r="BJ936" s="108"/>
      <c r="BK936" s="108"/>
      <c r="BL936" s="108"/>
      <c r="BM936" s="109"/>
      <c r="BN936" s="108"/>
      <c r="BO936" s="108"/>
      <c r="BP936" s="108"/>
    </row>
    <row r="937" spans="1:68" ht="12" customHeight="1" x14ac:dyDescent="0.2">
      <c r="A937" s="179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  <c r="BC937" s="108"/>
      <c r="BD937" s="108"/>
      <c r="BE937" s="108"/>
      <c r="BF937" s="108"/>
      <c r="BG937" s="108"/>
      <c r="BH937" s="108"/>
      <c r="BI937" s="108"/>
      <c r="BJ937" s="108"/>
      <c r="BK937" s="108"/>
      <c r="BL937" s="108"/>
      <c r="BM937" s="109"/>
      <c r="BN937" s="108"/>
      <c r="BO937" s="108"/>
      <c r="BP937" s="108"/>
    </row>
    <row r="938" spans="1:68" ht="12" customHeight="1" x14ac:dyDescent="0.2">
      <c r="A938" s="179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9"/>
      <c r="BN938" s="108"/>
      <c r="BO938" s="108"/>
      <c r="BP938" s="108"/>
    </row>
    <row r="939" spans="1:68" ht="12" customHeight="1" x14ac:dyDescent="0.2">
      <c r="A939" s="179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  <c r="BC939" s="108"/>
      <c r="BD939" s="108"/>
      <c r="BE939" s="108"/>
      <c r="BF939" s="108"/>
      <c r="BG939" s="108"/>
      <c r="BH939" s="108"/>
      <c r="BI939" s="108"/>
      <c r="BJ939" s="108"/>
      <c r="BK939" s="108"/>
      <c r="BL939" s="108"/>
      <c r="BM939" s="109"/>
      <c r="BN939" s="108"/>
      <c r="BO939" s="108"/>
      <c r="BP939" s="108"/>
    </row>
    <row r="940" spans="1:68" ht="12" customHeight="1" x14ac:dyDescent="0.2">
      <c r="A940" s="179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  <c r="BC940" s="108"/>
      <c r="BD940" s="108"/>
      <c r="BE940" s="108"/>
      <c r="BF940" s="108"/>
      <c r="BG940" s="108"/>
      <c r="BH940" s="108"/>
      <c r="BI940" s="108"/>
      <c r="BJ940" s="108"/>
      <c r="BK940" s="108"/>
      <c r="BL940" s="108"/>
      <c r="BM940" s="109"/>
      <c r="BN940" s="108"/>
      <c r="BO940" s="108"/>
      <c r="BP940" s="108"/>
    </row>
    <row r="941" spans="1:68" ht="12" customHeight="1" x14ac:dyDescent="0.2">
      <c r="A941" s="179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  <c r="BC941" s="108"/>
      <c r="BD941" s="108"/>
      <c r="BE941" s="108"/>
      <c r="BF941" s="108"/>
      <c r="BG941" s="108"/>
      <c r="BH941" s="108"/>
      <c r="BI941" s="108"/>
      <c r="BJ941" s="108"/>
      <c r="BK941" s="108"/>
      <c r="BL941" s="108"/>
      <c r="BM941" s="109"/>
      <c r="BN941" s="108"/>
      <c r="BO941" s="108"/>
      <c r="BP941" s="108"/>
    </row>
    <row r="942" spans="1:68" ht="12" customHeight="1" x14ac:dyDescent="0.2">
      <c r="A942" s="179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  <c r="BC942" s="108"/>
      <c r="BD942" s="108"/>
      <c r="BE942" s="108"/>
      <c r="BF942" s="108"/>
      <c r="BG942" s="108"/>
      <c r="BH942" s="108"/>
      <c r="BI942" s="108"/>
      <c r="BJ942" s="108"/>
      <c r="BK942" s="108"/>
      <c r="BL942" s="108"/>
      <c r="BM942" s="109"/>
      <c r="BN942" s="108"/>
      <c r="BO942" s="108"/>
      <c r="BP942" s="108"/>
    </row>
    <row r="943" spans="1:68" ht="12" customHeight="1" x14ac:dyDescent="0.2">
      <c r="A943" s="179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  <c r="BC943" s="108"/>
      <c r="BD943" s="108"/>
      <c r="BE943" s="108"/>
      <c r="BF943" s="108"/>
      <c r="BG943" s="108"/>
      <c r="BH943" s="108"/>
      <c r="BI943" s="108"/>
      <c r="BJ943" s="108"/>
      <c r="BK943" s="108"/>
      <c r="BL943" s="108"/>
      <c r="BM943" s="109"/>
      <c r="BN943" s="108"/>
      <c r="BO943" s="108"/>
      <c r="BP943" s="108"/>
    </row>
    <row r="944" spans="1:68" ht="12" customHeight="1" x14ac:dyDescent="0.2">
      <c r="A944" s="179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  <c r="BC944" s="108"/>
      <c r="BD944" s="108"/>
      <c r="BE944" s="108"/>
      <c r="BF944" s="108"/>
      <c r="BG944" s="108"/>
      <c r="BH944" s="108"/>
      <c r="BI944" s="108"/>
      <c r="BJ944" s="108"/>
      <c r="BK944" s="108"/>
      <c r="BL944" s="108"/>
      <c r="BM944" s="109"/>
      <c r="BN944" s="108"/>
      <c r="BO944" s="108"/>
      <c r="BP944" s="108"/>
    </row>
    <row r="945" spans="1:68" ht="12" customHeight="1" x14ac:dyDescent="0.2">
      <c r="A945" s="179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  <c r="BC945" s="108"/>
      <c r="BD945" s="108"/>
      <c r="BE945" s="108"/>
      <c r="BF945" s="108"/>
      <c r="BG945" s="108"/>
      <c r="BH945" s="108"/>
      <c r="BI945" s="108"/>
      <c r="BJ945" s="108"/>
      <c r="BK945" s="108"/>
      <c r="BL945" s="108"/>
      <c r="BM945" s="109"/>
      <c r="BN945" s="108"/>
      <c r="BO945" s="108"/>
      <c r="BP945" s="108"/>
    </row>
    <row r="946" spans="1:68" ht="12" customHeight="1" x14ac:dyDescent="0.2">
      <c r="A946" s="179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  <c r="BC946" s="108"/>
      <c r="BD946" s="108"/>
      <c r="BE946" s="108"/>
      <c r="BF946" s="108"/>
      <c r="BG946" s="108"/>
      <c r="BH946" s="108"/>
      <c r="BI946" s="108"/>
      <c r="BJ946" s="108"/>
      <c r="BK946" s="108"/>
      <c r="BL946" s="108"/>
      <c r="BM946" s="109"/>
      <c r="BN946" s="108"/>
      <c r="BO946" s="108"/>
      <c r="BP946" s="108"/>
    </row>
    <row r="947" spans="1:68" ht="12" customHeight="1" x14ac:dyDescent="0.2">
      <c r="A947" s="179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  <c r="BC947" s="108"/>
      <c r="BD947" s="108"/>
      <c r="BE947" s="108"/>
      <c r="BF947" s="108"/>
      <c r="BG947" s="108"/>
      <c r="BH947" s="108"/>
      <c r="BI947" s="108"/>
      <c r="BJ947" s="108"/>
      <c r="BK947" s="108"/>
      <c r="BL947" s="108"/>
      <c r="BM947" s="109"/>
      <c r="BN947" s="108"/>
      <c r="BO947" s="108"/>
      <c r="BP947" s="108"/>
    </row>
    <row r="948" spans="1:68" ht="12" customHeight="1" x14ac:dyDescent="0.2">
      <c r="A948" s="179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  <c r="BA948" s="108"/>
      <c r="BB948" s="108"/>
      <c r="BC948" s="108"/>
      <c r="BD948" s="108"/>
      <c r="BE948" s="108"/>
      <c r="BF948" s="108"/>
      <c r="BG948" s="108"/>
      <c r="BH948" s="108"/>
      <c r="BI948" s="108"/>
      <c r="BJ948" s="108"/>
      <c r="BK948" s="108"/>
      <c r="BL948" s="108"/>
      <c r="BM948" s="109"/>
      <c r="BN948" s="108"/>
      <c r="BO948" s="108"/>
      <c r="BP948" s="108"/>
    </row>
    <row r="949" spans="1:68" ht="12" customHeight="1" x14ac:dyDescent="0.2">
      <c r="A949" s="179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  <c r="BA949" s="108"/>
      <c r="BB949" s="108"/>
      <c r="BC949" s="108"/>
      <c r="BD949" s="108"/>
      <c r="BE949" s="108"/>
      <c r="BF949" s="108"/>
      <c r="BG949" s="108"/>
      <c r="BH949" s="108"/>
      <c r="BI949" s="108"/>
      <c r="BJ949" s="108"/>
      <c r="BK949" s="108"/>
      <c r="BL949" s="108"/>
      <c r="BM949" s="109"/>
      <c r="BN949" s="108"/>
      <c r="BO949" s="108"/>
      <c r="BP949" s="108"/>
    </row>
    <row r="950" spans="1:68" ht="12" customHeight="1" x14ac:dyDescent="0.2">
      <c r="A950" s="179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  <c r="BA950" s="108"/>
      <c r="BB950" s="108"/>
      <c r="BC950" s="108"/>
      <c r="BD950" s="108"/>
      <c r="BE950" s="108"/>
      <c r="BF950" s="108"/>
      <c r="BG950" s="108"/>
      <c r="BH950" s="108"/>
      <c r="BI950" s="108"/>
      <c r="BJ950" s="108"/>
      <c r="BK950" s="108"/>
      <c r="BL950" s="108"/>
      <c r="BM950" s="109"/>
      <c r="BN950" s="108"/>
      <c r="BO950" s="108"/>
      <c r="BP950" s="108"/>
    </row>
    <row r="951" spans="1:68" ht="12" customHeight="1" x14ac:dyDescent="0.2">
      <c r="A951" s="179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  <c r="BA951" s="108"/>
      <c r="BB951" s="108"/>
      <c r="BC951" s="108"/>
      <c r="BD951" s="108"/>
      <c r="BE951" s="108"/>
      <c r="BF951" s="108"/>
      <c r="BG951" s="108"/>
      <c r="BH951" s="108"/>
      <c r="BI951" s="108"/>
      <c r="BJ951" s="108"/>
      <c r="BK951" s="108"/>
      <c r="BL951" s="108"/>
      <c r="BM951" s="109"/>
      <c r="BN951" s="108"/>
      <c r="BO951" s="108"/>
      <c r="BP951" s="108"/>
    </row>
    <row r="952" spans="1:68" ht="12" customHeight="1" x14ac:dyDescent="0.2">
      <c r="A952" s="179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  <c r="BA952" s="108"/>
      <c r="BB952" s="108"/>
      <c r="BC952" s="108"/>
      <c r="BD952" s="108"/>
      <c r="BE952" s="108"/>
      <c r="BF952" s="108"/>
      <c r="BG952" s="108"/>
      <c r="BH952" s="108"/>
      <c r="BI952" s="108"/>
      <c r="BJ952" s="108"/>
      <c r="BK952" s="108"/>
      <c r="BL952" s="108"/>
      <c r="BM952" s="109"/>
      <c r="BN952" s="108"/>
      <c r="BO952" s="108"/>
      <c r="BP952" s="108"/>
    </row>
    <row r="953" spans="1:68" ht="12" customHeight="1" x14ac:dyDescent="0.2">
      <c r="A953" s="179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  <c r="BA953" s="108"/>
      <c r="BB953" s="108"/>
      <c r="BC953" s="108"/>
      <c r="BD953" s="108"/>
      <c r="BE953" s="108"/>
      <c r="BF953" s="108"/>
      <c r="BG953" s="108"/>
      <c r="BH953" s="108"/>
      <c r="BI953" s="108"/>
      <c r="BJ953" s="108"/>
      <c r="BK953" s="108"/>
      <c r="BL953" s="108"/>
      <c r="BM953" s="109"/>
      <c r="BN953" s="108"/>
      <c r="BO953" s="108"/>
      <c r="BP953" s="108"/>
    </row>
    <row r="954" spans="1:68" ht="12" customHeight="1" x14ac:dyDescent="0.2">
      <c r="A954" s="179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  <c r="BA954" s="108"/>
      <c r="BB954" s="108"/>
      <c r="BC954" s="108"/>
      <c r="BD954" s="108"/>
      <c r="BE954" s="108"/>
      <c r="BF954" s="108"/>
      <c r="BG954" s="108"/>
      <c r="BH954" s="108"/>
      <c r="BI954" s="108"/>
      <c r="BJ954" s="108"/>
      <c r="BK954" s="108"/>
      <c r="BL954" s="108"/>
      <c r="BM954" s="109"/>
      <c r="BN954" s="108"/>
      <c r="BO954" s="108"/>
      <c r="BP954" s="108"/>
    </row>
    <row r="955" spans="1:68" ht="12" customHeight="1" x14ac:dyDescent="0.2">
      <c r="A955" s="179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  <c r="BA955" s="108"/>
      <c r="BB955" s="108"/>
      <c r="BC955" s="108"/>
      <c r="BD955" s="108"/>
      <c r="BE955" s="108"/>
      <c r="BF955" s="108"/>
      <c r="BG955" s="108"/>
      <c r="BH955" s="108"/>
      <c r="BI955" s="108"/>
      <c r="BJ955" s="108"/>
      <c r="BK955" s="108"/>
      <c r="BL955" s="108"/>
      <c r="BM955" s="109"/>
      <c r="BN955" s="108"/>
      <c r="BO955" s="108"/>
      <c r="BP955" s="108"/>
    </row>
    <row r="956" spans="1:68" ht="12" customHeight="1" x14ac:dyDescent="0.2">
      <c r="A956" s="179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  <c r="BA956" s="108"/>
      <c r="BB956" s="108"/>
      <c r="BC956" s="108"/>
      <c r="BD956" s="108"/>
      <c r="BE956" s="108"/>
      <c r="BF956" s="108"/>
      <c r="BG956" s="108"/>
      <c r="BH956" s="108"/>
      <c r="BI956" s="108"/>
      <c r="BJ956" s="108"/>
      <c r="BK956" s="108"/>
      <c r="BL956" s="108"/>
      <c r="BM956" s="109"/>
      <c r="BN956" s="108"/>
      <c r="BO956" s="108"/>
      <c r="BP956" s="108"/>
    </row>
    <row r="957" spans="1:68" ht="12" customHeight="1" x14ac:dyDescent="0.2">
      <c r="A957" s="179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  <c r="BA957" s="108"/>
      <c r="BB957" s="108"/>
      <c r="BC957" s="108"/>
      <c r="BD957" s="108"/>
      <c r="BE957" s="108"/>
      <c r="BF957" s="108"/>
      <c r="BG957" s="108"/>
      <c r="BH957" s="108"/>
      <c r="BI957" s="108"/>
      <c r="BJ957" s="108"/>
      <c r="BK957" s="108"/>
      <c r="BL957" s="108"/>
      <c r="BM957" s="109"/>
      <c r="BN957" s="108"/>
      <c r="BO957" s="108"/>
      <c r="BP957" s="108"/>
    </row>
    <row r="958" spans="1:68" ht="12" customHeight="1" x14ac:dyDescent="0.2">
      <c r="A958" s="179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  <c r="BC958" s="108"/>
      <c r="BD958" s="108"/>
      <c r="BE958" s="108"/>
      <c r="BF958" s="108"/>
      <c r="BG958" s="108"/>
      <c r="BH958" s="108"/>
      <c r="BI958" s="108"/>
      <c r="BJ958" s="108"/>
      <c r="BK958" s="108"/>
      <c r="BL958" s="108"/>
      <c r="BM958" s="109"/>
      <c r="BN958" s="108"/>
      <c r="BO958" s="108"/>
      <c r="BP958" s="108"/>
    </row>
    <row r="959" spans="1:68" ht="12" customHeight="1" x14ac:dyDescent="0.2">
      <c r="A959" s="179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  <c r="BC959" s="108"/>
      <c r="BD959" s="108"/>
      <c r="BE959" s="108"/>
      <c r="BF959" s="108"/>
      <c r="BG959" s="108"/>
      <c r="BH959" s="108"/>
      <c r="BI959" s="108"/>
      <c r="BJ959" s="108"/>
      <c r="BK959" s="108"/>
      <c r="BL959" s="108"/>
      <c r="BM959" s="109"/>
      <c r="BN959" s="108"/>
      <c r="BO959" s="108"/>
      <c r="BP959" s="108"/>
    </row>
    <row r="960" spans="1:68" ht="12" customHeight="1" x14ac:dyDescent="0.2">
      <c r="A960" s="179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  <c r="BC960" s="108"/>
      <c r="BD960" s="108"/>
      <c r="BE960" s="108"/>
      <c r="BF960" s="108"/>
      <c r="BG960" s="108"/>
      <c r="BH960" s="108"/>
      <c r="BI960" s="108"/>
      <c r="BJ960" s="108"/>
      <c r="BK960" s="108"/>
      <c r="BL960" s="108"/>
      <c r="BM960" s="109"/>
      <c r="BN960" s="108"/>
      <c r="BO960" s="108"/>
      <c r="BP960" s="108"/>
    </row>
    <row r="961" spans="1:68" ht="12" customHeight="1" x14ac:dyDescent="0.2">
      <c r="A961" s="179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  <c r="BC961" s="108"/>
      <c r="BD961" s="108"/>
      <c r="BE961" s="108"/>
      <c r="BF961" s="108"/>
      <c r="BG961" s="108"/>
      <c r="BH961" s="108"/>
      <c r="BI961" s="108"/>
      <c r="BJ961" s="108"/>
      <c r="BK961" s="108"/>
      <c r="BL961" s="108"/>
      <c r="BM961" s="109"/>
      <c r="BN961" s="108"/>
      <c r="BO961" s="108"/>
      <c r="BP961" s="108"/>
    </row>
    <row r="962" spans="1:68" ht="12" customHeight="1" x14ac:dyDescent="0.2">
      <c r="A962" s="179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  <c r="BC962" s="108"/>
      <c r="BD962" s="108"/>
      <c r="BE962" s="108"/>
      <c r="BF962" s="108"/>
      <c r="BG962" s="108"/>
      <c r="BH962" s="108"/>
      <c r="BI962" s="108"/>
      <c r="BJ962" s="108"/>
      <c r="BK962" s="108"/>
      <c r="BL962" s="108"/>
      <c r="BM962" s="109"/>
      <c r="BN962" s="108"/>
      <c r="BO962" s="108"/>
      <c r="BP962" s="108"/>
    </row>
    <row r="963" spans="1:68" ht="12" customHeight="1" x14ac:dyDescent="0.2">
      <c r="A963" s="179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  <c r="BC963" s="108"/>
      <c r="BD963" s="108"/>
      <c r="BE963" s="108"/>
      <c r="BF963" s="108"/>
      <c r="BG963" s="108"/>
      <c r="BH963" s="108"/>
      <c r="BI963" s="108"/>
      <c r="BJ963" s="108"/>
      <c r="BK963" s="108"/>
      <c r="BL963" s="108"/>
      <c r="BM963" s="109"/>
      <c r="BN963" s="108"/>
      <c r="BO963" s="108"/>
      <c r="BP963" s="108"/>
    </row>
    <row r="964" spans="1:68" ht="12" customHeight="1" x14ac:dyDescent="0.2">
      <c r="A964" s="179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  <c r="BC964" s="108"/>
      <c r="BD964" s="108"/>
      <c r="BE964" s="108"/>
      <c r="BF964" s="108"/>
      <c r="BG964" s="108"/>
      <c r="BH964" s="108"/>
      <c r="BI964" s="108"/>
      <c r="BJ964" s="108"/>
      <c r="BK964" s="108"/>
      <c r="BL964" s="108"/>
      <c r="BM964" s="109"/>
      <c r="BN964" s="108"/>
      <c r="BO964" s="108"/>
      <c r="BP964" s="108"/>
    </row>
    <row r="965" spans="1:68" ht="12" customHeight="1" x14ac:dyDescent="0.2">
      <c r="A965" s="179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  <c r="BC965" s="108"/>
      <c r="BD965" s="108"/>
      <c r="BE965" s="108"/>
      <c r="BF965" s="108"/>
      <c r="BG965" s="108"/>
      <c r="BH965" s="108"/>
      <c r="BI965" s="108"/>
      <c r="BJ965" s="108"/>
      <c r="BK965" s="108"/>
      <c r="BL965" s="108"/>
      <c r="BM965" s="109"/>
      <c r="BN965" s="108"/>
      <c r="BO965" s="108"/>
      <c r="BP965" s="108"/>
    </row>
    <row r="966" spans="1:68" ht="12" customHeight="1" x14ac:dyDescent="0.2">
      <c r="A966" s="179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  <c r="BC966" s="108"/>
      <c r="BD966" s="108"/>
      <c r="BE966" s="108"/>
      <c r="BF966" s="108"/>
      <c r="BG966" s="108"/>
      <c r="BH966" s="108"/>
      <c r="BI966" s="108"/>
      <c r="BJ966" s="108"/>
      <c r="BK966" s="108"/>
      <c r="BL966" s="108"/>
      <c r="BM966" s="109"/>
      <c r="BN966" s="108"/>
      <c r="BO966" s="108"/>
      <c r="BP966" s="108"/>
    </row>
    <row r="967" spans="1:68" ht="12" customHeight="1" x14ac:dyDescent="0.2">
      <c r="A967" s="179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  <c r="BC967" s="108"/>
      <c r="BD967" s="108"/>
      <c r="BE967" s="108"/>
      <c r="BF967" s="108"/>
      <c r="BG967" s="108"/>
      <c r="BH967" s="108"/>
      <c r="BI967" s="108"/>
      <c r="BJ967" s="108"/>
      <c r="BK967" s="108"/>
      <c r="BL967" s="108"/>
      <c r="BM967" s="109"/>
      <c r="BN967" s="108"/>
      <c r="BO967" s="108"/>
      <c r="BP967" s="108"/>
    </row>
    <row r="968" spans="1:68" ht="12" customHeight="1" x14ac:dyDescent="0.2">
      <c r="A968" s="179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  <c r="BC968" s="108"/>
      <c r="BD968" s="108"/>
      <c r="BE968" s="108"/>
      <c r="BF968" s="108"/>
      <c r="BG968" s="108"/>
      <c r="BH968" s="108"/>
      <c r="BI968" s="108"/>
      <c r="BJ968" s="108"/>
      <c r="BK968" s="108"/>
      <c r="BL968" s="108"/>
      <c r="BM968" s="109"/>
      <c r="BN968" s="108"/>
      <c r="BO968" s="108"/>
      <c r="BP968" s="108"/>
    </row>
    <row r="969" spans="1:68" ht="12" customHeight="1" x14ac:dyDescent="0.2">
      <c r="A969" s="179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  <c r="BC969" s="108"/>
      <c r="BD969" s="108"/>
      <c r="BE969" s="108"/>
      <c r="BF969" s="108"/>
      <c r="BG969" s="108"/>
      <c r="BH969" s="108"/>
      <c r="BI969" s="108"/>
      <c r="BJ969" s="108"/>
      <c r="BK969" s="108"/>
      <c r="BL969" s="108"/>
      <c r="BM969" s="109"/>
      <c r="BN969" s="108"/>
      <c r="BO969" s="108"/>
      <c r="BP969" s="108"/>
    </row>
    <row r="970" spans="1:68" ht="12" customHeight="1" x14ac:dyDescent="0.2">
      <c r="A970" s="179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  <c r="BC970" s="108"/>
      <c r="BD970" s="108"/>
      <c r="BE970" s="108"/>
      <c r="BF970" s="108"/>
      <c r="BG970" s="108"/>
      <c r="BH970" s="108"/>
      <c r="BI970" s="108"/>
      <c r="BJ970" s="108"/>
      <c r="BK970" s="108"/>
      <c r="BL970" s="108"/>
      <c r="BM970" s="109"/>
      <c r="BN970" s="108"/>
      <c r="BO970" s="108"/>
      <c r="BP970" s="108"/>
    </row>
    <row r="971" spans="1:68" ht="12" customHeight="1" x14ac:dyDescent="0.2">
      <c r="A971" s="179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  <c r="BC971" s="108"/>
      <c r="BD971" s="108"/>
      <c r="BE971" s="108"/>
      <c r="BF971" s="108"/>
      <c r="BG971" s="108"/>
      <c r="BH971" s="108"/>
      <c r="BI971" s="108"/>
      <c r="BJ971" s="108"/>
      <c r="BK971" s="108"/>
      <c r="BL971" s="108"/>
      <c r="BM971" s="109"/>
      <c r="BN971" s="108"/>
      <c r="BO971" s="108"/>
      <c r="BP971" s="108"/>
    </row>
    <row r="972" spans="1:68" ht="12" customHeight="1" x14ac:dyDescent="0.2">
      <c r="A972" s="179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  <c r="BC972" s="108"/>
      <c r="BD972" s="108"/>
      <c r="BE972" s="108"/>
      <c r="BF972" s="108"/>
      <c r="BG972" s="108"/>
      <c r="BH972" s="108"/>
      <c r="BI972" s="108"/>
      <c r="BJ972" s="108"/>
      <c r="BK972" s="108"/>
      <c r="BL972" s="108"/>
      <c r="BM972" s="109"/>
      <c r="BN972" s="108"/>
      <c r="BO972" s="108"/>
      <c r="BP972" s="108"/>
    </row>
    <row r="973" spans="1:68" ht="12" customHeight="1" x14ac:dyDescent="0.2">
      <c r="A973" s="179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9"/>
      <c r="BN973" s="108"/>
      <c r="BO973" s="108"/>
      <c r="BP973" s="108"/>
    </row>
    <row r="974" spans="1:68" ht="12" customHeight="1" x14ac:dyDescent="0.2">
      <c r="A974" s="179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  <c r="BC974" s="108"/>
      <c r="BD974" s="108"/>
      <c r="BE974" s="108"/>
      <c r="BF974" s="108"/>
      <c r="BG974" s="108"/>
      <c r="BH974" s="108"/>
      <c r="BI974" s="108"/>
      <c r="BJ974" s="108"/>
      <c r="BK974" s="108"/>
      <c r="BL974" s="108"/>
      <c r="BM974" s="109"/>
      <c r="BN974" s="108"/>
      <c r="BO974" s="108"/>
      <c r="BP974" s="108"/>
    </row>
    <row r="975" spans="1:68" ht="12" customHeight="1" x14ac:dyDescent="0.2">
      <c r="A975" s="179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  <c r="BC975" s="108"/>
      <c r="BD975" s="108"/>
      <c r="BE975" s="108"/>
      <c r="BF975" s="108"/>
      <c r="BG975" s="108"/>
      <c r="BH975" s="108"/>
      <c r="BI975" s="108"/>
      <c r="BJ975" s="108"/>
      <c r="BK975" s="108"/>
      <c r="BL975" s="108"/>
      <c r="BM975" s="109"/>
      <c r="BN975" s="108"/>
      <c r="BO975" s="108"/>
      <c r="BP975" s="108"/>
    </row>
    <row r="976" spans="1:68" ht="12" customHeight="1" x14ac:dyDescent="0.2">
      <c r="A976" s="179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9"/>
      <c r="BN976" s="108"/>
      <c r="BO976" s="108"/>
      <c r="BP976" s="108"/>
    </row>
    <row r="977" spans="1:68" ht="12" customHeight="1" x14ac:dyDescent="0.2">
      <c r="A977" s="179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  <c r="BC977" s="108"/>
      <c r="BD977" s="108"/>
      <c r="BE977" s="108"/>
      <c r="BF977" s="108"/>
      <c r="BG977" s="108"/>
      <c r="BH977" s="108"/>
      <c r="BI977" s="108"/>
      <c r="BJ977" s="108"/>
      <c r="BK977" s="108"/>
      <c r="BL977" s="108"/>
      <c r="BM977" s="109"/>
      <c r="BN977" s="108"/>
      <c r="BO977" s="108"/>
      <c r="BP977" s="108"/>
    </row>
    <row r="978" spans="1:68" ht="12" customHeight="1" x14ac:dyDescent="0.2">
      <c r="A978" s="179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  <c r="BC978" s="108"/>
      <c r="BD978" s="108"/>
      <c r="BE978" s="108"/>
      <c r="BF978" s="108"/>
      <c r="BG978" s="108"/>
      <c r="BH978" s="108"/>
      <c r="BI978" s="108"/>
      <c r="BJ978" s="108"/>
      <c r="BK978" s="108"/>
      <c r="BL978" s="108"/>
      <c r="BM978" s="109"/>
      <c r="BN978" s="108"/>
      <c r="BO978" s="108"/>
      <c r="BP978" s="108"/>
    </row>
    <row r="979" spans="1:68" ht="12" customHeight="1" x14ac:dyDescent="0.2">
      <c r="A979" s="179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  <c r="BC979" s="108"/>
      <c r="BD979" s="108"/>
      <c r="BE979" s="108"/>
      <c r="BF979" s="108"/>
      <c r="BG979" s="108"/>
      <c r="BH979" s="108"/>
      <c r="BI979" s="108"/>
      <c r="BJ979" s="108"/>
      <c r="BK979" s="108"/>
      <c r="BL979" s="108"/>
      <c r="BM979" s="109"/>
      <c r="BN979" s="108"/>
      <c r="BO979" s="108"/>
      <c r="BP979" s="108"/>
    </row>
    <row r="980" spans="1:68" ht="12" customHeight="1" x14ac:dyDescent="0.2">
      <c r="A980" s="179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  <c r="BC980" s="108"/>
      <c r="BD980" s="108"/>
      <c r="BE980" s="108"/>
      <c r="BF980" s="108"/>
      <c r="BG980" s="108"/>
      <c r="BH980" s="108"/>
      <c r="BI980" s="108"/>
      <c r="BJ980" s="108"/>
      <c r="BK980" s="108"/>
      <c r="BL980" s="108"/>
      <c r="BM980" s="109"/>
      <c r="BN980" s="108"/>
      <c r="BO980" s="108"/>
      <c r="BP980" s="108"/>
    </row>
    <row r="981" spans="1:68" ht="12" customHeight="1" x14ac:dyDescent="0.2">
      <c r="A981" s="179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  <c r="BC981" s="108"/>
      <c r="BD981" s="108"/>
      <c r="BE981" s="108"/>
      <c r="BF981" s="108"/>
      <c r="BG981" s="108"/>
      <c r="BH981" s="108"/>
      <c r="BI981" s="108"/>
      <c r="BJ981" s="108"/>
      <c r="BK981" s="108"/>
      <c r="BL981" s="108"/>
      <c r="BM981" s="109"/>
      <c r="BN981" s="108"/>
      <c r="BO981" s="108"/>
      <c r="BP981" s="108"/>
    </row>
    <row r="982" spans="1:68" ht="12" customHeight="1" x14ac:dyDescent="0.2">
      <c r="A982" s="179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  <c r="BC982" s="108"/>
      <c r="BD982" s="108"/>
      <c r="BE982" s="108"/>
      <c r="BF982" s="108"/>
      <c r="BG982" s="108"/>
      <c r="BH982" s="108"/>
      <c r="BI982" s="108"/>
      <c r="BJ982" s="108"/>
      <c r="BK982" s="108"/>
      <c r="BL982" s="108"/>
      <c r="BM982" s="109"/>
      <c r="BN982" s="108"/>
      <c r="BO982" s="108"/>
      <c r="BP982" s="108"/>
    </row>
    <row r="983" spans="1:68" ht="12" customHeight="1" x14ac:dyDescent="0.2">
      <c r="A983" s="179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  <c r="BC983" s="108"/>
      <c r="BD983" s="108"/>
      <c r="BE983" s="108"/>
      <c r="BF983" s="108"/>
      <c r="BG983" s="108"/>
      <c r="BH983" s="108"/>
      <c r="BI983" s="108"/>
      <c r="BJ983" s="108"/>
      <c r="BK983" s="108"/>
      <c r="BL983" s="108"/>
      <c r="BM983" s="109"/>
      <c r="BN983" s="108"/>
      <c r="BO983" s="108"/>
      <c r="BP983" s="108"/>
    </row>
    <row r="984" spans="1:68" ht="12" customHeight="1" x14ac:dyDescent="0.2">
      <c r="A984" s="179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  <c r="BC984" s="108"/>
      <c r="BD984" s="108"/>
      <c r="BE984" s="108"/>
      <c r="BF984" s="108"/>
      <c r="BG984" s="108"/>
      <c r="BH984" s="108"/>
      <c r="BI984" s="108"/>
      <c r="BJ984" s="108"/>
      <c r="BK984" s="108"/>
      <c r="BL984" s="108"/>
      <c r="BM984" s="109"/>
      <c r="BN984" s="108"/>
      <c r="BO984" s="108"/>
      <c r="BP984" s="108"/>
    </row>
    <row r="985" spans="1:68" ht="12" customHeight="1" x14ac:dyDescent="0.2">
      <c r="A985" s="179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  <c r="BC985" s="108"/>
      <c r="BD985" s="108"/>
      <c r="BE985" s="108"/>
      <c r="BF985" s="108"/>
      <c r="BG985" s="108"/>
      <c r="BH985" s="108"/>
      <c r="BI985" s="108"/>
      <c r="BJ985" s="108"/>
      <c r="BK985" s="108"/>
      <c r="BL985" s="108"/>
      <c r="BM985" s="109"/>
      <c r="BN985" s="108"/>
      <c r="BO985" s="108"/>
      <c r="BP985" s="108"/>
    </row>
    <row r="986" spans="1:68" ht="12" customHeight="1" x14ac:dyDescent="0.2">
      <c r="A986" s="179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  <c r="BC986" s="108"/>
      <c r="BD986" s="108"/>
      <c r="BE986" s="108"/>
      <c r="BF986" s="108"/>
      <c r="BG986" s="108"/>
      <c r="BH986" s="108"/>
      <c r="BI986" s="108"/>
      <c r="BJ986" s="108"/>
      <c r="BK986" s="108"/>
      <c r="BL986" s="108"/>
      <c r="BM986" s="109"/>
      <c r="BN986" s="108"/>
      <c r="BO986" s="108"/>
      <c r="BP986" s="108"/>
    </row>
    <row r="987" spans="1:68" ht="12" customHeight="1" x14ac:dyDescent="0.2">
      <c r="A987" s="179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  <c r="BC987" s="108"/>
      <c r="BD987" s="108"/>
      <c r="BE987" s="108"/>
      <c r="BF987" s="108"/>
      <c r="BG987" s="108"/>
      <c r="BH987" s="108"/>
      <c r="BI987" s="108"/>
      <c r="BJ987" s="108"/>
      <c r="BK987" s="108"/>
      <c r="BL987" s="108"/>
      <c r="BM987" s="109"/>
      <c r="BN987" s="108"/>
      <c r="BO987" s="108"/>
      <c r="BP987" s="108"/>
    </row>
    <row r="988" spans="1:68" ht="12" customHeight="1" x14ac:dyDescent="0.2">
      <c r="A988" s="179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  <c r="BC988" s="108"/>
      <c r="BD988" s="108"/>
      <c r="BE988" s="108"/>
      <c r="BF988" s="108"/>
      <c r="BG988" s="108"/>
      <c r="BH988" s="108"/>
      <c r="BI988" s="108"/>
      <c r="BJ988" s="108"/>
      <c r="BK988" s="108"/>
      <c r="BL988" s="108"/>
      <c r="BM988" s="109"/>
      <c r="BN988" s="108"/>
      <c r="BO988" s="108"/>
      <c r="BP988" s="108"/>
    </row>
    <row r="989" spans="1:68" ht="12" customHeight="1" x14ac:dyDescent="0.2">
      <c r="A989" s="179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  <c r="BC989" s="108"/>
      <c r="BD989" s="108"/>
      <c r="BE989" s="108"/>
      <c r="BF989" s="108"/>
      <c r="BG989" s="108"/>
      <c r="BH989" s="108"/>
      <c r="BI989" s="108"/>
      <c r="BJ989" s="108"/>
      <c r="BK989" s="108"/>
      <c r="BL989" s="108"/>
      <c r="BM989" s="109"/>
      <c r="BN989" s="108"/>
      <c r="BO989" s="108"/>
      <c r="BP989" s="108"/>
    </row>
    <row r="990" spans="1:68" ht="12" customHeight="1" x14ac:dyDescent="0.2">
      <c r="A990" s="179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  <c r="BC990" s="108"/>
      <c r="BD990" s="108"/>
      <c r="BE990" s="108"/>
      <c r="BF990" s="108"/>
      <c r="BG990" s="108"/>
      <c r="BH990" s="108"/>
      <c r="BI990" s="108"/>
      <c r="BJ990" s="108"/>
      <c r="BK990" s="108"/>
      <c r="BL990" s="108"/>
      <c r="BM990" s="109"/>
      <c r="BN990" s="108"/>
      <c r="BO990" s="108"/>
      <c r="BP990" s="108"/>
    </row>
    <row r="991" spans="1:68" ht="12" customHeight="1" x14ac:dyDescent="0.2">
      <c r="A991" s="179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  <c r="BC991" s="108"/>
      <c r="BD991" s="108"/>
      <c r="BE991" s="108"/>
      <c r="BF991" s="108"/>
      <c r="BG991" s="108"/>
      <c r="BH991" s="108"/>
      <c r="BI991" s="108"/>
      <c r="BJ991" s="108"/>
      <c r="BK991" s="108"/>
      <c r="BL991" s="108"/>
      <c r="BM991" s="109"/>
      <c r="BN991" s="108"/>
      <c r="BO991" s="108"/>
      <c r="BP991" s="108"/>
    </row>
    <row r="992" spans="1:68" ht="12" customHeight="1" x14ac:dyDescent="0.2">
      <c r="A992" s="179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  <c r="BC992" s="108"/>
      <c r="BD992" s="108"/>
      <c r="BE992" s="108"/>
      <c r="BF992" s="108"/>
      <c r="BG992" s="108"/>
      <c r="BH992" s="108"/>
      <c r="BI992" s="108"/>
      <c r="BJ992" s="108"/>
      <c r="BK992" s="108"/>
      <c r="BL992" s="108"/>
      <c r="BM992" s="109"/>
      <c r="BN992" s="108"/>
      <c r="BO992" s="108"/>
      <c r="BP992" s="108"/>
    </row>
    <row r="993" spans="1:68" ht="12" customHeight="1" x14ac:dyDescent="0.2">
      <c r="A993" s="179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  <c r="BC993" s="108"/>
      <c r="BD993" s="108"/>
      <c r="BE993" s="108"/>
      <c r="BF993" s="108"/>
      <c r="BG993" s="108"/>
      <c r="BH993" s="108"/>
      <c r="BI993" s="108"/>
      <c r="BJ993" s="108"/>
      <c r="BK993" s="108"/>
      <c r="BL993" s="108"/>
      <c r="BM993" s="109"/>
      <c r="BN993" s="108"/>
      <c r="BO993" s="108"/>
      <c r="BP993" s="108"/>
    </row>
    <row r="994" spans="1:68" ht="12" customHeight="1" x14ac:dyDescent="0.2">
      <c r="A994" s="179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  <c r="BC994" s="108"/>
      <c r="BD994" s="108"/>
      <c r="BE994" s="108"/>
      <c r="BF994" s="108"/>
      <c r="BG994" s="108"/>
      <c r="BH994" s="108"/>
      <c r="BI994" s="108"/>
      <c r="BJ994" s="108"/>
      <c r="BK994" s="108"/>
      <c r="BL994" s="108"/>
      <c r="BM994" s="109"/>
      <c r="BN994" s="108"/>
      <c r="BO994" s="108"/>
      <c r="BP994" s="108"/>
    </row>
    <row r="995" spans="1:68" ht="12" customHeight="1" x14ac:dyDescent="0.2">
      <c r="A995" s="179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  <c r="BC995" s="108"/>
      <c r="BD995" s="108"/>
      <c r="BE995" s="108"/>
      <c r="BF995" s="108"/>
      <c r="BG995" s="108"/>
      <c r="BH995" s="108"/>
      <c r="BI995" s="108"/>
      <c r="BJ995" s="108"/>
      <c r="BK995" s="108"/>
      <c r="BL995" s="108"/>
      <c r="BM995" s="109"/>
      <c r="BN995" s="108"/>
      <c r="BO995" s="108"/>
      <c r="BP995" s="108"/>
    </row>
    <row r="996" spans="1:68" ht="12" customHeight="1" x14ac:dyDescent="0.2">
      <c r="A996" s="179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  <c r="BC996" s="108"/>
      <c r="BD996" s="108"/>
      <c r="BE996" s="108"/>
      <c r="BF996" s="108"/>
      <c r="BG996" s="108"/>
      <c r="BH996" s="108"/>
      <c r="BI996" s="108"/>
      <c r="BJ996" s="108"/>
      <c r="BK996" s="108"/>
      <c r="BL996" s="108"/>
      <c r="BM996" s="109"/>
      <c r="BN996" s="108"/>
      <c r="BO996" s="108"/>
      <c r="BP996" s="108"/>
    </row>
    <row r="997" spans="1:68" ht="12" customHeight="1" x14ac:dyDescent="0.2">
      <c r="A997" s="179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  <c r="BC997" s="108"/>
      <c r="BD997" s="108"/>
      <c r="BE997" s="108"/>
      <c r="BF997" s="108"/>
      <c r="BG997" s="108"/>
      <c r="BH997" s="108"/>
      <c r="BI997" s="108"/>
      <c r="BJ997" s="108"/>
      <c r="BK997" s="108"/>
      <c r="BL997" s="108"/>
      <c r="BM997" s="109"/>
      <c r="BN997" s="108"/>
      <c r="BO997" s="108"/>
      <c r="BP997" s="108"/>
    </row>
    <row r="998" spans="1:68" ht="12" customHeight="1" x14ac:dyDescent="0.2">
      <c r="A998" s="179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  <c r="BA998" s="108"/>
      <c r="BB998" s="108"/>
      <c r="BC998" s="108"/>
      <c r="BD998" s="108"/>
      <c r="BE998" s="108"/>
      <c r="BF998" s="108"/>
      <c r="BG998" s="108"/>
      <c r="BH998" s="108"/>
      <c r="BI998" s="108"/>
      <c r="BJ998" s="108"/>
      <c r="BK998" s="108"/>
      <c r="BL998" s="108"/>
      <c r="BM998" s="109"/>
      <c r="BN998" s="108"/>
      <c r="BO998" s="108"/>
      <c r="BP998" s="108"/>
    </row>
    <row r="999" spans="1:68" ht="12" customHeight="1" x14ac:dyDescent="0.2">
      <c r="A999" s="179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  <c r="BA999" s="108"/>
      <c r="BB999" s="108"/>
      <c r="BC999" s="108"/>
      <c r="BD999" s="108"/>
      <c r="BE999" s="108"/>
      <c r="BF999" s="108"/>
      <c r="BG999" s="108"/>
      <c r="BH999" s="108"/>
      <c r="BI999" s="108"/>
      <c r="BJ999" s="108"/>
      <c r="BK999" s="108"/>
      <c r="BL999" s="108"/>
      <c r="BM999" s="109"/>
      <c r="BN999" s="108"/>
      <c r="BO999" s="108"/>
      <c r="BP999" s="108"/>
    </row>
    <row r="1000" spans="1:68" ht="12" customHeight="1" x14ac:dyDescent="0.2">
      <c r="A1000" s="179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  <c r="BA1000" s="108"/>
      <c r="BB1000" s="108"/>
      <c r="BC1000" s="108"/>
      <c r="BD1000" s="108"/>
      <c r="BE1000" s="108"/>
      <c r="BF1000" s="108"/>
      <c r="BG1000" s="108"/>
      <c r="BH1000" s="108"/>
      <c r="BI1000" s="108"/>
      <c r="BJ1000" s="108"/>
      <c r="BK1000" s="108"/>
      <c r="BL1000" s="108"/>
      <c r="BM1000" s="109"/>
      <c r="BN1000" s="108"/>
      <c r="BO1000" s="108"/>
      <c r="BP1000" s="108"/>
    </row>
  </sheetData>
  <pageMargins left="0.7" right="0.7" top="0.75" bottom="0.75" header="0" footer="0"/>
  <pageSetup paperSize="9" orientation="portrait"/>
  <ignoredErrors>
    <ignoredError sqref="D2:D3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1184-F1C4-CC45-AAC3-9AF627022F76}">
  <sheetPr>
    <tabColor rgb="FF92D050"/>
  </sheetPr>
  <dimension ref="B3:N21"/>
  <sheetViews>
    <sheetView showGridLines="0" zoomScale="200" zoomScaleNormal="200" workbookViewId="0">
      <selection activeCell="M9" sqref="M9"/>
    </sheetView>
  </sheetViews>
  <sheetFormatPr baseColWidth="10" defaultRowHeight="15" x14ac:dyDescent="0.2"/>
  <cols>
    <col min="1" max="1" width="3.5" customWidth="1"/>
    <col min="2" max="2" width="27.6640625" bestFit="1" customWidth="1"/>
    <col min="3" max="3" width="9.83203125" bestFit="1" customWidth="1"/>
    <col min="4" max="4" width="9.6640625" hidden="1" customWidth="1"/>
    <col min="5" max="5" width="9.83203125" bestFit="1" customWidth="1"/>
    <col min="6" max="6" width="10.83203125" bestFit="1" customWidth="1"/>
    <col min="7" max="7" width="12.1640625" hidden="1" customWidth="1"/>
    <col min="8" max="8" width="9.83203125" hidden="1" customWidth="1"/>
    <col min="9" max="9" width="10.6640625" hidden="1" customWidth="1"/>
    <col min="10" max="10" width="15.1640625" customWidth="1"/>
    <col min="11" max="11" width="8.1640625" hidden="1" customWidth="1"/>
    <col min="12" max="12" width="3" customWidth="1"/>
    <col min="13" max="13" width="12" customWidth="1"/>
    <col min="14" max="14" width="15.6640625" customWidth="1"/>
    <col min="15" max="15" width="12" bestFit="1" customWidth="1"/>
  </cols>
  <sheetData>
    <row r="3" spans="2:14" ht="31" x14ac:dyDescent="0.35">
      <c r="B3" s="82" t="s">
        <v>103</v>
      </c>
      <c r="D3" s="75"/>
      <c r="E3" s="456" t="s">
        <v>210</v>
      </c>
      <c r="F3" s="456"/>
      <c r="G3" s="456"/>
      <c r="H3" s="456"/>
      <c r="I3" s="456"/>
      <c r="J3" s="456"/>
    </row>
    <row r="5" spans="2:14" s="77" customFormat="1" ht="27" thickBot="1" x14ac:dyDescent="0.35">
      <c r="B5" s="76" t="s">
        <v>28</v>
      </c>
      <c r="C5" s="76" t="s">
        <v>120</v>
      </c>
      <c r="D5" s="76" t="s">
        <v>121</v>
      </c>
      <c r="E5" s="76" t="s">
        <v>91</v>
      </c>
      <c r="F5" s="202" t="s">
        <v>124</v>
      </c>
      <c r="G5" s="202" t="s">
        <v>130</v>
      </c>
      <c r="H5" s="202" t="s">
        <v>131</v>
      </c>
      <c r="I5" s="202" t="s">
        <v>123</v>
      </c>
      <c r="J5" s="202" t="s">
        <v>92</v>
      </c>
      <c r="K5" s="202" t="s">
        <v>92</v>
      </c>
      <c r="L5"/>
      <c r="M5" s="461" t="s">
        <v>116</v>
      </c>
      <c r="N5" s="461"/>
    </row>
    <row r="6" spans="2:14" s="77" customFormat="1" ht="25" x14ac:dyDescent="0.3">
      <c r="B6" s="90" t="s">
        <v>79</v>
      </c>
      <c r="C6" s="80">
        <f>+HLOOKUP($E3,DOWNSTREAM!$A$1:$AN$46,35,0)</f>
        <v>8670</v>
      </c>
      <c r="D6" s="80" t="e">
        <f>+HLOOKUP($E3,'DOWNSTREAM mod'!$A$1:$AJ$44,33,0)</f>
        <v>#N/A</v>
      </c>
      <c r="E6" s="80">
        <f>+HLOOKUP($E$3,DOWNSTREAM!$A$1:$AN$46,36,0)</f>
        <v>9281.3040000000001</v>
      </c>
      <c r="F6" s="208">
        <f>+E6-C6</f>
        <v>611.30400000000009</v>
      </c>
      <c r="G6" s="283">
        <v>949.11</v>
      </c>
      <c r="H6" s="208">
        <f>+G6+E6</f>
        <v>10230.414000000001</v>
      </c>
      <c r="I6" s="208" t="e">
        <f>+H6-D6</f>
        <v>#N/A</v>
      </c>
      <c r="J6" s="209">
        <f>+E6/C6</f>
        <v>1.0705079584775086</v>
      </c>
      <c r="K6" s="209" t="e">
        <f>+H6/D6</f>
        <v>#N/A</v>
      </c>
      <c r="L6"/>
      <c r="M6" s="457">
        <v>440.79189564000001</v>
      </c>
      <c r="N6" s="459" t="s">
        <v>162</v>
      </c>
    </row>
    <row r="7" spans="2:14" s="77" customFormat="1" ht="25" x14ac:dyDescent="0.3">
      <c r="B7" s="91" t="s">
        <v>80</v>
      </c>
      <c r="C7" s="79">
        <f>+HLOOKUP($E$3,DOWNSTREAM!$A$1:$AN$46,38,0)</f>
        <v>770</v>
      </c>
      <c r="D7" s="79" t="e">
        <f>+HLOOKUP($E$3,'DOWNSTREAM mod'!$A$1:$AJ$44,36,0)</f>
        <v>#N/A</v>
      </c>
      <c r="E7" s="79">
        <f>+HLOOKUP($E$3,DOWNSTREAM!$A$1:$AN$46,39,0)</f>
        <v>814.803</v>
      </c>
      <c r="F7" s="210">
        <f>+E7-C7</f>
        <v>44.802999999999997</v>
      </c>
      <c r="G7" s="210"/>
      <c r="H7" s="210">
        <f>+G7+E7</f>
        <v>814.803</v>
      </c>
      <c r="I7" s="210" t="e">
        <f>+H7-D7</f>
        <v>#N/A</v>
      </c>
      <c r="J7" s="216">
        <f>+E7/C7</f>
        <v>1.0581857142857143</v>
      </c>
      <c r="K7" s="216" t="e">
        <f>+H7/D7</f>
        <v>#N/A</v>
      </c>
      <c r="L7"/>
      <c r="M7" s="458"/>
      <c r="N7" s="460"/>
    </row>
    <row r="8" spans="2:14" s="77" customFormat="1" ht="25" x14ac:dyDescent="0.3">
      <c r="B8" s="91" t="s">
        <v>81</v>
      </c>
      <c r="C8" s="79">
        <f>+HLOOKUP($E$3,DOWNSTREAM!$A$1:$AN$46,41,0)</f>
        <v>5000</v>
      </c>
      <c r="D8" s="79" t="e">
        <f>+HLOOKUP($E$3,'DOWNSTREAM mod'!$A$1:$AJ$44,39,0)</f>
        <v>#N/A</v>
      </c>
      <c r="E8" s="79">
        <f>+HLOOKUP($E$3,DOWNSTREAM!$A$1:$AN$46,42,0)</f>
        <v>5752.1509999999998</v>
      </c>
      <c r="F8" s="210">
        <f>+E8-C8</f>
        <v>752.15099999999984</v>
      </c>
      <c r="G8" s="210"/>
      <c r="H8" s="210">
        <f>+G8+E8</f>
        <v>5752.1509999999998</v>
      </c>
      <c r="I8" s="210" t="e">
        <f>+H8-D8</f>
        <v>#N/A</v>
      </c>
      <c r="J8" s="216">
        <f>+E8/C8</f>
        <v>1.1504302</v>
      </c>
      <c r="K8" s="216" t="e">
        <f>+H8/D8</f>
        <v>#N/A</v>
      </c>
      <c r="L8"/>
      <c r="M8" s="423">
        <v>323.2913762057143</v>
      </c>
      <c r="N8" s="424" t="s">
        <v>118</v>
      </c>
    </row>
    <row r="9" spans="2:14" s="77" customFormat="1" ht="26" thickBot="1" x14ac:dyDescent="0.35">
      <c r="B9" s="92" t="s">
        <v>82</v>
      </c>
      <c r="C9" s="81">
        <f>+HLOOKUP($E$3,DOWNSTREAM!$A$1:$AN$46,44,0)</f>
        <v>1815.0790000000002</v>
      </c>
      <c r="D9" s="81" t="e">
        <f>+HLOOKUP($E$3,'DOWNSTREAM mod'!$A$1:$AJ$44,42,0)</f>
        <v>#N/A</v>
      </c>
      <c r="E9" s="81">
        <f>+HLOOKUP($E$3,DOWNSTREAM!$A$1:$AN$46,45,0)</f>
        <v>1531.579</v>
      </c>
      <c r="F9" s="224">
        <f>+E9-C9</f>
        <v>-283.50000000000023</v>
      </c>
      <c r="G9" s="224"/>
      <c r="H9" s="224">
        <f>+G9+E9</f>
        <v>1531.579</v>
      </c>
      <c r="I9" s="224" t="e">
        <f>+H9-D9</f>
        <v>#N/A</v>
      </c>
      <c r="J9" s="225">
        <f>+E9/C9</f>
        <v>0.84380845131258742</v>
      </c>
      <c r="K9" s="225" t="e">
        <f>+H9/D9</f>
        <v>#N/A</v>
      </c>
      <c r="L9"/>
      <c r="M9" s="430">
        <v>327</v>
      </c>
      <c r="N9" s="425" t="s">
        <v>204</v>
      </c>
    </row>
    <row r="10" spans="2:14" s="77" customFormat="1" ht="10" customHeight="1" x14ac:dyDescent="0.3">
      <c r="B10" s="86"/>
      <c r="C10" s="79"/>
      <c r="D10" s="79"/>
      <c r="E10" s="79"/>
      <c r="F10" s="78"/>
      <c r="G10" s="78"/>
      <c r="H10" s="78"/>
      <c r="I10" s="78"/>
      <c r="J10" s="79"/>
      <c r="K10" s="79"/>
      <c r="L10"/>
    </row>
    <row r="11" spans="2:14" s="77" customFormat="1" ht="24" x14ac:dyDescent="0.3">
      <c r="B11" s="88" t="s">
        <v>38</v>
      </c>
      <c r="C11" s="89">
        <f t="shared" ref="C11:H11" si="0">+SUM(C6:C9)</f>
        <v>16255.079</v>
      </c>
      <c r="D11" s="89" t="e">
        <f t="shared" si="0"/>
        <v>#N/A</v>
      </c>
      <c r="E11" s="89">
        <f t="shared" si="0"/>
        <v>17379.837</v>
      </c>
      <c r="F11" s="89">
        <f t="shared" si="0"/>
        <v>1124.7579999999996</v>
      </c>
      <c r="G11" s="89">
        <f t="shared" si="0"/>
        <v>949.11</v>
      </c>
      <c r="H11" s="89">
        <f t="shared" si="0"/>
        <v>18328.947000000004</v>
      </c>
      <c r="I11" s="89" t="e">
        <f>+H11-D11</f>
        <v>#N/A</v>
      </c>
      <c r="J11" s="275">
        <f>+E11/C11</f>
        <v>1.0691942499941096</v>
      </c>
      <c r="K11" s="275" t="e">
        <f>+H11/D11</f>
        <v>#N/A</v>
      </c>
      <c r="L11"/>
    </row>
    <row r="12" spans="2:14" s="77" customFormat="1" ht="24" x14ac:dyDescent="0.3">
      <c r="L12"/>
    </row>
    <row r="17" spans="2:14" ht="27" x14ac:dyDescent="0.3">
      <c r="B17" s="274" t="s">
        <v>161</v>
      </c>
      <c r="K17" s="181"/>
      <c r="L17" s="181"/>
    </row>
    <row r="19" spans="2:14" x14ac:dyDescent="0.2">
      <c r="B19" s="322" t="s">
        <v>162</v>
      </c>
      <c r="C19" s="367">
        <v>0.94840000000000002</v>
      </c>
    </row>
    <row r="20" spans="2:14" x14ac:dyDescent="0.2">
      <c r="B20" s="322" t="s">
        <v>118</v>
      </c>
      <c r="C20" s="368">
        <v>0.74399999999999999</v>
      </c>
      <c r="E20" s="322" t="s">
        <v>173</v>
      </c>
    </row>
    <row r="21" spans="2:14" x14ac:dyDescent="0.2">
      <c r="N21" s="329"/>
    </row>
  </sheetData>
  <mergeCells count="4">
    <mergeCell ref="E3:J3"/>
    <mergeCell ref="M6:M7"/>
    <mergeCell ref="N6:N7"/>
    <mergeCell ref="M5:N5"/>
  </mergeCells>
  <conditionalFormatting sqref="J6:J9">
    <cfRule type="iconSet" priority="4">
      <iconSet>
        <cfvo type="percent" val="0"/>
        <cfvo type="num" val="0.95" gte="0"/>
        <cfvo type="num" val="0.98"/>
      </iconSet>
    </cfRule>
  </conditionalFormatting>
  <conditionalFormatting sqref="J10:K10">
    <cfRule type="iconSet" priority="19">
      <iconSet>
        <cfvo type="percent" val="0"/>
        <cfvo type="num" val="-200"/>
        <cfvo type="num" val="-150" gte="0"/>
      </iconSet>
    </cfRule>
  </conditionalFormatting>
  <conditionalFormatting sqref="J11:K11">
    <cfRule type="iconSet" priority="2">
      <iconSet>
        <cfvo type="percent" val="0"/>
        <cfvo type="num" val="0.95" gte="0"/>
        <cfvo type="num" val="0.98"/>
      </iconSet>
    </cfRule>
  </conditionalFormatting>
  <conditionalFormatting sqref="K6:K9">
    <cfRule type="iconSet" priority="1">
      <iconSet>
        <cfvo type="percent" val="0"/>
        <cfvo type="num" val="0.95" gte="0"/>
        <cfvo type="num" val="0.98"/>
      </iconSe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98A226-983E-344B-A88D-EB3A8376C6F8}">
          <x14:formula1>
            <xm:f>Lista!$C$5:$C$9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11FB-0188-1E43-B657-4700AC165B77}">
  <dimension ref="C4:C17"/>
  <sheetViews>
    <sheetView workbookViewId="0">
      <selection activeCell="C10" sqref="C10"/>
    </sheetView>
  </sheetViews>
  <sheetFormatPr baseColWidth="10" defaultRowHeight="15" x14ac:dyDescent="0.2"/>
  <cols>
    <col min="3" max="3" width="14.1640625" bestFit="1" customWidth="1"/>
  </cols>
  <sheetData>
    <row r="4" spans="3:3" ht="16" thickBot="1" x14ac:dyDescent="0.25"/>
    <row r="5" spans="3:3" ht="16" thickBot="1" x14ac:dyDescent="0.25">
      <c r="C5" s="2" t="s">
        <v>99</v>
      </c>
    </row>
    <row r="6" spans="3:3" ht="16" thickBot="1" x14ac:dyDescent="0.25">
      <c r="C6" s="2" t="s">
        <v>100</v>
      </c>
    </row>
    <row r="7" spans="3:3" ht="16" thickBot="1" x14ac:dyDescent="0.25">
      <c r="C7" s="2" t="s">
        <v>101</v>
      </c>
    </row>
    <row r="8" spans="3:3" ht="16" thickBot="1" x14ac:dyDescent="0.25">
      <c r="C8" s="2" t="s">
        <v>102</v>
      </c>
    </row>
    <row r="9" spans="3:3" ht="16" thickBot="1" x14ac:dyDescent="0.25">
      <c r="C9" s="3" t="s">
        <v>210</v>
      </c>
    </row>
    <row r="13" spans="3:3" x14ac:dyDescent="0.2">
      <c r="C13" s="272" t="s">
        <v>99</v>
      </c>
    </row>
    <row r="14" spans="3:3" x14ac:dyDescent="0.2">
      <c r="C14" s="272" t="s">
        <v>100</v>
      </c>
    </row>
    <row r="15" spans="3:3" x14ac:dyDescent="0.2">
      <c r="C15" s="272" t="s">
        <v>101</v>
      </c>
    </row>
    <row r="16" spans="3:3" x14ac:dyDescent="0.2">
      <c r="C16" s="272" t="s">
        <v>102</v>
      </c>
    </row>
    <row r="17" spans="3:3" x14ac:dyDescent="0.2">
      <c r="C17" s="272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15"/>
  <sheetViews>
    <sheetView showGridLines="0" topLeftCell="A96" zoomScale="310" zoomScaleNormal="310" workbookViewId="0">
      <selection activeCell="C108" sqref="C108"/>
    </sheetView>
  </sheetViews>
  <sheetFormatPr baseColWidth="10" defaultColWidth="14.5" defaultRowHeight="15" x14ac:dyDescent="0.2"/>
  <cols>
    <col min="1" max="1" width="3.83203125" customWidth="1"/>
    <col min="2" max="2" width="15.5" customWidth="1"/>
    <col min="3" max="4" width="10.6640625" customWidth="1"/>
    <col min="5" max="5" width="6.6640625" bestFit="1" customWidth="1"/>
    <col min="6" max="6" width="8.5" customWidth="1"/>
    <col min="7" max="7" width="7.6640625" bestFit="1" customWidth="1"/>
    <col min="8" max="8" width="16.5" customWidth="1"/>
    <col min="9" max="9" width="7" customWidth="1"/>
    <col min="10" max="10" width="7" bestFit="1" customWidth="1"/>
    <col min="11" max="11" width="9.83203125" customWidth="1"/>
    <col min="12" max="12" width="9.5" customWidth="1"/>
    <col min="13" max="13" width="12.1640625" customWidth="1"/>
    <col min="14" max="14" width="14.1640625" customWidth="1"/>
    <col min="15" max="15" width="16.33203125" customWidth="1"/>
    <col min="16" max="26" width="10.6640625" customWidth="1"/>
  </cols>
  <sheetData>
    <row r="1" spans="2:9" ht="16" hidden="1" x14ac:dyDescent="0.2">
      <c r="B1" s="68" t="s">
        <v>132</v>
      </c>
      <c r="C1" s="69"/>
      <c r="D1" s="69"/>
      <c r="E1" s="69"/>
      <c r="F1" s="69"/>
      <c r="G1" s="69"/>
      <c r="H1" s="70" t="s">
        <v>141</v>
      </c>
      <c r="I1" s="70" t="s">
        <v>92</v>
      </c>
    </row>
    <row r="2" spans="2:9" ht="24" hidden="1" x14ac:dyDescent="0.3">
      <c r="C2" s="70" t="s">
        <v>83</v>
      </c>
      <c r="D2" s="70" t="s">
        <v>84</v>
      </c>
      <c r="E2" s="70" t="s">
        <v>6</v>
      </c>
      <c r="F2" s="70" t="s">
        <v>85</v>
      </c>
      <c r="G2" s="70" t="s">
        <v>44</v>
      </c>
      <c r="H2" s="203"/>
    </row>
    <row r="3" spans="2:9" hidden="1" x14ac:dyDescent="0.2">
      <c r="B3" s="67" t="s">
        <v>87</v>
      </c>
      <c r="C3" s="71">
        <v>23000</v>
      </c>
      <c r="D3" s="72">
        <v>0.20399999999999999</v>
      </c>
      <c r="E3" s="71">
        <f>+D3*C3</f>
        <v>4692</v>
      </c>
      <c r="F3" s="71">
        <f>+C3*0.055</f>
        <v>1265</v>
      </c>
      <c r="H3" s="288">
        <v>923</v>
      </c>
      <c r="I3" s="289" t="s">
        <v>140</v>
      </c>
    </row>
    <row r="4" spans="2:9" hidden="1" x14ac:dyDescent="0.2">
      <c r="B4" s="67" t="s">
        <v>88</v>
      </c>
      <c r="C4" s="71">
        <v>9000</v>
      </c>
      <c r="D4" s="72">
        <v>0.18</v>
      </c>
      <c r="E4" s="71">
        <f>+D4*C4</f>
        <v>1620</v>
      </c>
      <c r="F4" s="71">
        <f>+C4*0.05</f>
        <v>450</v>
      </c>
      <c r="H4" s="288" t="s">
        <v>138</v>
      </c>
      <c r="I4" s="289" t="s">
        <v>139</v>
      </c>
    </row>
    <row r="5" spans="2:9" hidden="1" x14ac:dyDescent="0.2">
      <c r="B5" s="67" t="s">
        <v>89</v>
      </c>
      <c r="C5" s="71">
        <v>20000</v>
      </c>
      <c r="D5" s="72">
        <v>0.22700000000000001</v>
      </c>
      <c r="E5" s="71">
        <f>+D5*C5</f>
        <v>4540</v>
      </c>
      <c r="F5" s="71">
        <f>+C5*0.05</f>
        <v>1000</v>
      </c>
      <c r="H5" s="288" t="s">
        <v>136</v>
      </c>
      <c r="I5" s="289" t="s">
        <v>137</v>
      </c>
    </row>
    <row r="6" spans="2:9" hidden="1" x14ac:dyDescent="0.2">
      <c r="B6" s="67" t="s">
        <v>90</v>
      </c>
      <c r="C6" s="71">
        <v>8000</v>
      </c>
      <c r="D6" s="72">
        <v>0.20499999999999999</v>
      </c>
      <c r="E6" s="71">
        <f>+D6*C6</f>
        <v>1640</v>
      </c>
      <c r="F6" s="71">
        <f>+C6*0.045</f>
        <v>360</v>
      </c>
      <c r="H6" s="288" t="s">
        <v>134</v>
      </c>
      <c r="I6" s="289" t="s">
        <v>135</v>
      </c>
    </row>
    <row r="7" spans="2:9" hidden="1" x14ac:dyDescent="0.2">
      <c r="B7" s="67" t="s">
        <v>38</v>
      </c>
      <c r="C7" s="73">
        <f>+SUM(C3:C6)</f>
        <v>60000</v>
      </c>
      <c r="D7" s="74">
        <f>+E7/C7</f>
        <v>0.2082</v>
      </c>
      <c r="E7" s="73">
        <f>+SUM(E3:E6)</f>
        <v>12492</v>
      </c>
      <c r="F7" s="73">
        <f>+SUM(F3:F6)-1-400</f>
        <v>2674</v>
      </c>
      <c r="G7" s="73">
        <f>+F7*0.405-1</f>
        <v>1081.97</v>
      </c>
    </row>
    <row r="8" spans="2:9" hidden="1" x14ac:dyDescent="0.2"/>
    <row r="9" spans="2:9" hidden="1" x14ac:dyDescent="0.2"/>
    <row r="10" spans="2:9" hidden="1" x14ac:dyDescent="0.2"/>
    <row r="11" spans="2:9" hidden="1" x14ac:dyDescent="0.2"/>
    <row r="12" spans="2:9" hidden="1" x14ac:dyDescent="0.2"/>
    <row r="13" spans="2:9" ht="16" hidden="1" x14ac:dyDescent="0.2">
      <c r="B13" s="68" t="s">
        <v>163</v>
      </c>
      <c r="C13" s="69"/>
      <c r="D13" s="69"/>
      <c r="E13" s="69"/>
      <c r="F13" s="69"/>
      <c r="G13" s="69"/>
    </row>
    <row r="14" spans="2:9" hidden="1" x14ac:dyDescent="0.2">
      <c r="C14" s="70" t="s">
        <v>83</v>
      </c>
      <c r="D14" s="70" t="s">
        <v>84</v>
      </c>
      <c r="E14" s="70" t="s">
        <v>6</v>
      </c>
      <c r="F14" s="70" t="s">
        <v>85</v>
      </c>
      <c r="G14" s="70" t="s">
        <v>44</v>
      </c>
    </row>
    <row r="15" spans="2:9" hidden="1" x14ac:dyDescent="0.2">
      <c r="B15" s="67" t="s">
        <v>87</v>
      </c>
      <c r="C15" s="330">
        <v>19900</v>
      </c>
      <c r="D15" s="331">
        <v>0.214</v>
      </c>
      <c r="E15" s="320">
        <f>+D15*C15</f>
        <v>4258.6000000000004</v>
      </c>
      <c r="F15" s="320">
        <f>+C15*0.055</f>
        <v>1094.5</v>
      </c>
      <c r="G15" s="332"/>
    </row>
    <row r="16" spans="2:9" hidden="1" x14ac:dyDescent="0.2">
      <c r="B16" s="67" t="s">
        <v>88</v>
      </c>
      <c r="C16" s="330">
        <v>8800</v>
      </c>
      <c r="D16" s="331">
        <v>0.19500000000000001</v>
      </c>
      <c r="E16" s="320">
        <f>+D16*C16</f>
        <v>1716</v>
      </c>
      <c r="F16" s="320">
        <f>+C16*0.05</f>
        <v>440</v>
      </c>
      <c r="G16" s="332"/>
    </row>
    <row r="17" spans="2:9" hidden="1" x14ac:dyDescent="0.2">
      <c r="B17" s="67" t="s">
        <v>89</v>
      </c>
      <c r="C17" s="330">
        <v>18300</v>
      </c>
      <c r="D17" s="331">
        <v>0.23400000000000001</v>
      </c>
      <c r="E17" s="320">
        <f>+D17*C17</f>
        <v>4282.2</v>
      </c>
      <c r="F17" s="320">
        <f>+C17*0.05</f>
        <v>915</v>
      </c>
      <c r="G17" s="332"/>
    </row>
    <row r="18" spans="2:9" hidden="1" x14ac:dyDescent="0.2">
      <c r="B18" s="67" t="s">
        <v>90</v>
      </c>
      <c r="C18" s="330">
        <v>6250</v>
      </c>
      <c r="D18" s="318">
        <v>0.23</v>
      </c>
      <c r="E18" s="320">
        <f>+D18*C18</f>
        <v>1437.5</v>
      </c>
      <c r="F18" s="320">
        <f>+C18*0.045</f>
        <v>281.25</v>
      </c>
      <c r="G18" s="332"/>
    </row>
    <row r="19" spans="2:9" hidden="1" x14ac:dyDescent="0.2">
      <c r="B19" s="67" t="s">
        <v>38</v>
      </c>
      <c r="C19" s="333">
        <f>+SUM(C15:C18)</f>
        <v>53250</v>
      </c>
      <c r="D19" s="319">
        <f>+E19/C19</f>
        <v>0.21961126760563379</v>
      </c>
      <c r="E19" s="321">
        <f>+SUM(E15:E18)</f>
        <v>11694.3</v>
      </c>
      <c r="F19" s="321">
        <f>+SUM(F15:F18)-1</f>
        <v>2729.75</v>
      </c>
      <c r="G19" s="321">
        <f>+F19*0.41-1</f>
        <v>1118.1975</v>
      </c>
    </row>
    <row r="20" spans="2:9" hidden="1" x14ac:dyDescent="0.2"/>
    <row r="21" spans="2:9" hidden="1" x14ac:dyDescent="0.2"/>
    <row r="22" spans="2:9" ht="16" hidden="1" x14ac:dyDescent="0.2">
      <c r="B22" s="370" t="s">
        <v>170</v>
      </c>
      <c r="C22" s="370"/>
      <c r="D22" s="371"/>
      <c r="E22" s="371"/>
      <c r="F22" s="371"/>
      <c r="G22" s="371"/>
      <c r="H22" s="366" t="s">
        <v>171</v>
      </c>
      <c r="I22" s="408" t="s">
        <v>196</v>
      </c>
    </row>
    <row r="23" spans="2:9" hidden="1" x14ac:dyDescent="0.2">
      <c r="B23" s="372"/>
      <c r="C23" s="373" t="s">
        <v>83</v>
      </c>
      <c r="D23" s="373" t="s">
        <v>84</v>
      </c>
      <c r="E23" s="373" t="s">
        <v>6</v>
      </c>
      <c r="F23" s="373" t="s">
        <v>85</v>
      </c>
      <c r="G23" s="373" t="s">
        <v>44</v>
      </c>
      <c r="H23" s="364"/>
    </row>
    <row r="24" spans="2:9" hidden="1" x14ac:dyDescent="0.2">
      <c r="B24" s="374" t="s">
        <v>87</v>
      </c>
      <c r="C24" s="375">
        <v>17500</v>
      </c>
      <c r="D24" s="376">
        <v>0.22700000000000001</v>
      </c>
      <c r="E24" s="375">
        <f>+D24*C24</f>
        <v>3972.5</v>
      </c>
      <c r="F24" s="320">
        <f>+C24*0.055</f>
        <v>962.5</v>
      </c>
      <c r="G24" s="332"/>
      <c r="H24" s="305">
        <f>17700+1450</f>
        <v>19150</v>
      </c>
      <c r="I24" s="409">
        <v>0.192</v>
      </c>
    </row>
    <row r="25" spans="2:9" hidden="1" x14ac:dyDescent="0.2">
      <c r="B25" s="374" t="s">
        <v>88</v>
      </c>
      <c r="C25" s="375">
        <v>6300</v>
      </c>
      <c r="D25" s="376">
        <v>0.2</v>
      </c>
      <c r="E25" s="375">
        <f>+D25*C25</f>
        <v>1260</v>
      </c>
      <c r="F25" s="320">
        <f>+C25*0.05</f>
        <v>315</v>
      </c>
      <c r="G25" s="332"/>
      <c r="H25" s="305">
        <v>8900</v>
      </c>
      <c r="I25" s="409">
        <v>0.17499999999999999</v>
      </c>
    </row>
    <row r="26" spans="2:9" hidden="1" x14ac:dyDescent="0.2">
      <c r="B26" s="374" t="s">
        <v>89</v>
      </c>
      <c r="C26" s="375">
        <v>16100</v>
      </c>
      <c r="D26" s="376">
        <v>0.23499999999999999</v>
      </c>
      <c r="E26" s="375">
        <f>+D26*C26</f>
        <v>3783.5</v>
      </c>
      <c r="F26" s="320">
        <f>+C26*0.05</f>
        <v>805</v>
      </c>
      <c r="G26" s="332"/>
      <c r="H26" s="305">
        <v>17581</v>
      </c>
      <c r="I26" s="409">
        <v>0.19600000000000001</v>
      </c>
    </row>
    <row r="27" spans="2:9" hidden="1" x14ac:dyDescent="0.2">
      <c r="B27" s="374" t="s">
        <v>90</v>
      </c>
      <c r="C27" s="375">
        <v>6200</v>
      </c>
      <c r="D27" s="377">
        <v>0.23499999999999999</v>
      </c>
      <c r="E27" s="375">
        <f>+D27*C27</f>
        <v>1457</v>
      </c>
      <c r="F27" s="320">
        <f>+C27*0.045</f>
        <v>279</v>
      </c>
      <c r="G27" s="332"/>
      <c r="H27" s="305">
        <v>7700</v>
      </c>
      <c r="I27" s="409">
        <v>0.182</v>
      </c>
    </row>
    <row r="28" spans="2:9" hidden="1" x14ac:dyDescent="0.2">
      <c r="B28" s="374" t="s">
        <v>38</v>
      </c>
      <c r="C28" s="378">
        <f>+SUM(C24:C27)</f>
        <v>46100</v>
      </c>
      <c r="D28" s="379">
        <f>+E28/C28</f>
        <v>0.22718004338394793</v>
      </c>
      <c r="E28" s="378">
        <f>+SUM(E24:E27)</f>
        <v>10473</v>
      </c>
      <c r="F28" s="321">
        <f>+SUM(F24:F27)+200</f>
        <v>2561.5</v>
      </c>
      <c r="G28" s="321">
        <f>+F28*0.41-1</f>
        <v>1049.2149999999999</v>
      </c>
      <c r="H28" s="365">
        <f>+SUM(H24:H27)</f>
        <v>53331</v>
      </c>
      <c r="I28" s="410">
        <f>+(D24*I24+D25*I25+D26*I26+D27*I27)/SUM(D24:D27)</f>
        <v>0.18663768115942028</v>
      </c>
    </row>
    <row r="29" spans="2:9" hidden="1" x14ac:dyDescent="0.2"/>
    <row r="30" spans="2:9" hidden="1" x14ac:dyDescent="0.2"/>
    <row r="31" spans="2:9" hidden="1" x14ac:dyDescent="0.2"/>
    <row r="32" spans="2:9" hidden="1" x14ac:dyDescent="0.2"/>
    <row r="33" spans="2:10" ht="16" hidden="1" x14ac:dyDescent="0.2">
      <c r="B33" s="68" t="s">
        <v>199</v>
      </c>
      <c r="C33" s="69"/>
      <c r="D33" s="69"/>
      <c r="E33" s="69"/>
      <c r="F33" s="69"/>
      <c r="G33" s="69"/>
      <c r="H33" s="408" t="s">
        <v>197</v>
      </c>
      <c r="I33" s="462" t="s">
        <v>196</v>
      </c>
      <c r="J33" s="462"/>
    </row>
    <row r="34" spans="2:10" hidden="1" x14ac:dyDescent="0.2">
      <c r="C34" s="70" t="s">
        <v>83</v>
      </c>
      <c r="D34" s="70" t="s">
        <v>84</v>
      </c>
      <c r="E34" s="70" t="s">
        <v>6</v>
      </c>
      <c r="F34" s="70" t="s">
        <v>85</v>
      </c>
      <c r="G34" s="70" t="s">
        <v>44</v>
      </c>
    </row>
    <row r="35" spans="2:10" hidden="1" x14ac:dyDescent="0.2">
      <c r="B35" s="67" t="s">
        <v>87</v>
      </c>
      <c r="C35" s="320">
        <v>20500</v>
      </c>
      <c r="D35" s="331">
        <v>0.22</v>
      </c>
      <c r="E35" s="320">
        <f>+C35*D35</f>
        <v>4510</v>
      </c>
      <c r="F35" s="320">
        <f>+C35*0.055</f>
        <v>1127.5</v>
      </c>
      <c r="G35" s="332"/>
      <c r="H35" s="320">
        <f>19370</f>
        <v>19370</v>
      </c>
      <c r="I35" s="411">
        <v>809.84</v>
      </c>
      <c r="J35" s="412">
        <v>0.19500000000000001</v>
      </c>
    </row>
    <row r="36" spans="2:10" hidden="1" x14ac:dyDescent="0.2">
      <c r="B36" s="67" t="s">
        <v>88</v>
      </c>
      <c r="C36" s="320">
        <v>6700</v>
      </c>
      <c r="D36" s="331">
        <v>0.19800000000000001</v>
      </c>
      <c r="E36" s="320">
        <f>+C36*D36</f>
        <v>1326.6000000000001</v>
      </c>
      <c r="F36" s="320">
        <f>+C36*0.05</f>
        <v>335</v>
      </c>
      <c r="G36" s="332"/>
      <c r="H36" s="320">
        <f>6517.72</f>
        <v>6517.72</v>
      </c>
      <c r="I36" s="411">
        <v>712</v>
      </c>
      <c r="J36" s="412">
        <v>0.17299999999999999</v>
      </c>
    </row>
    <row r="37" spans="2:10" hidden="1" x14ac:dyDescent="0.2">
      <c r="B37" s="67" t="s">
        <v>89</v>
      </c>
      <c r="C37" s="320">
        <v>22500</v>
      </c>
      <c r="D37" s="331">
        <v>0.23499999999999999</v>
      </c>
      <c r="E37" s="320">
        <f>+C37*D37</f>
        <v>5287.5</v>
      </c>
      <c r="F37" s="320">
        <f>+C37*0.05</f>
        <v>1125</v>
      </c>
      <c r="G37" s="332"/>
      <c r="H37" s="320">
        <v>22296</v>
      </c>
      <c r="I37" s="411">
        <v>816.53700000000003</v>
      </c>
      <c r="J37" s="412">
        <v>0.19600000000000001</v>
      </c>
    </row>
    <row r="38" spans="2:10" hidden="1" x14ac:dyDescent="0.2">
      <c r="B38" s="67" t="s">
        <v>90</v>
      </c>
      <c r="C38" s="320">
        <v>5950</v>
      </c>
      <c r="D38" s="318">
        <v>0.22</v>
      </c>
      <c r="E38" s="320">
        <f>+C38*D38</f>
        <v>1309</v>
      </c>
      <c r="F38" s="320">
        <f>+C38*0.045</f>
        <v>267.75</v>
      </c>
      <c r="G38" s="332"/>
      <c r="H38" s="320">
        <v>7317</v>
      </c>
      <c r="I38" s="411">
        <v>777.1</v>
      </c>
      <c r="J38" s="412">
        <v>0.187</v>
      </c>
    </row>
    <row r="39" spans="2:10" hidden="1" x14ac:dyDescent="0.2">
      <c r="B39" s="67" t="s">
        <v>38</v>
      </c>
      <c r="C39" s="321">
        <f>+SUM(C35:C38)</f>
        <v>55650</v>
      </c>
      <c r="D39" s="319">
        <f>+E39/C39</f>
        <v>0.22341599281221924</v>
      </c>
      <c r="E39" s="321">
        <f>+SUM(E35:E38)</f>
        <v>12433.1</v>
      </c>
      <c r="F39" s="321">
        <f>+SUM(F35:F38)</f>
        <v>2855.25</v>
      </c>
      <c r="G39" s="321">
        <f>+F39*41%</f>
        <v>1170.6524999999999</v>
      </c>
      <c r="H39" s="321">
        <f>+SUM(H35:H38)</f>
        <v>55500.72</v>
      </c>
      <c r="I39" s="410"/>
    </row>
    <row r="40" spans="2:10" hidden="1" x14ac:dyDescent="0.2"/>
    <row r="41" spans="2:10" hidden="1" x14ac:dyDescent="0.2"/>
    <row r="42" spans="2:10" hidden="1" x14ac:dyDescent="0.2"/>
    <row r="43" spans="2:10" ht="16" hidden="1" x14ac:dyDescent="0.2">
      <c r="B43" s="68" t="s">
        <v>201</v>
      </c>
      <c r="C43" s="69"/>
      <c r="D43" s="69"/>
      <c r="E43" s="69"/>
      <c r="F43" s="69"/>
      <c r="G43" s="69"/>
      <c r="H43" s="408" t="s">
        <v>197</v>
      </c>
      <c r="I43" s="462" t="s">
        <v>196</v>
      </c>
      <c r="J43" s="462"/>
    </row>
    <row r="44" spans="2:10" hidden="1" x14ac:dyDescent="0.2">
      <c r="C44" s="70" t="s">
        <v>83</v>
      </c>
      <c r="D44" s="70" t="s">
        <v>84</v>
      </c>
      <c r="E44" s="70" t="s">
        <v>6</v>
      </c>
      <c r="F44" s="70" t="s">
        <v>85</v>
      </c>
      <c r="G44" s="70" t="s">
        <v>44</v>
      </c>
    </row>
    <row r="45" spans="2:10" hidden="1" x14ac:dyDescent="0.2">
      <c r="B45" s="67" t="s">
        <v>87</v>
      </c>
      <c r="C45" s="320">
        <v>21000</v>
      </c>
      <c r="D45" s="331">
        <v>0.22</v>
      </c>
      <c r="E45" s="320">
        <f>+C45*D45</f>
        <v>4620</v>
      </c>
      <c r="F45" s="320">
        <f>+C45*0.055</f>
        <v>1155</v>
      </c>
      <c r="G45" s="332"/>
      <c r="H45" s="320">
        <f>19370</f>
        <v>19370</v>
      </c>
      <c r="I45" s="411">
        <v>809.84</v>
      </c>
      <c r="J45" s="412">
        <v>0.19500000000000001</v>
      </c>
    </row>
    <row r="46" spans="2:10" hidden="1" x14ac:dyDescent="0.2">
      <c r="B46" s="67" t="s">
        <v>88</v>
      </c>
      <c r="C46" s="320">
        <v>7000</v>
      </c>
      <c r="D46" s="331">
        <v>0.19800000000000001</v>
      </c>
      <c r="E46" s="320">
        <f>+C46*D46</f>
        <v>1386</v>
      </c>
      <c r="F46" s="320">
        <f>+C46*0.05</f>
        <v>350</v>
      </c>
      <c r="G46" s="332"/>
      <c r="H46" s="320">
        <f>6517.72</f>
        <v>6517.72</v>
      </c>
      <c r="I46" s="411">
        <v>712</v>
      </c>
      <c r="J46" s="412">
        <v>0.17299999999999999</v>
      </c>
    </row>
    <row r="47" spans="2:10" hidden="1" x14ac:dyDescent="0.2">
      <c r="B47" s="67" t="s">
        <v>89</v>
      </c>
      <c r="C47" s="320">
        <v>23400</v>
      </c>
      <c r="D47" s="331">
        <v>0.23499999999999999</v>
      </c>
      <c r="E47" s="320">
        <f>+C47*D47</f>
        <v>5499</v>
      </c>
      <c r="F47" s="320">
        <f>+C47*0.05</f>
        <v>1170</v>
      </c>
      <c r="G47" s="332"/>
      <c r="H47" s="320">
        <v>22296</v>
      </c>
      <c r="I47" s="411">
        <v>816.53700000000003</v>
      </c>
      <c r="J47" s="412">
        <v>0.19600000000000001</v>
      </c>
    </row>
    <row r="48" spans="2:10" hidden="1" x14ac:dyDescent="0.2">
      <c r="B48" s="67" t="s">
        <v>90</v>
      </c>
      <c r="C48" s="320">
        <v>6200</v>
      </c>
      <c r="D48" s="318">
        <v>0.22</v>
      </c>
      <c r="E48" s="320">
        <f>+C48*D48</f>
        <v>1364</v>
      </c>
      <c r="F48" s="320">
        <f>+C48*0.045</f>
        <v>279</v>
      </c>
      <c r="G48" s="332"/>
      <c r="H48" s="320">
        <v>7317</v>
      </c>
      <c r="I48" s="411">
        <v>777.1</v>
      </c>
      <c r="J48" s="412">
        <v>0.187</v>
      </c>
    </row>
    <row r="49" spans="2:10" hidden="1" x14ac:dyDescent="0.2">
      <c r="B49" s="67" t="s">
        <v>38</v>
      </c>
      <c r="C49" s="321">
        <f>+SUM(C45:C48)</f>
        <v>57600</v>
      </c>
      <c r="D49" s="319">
        <f>+E49/C49</f>
        <v>0.2234201388888889</v>
      </c>
      <c r="E49" s="321">
        <f>+SUM(E45:E48)</f>
        <v>12869</v>
      </c>
      <c r="F49" s="321">
        <f>+SUM(F45:F48)</f>
        <v>2954</v>
      </c>
      <c r="G49" s="321">
        <f>+F49*41%</f>
        <v>1211.1399999999999</v>
      </c>
      <c r="H49" s="321">
        <f>+SUM(H45:H48)</f>
        <v>55500.72</v>
      </c>
      <c r="I49" s="410"/>
    </row>
    <row r="50" spans="2:10" hidden="1" x14ac:dyDescent="0.2"/>
    <row r="51" spans="2:10" hidden="1" x14ac:dyDescent="0.2"/>
    <row r="52" spans="2:10" ht="16" hidden="1" x14ac:dyDescent="0.2">
      <c r="B52" s="68" t="s">
        <v>203</v>
      </c>
      <c r="C52" s="69"/>
      <c r="D52" s="69"/>
      <c r="E52" s="69"/>
      <c r="F52" s="69"/>
      <c r="G52" s="69"/>
      <c r="H52" s="408" t="s">
        <v>197</v>
      </c>
      <c r="I52" s="462" t="s">
        <v>196</v>
      </c>
      <c r="J52" s="462"/>
    </row>
    <row r="53" spans="2:10" hidden="1" x14ac:dyDescent="0.2">
      <c r="C53" s="70" t="s">
        <v>83</v>
      </c>
      <c r="D53" s="70" t="s">
        <v>84</v>
      </c>
      <c r="E53" s="70" t="s">
        <v>6</v>
      </c>
      <c r="F53" s="70" t="s">
        <v>85</v>
      </c>
      <c r="G53" s="70" t="s">
        <v>44</v>
      </c>
    </row>
    <row r="54" spans="2:10" hidden="1" x14ac:dyDescent="0.2">
      <c r="B54" s="67" t="s">
        <v>87</v>
      </c>
      <c r="C54" s="422">
        <v>20500</v>
      </c>
      <c r="D54" s="331">
        <v>0.22</v>
      </c>
      <c r="E54" s="320">
        <f>+C54*D54</f>
        <v>4510</v>
      </c>
      <c r="F54" s="320">
        <f>+C54*0.055</f>
        <v>1127.5</v>
      </c>
      <c r="G54" s="332"/>
      <c r="H54" s="422">
        <v>19640</v>
      </c>
      <c r="I54" s="411">
        <v>809.84</v>
      </c>
      <c r="J54" s="412">
        <v>0.19500000000000001</v>
      </c>
    </row>
    <row r="55" spans="2:10" hidden="1" x14ac:dyDescent="0.2">
      <c r="B55" s="67" t="s">
        <v>88</v>
      </c>
      <c r="C55" s="422">
        <v>6732.22</v>
      </c>
      <c r="D55" s="331">
        <v>0.19800000000000001</v>
      </c>
      <c r="E55" s="320">
        <f>+C55*D55</f>
        <v>1332.9795600000002</v>
      </c>
      <c r="F55" s="320">
        <f>+C55*0.05</f>
        <v>336.61100000000005</v>
      </c>
      <c r="G55" s="332"/>
      <c r="H55" s="422">
        <v>2050000</v>
      </c>
      <c r="I55" s="411">
        <v>712</v>
      </c>
      <c r="J55" s="412">
        <v>0.17299999999999999</v>
      </c>
    </row>
    <row r="56" spans="2:10" hidden="1" x14ac:dyDescent="0.2">
      <c r="B56" s="67" t="s">
        <v>89</v>
      </c>
      <c r="C56" s="422">
        <v>21000</v>
      </c>
      <c r="D56" s="331">
        <v>0.23499999999999999</v>
      </c>
      <c r="E56" s="320">
        <f>+C56*D56</f>
        <v>4935</v>
      </c>
      <c r="F56" s="320">
        <f>+C56*0.05</f>
        <v>1050</v>
      </c>
      <c r="G56" s="332"/>
      <c r="H56" s="422">
        <v>20491</v>
      </c>
      <c r="I56" s="411">
        <v>816.53700000000003</v>
      </c>
      <c r="J56" s="412">
        <v>0.19600000000000001</v>
      </c>
    </row>
    <row r="57" spans="2:10" hidden="1" x14ac:dyDescent="0.2">
      <c r="B57" s="67" t="s">
        <v>90</v>
      </c>
      <c r="C57" s="422">
        <v>6000</v>
      </c>
      <c r="D57" s="318">
        <v>0.22</v>
      </c>
      <c r="E57" s="320">
        <f>+C57*D57</f>
        <v>1320</v>
      </c>
      <c r="F57" s="320">
        <f>+C57*0.045</f>
        <v>270</v>
      </c>
      <c r="G57" s="332"/>
      <c r="H57" s="422">
        <v>5500</v>
      </c>
      <c r="I57" s="411">
        <v>777.1</v>
      </c>
      <c r="J57" s="412">
        <v>0.187</v>
      </c>
    </row>
    <row r="58" spans="2:10" hidden="1" x14ac:dyDescent="0.2">
      <c r="B58" s="67" t="s">
        <v>38</v>
      </c>
      <c r="C58" s="321">
        <f>+SUM(C54:C57)</f>
        <v>54232.22</v>
      </c>
      <c r="D58" s="319">
        <f>+E58/C58</f>
        <v>0.22307734332099993</v>
      </c>
      <c r="E58" s="321">
        <f>+SUM(E54:E57)</f>
        <v>12097.97956</v>
      </c>
      <c r="F58" s="321">
        <f>+SUM(F54:F57)</f>
        <v>2784.1109999999999</v>
      </c>
      <c r="G58" s="321">
        <f>+F58*41%</f>
        <v>1141.48551</v>
      </c>
      <c r="H58" s="321">
        <f>+SUM(H54:H57)</f>
        <v>2095631</v>
      </c>
      <c r="I58" s="410"/>
    </row>
    <row r="59" spans="2:10" hidden="1" x14ac:dyDescent="0.2"/>
    <row r="60" spans="2:10" hidden="1" x14ac:dyDescent="0.2"/>
    <row r="61" spans="2:10" hidden="1" x14ac:dyDescent="0.2">
      <c r="D61" s="426"/>
    </row>
    <row r="62" spans="2:10" ht="16" hidden="1" x14ac:dyDescent="0.2">
      <c r="B62" s="68" t="s">
        <v>206</v>
      </c>
      <c r="C62" s="69"/>
      <c r="D62" s="69"/>
      <c r="E62" s="69"/>
      <c r="F62" s="69"/>
      <c r="G62" s="69"/>
    </row>
    <row r="63" spans="2:10" hidden="1" x14ac:dyDescent="0.2">
      <c r="C63" s="70" t="s">
        <v>83</v>
      </c>
      <c r="D63" s="70" t="s">
        <v>84</v>
      </c>
      <c r="E63" s="70" t="s">
        <v>6</v>
      </c>
      <c r="F63" s="70" t="s">
        <v>85</v>
      </c>
      <c r="G63" s="70" t="s">
        <v>44</v>
      </c>
    </row>
    <row r="64" spans="2:10" hidden="1" x14ac:dyDescent="0.2">
      <c r="B64" s="67" t="s">
        <v>87</v>
      </c>
      <c r="C64" s="422">
        <v>17000</v>
      </c>
      <c r="D64" s="331">
        <v>0.216</v>
      </c>
      <c r="E64" s="330">
        <f>+D64*C64</f>
        <v>3672</v>
      </c>
      <c r="F64" s="320">
        <v>935</v>
      </c>
      <c r="G64" s="332"/>
    </row>
    <row r="65" spans="2:12" hidden="1" x14ac:dyDescent="0.2">
      <c r="B65" s="67" t="s">
        <v>88</v>
      </c>
      <c r="C65" s="422">
        <v>8300</v>
      </c>
      <c r="D65" s="331">
        <v>0.19800000000000001</v>
      </c>
      <c r="E65" s="330">
        <f>+D65*C65</f>
        <v>1643.4</v>
      </c>
      <c r="F65" s="320">
        <v>415</v>
      </c>
      <c r="G65" s="332"/>
    </row>
    <row r="66" spans="2:12" hidden="1" x14ac:dyDescent="0.2">
      <c r="B66" s="67" t="s">
        <v>89</v>
      </c>
      <c r="C66" s="422">
        <v>23150</v>
      </c>
      <c r="D66" s="331">
        <v>0.23499999999999999</v>
      </c>
      <c r="E66" s="330">
        <f>+D66*C66</f>
        <v>5440.25</v>
      </c>
      <c r="F66" s="320">
        <v>1157.5</v>
      </c>
      <c r="G66" s="332"/>
    </row>
    <row r="67" spans="2:12" hidden="1" x14ac:dyDescent="0.2">
      <c r="B67" s="67" t="s">
        <v>90</v>
      </c>
      <c r="C67" s="422">
        <v>6630</v>
      </c>
      <c r="D67" s="318">
        <v>0.22</v>
      </c>
      <c r="E67" s="330">
        <f>+D67*C67</f>
        <v>1458.6</v>
      </c>
      <c r="F67" s="320">
        <v>298.34999999999997</v>
      </c>
      <c r="G67" s="332"/>
    </row>
    <row r="68" spans="2:12" hidden="1" x14ac:dyDescent="0.2">
      <c r="B68" s="67" t="s">
        <v>38</v>
      </c>
      <c r="C68" s="321">
        <f>+SUM(C64:C67)</f>
        <v>55080</v>
      </c>
      <c r="D68" s="319">
        <f>+E68/C68</f>
        <v>0.22175472040668118</v>
      </c>
      <c r="E68" s="321">
        <v>12214.25</v>
      </c>
      <c r="F68" s="321">
        <v>2905.85</v>
      </c>
      <c r="G68" s="321">
        <f>+F68*41%</f>
        <v>1191.3984999999998</v>
      </c>
    </row>
    <row r="69" spans="2:12" hidden="1" x14ac:dyDescent="0.2"/>
    <row r="70" spans="2:12" hidden="1" x14ac:dyDescent="0.2"/>
    <row r="71" spans="2:12" ht="16" hidden="1" x14ac:dyDescent="0.2">
      <c r="B71" s="68" t="s">
        <v>203</v>
      </c>
      <c r="C71" s="69"/>
      <c r="D71" s="69"/>
      <c r="E71" s="69"/>
      <c r="F71" s="69"/>
      <c r="G71" s="69"/>
    </row>
    <row r="72" spans="2:12" hidden="1" x14ac:dyDescent="0.2">
      <c r="C72" s="70" t="s">
        <v>83</v>
      </c>
      <c r="D72" s="70" t="s">
        <v>84</v>
      </c>
      <c r="E72" s="70" t="s">
        <v>6</v>
      </c>
      <c r="F72" s="70" t="s">
        <v>85</v>
      </c>
      <c r="G72" s="70" t="s">
        <v>44</v>
      </c>
    </row>
    <row r="73" spans="2:12" hidden="1" x14ac:dyDescent="0.2">
      <c r="B73" s="67" t="s">
        <v>87</v>
      </c>
      <c r="C73" s="422">
        <f>+C64*H73</f>
        <v>17617.283950617286</v>
      </c>
      <c r="D73" s="331">
        <v>0.216</v>
      </c>
      <c r="E73" s="330">
        <f>+D73*C73</f>
        <v>3805.3333333333335</v>
      </c>
      <c r="F73" s="320">
        <v>935</v>
      </c>
      <c r="G73" s="332"/>
      <c r="H73" s="433">
        <v>1.0363108206245462</v>
      </c>
      <c r="J73" s="432"/>
      <c r="L73" s="432"/>
    </row>
    <row r="74" spans="2:12" hidden="1" x14ac:dyDescent="0.2">
      <c r="B74" s="67" t="s">
        <v>88</v>
      </c>
      <c r="C74" s="422">
        <f>+C65*H74</f>
        <v>8601.3798111837332</v>
      </c>
      <c r="D74" s="331">
        <v>0.19800000000000001</v>
      </c>
      <c r="E74" s="330">
        <f>+D74*C74</f>
        <v>1703.0732026143792</v>
      </c>
      <c r="F74" s="320">
        <v>415</v>
      </c>
      <c r="G74" s="332"/>
      <c r="H74" s="433">
        <v>1.0363108206245462</v>
      </c>
      <c r="J74" s="432"/>
      <c r="L74" s="432"/>
    </row>
    <row r="75" spans="2:12" hidden="1" x14ac:dyDescent="0.2">
      <c r="B75" s="67" t="s">
        <v>89</v>
      </c>
      <c r="C75" s="422">
        <f>+C66*H75</f>
        <v>23990.595497458242</v>
      </c>
      <c r="D75" s="331">
        <v>0.23499999999999999</v>
      </c>
      <c r="E75" s="330">
        <f>+D75*C75</f>
        <v>5637.7899419026862</v>
      </c>
      <c r="F75" s="320">
        <v>1157.5</v>
      </c>
      <c r="G75" s="332"/>
      <c r="H75" s="433">
        <v>1.0363108206245462</v>
      </c>
      <c r="J75" s="432"/>
      <c r="L75" s="432"/>
    </row>
    <row r="76" spans="2:12" hidden="1" x14ac:dyDescent="0.2">
      <c r="B76" s="67" t="s">
        <v>90</v>
      </c>
      <c r="C76" s="422">
        <f>+C67*H76</f>
        <v>6870.7407407407409</v>
      </c>
      <c r="D76" s="318">
        <v>0.22</v>
      </c>
      <c r="E76" s="330">
        <f>+D76*C76</f>
        <v>1511.562962962963</v>
      </c>
      <c r="F76" s="320">
        <v>298.34999999999997</v>
      </c>
      <c r="G76" s="332"/>
      <c r="H76" s="433">
        <v>1.0363108206245462</v>
      </c>
      <c r="J76" s="432"/>
      <c r="L76" s="432"/>
    </row>
    <row r="77" spans="2:12" hidden="1" x14ac:dyDescent="0.2">
      <c r="B77" s="67" t="s">
        <v>38</v>
      </c>
      <c r="C77" s="321">
        <f>+SUM(C73:C76)</f>
        <v>57080</v>
      </c>
      <c r="D77" s="319">
        <f>+E77/C77</f>
        <v>0.2217547204066812</v>
      </c>
      <c r="E77" s="321">
        <f>+SUM(E73:E76)</f>
        <v>12657.759440813363</v>
      </c>
      <c r="F77" s="321">
        <v>2905.85</v>
      </c>
      <c r="G77" s="321">
        <f>+F77*41%</f>
        <v>1191.3984999999998</v>
      </c>
    </row>
    <row r="81" spans="2:7" ht="16" x14ac:dyDescent="0.2">
      <c r="B81" s="68" t="s">
        <v>209</v>
      </c>
      <c r="C81" s="69"/>
      <c r="D81" s="69"/>
      <c r="E81" s="69"/>
      <c r="F81" s="69"/>
      <c r="G81" s="69"/>
    </row>
    <row r="82" spans="2:7" x14ac:dyDescent="0.2">
      <c r="C82" s="70" t="s">
        <v>83</v>
      </c>
      <c r="D82" s="70" t="s">
        <v>84</v>
      </c>
      <c r="E82" s="70" t="s">
        <v>6</v>
      </c>
      <c r="F82" s="70" t="s">
        <v>85</v>
      </c>
      <c r="G82" s="70" t="s">
        <v>44</v>
      </c>
    </row>
    <row r="83" spans="2:7" x14ac:dyDescent="0.2">
      <c r="B83" s="67" t="s">
        <v>87</v>
      </c>
      <c r="C83" s="422">
        <f>19770+500</f>
        <v>20270</v>
      </c>
      <c r="D83" s="331">
        <v>0.216</v>
      </c>
      <c r="E83" s="330">
        <f>+D83*C83</f>
        <v>4378.32</v>
      </c>
      <c r="F83" s="320">
        <v>935</v>
      </c>
      <c r="G83" s="332"/>
    </row>
    <row r="84" spans="2:7" x14ac:dyDescent="0.2">
      <c r="B84" s="67" t="s">
        <v>88</v>
      </c>
      <c r="C84" s="422">
        <v>5500</v>
      </c>
      <c r="D84" s="331">
        <v>0.188</v>
      </c>
      <c r="E84" s="330">
        <f>+D84*C84</f>
        <v>1034</v>
      </c>
      <c r="F84" s="320">
        <v>415</v>
      </c>
      <c r="G84" s="332"/>
    </row>
    <row r="85" spans="2:7" x14ac:dyDescent="0.2">
      <c r="B85" s="67" t="s">
        <v>89</v>
      </c>
      <c r="C85" s="422">
        <v>18500</v>
      </c>
      <c r="D85" s="331">
        <v>0.23499999999999999</v>
      </c>
      <c r="E85" s="330">
        <f>+D85*C85</f>
        <v>4347.5</v>
      </c>
      <c r="F85" s="320">
        <v>1157.5</v>
      </c>
      <c r="G85" s="332"/>
    </row>
    <row r="86" spans="2:7" x14ac:dyDescent="0.2">
      <c r="B86" s="67" t="s">
        <v>90</v>
      </c>
      <c r="C86" s="422">
        <v>6800</v>
      </c>
      <c r="D86" s="318">
        <v>0.224</v>
      </c>
      <c r="E86" s="330">
        <f>+D86*C86</f>
        <v>1523.2</v>
      </c>
      <c r="F86" s="320">
        <v>298.34999999999997</v>
      </c>
      <c r="G86" s="332"/>
    </row>
    <row r="87" spans="2:7" x14ac:dyDescent="0.2">
      <c r="B87" s="67" t="s">
        <v>38</v>
      </c>
      <c r="C87" s="321">
        <f>+SUM(C83:C86)</f>
        <v>51070</v>
      </c>
      <c r="D87" s="319">
        <f>+E87/C87</f>
        <v>0.22093244566281575</v>
      </c>
      <c r="E87" s="321">
        <f>+SUM(E83:E86)</f>
        <v>11283.02</v>
      </c>
      <c r="F87" s="321">
        <f>+SUM(F83:F86)</f>
        <v>2805.85</v>
      </c>
      <c r="G87" s="321">
        <f>+F87*41%</f>
        <v>1150.3984999999998</v>
      </c>
    </row>
    <row r="90" spans="2:7" ht="16" x14ac:dyDescent="0.2">
      <c r="B90" s="68" t="s">
        <v>209</v>
      </c>
      <c r="C90" s="69"/>
      <c r="D90" s="69"/>
      <c r="E90" s="69"/>
      <c r="F90" s="69"/>
      <c r="G90" s="69"/>
    </row>
    <row r="91" spans="2:7" x14ac:dyDescent="0.2">
      <c r="C91" s="70" t="s">
        <v>83</v>
      </c>
      <c r="D91" s="70" t="s">
        <v>84</v>
      </c>
      <c r="E91" s="70" t="s">
        <v>6</v>
      </c>
      <c r="F91" s="70" t="s">
        <v>85</v>
      </c>
      <c r="G91" s="70" t="s">
        <v>44</v>
      </c>
    </row>
    <row r="92" spans="2:7" x14ac:dyDescent="0.2">
      <c r="B92" s="67" t="s">
        <v>87</v>
      </c>
      <c r="C92" s="422">
        <v>21000</v>
      </c>
      <c r="D92" s="331">
        <v>0.216</v>
      </c>
      <c r="E92" s="330">
        <f>+D92*C92</f>
        <v>4536</v>
      </c>
      <c r="F92" s="320">
        <v>1155</v>
      </c>
      <c r="G92" s="332"/>
    </row>
    <row r="93" spans="2:7" x14ac:dyDescent="0.2">
      <c r="B93" s="67" t="s">
        <v>88</v>
      </c>
      <c r="C93" s="422">
        <v>4900</v>
      </c>
      <c r="D93" s="331">
        <v>0.188</v>
      </c>
      <c r="E93" s="330">
        <f>+D93*C93</f>
        <v>921.2</v>
      </c>
      <c r="F93" s="320">
        <v>255</v>
      </c>
      <c r="G93" s="332"/>
    </row>
    <row r="94" spans="2:7" x14ac:dyDescent="0.2">
      <c r="B94" s="67" t="s">
        <v>89</v>
      </c>
      <c r="C94" s="422">
        <v>20700</v>
      </c>
      <c r="D94" s="331">
        <v>0.23499999999999999</v>
      </c>
      <c r="E94" s="330">
        <f>+D94*C94</f>
        <v>4864.5</v>
      </c>
      <c r="F94" s="320">
        <v>1025</v>
      </c>
      <c r="G94" s="332"/>
    </row>
    <row r="95" spans="2:7" x14ac:dyDescent="0.2">
      <c r="B95" s="67" t="s">
        <v>90</v>
      </c>
      <c r="C95" s="422">
        <v>6540</v>
      </c>
      <c r="D95" s="318">
        <v>0.224</v>
      </c>
      <c r="E95" s="330">
        <f>+D95*C95</f>
        <v>1464.96</v>
      </c>
      <c r="F95" s="320">
        <v>289.8</v>
      </c>
      <c r="G95" s="332"/>
    </row>
    <row r="96" spans="2:7" x14ac:dyDescent="0.2">
      <c r="B96" s="67" t="s">
        <v>38</v>
      </c>
      <c r="C96" s="321">
        <f>+SUM(C92:C95)</f>
        <v>53140</v>
      </c>
      <c r="D96" s="319">
        <f>+E96/C96</f>
        <v>0.22180391418893489</v>
      </c>
      <c r="E96" s="321">
        <f>+SUM(E92:E95)</f>
        <v>11786.66</v>
      </c>
      <c r="F96" s="321">
        <v>2850</v>
      </c>
      <c r="G96" s="321">
        <f>+F96*41%</f>
        <v>1168.5</v>
      </c>
    </row>
    <row r="100" spans="2:9" ht="16" x14ac:dyDescent="0.2">
      <c r="B100" s="68" t="s">
        <v>212</v>
      </c>
      <c r="C100" s="69"/>
      <c r="D100" s="69"/>
      <c r="E100" s="69"/>
      <c r="F100" s="69"/>
      <c r="G100" s="69"/>
    </row>
    <row r="101" spans="2:9" x14ac:dyDescent="0.2">
      <c r="C101" s="70" t="s">
        <v>83</v>
      </c>
      <c r="D101" s="70" t="s">
        <v>84</v>
      </c>
      <c r="E101" s="70" t="s">
        <v>6</v>
      </c>
      <c r="F101" s="70" t="s">
        <v>85</v>
      </c>
      <c r="G101" s="70" t="s">
        <v>44</v>
      </c>
      <c r="H101" s="70" t="s">
        <v>171</v>
      </c>
      <c r="I101" s="70" t="s">
        <v>213</v>
      </c>
    </row>
    <row r="102" spans="2:9" x14ac:dyDescent="0.2">
      <c r="B102" s="67" t="s">
        <v>87</v>
      </c>
      <c r="C102" s="422">
        <v>18300</v>
      </c>
      <c r="D102" s="331">
        <v>0.216</v>
      </c>
      <c r="E102" s="330">
        <f>+D102*C102</f>
        <v>3952.8</v>
      </c>
      <c r="F102" s="320">
        <v>1155</v>
      </c>
      <c r="G102" s="332"/>
      <c r="H102" s="422">
        <v>20610</v>
      </c>
      <c r="I102" s="452">
        <v>19036.5</v>
      </c>
    </row>
    <row r="103" spans="2:9" x14ac:dyDescent="0.2">
      <c r="B103" s="67" t="s">
        <v>88</v>
      </c>
      <c r="C103" s="422">
        <v>7000</v>
      </c>
      <c r="D103" s="331">
        <v>0.186</v>
      </c>
      <c r="E103" s="330">
        <f>+D103*C103</f>
        <v>1302</v>
      </c>
      <c r="F103" s="320">
        <v>255</v>
      </c>
      <c r="G103" s="332"/>
      <c r="H103" s="422">
        <v>8609.99</v>
      </c>
      <c r="I103" s="452">
        <v>4811.2</v>
      </c>
    </row>
    <row r="104" spans="2:9" x14ac:dyDescent="0.2">
      <c r="B104" s="67" t="s">
        <v>89</v>
      </c>
      <c r="C104" s="422">
        <v>22000</v>
      </c>
      <c r="D104" s="331">
        <v>0.23499999999999999</v>
      </c>
      <c r="E104" s="330">
        <f>+D104*C104</f>
        <v>5170</v>
      </c>
      <c r="F104" s="320">
        <v>1025</v>
      </c>
      <c r="G104" s="332"/>
      <c r="H104" s="422">
        <v>18121</v>
      </c>
      <c r="I104" s="452">
        <v>22123.421999999999</v>
      </c>
    </row>
    <row r="105" spans="2:9" x14ac:dyDescent="0.2">
      <c r="B105" s="67" t="s">
        <v>90</v>
      </c>
      <c r="C105" s="422">
        <v>5130</v>
      </c>
      <c r="D105" s="318">
        <v>0.22</v>
      </c>
      <c r="E105" s="330">
        <f>+D105*C105</f>
        <v>1128.5999999999999</v>
      </c>
      <c r="F105" s="320">
        <v>289.8</v>
      </c>
      <c r="G105" s="332"/>
      <c r="H105" s="422">
        <v>5300</v>
      </c>
      <c r="I105" s="452">
        <v>6542.5</v>
      </c>
    </row>
    <row r="106" spans="2:9" x14ac:dyDescent="0.2">
      <c r="B106" s="67" t="s">
        <v>38</v>
      </c>
      <c r="C106" s="321">
        <f>+SUM(C102:C105)</f>
        <v>52430</v>
      </c>
      <c r="D106" s="319">
        <f>+E106/C106</f>
        <v>0.22035857333587641</v>
      </c>
      <c r="E106" s="321">
        <f>+SUM(E102:E105)</f>
        <v>11553.4</v>
      </c>
      <c r="F106" s="321">
        <v>2850</v>
      </c>
      <c r="G106" s="321">
        <f>+F106*41%</f>
        <v>1168.5</v>
      </c>
      <c r="H106" s="453">
        <f>+SUM(H102:H105)</f>
        <v>52640.99</v>
      </c>
      <c r="I106" s="453">
        <f>+SUM(I102:I105)</f>
        <v>52513.622000000003</v>
      </c>
    </row>
    <row r="113" spans="3:5" x14ac:dyDescent="0.2">
      <c r="C113" s="369" t="s">
        <v>89</v>
      </c>
      <c r="D113" s="369" t="s">
        <v>87</v>
      </c>
      <c r="E113" s="369" t="s">
        <v>216</v>
      </c>
    </row>
    <row r="114" spans="3:5" x14ac:dyDescent="0.2">
      <c r="C114" s="369" t="s">
        <v>214</v>
      </c>
      <c r="D114" s="369" t="s">
        <v>214</v>
      </c>
    </row>
    <row r="115" spans="3:5" x14ac:dyDescent="0.2">
      <c r="C115" s="369" t="s">
        <v>215</v>
      </c>
      <c r="D115" s="369" t="s">
        <v>215</v>
      </c>
    </row>
  </sheetData>
  <mergeCells count="3">
    <mergeCell ref="I33:J33"/>
    <mergeCell ref="I43:J43"/>
    <mergeCell ref="I52:J52"/>
  </mergeCells>
  <pageMargins left="0.7" right="0.7" top="0.75" bottom="0.75" header="0" footer="0"/>
  <pageSetup orientation="portrait"/>
  <ignoredErrors>
    <ignoredError sqref="D7 D19 D28 D87 D96" formula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2C1C-CF9A-1940-8774-98A0F4243681}">
  <dimension ref="B2:CR11"/>
  <sheetViews>
    <sheetView showGridLines="0" topLeftCell="B2" zoomScale="240" zoomScaleNormal="240" workbookViewId="0">
      <selection activeCell="CF12" sqref="CF12"/>
    </sheetView>
  </sheetViews>
  <sheetFormatPr baseColWidth="10" defaultRowHeight="15" outlineLevelCol="1" x14ac:dyDescent="0.2"/>
  <cols>
    <col min="1" max="1" width="6.1640625" style="99" customWidth="1"/>
    <col min="2" max="2" width="11.1640625" style="99" customWidth="1"/>
    <col min="3" max="3" width="5.6640625" style="99" hidden="1" customWidth="1" outlineLevel="1"/>
    <col min="4" max="4" width="6" style="99" hidden="1" customWidth="1" outlineLevel="1"/>
    <col min="5" max="5" width="5.6640625" style="99" hidden="1" customWidth="1" outlineLevel="1"/>
    <col min="6" max="6" width="6" style="99" hidden="1" customWidth="1" outlineLevel="1"/>
    <col min="7" max="7" width="5.6640625" style="99" hidden="1" customWidth="1" outlineLevel="1"/>
    <col min="8" max="8" width="6" style="99" hidden="1" customWidth="1" outlineLevel="1"/>
    <col min="9" max="9" width="5.6640625" style="99" hidden="1" customWidth="1" collapsed="1"/>
    <col min="10" max="10" width="7" style="99" hidden="1" customWidth="1"/>
    <col min="11" max="11" width="5.1640625" style="99" hidden="1" customWidth="1"/>
    <col min="12" max="12" width="6.5" style="99" hidden="1" customWidth="1"/>
    <col min="13" max="13" width="7.1640625" style="99" hidden="1" customWidth="1"/>
    <col min="14" max="14" width="7" style="99" hidden="1" customWidth="1"/>
    <col min="15" max="15" width="5.1640625" style="99" hidden="1" customWidth="1"/>
    <col min="16" max="16" width="6" style="99" hidden="1" customWidth="1"/>
    <col min="17" max="17" width="6.1640625" style="99" hidden="1" customWidth="1"/>
    <col min="18" max="18" width="6.5" style="99" hidden="1" customWidth="1"/>
    <col min="19" max="19" width="4.1640625" style="99" hidden="1" customWidth="1"/>
    <col min="20" max="20" width="6" style="99" hidden="1" customWidth="1"/>
    <col min="21" max="21" width="5.6640625" style="99" hidden="1" customWidth="1"/>
    <col min="22" max="22" width="7" style="99" hidden="1" customWidth="1"/>
    <col min="23" max="23" width="4.1640625" style="99" hidden="1" customWidth="1"/>
    <col min="24" max="24" width="6" style="99" hidden="1" customWidth="1"/>
    <col min="25" max="25" width="3.6640625" style="99" hidden="1" customWidth="1"/>
    <col min="26" max="26" width="4.5" style="99" hidden="1" customWidth="1"/>
    <col min="27" max="27" width="4.1640625" style="99" hidden="1" customWidth="1"/>
    <col min="28" max="28" width="6" style="99" hidden="1" customWidth="1"/>
    <col min="29" max="29" width="3.6640625" style="99" hidden="1" customWidth="1"/>
    <col min="30" max="30" width="4.5" style="99" hidden="1" customWidth="1"/>
    <col min="31" max="31" width="4.1640625" style="99" hidden="1" customWidth="1"/>
    <col min="32" max="32" width="8.6640625" style="99" hidden="1" customWidth="1"/>
    <col min="33" max="33" width="3.6640625" style="99" hidden="1" customWidth="1"/>
    <col min="34" max="34" width="4.5" style="99" hidden="1" customWidth="1"/>
    <col min="35" max="35" width="2.1640625" style="99" hidden="1" customWidth="1"/>
    <col min="36" max="36" width="6" style="99" hidden="1" customWidth="1"/>
    <col min="37" max="37" width="4.6640625" style="99" hidden="1" customWidth="1"/>
    <col min="38" max="38" width="4.5" style="99" hidden="1" customWidth="1"/>
    <col min="39" max="39" width="5.1640625" style="99" hidden="1" customWidth="1"/>
    <col min="40" max="41" width="6.6640625" style="99" hidden="1" customWidth="1"/>
    <col min="42" max="78" width="8.5" style="99" hidden="1" customWidth="1"/>
    <col min="79" max="87" width="8.5" style="99" customWidth="1"/>
    <col min="88" max="89" width="6.6640625" style="99" customWidth="1"/>
    <col min="90" max="94" width="10.83203125" style="99"/>
    <col min="95" max="96" width="0" style="99" hidden="1" customWidth="1"/>
    <col min="97" max="16384" width="10.83203125" style="99"/>
  </cols>
  <sheetData>
    <row r="2" spans="2:96" ht="21" x14ac:dyDescent="0.25">
      <c r="B2" s="302" t="s">
        <v>155</v>
      </c>
      <c r="CL2" s="301" t="s">
        <v>154</v>
      </c>
    </row>
    <row r="3" spans="2:96" ht="16" thickBot="1" x14ac:dyDescent="0.25"/>
    <row r="4" spans="2:96" ht="16" thickBot="1" x14ac:dyDescent="0.25">
      <c r="C4" s="463" t="s">
        <v>142</v>
      </c>
      <c r="D4" s="463"/>
      <c r="E4" s="463" t="s">
        <v>143</v>
      </c>
      <c r="F4" s="463"/>
      <c r="G4" s="463" t="s">
        <v>143</v>
      </c>
      <c r="H4" s="463"/>
      <c r="I4" s="463" t="s">
        <v>157</v>
      </c>
      <c r="J4" s="463"/>
      <c r="K4" s="273" t="s">
        <v>98</v>
      </c>
      <c r="L4" s="273" t="s">
        <v>146</v>
      </c>
      <c r="M4" s="463" t="s">
        <v>158</v>
      </c>
      <c r="N4" s="463"/>
      <c r="O4" s="463" t="s">
        <v>160</v>
      </c>
      <c r="P4" s="463"/>
      <c r="Q4" s="273" t="s">
        <v>98</v>
      </c>
      <c r="R4" s="273" t="s">
        <v>146</v>
      </c>
      <c r="S4" s="464" t="s">
        <v>165</v>
      </c>
      <c r="T4" s="465"/>
      <c r="U4" s="334" t="s">
        <v>98</v>
      </c>
      <c r="V4" s="334" t="s">
        <v>146</v>
      </c>
      <c r="W4" s="464" t="s">
        <v>166</v>
      </c>
      <c r="X4" s="465"/>
      <c r="Y4" s="334" t="s">
        <v>98</v>
      </c>
      <c r="Z4" s="334" t="s">
        <v>146</v>
      </c>
      <c r="AA4" s="464" t="s">
        <v>167</v>
      </c>
      <c r="AB4" s="465"/>
      <c r="AC4" s="334" t="s">
        <v>98</v>
      </c>
      <c r="AD4" s="334" t="s">
        <v>146</v>
      </c>
      <c r="AE4" s="464" t="s">
        <v>168</v>
      </c>
      <c r="AF4" s="465"/>
      <c r="AG4" s="334" t="s">
        <v>98</v>
      </c>
      <c r="AH4" s="334" t="s">
        <v>146</v>
      </c>
      <c r="AI4" s="464" t="s">
        <v>169</v>
      </c>
      <c r="AJ4" s="465"/>
      <c r="AK4" s="334" t="s">
        <v>98</v>
      </c>
      <c r="AL4" s="334" t="s">
        <v>146</v>
      </c>
      <c r="AM4" s="463" t="s">
        <v>164</v>
      </c>
      <c r="AN4" s="463"/>
      <c r="AO4" s="273" t="s">
        <v>98</v>
      </c>
      <c r="AP4" s="273" t="s">
        <v>146</v>
      </c>
      <c r="AQ4" s="463" t="s">
        <v>164</v>
      </c>
      <c r="AR4" s="463"/>
      <c r="AS4" s="273" t="s">
        <v>98</v>
      </c>
      <c r="AT4" s="273" t="s">
        <v>146</v>
      </c>
      <c r="AU4" s="463" t="s">
        <v>172</v>
      </c>
      <c r="AV4" s="463"/>
      <c r="AW4" s="273" t="s">
        <v>98</v>
      </c>
      <c r="AX4" s="273" t="s">
        <v>146</v>
      </c>
      <c r="AY4" s="463" t="s">
        <v>174</v>
      </c>
      <c r="AZ4" s="463"/>
      <c r="BA4" s="273" t="s">
        <v>98</v>
      </c>
      <c r="BB4" s="273" t="s">
        <v>146</v>
      </c>
      <c r="BC4" s="463" t="s">
        <v>194</v>
      </c>
      <c r="BD4" s="463"/>
      <c r="BE4" s="273" t="s">
        <v>98</v>
      </c>
      <c r="BF4" s="273" t="s">
        <v>146</v>
      </c>
      <c r="BG4" s="463" t="s">
        <v>195</v>
      </c>
      <c r="BH4" s="463"/>
      <c r="BI4" s="273" t="s">
        <v>98</v>
      </c>
      <c r="BJ4" s="273" t="s">
        <v>146</v>
      </c>
      <c r="BK4" s="463" t="s">
        <v>198</v>
      </c>
      <c r="BL4" s="463"/>
      <c r="BM4" s="273" t="s">
        <v>98</v>
      </c>
      <c r="BN4" s="273" t="s">
        <v>146</v>
      </c>
      <c r="BO4" s="463" t="s">
        <v>200</v>
      </c>
      <c r="BP4" s="463"/>
      <c r="BQ4" s="273" t="s">
        <v>98</v>
      </c>
      <c r="BR4" s="273" t="s">
        <v>146</v>
      </c>
      <c r="BS4" s="463" t="s">
        <v>205</v>
      </c>
      <c r="BT4" s="463"/>
      <c r="BU4" s="273" t="s">
        <v>98</v>
      </c>
      <c r="BV4" s="273" t="s">
        <v>146</v>
      </c>
      <c r="BW4" s="463" t="s">
        <v>207</v>
      </c>
      <c r="BX4" s="463"/>
      <c r="BY4" s="273" t="s">
        <v>98</v>
      </c>
      <c r="BZ4" s="273" t="s">
        <v>146</v>
      </c>
      <c r="CA4" s="463" t="s">
        <v>211</v>
      </c>
      <c r="CB4" s="463"/>
      <c r="CC4" s="273" t="s">
        <v>98</v>
      </c>
      <c r="CD4" s="273" t="s">
        <v>146</v>
      </c>
      <c r="CE4" s="463" t="s">
        <v>211</v>
      </c>
      <c r="CF4" s="463"/>
      <c r="CG4" s="273" t="s">
        <v>98</v>
      </c>
      <c r="CH4" s="273" t="s">
        <v>146</v>
      </c>
      <c r="CI4" s="273"/>
      <c r="CL4" s="290" t="s">
        <v>144</v>
      </c>
      <c r="CM4" s="291" t="s">
        <v>147</v>
      </c>
      <c r="CN4" s="291" t="s">
        <v>148</v>
      </c>
      <c r="CO4" s="291" t="s">
        <v>149</v>
      </c>
      <c r="CP4" s="299" t="s">
        <v>150</v>
      </c>
      <c r="CQ4" s="291" t="s">
        <v>151</v>
      </c>
      <c r="CR4" s="299" t="s">
        <v>152</v>
      </c>
    </row>
    <row r="5" spans="2:96" x14ac:dyDescent="0.2">
      <c r="B5" s="290" t="s">
        <v>144</v>
      </c>
      <c r="C5" s="355" t="s">
        <v>145</v>
      </c>
      <c r="D5" s="291" t="s">
        <v>92</v>
      </c>
      <c r="E5" s="292" t="s">
        <v>145</v>
      </c>
      <c r="F5" s="292" t="s">
        <v>92</v>
      </c>
      <c r="G5" s="292" t="s">
        <v>145</v>
      </c>
      <c r="H5" s="292" t="s">
        <v>92</v>
      </c>
      <c r="I5" s="292" t="s">
        <v>145</v>
      </c>
      <c r="J5" s="292" t="s">
        <v>92</v>
      </c>
      <c r="K5" s="292" t="s">
        <v>145</v>
      </c>
      <c r="L5" s="292" t="s">
        <v>92</v>
      </c>
      <c r="M5" s="292" t="s">
        <v>145</v>
      </c>
      <c r="N5" s="292" t="s">
        <v>92</v>
      </c>
      <c r="O5" s="292" t="s">
        <v>145</v>
      </c>
      <c r="P5" s="292" t="s">
        <v>92</v>
      </c>
      <c r="Q5" s="292" t="s">
        <v>145</v>
      </c>
      <c r="R5" s="293" t="s">
        <v>92</v>
      </c>
      <c r="S5" s="335" t="s">
        <v>145</v>
      </c>
      <c r="T5" s="335" t="s">
        <v>92</v>
      </c>
      <c r="U5" s="335" t="s">
        <v>145</v>
      </c>
      <c r="V5" s="336" t="s">
        <v>92</v>
      </c>
      <c r="W5" s="335" t="s">
        <v>145</v>
      </c>
      <c r="X5" s="335" t="s">
        <v>92</v>
      </c>
      <c r="Y5" s="335" t="s">
        <v>145</v>
      </c>
      <c r="Z5" s="336" t="s">
        <v>92</v>
      </c>
      <c r="AA5" s="335" t="s">
        <v>145</v>
      </c>
      <c r="AB5" s="335" t="s">
        <v>92</v>
      </c>
      <c r="AC5" s="335" t="s">
        <v>145</v>
      </c>
      <c r="AD5" s="336" t="s">
        <v>92</v>
      </c>
      <c r="AE5" s="335" t="s">
        <v>145</v>
      </c>
      <c r="AF5" s="335" t="s">
        <v>92</v>
      </c>
      <c r="AG5" s="335" t="s">
        <v>145</v>
      </c>
      <c r="AH5" s="336" t="s">
        <v>92</v>
      </c>
      <c r="AI5" s="335" t="s">
        <v>145</v>
      </c>
      <c r="AJ5" s="337" t="s">
        <v>92</v>
      </c>
      <c r="AK5" s="335" t="s">
        <v>145</v>
      </c>
      <c r="AL5" s="338" t="s">
        <v>92</v>
      </c>
      <c r="AM5" s="292" t="s">
        <v>145</v>
      </c>
      <c r="AN5" s="292" t="s">
        <v>92</v>
      </c>
      <c r="AO5" s="292" t="s">
        <v>145</v>
      </c>
      <c r="AP5" s="293" t="s">
        <v>92</v>
      </c>
      <c r="AQ5" s="292" t="s">
        <v>145</v>
      </c>
      <c r="AR5" s="292" t="s">
        <v>92</v>
      </c>
      <c r="AS5" s="292" t="s">
        <v>145</v>
      </c>
      <c r="AT5" s="293" t="s">
        <v>92</v>
      </c>
      <c r="AU5" s="292" t="s">
        <v>145</v>
      </c>
      <c r="AV5" s="292" t="s">
        <v>92</v>
      </c>
      <c r="AW5" s="292" t="s">
        <v>145</v>
      </c>
      <c r="AX5" s="293" t="s">
        <v>92</v>
      </c>
      <c r="AY5" s="292" t="s">
        <v>145</v>
      </c>
      <c r="AZ5" s="292" t="s">
        <v>92</v>
      </c>
      <c r="BA5" s="292" t="s">
        <v>145</v>
      </c>
      <c r="BB5" s="293" t="s">
        <v>92</v>
      </c>
      <c r="BC5" s="292" t="s">
        <v>145</v>
      </c>
      <c r="BD5" s="292" t="s">
        <v>92</v>
      </c>
      <c r="BE5" s="292" t="s">
        <v>145</v>
      </c>
      <c r="BF5" s="293" t="s">
        <v>92</v>
      </c>
      <c r="BG5" s="292" t="s">
        <v>145</v>
      </c>
      <c r="BH5" s="292" t="s">
        <v>92</v>
      </c>
      <c r="BI5" s="292" t="s">
        <v>145</v>
      </c>
      <c r="BJ5" s="293" t="s">
        <v>92</v>
      </c>
      <c r="BK5" s="292" t="s">
        <v>145</v>
      </c>
      <c r="BL5" s="292" t="s">
        <v>92</v>
      </c>
      <c r="BM5" s="292" t="s">
        <v>145</v>
      </c>
      <c r="BN5" s="293" t="s">
        <v>92</v>
      </c>
      <c r="BO5" s="292" t="s">
        <v>145</v>
      </c>
      <c r="BP5" s="292" t="s">
        <v>92</v>
      </c>
      <c r="BQ5" s="292" t="s">
        <v>145</v>
      </c>
      <c r="BR5" s="293" t="s">
        <v>92</v>
      </c>
      <c r="BS5" s="292" t="s">
        <v>145</v>
      </c>
      <c r="BT5" s="292" t="s">
        <v>92</v>
      </c>
      <c r="BU5" s="292" t="s">
        <v>145</v>
      </c>
      <c r="BV5" s="293" t="s">
        <v>92</v>
      </c>
      <c r="BW5" s="292" t="s">
        <v>145</v>
      </c>
      <c r="BX5" s="292" t="s">
        <v>92</v>
      </c>
      <c r="BY5" s="292" t="s">
        <v>145</v>
      </c>
      <c r="BZ5" s="293" t="s">
        <v>92</v>
      </c>
      <c r="CA5" s="292" t="s">
        <v>145</v>
      </c>
      <c r="CB5" s="292" t="s">
        <v>92</v>
      </c>
      <c r="CC5" s="292" t="s">
        <v>145</v>
      </c>
      <c r="CD5" s="293" t="s">
        <v>92</v>
      </c>
      <c r="CE5" s="292" t="s">
        <v>145</v>
      </c>
      <c r="CF5" s="292" t="s">
        <v>92</v>
      </c>
      <c r="CG5" s="292" t="s">
        <v>145</v>
      </c>
      <c r="CH5" s="293" t="s">
        <v>92</v>
      </c>
      <c r="CI5" s="449"/>
      <c r="CL5" s="294" t="s">
        <v>87</v>
      </c>
      <c r="CM5" s="305">
        <f>21000+1300</f>
        <v>22300</v>
      </c>
      <c r="CN5" s="305">
        <f>18900+1300</f>
        <v>20200</v>
      </c>
      <c r="CO5" s="305">
        <f>17500+1280</f>
        <v>18780</v>
      </c>
      <c r="CP5" s="306">
        <f>17700+1450</f>
        <v>19150</v>
      </c>
      <c r="CQ5" s="305">
        <f>16500+1500</f>
        <v>18000</v>
      </c>
      <c r="CR5" s="306">
        <f>15500+1570</f>
        <v>17070</v>
      </c>
    </row>
    <row r="6" spans="2:96" x14ac:dyDescent="0.2">
      <c r="B6" s="294" t="s">
        <v>87</v>
      </c>
      <c r="C6" s="356">
        <v>918</v>
      </c>
      <c r="D6" s="357">
        <v>0.19700000000000001</v>
      </c>
      <c r="E6" s="358">
        <v>923</v>
      </c>
      <c r="F6" s="359">
        <v>0.1981</v>
      </c>
      <c r="G6" s="358">
        <v>923</v>
      </c>
      <c r="H6" s="359">
        <v>0.1981</v>
      </c>
      <c r="I6" s="360">
        <v>898</v>
      </c>
      <c r="J6" s="361">
        <v>0.19769999999999999</v>
      </c>
      <c r="K6" s="360">
        <f>+I6-E6</f>
        <v>-25</v>
      </c>
      <c r="L6" s="314">
        <f>(+I6/E6)-1</f>
        <v>-2.7085590465872111E-2</v>
      </c>
      <c r="M6" s="362">
        <v>901</v>
      </c>
      <c r="N6" s="267">
        <v>0.19839999999999999</v>
      </c>
      <c r="O6" s="323">
        <v>860.26</v>
      </c>
      <c r="P6" s="326">
        <v>0.19800000000000001</v>
      </c>
      <c r="Q6" s="360">
        <f>+O6-M6</f>
        <v>-40.740000000000009</v>
      </c>
      <c r="R6" s="310">
        <f>(+M6/I6)-1</f>
        <v>3.3407572383072903E-3</v>
      </c>
      <c r="S6" s="339">
        <v>850.75</v>
      </c>
      <c r="T6" s="340">
        <v>0.19400000000000001</v>
      </c>
      <c r="U6" s="341">
        <f>+S6-K15</f>
        <v>850.75</v>
      </c>
      <c r="V6" s="342" t="e">
        <f>(+S6/K15)-1</f>
        <v>#DIV/0!</v>
      </c>
      <c r="W6" s="339">
        <v>834</v>
      </c>
      <c r="X6" s="340">
        <v>0.1903</v>
      </c>
      <c r="Y6" s="343">
        <f>+W6-S6</f>
        <v>-16.75</v>
      </c>
      <c r="Z6" s="344">
        <f>(+W6/S6)-1</f>
        <v>-1.9688510138113458E-2</v>
      </c>
      <c r="AA6" s="339">
        <v>831.14</v>
      </c>
      <c r="AB6" s="340">
        <v>0.1895</v>
      </c>
      <c r="AC6" s="343">
        <f>+AA6-W6</f>
        <v>-2.8600000000000136</v>
      </c>
      <c r="AD6" s="344">
        <f>(+AA6/W6)-1</f>
        <v>-3.4292565947242615E-3</v>
      </c>
      <c r="AE6" s="339">
        <v>831.14</v>
      </c>
      <c r="AF6" s="340">
        <v>0.1895</v>
      </c>
      <c r="AG6" s="343">
        <f>+AE6-AA6</f>
        <v>0</v>
      </c>
      <c r="AH6" s="344">
        <f>(+AE6/AA6)-1</f>
        <v>0</v>
      </c>
      <c r="AI6" s="339"/>
      <c r="AJ6" s="345">
        <v>0.192</v>
      </c>
      <c r="AK6" s="343">
        <f>+AI6-AA6</f>
        <v>-831.14</v>
      </c>
      <c r="AL6" s="346">
        <f>(+AJ6/AB6)-1</f>
        <v>1.3192612137203241E-2</v>
      </c>
      <c r="AM6" s="323">
        <v>823.38</v>
      </c>
      <c r="AN6" s="326">
        <v>0.18840000000000001</v>
      </c>
      <c r="AO6" s="360">
        <f>+AM6-AE6</f>
        <v>-7.7599999999999909</v>
      </c>
      <c r="AP6" s="310">
        <f>(+AM6/AE6)-1</f>
        <v>-9.3365738624058281E-3</v>
      </c>
      <c r="AQ6" s="323">
        <v>788.78</v>
      </c>
      <c r="AR6" s="326">
        <v>0.18840000000000001</v>
      </c>
      <c r="AS6" s="360">
        <f>+AQ6-AI6</f>
        <v>788.78</v>
      </c>
      <c r="AT6" s="310">
        <f>(+AQ6/AM6)-1</f>
        <v>-4.2021909689329395E-2</v>
      </c>
      <c r="AU6" s="323">
        <v>802</v>
      </c>
      <c r="AV6" s="326">
        <v>0.19170000000000001</v>
      </c>
      <c r="AW6" s="360">
        <f>+AU6-AQ6</f>
        <v>13.220000000000027</v>
      </c>
      <c r="AX6" s="310">
        <f>(+AU6/AQ6)-1</f>
        <v>1.6760059839245445E-2</v>
      </c>
      <c r="AY6" s="323">
        <v>812.64</v>
      </c>
      <c r="AZ6" s="326">
        <v>0.19409999999999999</v>
      </c>
      <c r="BA6" s="360">
        <f>+AY6-AU6</f>
        <v>10.639999999999986</v>
      </c>
      <c r="BB6" s="310">
        <f>(+AY6/AU6)-1</f>
        <v>1.3266832917705695E-2</v>
      </c>
      <c r="BC6" s="323">
        <v>822.01</v>
      </c>
      <c r="BD6" s="326">
        <v>0.19639999999999999</v>
      </c>
      <c r="BE6" s="360">
        <f>+BC6-AY6</f>
        <v>9.3700000000000045</v>
      </c>
      <c r="BF6" s="310">
        <f>(+BC6/AY6)-1</f>
        <v>1.1530320929316717E-2</v>
      </c>
      <c r="BG6" s="323">
        <v>811.7</v>
      </c>
      <c r="BH6" s="326">
        <v>0.1953</v>
      </c>
      <c r="BI6" s="360">
        <f>+BG6-BC6</f>
        <v>-10.309999999999945</v>
      </c>
      <c r="BJ6" s="310">
        <f>(+BG6/BC6)-1</f>
        <v>-1.2542426491161884E-2</v>
      </c>
      <c r="BK6" s="323">
        <v>834.1</v>
      </c>
      <c r="BL6" s="326">
        <v>0.1948</v>
      </c>
      <c r="BM6" s="360">
        <f>+BK6-BG6</f>
        <v>22.399999999999977</v>
      </c>
      <c r="BN6" s="310">
        <f>(+BK6/BG6)-1</f>
        <v>2.7596402611802295E-2</v>
      </c>
      <c r="BO6" s="323">
        <v>847.79</v>
      </c>
      <c r="BP6" s="326">
        <v>0.19800000000000001</v>
      </c>
      <c r="BQ6" s="360">
        <f>+BO6-BK6</f>
        <v>13.689999999999941</v>
      </c>
      <c r="BR6" s="310">
        <f>(+BO6/BK6)-1</f>
        <v>1.6412900131878683E-2</v>
      </c>
      <c r="BS6" s="323">
        <v>858.21</v>
      </c>
      <c r="BT6" s="326">
        <v>0.19259999999999999</v>
      </c>
      <c r="BU6" s="360">
        <f>+BS6-BO6</f>
        <v>10.420000000000073</v>
      </c>
      <c r="BV6" s="310">
        <f>(+BS6/BO6)-1</f>
        <v>1.2290779556258125E-2</v>
      </c>
      <c r="BW6" s="323">
        <v>853.17</v>
      </c>
      <c r="BX6" s="326">
        <v>0.1915</v>
      </c>
      <c r="BY6" s="360">
        <f>+BW6-BS6</f>
        <v>-5.0400000000000773</v>
      </c>
      <c r="BZ6" s="310">
        <f>(+BW6/BS6)-1</f>
        <v>-5.8726885028140829E-3</v>
      </c>
      <c r="CA6" s="323">
        <v>847.47</v>
      </c>
      <c r="CB6" s="326">
        <v>0.19589999999999999</v>
      </c>
      <c r="CC6" s="360">
        <f>+CA6-BW6</f>
        <v>-5.6999999999999318</v>
      </c>
      <c r="CD6" s="310">
        <f>(+CA6/BW6)-1</f>
        <v>-6.6809662787017388E-3</v>
      </c>
      <c r="CE6" s="323">
        <v>883</v>
      </c>
      <c r="CF6" s="326" t="s">
        <v>219</v>
      </c>
      <c r="CG6" s="360">
        <f>+CE6-CA6</f>
        <v>35.529999999999973</v>
      </c>
      <c r="CH6" s="310">
        <f>(+CE6/CA6)-1</f>
        <v>4.1924787898096616E-2</v>
      </c>
      <c r="CI6" s="314"/>
      <c r="CL6" s="294" t="s">
        <v>88</v>
      </c>
      <c r="CM6" s="305">
        <v>9400</v>
      </c>
      <c r="CN6" s="305">
        <v>8300</v>
      </c>
      <c r="CO6" s="305">
        <v>8900</v>
      </c>
      <c r="CP6" s="306">
        <v>8700</v>
      </c>
      <c r="CQ6" s="305"/>
      <c r="CR6" s="306"/>
    </row>
    <row r="7" spans="2:96" x14ac:dyDescent="0.2">
      <c r="B7" s="294" t="s">
        <v>88</v>
      </c>
      <c r="C7" s="356">
        <v>828.67</v>
      </c>
      <c r="D7" s="357">
        <v>0.17780000000000001</v>
      </c>
      <c r="E7" s="358">
        <v>823.81</v>
      </c>
      <c r="F7" s="359">
        <v>0.1767</v>
      </c>
      <c r="G7" s="358">
        <v>823.81</v>
      </c>
      <c r="H7" s="359">
        <v>0.1767</v>
      </c>
      <c r="I7" s="360">
        <v>768.32</v>
      </c>
      <c r="J7" s="361">
        <v>0.16919999999999999</v>
      </c>
      <c r="K7" s="360">
        <f>+I7-E7</f>
        <v>-55.489999999999895</v>
      </c>
      <c r="L7" s="314">
        <f>(+I7/E7)-1</f>
        <v>-6.7357764533083953E-2</v>
      </c>
      <c r="M7" s="99">
        <v>777.21</v>
      </c>
      <c r="N7" s="267">
        <v>0.17119999999999999</v>
      </c>
      <c r="O7" s="324">
        <v>762.93</v>
      </c>
      <c r="P7" s="327">
        <v>0.17019999999999999</v>
      </c>
      <c r="Q7" s="360">
        <f>+O7-M7</f>
        <v>-14.280000000000086</v>
      </c>
      <c r="R7" s="310">
        <f>(+M7/I7)-1</f>
        <v>1.1570699708454812E-2</v>
      </c>
      <c r="S7" s="339">
        <v>719.27</v>
      </c>
      <c r="T7" s="340">
        <v>0.16400000000000001</v>
      </c>
      <c r="U7" s="341">
        <f>+S7-K16</f>
        <v>719.27</v>
      </c>
      <c r="V7" s="342" t="e">
        <f>(+S7/K16)-1</f>
        <v>#DIV/0!</v>
      </c>
      <c r="W7" s="339">
        <v>726.78</v>
      </c>
      <c r="X7" s="340">
        <v>0.16569999999999999</v>
      </c>
      <c r="Y7" s="343">
        <f>+W7-S7</f>
        <v>7.5099999999999909</v>
      </c>
      <c r="Z7" s="344">
        <f>(+W7/S7)-1</f>
        <v>1.0441141713125823E-2</v>
      </c>
      <c r="AA7" s="339">
        <v>747.23</v>
      </c>
      <c r="AB7" s="340">
        <v>0.1704</v>
      </c>
      <c r="AC7" s="343">
        <f>+AA7-W7</f>
        <v>20.450000000000045</v>
      </c>
      <c r="AD7" s="344">
        <f>(+AA7/W7)-1</f>
        <v>2.8137813368557252E-2</v>
      </c>
      <c r="AE7" s="339">
        <v>747.23</v>
      </c>
      <c r="AF7" s="340">
        <v>0.1704</v>
      </c>
      <c r="AG7" s="343">
        <f>+AE7-AA7</f>
        <v>0</v>
      </c>
      <c r="AH7" s="344">
        <f>(+AE7/AA7)-1</f>
        <v>0</v>
      </c>
      <c r="AI7" s="339"/>
      <c r="AJ7" s="345">
        <v>0.17</v>
      </c>
      <c r="AK7" s="343">
        <f>+AI7-AA7</f>
        <v>-747.23</v>
      </c>
      <c r="AL7" s="346">
        <f>(+AJ7/AB7)-1</f>
        <v>-2.3474178403755097E-3</v>
      </c>
      <c r="AM7" s="324">
        <v>715.42</v>
      </c>
      <c r="AN7" s="327">
        <v>0.16309999999999999</v>
      </c>
      <c r="AO7" s="360">
        <f>+AM7-AE7</f>
        <v>-31.810000000000059</v>
      </c>
      <c r="AP7" s="310">
        <f>(+AM7/AE7)-1</f>
        <v>-4.2570560603830243E-2</v>
      </c>
      <c r="AQ7" s="324">
        <v>693.2</v>
      </c>
      <c r="AR7" s="327">
        <v>0.1656</v>
      </c>
      <c r="AS7" s="360">
        <f>+AQ7-AI7</f>
        <v>693.2</v>
      </c>
      <c r="AT7" s="310">
        <f>(+AQ7/AM7)-1</f>
        <v>-3.1058678818036811E-2</v>
      </c>
      <c r="AU7" s="324">
        <v>699.3</v>
      </c>
      <c r="AV7" s="327">
        <v>0.16700000000000001</v>
      </c>
      <c r="AW7" s="360">
        <f>+AU7-AQ7</f>
        <v>6.0999999999999091</v>
      </c>
      <c r="AX7" s="310">
        <f>(+AU7/AQ7)-1</f>
        <v>8.7997691863819227E-3</v>
      </c>
      <c r="AY7" s="324">
        <v>700.4</v>
      </c>
      <c r="AZ7" s="327">
        <v>0.1673</v>
      </c>
      <c r="BA7" s="360">
        <f>+AY7-AU7</f>
        <v>1.1000000000000227</v>
      </c>
      <c r="BB7" s="310">
        <f>(+AY7/AU7)-1</f>
        <v>1.5730015730015534E-3</v>
      </c>
      <c r="BC7" s="324">
        <v>714.9</v>
      </c>
      <c r="BD7" s="327">
        <v>0.17080000000000001</v>
      </c>
      <c r="BE7" s="360">
        <f>+BC7-AY7</f>
        <v>14.5</v>
      </c>
      <c r="BF7" s="310">
        <f>(+BC7/AY7)-1</f>
        <v>2.0702455739577408E-2</v>
      </c>
      <c r="BG7" s="324">
        <v>712.6</v>
      </c>
      <c r="BH7" s="327">
        <v>0.1714</v>
      </c>
      <c r="BI7" s="360">
        <f>+BG7-BC7</f>
        <v>-2.2999999999999545</v>
      </c>
      <c r="BJ7" s="310">
        <f>(+BG7/BC7)-1</f>
        <v>-3.2172331794656506E-3</v>
      </c>
      <c r="BK7" s="324">
        <v>724.9</v>
      </c>
      <c r="BL7" s="327">
        <v>0.16930000000000001</v>
      </c>
      <c r="BM7" s="360">
        <f>+BK7-BG7</f>
        <v>12.299999999999955</v>
      </c>
      <c r="BN7" s="310">
        <f>(+BK7/BG7)-1</f>
        <v>1.7260735335391519E-2</v>
      </c>
      <c r="BO7" s="324">
        <v>743.2</v>
      </c>
      <c r="BP7" s="327">
        <v>0.1736</v>
      </c>
      <c r="BQ7" s="360">
        <f>+BO7-BK7</f>
        <v>18.300000000000068</v>
      </c>
      <c r="BR7" s="310">
        <f>(+BO7/BK7)-1</f>
        <v>2.5244861360187665E-2</v>
      </c>
      <c r="BS7" s="324">
        <v>756.8</v>
      </c>
      <c r="BT7" s="327">
        <v>0.1699</v>
      </c>
      <c r="BU7" s="360">
        <f>+BS7-BO7</f>
        <v>13.599999999999909</v>
      </c>
      <c r="BV7" s="310">
        <f>(+BS7/BO7)-1</f>
        <v>1.8299246501614519E-2</v>
      </c>
      <c r="BW7" s="428">
        <v>794.1</v>
      </c>
      <c r="BX7" s="327">
        <v>0.1782</v>
      </c>
      <c r="BY7" s="360">
        <f>+BW7-BS7</f>
        <v>37.300000000000068</v>
      </c>
      <c r="BZ7" s="310">
        <f>(+BW7/BS7)-1</f>
        <v>4.9286469344608896E-2</v>
      </c>
      <c r="CA7" s="428">
        <v>748.5</v>
      </c>
      <c r="CB7" s="327">
        <v>0.17299999999999999</v>
      </c>
      <c r="CC7" s="360">
        <f>+CA7-BW7</f>
        <v>-45.600000000000023</v>
      </c>
      <c r="CD7" s="310">
        <f>(+CA7/BW7)-1</f>
        <v>-5.7423498299962294E-2</v>
      </c>
      <c r="CE7" s="428">
        <v>740</v>
      </c>
      <c r="CF7" s="327" t="s">
        <v>217</v>
      </c>
      <c r="CG7" s="360">
        <f>+CE7-CA7</f>
        <v>-8.5</v>
      </c>
      <c r="CH7" s="310">
        <f>(+CE7/CA7)-1</f>
        <v>-1.1356045424181671E-2</v>
      </c>
      <c r="CI7" s="314"/>
      <c r="CL7" s="294" t="s">
        <v>89</v>
      </c>
      <c r="CM7" s="305">
        <v>21824</v>
      </c>
      <c r="CN7" s="305">
        <v>19372</v>
      </c>
      <c r="CO7" s="305">
        <v>18298</v>
      </c>
      <c r="CP7" s="306">
        <v>17581</v>
      </c>
      <c r="CQ7" s="305">
        <v>17872</v>
      </c>
      <c r="CR7" s="306">
        <v>20519</v>
      </c>
    </row>
    <row r="8" spans="2:96" x14ac:dyDescent="0.2">
      <c r="B8" s="294" t="s">
        <v>89</v>
      </c>
      <c r="C8" s="356">
        <v>913.31</v>
      </c>
      <c r="D8" s="357">
        <v>0.19589999999999999</v>
      </c>
      <c r="E8" s="358">
        <v>904.26</v>
      </c>
      <c r="F8" s="359">
        <v>0.19400000000000001</v>
      </c>
      <c r="G8" s="358">
        <v>904.26</v>
      </c>
      <c r="H8" s="359">
        <v>0.19400000000000001</v>
      </c>
      <c r="I8" s="360">
        <v>866.44</v>
      </c>
      <c r="J8" s="361">
        <v>0.1908</v>
      </c>
      <c r="K8" s="360">
        <f>+I8-E8</f>
        <v>-37.819999999999936</v>
      </c>
      <c r="L8" s="314">
        <f>(+I8/E8)-1</f>
        <v>-4.1824254086214041E-2</v>
      </c>
      <c r="M8" s="99">
        <v>864.31</v>
      </c>
      <c r="N8" s="267">
        <v>0.1903</v>
      </c>
      <c r="O8" s="324">
        <v>762.86</v>
      </c>
      <c r="P8" s="327">
        <v>0.1898</v>
      </c>
      <c r="Q8" s="360">
        <f>+O8-M8</f>
        <v>-101.44999999999993</v>
      </c>
      <c r="R8" s="310">
        <f>(+M8/I8)-1</f>
        <v>-2.4583352569135242E-3</v>
      </c>
      <c r="S8" s="339">
        <v>796.3</v>
      </c>
      <c r="T8" s="340">
        <v>0.18160000000000001</v>
      </c>
      <c r="U8" s="341">
        <f>+S8-K17</f>
        <v>796.3</v>
      </c>
      <c r="V8" s="342" t="e">
        <f>(+S8/K17)-1</f>
        <v>#DIV/0!</v>
      </c>
      <c r="W8" s="339">
        <v>817.68</v>
      </c>
      <c r="X8" s="340">
        <v>0.1865</v>
      </c>
      <c r="Y8" s="343">
        <f>+W8-S8</f>
        <v>21.379999999999995</v>
      </c>
      <c r="Z8" s="344">
        <f>(+W8/S8)-1</f>
        <v>2.6849177445686268E-2</v>
      </c>
      <c r="AA8" s="339">
        <v>828.76</v>
      </c>
      <c r="AB8" s="340">
        <v>0.189</v>
      </c>
      <c r="AC8" s="343">
        <f>+AA8-W8</f>
        <v>11.080000000000041</v>
      </c>
      <c r="AD8" s="344">
        <f>(+AA8/W8)-1</f>
        <v>1.3550533215928029E-2</v>
      </c>
      <c r="AE8" s="339">
        <v>828.76</v>
      </c>
      <c r="AF8" s="340">
        <v>0.189</v>
      </c>
      <c r="AG8" s="343">
        <f>+AE8-AA8</f>
        <v>0</v>
      </c>
      <c r="AH8" s="344">
        <f>(+AE8/AA8)-1</f>
        <v>0</v>
      </c>
      <c r="AI8" s="339"/>
      <c r="AJ8" s="345">
        <v>0.192</v>
      </c>
      <c r="AK8" s="343">
        <f>+AI8-AA8</f>
        <v>-828.76</v>
      </c>
      <c r="AL8" s="346">
        <f>(+AJ8/AB8)-1</f>
        <v>1.5873015873015817E-2</v>
      </c>
      <c r="AM8" s="324">
        <v>794.63</v>
      </c>
      <c r="AN8" s="327">
        <v>0.1812</v>
      </c>
      <c r="AO8" s="360">
        <f>+AM8-AE8</f>
        <v>-34.129999999999995</v>
      </c>
      <c r="AP8" s="310">
        <f>(+AM8/AE8)-1</f>
        <v>-4.1182006853612618E-2</v>
      </c>
      <c r="AQ8" s="324">
        <v>796.19</v>
      </c>
      <c r="AR8" s="327">
        <v>0.18160000000000001</v>
      </c>
      <c r="AS8" s="360">
        <f>+AQ8-AI8</f>
        <v>796.19</v>
      </c>
      <c r="AT8" s="310">
        <f>(+AQ8/AM8)-1</f>
        <v>1.9631778311919312E-3</v>
      </c>
      <c r="AU8" s="324">
        <v>809.798</v>
      </c>
      <c r="AV8" s="327">
        <v>0.19339999999999999</v>
      </c>
      <c r="AW8" s="360">
        <f>+AU8-AQ8</f>
        <v>13.607999999999947</v>
      </c>
      <c r="AX8" s="310">
        <f>(+AU8/AQ8)-1</f>
        <v>1.7091397781936468E-2</v>
      </c>
      <c r="AY8" s="324">
        <v>810.22199999999998</v>
      </c>
      <c r="AZ8" s="327">
        <v>0.19350000000000001</v>
      </c>
      <c r="BA8" s="360">
        <f>+AY8-AU8</f>
        <v>0.42399999999997817</v>
      </c>
      <c r="BB8" s="310">
        <f>(+AY8/AU8)-1</f>
        <v>5.235873637623456E-4</v>
      </c>
      <c r="BC8" s="324">
        <v>810.43899999999996</v>
      </c>
      <c r="BD8" s="327">
        <v>0.19359999999999999</v>
      </c>
      <c r="BE8" s="360">
        <f>+BC8-AY8</f>
        <v>0.21699999999998454</v>
      </c>
      <c r="BF8" s="310">
        <f>(+BC8/AY8)-1</f>
        <v>2.67827829903311E-4</v>
      </c>
      <c r="BG8" s="324">
        <v>817.45600000000002</v>
      </c>
      <c r="BH8" s="327">
        <v>0.19670000000000001</v>
      </c>
      <c r="BI8" s="360">
        <f>+BG8-BC8</f>
        <v>7.0170000000000528</v>
      </c>
      <c r="BJ8" s="310">
        <f>(+BG8/BC8)-1</f>
        <v>8.6582703941937567E-3</v>
      </c>
      <c r="BK8" s="324">
        <v>824.36699999999996</v>
      </c>
      <c r="BL8" s="327">
        <v>0.19259999999999999</v>
      </c>
      <c r="BM8" s="360">
        <f>+BK8-BG8</f>
        <v>6.9109999999999445</v>
      </c>
      <c r="BN8" s="310">
        <f>(+BK8/BG8)-1</f>
        <v>8.4542776614275894E-3</v>
      </c>
      <c r="BO8" s="324">
        <v>830.93100000000004</v>
      </c>
      <c r="BP8" s="327">
        <v>0.19409999999999999</v>
      </c>
      <c r="BQ8" s="360">
        <f>+BO8-BK8</f>
        <v>6.5640000000000782</v>
      </c>
      <c r="BR8" s="310">
        <f>(+BO8/BK8)-1</f>
        <v>7.9624730247571662E-3</v>
      </c>
      <c r="BS8" s="324">
        <v>861.851</v>
      </c>
      <c r="BT8" s="327">
        <v>0.19339999999999999</v>
      </c>
      <c r="BU8" s="360">
        <f>+BS8-BO8</f>
        <v>30.919999999999959</v>
      </c>
      <c r="BV8" s="310">
        <f>(+BS8/BO8)-1</f>
        <v>3.7211272656815009E-2</v>
      </c>
      <c r="BW8" s="428">
        <v>868.81799999999998</v>
      </c>
      <c r="BX8" s="327">
        <v>0.19500000000000001</v>
      </c>
      <c r="BY8" s="360">
        <f>+BW8-BS8</f>
        <v>6.9669999999999845</v>
      </c>
      <c r="BZ8" s="310">
        <f>(+BW8/BS8)-1</f>
        <v>8.0837638988642269E-3</v>
      </c>
      <c r="CA8" s="428">
        <v>847.96699999999998</v>
      </c>
      <c r="CB8" s="327">
        <v>0.19600000000000001</v>
      </c>
      <c r="CC8" s="360">
        <f>+CA8-BW8</f>
        <v>-20.850999999999999</v>
      </c>
      <c r="CD8" s="310">
        <f>(+CA8/BW8)-1</f>
        <v>-2.3999272574923625E-2</v>
      </c>
      <c r="CE8" s="428">
        <v>822</v>
      </c>
      <c r="CF8" s="327" t="s">
        <v>218</v>
      </c>
      <c r="CG8" s="360">
        <f>+CE8-CA8</f>
        <v>-25.966999999999985</v>
      </c>
      <c r="CH8" s="310">
        <f>(+CE8/CA8)-1</f>
        <v>-3.0622653947618206E-2</v>
      </c>
      <c r="CI8" s="314"/>
      <c r="CL8" s="294" t="s">
        <v>90</v>
      </c>
      <c r="CM8" s="305">
        <v>9500</v>
      </c>
      <c r="CN8" s="305">
        <v>7700</v>
      </c>
      <c r="CO8" s="305">
        <v>7500</v>
      </c>
      <c r="CP8" s="306">
        <v>7700</v>
      </c>
      <c r="CQ8" s="305"/>
      <c r="CR8" s="306"/>
    </row>
    <row r="9" spans="2:96" ht="16" thickBot="1" x14ac:dyDescent="0.25">
      <c r="B9" s="295" t="s">
        <v>90</v>
      </c>
      <c r="C9" s="363">
        <v>858.92</v>
      </c>
      <c r="D9" s="297">
        <v>0.1842</v>
      </c>
      <c r="E9" s="296">
        <v>859.88</v>
      </c>
      <c r="F9" s="303">
        <v>0.1845</v>
      </c>
      <c r="G9" s="296">
        <v>859.88</v>
      </c>
      <c r="H9" s="303">
        <v>0.1845</v>
      </c>
      <c r="I9" s="304">
        <v>825.77</v>
      </c>
      <c r="J9" s="309">
        <v>0.18179999999999999</v>
      </c>
      <c r="K9" s="304">
        <f>+I9-E9</f>
        <v>-34.110000000000014</v>
      </c>
      <c r="L9" s="315">
        <f>(+I9/E9)-1</f>
        <v>-3.9668325812904137E-2</v>
      </c>
      <c r="M9" s="312">
        <v>828.09</v>
      </c>
      <c r="N9" s="313">
        <v>0.18240000000000001</v>
      </c>
      <c r="O9" s="325">
        <v>836.83</v>
      </c>
      <c r="P9" s="328">
        <v>0.18429999999999999</v>
      </c>
      <c r="Q9" s="304">
        <f>+O9-M9</f>
        <v>8.7400000000000091</v>
      </c>
      <c r="R9" s="311">
        <f>(+M9/I9)-1</f>
        <v>2.8094990130425046E-3</v>
      </c>
      <c r="S9" s="347">
        <v>806.02</v>
      </c>
      <c r="T9" s="348">
        <v>0.18379999999999999</v>
      </c>
      <c r="U9" s="349">
        <f>+S9-K18</f>
        <v>806.02</v>
      </c>
      <c r="V9" s="350" t="e">
        <f>(+S9/K18)-1</f>
        <v>#DIV/0!</v>
      </c>
      <c r="W9" s="347">
        <v>803.71</v>
      </c>
      <c r="X9" s="348">
        <v>0.18329999999999999</v>
      </c>
      <c r="Y9" s="351">
        <f>+W9-S9</f>
        <v>-2.3099999999999454</v>
      </c>
      <c r="Z9" s="352">
        <f>(+W9/S9)-1</f>
        <v>-2.8659338477953211E-3</v>
      </c>
      <c r="AA9" s="347">
        <v>807</v>
      </c>
      <c r="AB9" s="348">
        <v>0.184</v>
      </c>
      <c r="AC9" s="351">
        <f>+AA9-W9</f>
        <v>3.2899999999999636</v>
      </c>
      <c r="AD9" s="352">
        <f>(+AA9/W9)-1</f>
        <v>4.0935163180748635E-3</v>
      </c>
      <c r="AE9" s="347">
        <v>807</v>
      </c>
      <c r="AF9" s="348">
        <v>0.184</v>
      </c>
      <c r="AG9" s="351">
        <f>+AE9-AA9</f>
        <v>0</v>
      </c>
      <c r="AH9" s="352">
        <f>(+AE9/AA9)-1</f>
        <v>0</v>
      </c>
      <c r="AI9" s="347"/>
      <c r="AJ9" s="353">
        <v>0.184</v>
      </c>
      <c r="AK9" s="351">
        <f>+AI9-AA9</f>
        <v>-807</v>
      </c>
      <c r="AL9" s="354">
        <f>(+AJ9/AB9)-1</f>
        <v>0</v>
      </c>
      <c r="AM9" s="325">
        <v>798.79</v>
      </c>
      <c r="AN9" s="328">
        <v>0.18210000000000001</v>
      </c>
      <c r="AO9" s="304">
        <f>+AM9-AE9</f>
        <v>-8.2100000000000364</v>
      </c>
      <c r="AP9" s="311">
        <f>(+AM9/AE9)-1</f>
        <v>-1.0173482032218129E-2</v>
      </c>
      <c r="AQ9" s="325">
        <v>774.6</v>
      </c>
      <c r="AR9" s="328">
        <v>0.185</v>
      </c>
      <c r="AS9" s="304">
        <f>+AQ9-AI9</f>
        <v>774.6</v>
      </c>
      <c r="AT9" s="311">
        <f>(+AQ9/AM9)-1</f>
        <v>-3.0283303496538405E-2</v>
      </c>
      <c r="AU9" s="325">
        <v>780.7</v>
      </c>
      <c r="AV9" s="328">
        <v>0.1865</v>
      </c>
      <c r="AW9" s="304">
        <f>+AU9-AQ9</f>
        <v>6.1000000000000227</v>
      </c>
      <c r="AX9" s="311">
        <f>(+AU9/AQ9)-1</f>
        <v>7.8750322747225265E-3</v>
      </c>
      <c r="AY9" s="325">
        <v>779.2</v>
      </c>
      <c r="AZ9" s="328">
        <v>0.18609999999999999</v>
      </c>
      <c r="BA9" s="304">
        <f>+AY9-AU9</f>
        <v>-1.5</v>
      </c>
      <c r="BB9" s="311">
        <f>(+AY9/AU9)-1</f>
        <v>-1.921352632253126E-3</v>
      </c>
      <c r="BC9" s="325">
        <v>781.7</v>
      </c>
      <c r="BD9" s="328">
        <v>0.1867</v>
      </c>
      <c r="BE9" s="304">
        <f>+BC9-AY9</f>
        <v>2.5</v>
      </c>
      <c r="BF9" s="311">
        <f>(+BC9/AY9)-1</f>
        <v>3.2084188911705169E-3</v>
      </c>
      <c r="BG9" s="325">
        <v>775.8</v>
      </c>
      <c r="BH9" s="328">
        <v>0.18659999999999999</v>
      </c>
      <c r="BI9" s="304">
        <f>+BG9-BC9</f>
        <v>-5.9000000000000909</v>
      </c>
      <c r="BJ9" s="311">
        <f>(+BG9/BC9)-1</f>
        <v>-7.5476525521300797E-3</v>
      </c>
      <c r="BK9" s="325">
        <v>800</v>
      </c>
      <c r="BL9" s="328">
        <v>0.18690000000000001</v>
      </c>
      <c r="BM9" s="304">
        <f>+BK9-BG9</f>
        <v>24.200000000000045</v>
      </c>
      <c r="BN9" s="311">
        <f>(+BK9/BG9)-1</f>
        <v>3.1193606599639212E-2</v>
      </c>
      <c r="BO9" s="325">
        <v>802</v>
      </c>
      <c r="BP9" s="328">
        <v>0.18729999999999999</v>
      </c>
      <c r="BQ9" s="304">
        <f>+BO9-BK9</f>
        <v>2</v>
      </c>
      <c r="BR9" s="311">
        <f>(+BO9/BK9)-1</f>
        <v>2.4999999999999467E-3</v>
      </c>
      <c r="BS9" s="325">
        <v>829.4</v>
      </c>
      <c r="BT9" s="328">
        <v>0.1862</v>
      </c>
      <c r="BU9" s="304">
        <f>+BS9-BO9</f>
        <v>27.399999999999977</v>
      </c>
      <c r="BV9" s="311">
        <f>(+BS9/BO9)-1</f>
        <v>3.4164588528678319E-2</v>
      </c>
      <c r="BW9" s="429">
        <v>841.7</v>
      </c>
      <c r="BX9" s="328">
        <v>0.18890000000000001</v>
      </c>
      <c r="BY9" s="304">
        <f>+BW9-BS9</f>
        <v>12.300000000000068</v>
      </c>
      <c r="BZ9" s="311">
        <f>(+BW9/BS9)-1</f>
        <v>1.482999758861836E-2</v>
      </c>
      <c r="CA9" s="429">
        <v>811</v>
      </c>
      <c r="CB9" s="328">
        <v>0.1875</v>
      </c>
      <c r="CC9" s="304">
        <f>+CA9-BW9</f>
        <v>-30.700000000000045</v>
      </c>
      <c r="CD9" s="311">
        <f>(+CA9/BW9)-1</f>
        <v>-3.6473803017702311E-2</v>
      </c>
      <c r="CE9" s="429">
        <v>811</v>
      </c>
      <c r="CF9" s="328">
        <v>0.1875</v>
      </c>
      <c r="CG9" s="304">
        <f>+CE9-CA9</f>
        <v>0</v>
      </c>
      <c r="CH9" s="311">
        <f>(+CE9/CA9)-1</f>
        <v>0</v>
      </c>
      <c r="CI9" s="314"/>
      <c r="CL9" s="295" t="s">
        <v>153</v>
      </c>
      <c r="CM9" s="307">
        <v>91.9</v>
      </c>
      <c r="CN9" s="307">
        <v>137.80000000000001</v>
      </c>
      <c r="CO9" s="307">
        <v>137.80000000000001</v>
      </c>
      <c r="CP9" s="308">
        <v>202.1</v>
      </c>
      <c r="CQ9" s="307">
        <v>220.4</v>
      </c>
      <c r="CR9" s="308">
        <v>119.4</v>
      </c>
    </row>
    <row r="11" spans="2:96" x14ac:dyDescent="0.2">
      <c r="CL11" s="298" t="s">
        <v>38</v>
      </c>
      <c r="CM11" s="300">
        <f t="shared" ref="CM11:CR11" si="0">+SUM(CM5:CM9)</f>
        <v>63115.9</v>
      </c>
      <c r="CN11" s="300">
        <f t="shared" si="0"/>
        <v>55709.8</v>
      </c>
      <c r="CO11" s="300">
        <f t="shared" si="0"/>
        <v>53615.8</v>
      </c>
      <c r="CP11" s="300">
        <f t="shared" si="0"/>
        <v>53333.1</v>
      </c>
      <c r="CQ11" s="300">
        <f t="shared" si="0"/>
        <v>36092.400000000001</v>
      </c>
      <c r="CR11" s="300">
        <f t="shared" si="0"/>
        <v>37708.400000000001</v>
      </c>
    </row>
  </sheetData>
  <mergeCells count="23">
    <mergeCell ref="CE4:CF4"/>
    <mergeCell ref="CA4:CB4"/>
    <mergeCell ref="BK4:BL4"/>
    <mergeCell ref="AE4:AF4"/>
    <mergeCell ref="BG4:BH4"/>
    <mergeCell ref="BC4:BD4"/>
    <mergeCell ref="AY4:AZ4"/>
    <mergeCell ref="BW4:BX4"/>
    <mergeCell ref="BS4:BT4"/>
    <mergeCell ref="BO4:BP4"/>
    <mergeCell ref="C4:D4"/>
    <mergeCell ref="E4:F4"/>
    <mergeCell ref="G4:H4"/>
    <mergeCell ref="I4:J4"/>
    <mergeCell ref="M4:N4"/>
    <mergeCell ref="O4:P4"/>
    <mergeCell ref="AU4:AV4"/>
    <mergeCell ref="AQ4:AR4"/>
    <mergeCell ref="AI4:AJ4"/>
    <mergeCell ref="AM4:AN4"/>
    <mergeCell ref="S4:T4"/>
    <mergeCell ref="W4:X4"/>
    <mergeCell ref="AA4:AB4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C466-8FCE-8742-949B-3526DBCC6EF4}">
  <dimension ref="A2:O23"/>
  <sheetViews>
    <sheetView showGridLines="0" zoomScale="180" zoomScaleNormal="180" workbookViewId="0">
      <selection activeCell="L7" sqref="L7"/>
    </sheetView>
  </sheetViews>
  <sheetFormatPr baseColWidth="10" defaultRowHeight="15" x14ac:dyDescent="0.2"/>
  <cols>
    <col min="1" max="1" width="10.83203125" style="99"/>
    <col min="2" max="2" width="14.5" style="99" bestFit="1" customWidth="1"/>
    <col min="3" max="16384" width="10.83203125" style="99"/>
  </cols>
  <sheetData>
    <row r="2" spans="1:15" ht="26" x14ac:dyDescent="0.3">
      <c r="B2" s="389" t="s">
        <v>193</v>
      </c>
    </row>
    <row r="4" spans="1:15" ht="16" thickBot="1" x14ac:dyDescent="0.25">
      <c r="C4" s="273" t="s">
        <v>181</v>
      </c>
      <c r="D4" s="273" t="s">
        <v>182</v>
      </c>
      <c r="E4" s="273" t="s">
        <v>183</v>
      </c>
      <c r="F4" s="273" t="s">
        <v>184</v>
      </c>
      <c r="G4" s="273" t="s">
        <v>185</v>
      </c>
      <c r="H4" s="273" t="s">
        <v>186</v>
      </c>
      <c r="I4" s="273" t="s">
        <v>187</v>
      </c>
      <c r="J4" s="273" t="s">
        <v>188</v>
      </c>
      <c r="K4" s="273" t="s">
        <v>189</v>
      </c>
      <c r="L4" s="273" t="s">
        <v>190</v>
      </c>
      <c r="M4" s="273" t="s">
        <v>191</v>
      </c>
      <c r="N4" s="273" t="s">
        <v>192</v>
      </c>
      <c r="O4" s="273" t="s">
        <v>38</v>
      </c>
    </row>
    <row r="5" spans="1:15" x14ac:dyDescent="0.2">
      <c r="A5" s="273" t="s">
        <v>179</v>
      </c>
      <c r="B5" s="390" t="s">
        <v>175</v>
      </c>
      <c r="C5" s="391">
        <v>23942</v>
      </c>
      <c r="D5" s="391">
        <v>20911</v>
      </c>
      <c r="E5" s="391">
        <v>23306</v>
      </c>
      <c r="F5" s="391">
        <v>22844</v>
      </c>
      <c r="G5" s="391">
        <v>19765</v>
      </c>
      <c r="H5" s="392">
        <v>16856.57</v>
      </c>
      <c r="I5" s="392">
        <v>20885.8</v>
      </c>
      <c r="J5" s="392">
        <v>22286</v>
      </c>
      <c r="K5" s="392">
        <v>21258.25</v>
      </c>
      <c r="L5" s="392">
        <v>17000</v>
      </c>
      <c r="M5" s="393"/>
      <c r="N5" s="393"/>
      <c r="O5" s="394">
        <f>+SUM(C5:H5)</f>
        <v>127624.57</v>
      </c>
    </row>
    <row r="6" spans="1:15" x14ac:dyDescent="0.2">
      <c r="A6" s="273" t="s">
        <v>88</v>
      </c>
      <c r="B6" s="395" t="s">
        <v>175</v>
      </c>
      <c r="C6" s="396">
        <v>11997</v>
      </c>
      <c r="D6" s="396">
        <v>10793</v>
      </c>
      <c r="E6" s="396">
        <v>12894.880000000001</v>
      </c>
      <c r="F6" s="396">
        <v>10543</v>
      </c>
      <c r="G6" s="396">
        <v>9879</v>
      </c>
      <c r="H6" s="397">
        <v>6822.47</v>
      </c>
      <c r="I6" s="397">
        <v>7206.91</v>
      </c>
      <c r="J6" s="397">
        <v>7738.57</v>
      </c>
      <c r="K6" s="397">
        <v>7317.06</v>
      </c>
      <c r="L6" s="397">
        <v>8300</v>
      </c>
      <c r="M6" s="398"/>
      <c r="N6" s="398"/>
      <c r="O6" s="399">
        <f>+SUM(C6:H6)</f>
        <v>62929.350000000006</v>
      </c>
    </row>
    <row r="7" spans="1:15" x14ac:dyDescent="0.2">
      <c r="A7" s="273" t="s">
        <v>178</v>
      </c>
      <c r="B7" s="395" t="s">
        <v>175</v>
      </c>
      <c r="C7" s="396">
        <v>16844.236999999997</v>
      </c>
      <c r="D7" s="396">
        <v>18554</v>
      </c>
      <c r="E7" s="396">
        <v>18827.580999999998</v>
      </c>
      <c r="F7" s="396">
        <v>17972</v>
      </c>
      <c r="G7" s="396">
        <v>18658.109</v>
      </c>
      <c r="H7" s="397">
        <v>16956.319</v>
      </c>
      <c r="I7" s="397">
        <v>21020.219000000001</v>
      </c>
      <c r="J7" s="397">
        <v>19236.605</v>
      </c>
      <c r="K7" s="397">
        <v>22461.803</v>
      </c>
      <c r="L7" s="397">
        <v>23150</v>
      </c>
      <c r="M7" s="398"/>
      <c r="N7" s="398"/>
      <c r="O7" s="399">
        <f>+SUM(C7:H7)</f>
        <v>107812.246</v>
      </c>
    </row>
    <row r="8" spans="1:15" ht="16" thickBot="1" x14ac:dyDescent="0.25">
      <c r="A8" s="273" t="s">
        <v>180</v>
      </c>
      <c r="B8" s="400" t="s">
        <v>175</v>
      </c>
      <c r="C8" s="401">
        <v>6035</v>
      </c>
      <c r="D8" s="401">
        <v>7270</v>
      </c>
      <c r="E8" s="401">
        <v>8455</v>
      </c>
      <c r="F8" s="401">
        <v>7257</v>
      </c>
      <c r="G8" s="401">
        <v>7471</v>
      </c>
      <c r="H8" s="402">
        <v>6237.4</v>
      </c>
      <c r="I8" s="402">
        <v>6035.2</v>
      </c>
      <c r="J8" s="402">
        <v>6085.7999999999993</v>
      </c>
      <c r="K8" s="402">
        <v>6505.8</v>
      </c>
      <c r="L8" s="402">
        <v>6630</v>
      </c>
      <c r="M8" s="403"/>
      <c r="N8" s="403"/>
      <c r="O8" s="404">
        <f>+SUM(C8:H8)</f>
        <v>42725.4</v>
      </c>
    </row>
    <row r="9" spans="1:15" x14ac:dyDescent="0.2">
      <c r="A9" s="273" t="s">
        <v>38</v>
      </c>
      <c r="B9" s="405"/>
      <c r="C9" s="406">
        <f>+SUM(C5:C8)</f>
        <v>58818.236999999994</v>
      </c>
      <c r="D9" s="406">
        <f t="shared" ref="D9:O9" si="0">+SUM(D5:D8)</f>
        <v>57528</v>
      </c>
      <c r="E9" s="406">
        <f t="shared" si="0"/>
        <v>63483.461000000003</v>
      </c>
      <c r="F9" s="406">
        <f t="shared" si="0"/>
        <v>58616</v>
      </c>
      <c r="G9" s="406">
        <f t="shared" si="0"/>
        <v>55773.108999999997</v>
      </c>
      <c r="H9" s="406">
        <f t="shared" si="0"/>
        <v>46872.758999999998</v>
      </c>
      <c r="I9" s="406">
        <f t="shared" si="0"/>
        <v>55148.129000000001</v>
      </c>
      <c r="J9" s="406">
        <f t="shared" si="0"/>
        <v>55346.975000000006</v>
      </c>
      <c r="K9" s="406">
        <f t="shared" si="0"/>
        <v>57542.913</v>
      </c>
      <c r="L9" s="406">
        <f t="shared" si="0"/>
        <v>55080</v>
      </c>
      <c r="M9" s="406">
        <f t="shared" si="0"/>
        <v>0</v>
      </c>
      <c r="N9" s="406">
        <f t="shared" si="0"/>
        <v>0</v>
      </c>
      <c r="O9" s="406">
        <f t="shared" si="0"/>
        <v>341091.56600000005</v>
      </c>
    </row>
    <row r="10" spans="1:15" x14ac:dyDescent="0.2">
      <c r="O10" s="407"/>
    </row>
    <row r="11" spans="1:15" ht="16" thickBot="1" x14ac:dyDescent="0.25">
      <c r="C11" s="273" t="s">
        <v>181</v>
      </c>
      <c r="D11" s="273" t="s">
        <v>182</v>
      </c>
      <c r="E11" s="273" t="s">
        <v>183</v>
      </c>
      <c r="F11" s="273" t="s">
        <v>184</v>
      </c>
      <c r="G11" s="273" t="s">
        <v>185</v>
      </c>
      <c r="H11" s="273" t="s">
        <v>186</v>
      </c>
      <c r="I11" s="273" t="s">
        <v>187</v>
      </c>
      <c r="J11" s="273" t="s">
        <v>188</v>
      </c>
      <c r="K11" s="273" t="s">
        <v>189</v>
      </c>
      <c r="L11" s="273" t="s">
        <v>190</v>
      </c>
      <c r="M11" s="273" t="s">
        <v>191</v>
      </c>
      <c r="N11" s="273" t="s">
        <v>192</v>
      </c>
      <c r="O11" s="273" t="s">
        <v>38</v>
      </c>
    </row>
    <row r="12" spans="1:15" x14ac:dyDescent="0.2">
      <c r="A12" s="273" t="s">
        <v>179</v>
      </c>
      <c r="B12" s="390" t="s">
        <v>176</v>
      </c>
      <c r="C12" s="391">
        <v>4796</v>
      </c>
      <c r="D12" s="391">
        <v>4277.6970000000001</v>
      </c>
      <c r="E12" s="391">
        <v>4811.63</v>
      </c>
      <c r="F12" s="391">
        <v>4777</v>
      </c>
      <c r="G12" s="391">
        <v>4282</v>
      </c>
      <c r="H12" s="392">
        <v>3870.886</v>
      </c>
      <c r="I12" s="392">
        <v>4752.241</v>
      </c>
      <c r="J12" s="392">
        <v>4913.5239999999994</v>
      </c>
      <c r="K12" s="392">
        <v>4676.2759999999998</v>
      </c>
      <c r="L12" s="392">
        <v>3672</v>
      </c>
      <c r="M12" s="393"/>
      <c r="N12" s="393"/>
      <c r="O12" s="394">
        <f>+SUM(C12:H12)</f>
        <v>26815.213</v>
      </c>
    </row>
    <row r="13" spans="1:15" x14ac:dyDescent="0.2">
      <c r="A13" s="273" t="s">
        <v>88</v>
      </c>
      <c r="B13" s="395" t="s">
        <v>176</v>
      </c>
      <c r="C13" s="396">
        <v>2121</v>
      </c>
      <c r="D13" s="396">
        <v>1908</v>
      </c>
      <c r="E13" s="396">
        <v>2394</v>
      </c>
      <c r="F13" s="396">
        <v>1993</v>
      </c>
      <c r="G13" s="396">
        <v>1960</v>
      </c>
      <c r="H13" s="397">
        <v>1385.587</v>
      </c>
      <c r="I13" s="397">
        <v>1471.1869999999999</v>
      </c>
      <c r="J13" s="397">
        <v>1548.5239999999999</v>
      </c>
      <c r="K13" s="397">
        <v>1445.8645887879936</v>
      </c>
      <c r="L13" s="397">
        <v>1643.4</v>
      </c>
      <c r="M13" s="398"/>
      <c r="N13" s="398"/>
      <c r="O13" s="399">
        <f>+SUM(C13:H13)</f>
        <v>11761.587</v>
      </c>
    </row>
    <row r="14" spans="1:15" x14ac:dyDescent="0.2">
      <c r="A14" s="273" t="s">
        <v>178</v>
      </c>
      <c r="B14" s="395" t="s">
        <v>176</v>
      </c>
      <c r="C14" s="396">
        <v>3878.7649999999999</v>
      </c>
      <c r="D14" s="396">
        <v>4216</v>
      </c>
      <c r="E14" s="396">
        <v>4283</v>
      </c>
      <c r="F14" s="396">
        <v>4119</v>
      </c>
      <c r="G14" s="396">
        <v>4405</v>
      </c>
      <c r="H14" s="397">
        <v>4021.3109999999997</v>
      </c>
      <c r="I14" s="397">
        <v>5086.5159999999996</v>
      </c>
      <c r="J14" s="397">
        <v>4552.9760000000006</v>
      </c>
      <c r="K14" s="397">
        <v>5339.656359469961</v>
      </c>
      <c r="L14" s="397">
        <v>5440.25</v>
      </c>
      <c r="M14" s="398"/>
      <c r="N14" s="398"/>
      <c r="O14" s="399">
        <f>+SUM(C14:H14)</f>
        <v>24923.076000000001</v>
      </c>
    </row>
    <row r="15" spans="1:15" ht="16" thickBot="1" x14ac:dyDescent="0.25">
      <c r="A15" s="273" t="s">
        <v>180</v>
      </c>
      <c r="B15" s="400" t="s">
        <v>176</v>
      </c>
      <c r="C15" s="401">
        <v>1265</v>
      </c>
      <c r="D15" s="401">
        <v>1462</v>
      </c>
      <c r="E15" s="401">
        <v>1758</v>
      </c>
      <c r="F15" s="401">
        <v>1581</v>
      </c>
      <c r="G15" s="401">
        <v>1724</v>
      </c>
      <c r="H15" s="402">
        <v>1465.5309999999999</v>
      </c>
      <c r="I15" s="402">
        <v>1390.212</v>
      </c>
      <c r="J15" s="402">
        <v>1331.0450000000001</v>
      </c>
      <c r="K15" s="402">
        <v>1455.4228042895443</v>
      </c>
      <c r="L15" s="402">
        <v>1458.6</v>
      </c>
      <c r="M15" s="403"/>
      <c r="N15" s="403"/>
      <c r="O15" s="404">
        <f>+SUM(C15:H15)</f>
        <v>9255.530999999999</v>
      </c>
    </row>
    <row r="16" spans="1:15" x14ac:dyDescent="0.2">
      <c r="A16" s="273" t="s">
        <v>38</v>
      </c>
      <c r="B16" s="405"/>
      <c r="C16" s="406">
        <f>+SUM(C12:C15)</f>
        <v>12060.764999999999</v>
      </c>
      <c r="D16" s="406">
        <f t="shared" ref="D16:O16" si="1">+SUM(D12:D15)</f>
        <v>11863.697</v>
      </c>
      <c r="E16" s="406">
        <f t="shared" si="1"/>
        <v>13246.630000000001</v>
      </c>
      <c r="F16" s="406">
        <f t="shared" si="1"/>
        <v>12470</v>
      </c>
      <c r="G16" s="406">
        <f t="shared" si="1"/>
        <v>12371</v>
      </c>
      <c r="H16" s="406">
        <f t="shared" si="1"/>
        <v>10743.314999999999</v>
      </c>
      <c r="I16" s="406">
        <f t="shared" si="1"/>
        <v>12700.155999999999</v>
      </c>
      <c r="J16" s="406">
        <f t="shared" si="1"/>
        <v>12346.069</v>
      </c>
      <c r="K16" s="406">
        <f t="shared" si="1"/>
        <v>12917.219752547499</v>
      </c>
      <c r="L16" s="406">
        <f t="shared" si="1"/>
        <v>12214.25</v>
      </c>
      <c r="M16" s="406">
        <f t="shared" si="1"/>
        <v>0</v>
      </c>
      <c r="N16" s="406">
        <f t="shared" si="1"/>
        <v>0</v>
      </c>
      <c r="O16" s="406">
        <f t="shared" si="1"/>
        <v>72755.407000000007</v>
      </c>
    </row>
    <row r="18" spans="1:15" ht="16" thickBot="1" x14ac:dyDescent="0.25">
      <c r="C18" s="273" t="s">
        <v>181</v>
      </c>
      <c r="D18" s="273" t="s">
        <v>182</v>
      </c>
      <c r="E18" s="273" t="s">
        <v>183</v>
      </c>
      <c r="F18" s="273" t="s">
        <v>184</v>
      </c>
      <c r="G18" s="273" t="s">
        <v>185</v>
      </c>
      <c r="H18" s="273" t="s">
        <v>186</v>
      </c>
      <c r="I18" s="273" t="s">
        <v>187</v>
      </c>
      <c r="J18" s="273" t="s">
        <v>188</v>
      </c>
      <c r="K18" s="273" t="s">
        <v>189</v>
      </c>
      <c r="L18" s="273" t="s">
        <v>190</v>
      </c>
      <c r="M18" s="273" t="s">
        <v>191</v>
      </c>
      <c r="N18" s="273" t="s">
        <v>192</v>
      </c>
      <c r="O18" s="273" t="s">
        <v>38</v>
      </c>
    </row>
    <row r="19" spans="1:15" x14ac:dyDescent="0.2">
      <c r="A19" s="273" t="s">
        <v>179</v>
      </c>
      <c r="B19" s="390" t="s">
        <v>177</v>
      </c>
      <c r="C19" s="382">
        <f t="shared" ref="C19:I22" si="2">+C12/C5</f>
        <v>0.20031743379834599</v>
      </c>
      <c r="D19" s="382">
        <f t="shared" si="2"/>
        <v>0.20456683085457417</v>
      </c>
      <c r="E19" s="382">
        <f t="shared" si="2"/>
        <v>0.20645456105723847</v>
      </c>
      <c r="F19" s="382">
        <f t="shared" si="2"/>
        <v>0.20911399054456312</v>
      </c>
      <c r="G19" s="382">
        <f t="shared" si="2"/>
        <v>0.2166455856311662</v>
      </c>
      <c r="H19" s="382">
        <f t="shared" si="2"/>
        <v>0.22963663426189315</v>
      </c>
      <c r="I19" s="382">
        <f t="shared" si="2"/>
        <v>0.22753454500186732</v>
      </c>
      <c r="J19" s="382">
        <f t="shared" ref="J19:L22" si="3">+J12/J5</f>
        <v>0.22047581441263572</v>
      </c>
      <c r="K19" s="382">
        <f t="shared" si="3"/>
        <v>0.21997464513777004</v>
      </c>
      <c r="L19" s="382">
        <f t="shared" si="3"/>
        <v>0.216</v>
      </c>
      <c r="M19" s="393"/>
      <c r="N19" s="393"/>
      <c r="O19" s="383">
        <f>+O12/O5</f>
        <v>0.21011011437687899</v>
      </c>
    </row>
    <row r="20" spans="1:15" x14ac:dyDescent="0.2">
      <c r="A20" s="273" t="s">
        <v>88</v>
      </c>
      <c r="B20" s="395" t="s">
        <v>177</v>
      </c>
      <c r="C20" s="381">
        <f t="shared" si="2"/>
        <v>0.1767941985496374</v>
      </c>
      <c r="D20" s="381">
        <f t="shared" si="2"/>
        <v>0.17678124710460483</v>
      </c>
      <c r="E20" s="381">
        <f t="shared" si="2"/>
        <v>0.18565508170684797</v>
      </c>
      <c r="F20" s="381">
        <f t="shared" si="2"/>
        <v>0.18903537892440481</v>
      </c>
      <c r="G20" s="381">
        <f t="shared" si="2"/>
        <v>0.19840064783885009</v>
      </c>
      <c r="H20" s="381">
        <f t="shared" si="2"/>
        <v>0.20309169552962489</v>
      </c>
      <c r="I20" s="381">
        <f t="shared" si="2"/>
        <v>0.20413561429239438</v>
      </c>
      <c r="J20" s="381">
        <f t="shared" si="3"/>
        <v>0.20010467050113909</v>
      </c>
      <c r="K20" s="381">
        <f t="shared" si="3"/>
        <v>0.19760184948435486</v>
      </c>
      <c r="L20" s="381">
        <f t="shared" si="3"/>
        <v>0.19800000000000001</v>
      </c>
      <c r="M20" s="398"/>
      <c r="N20" s="398"/>
      <c r="O20" s="384">
        <f>+O13/O6</f>
        <v>0.18690145377315986</v>
      </c>
    </row>
    <row r="21" spans="1:15" x14ac:dyDescent="0.2">
      <c r="A21" s="273" t="s">
        <v>178</v>
      </c>
      <c r="B21" s="395" t="s">
        <v>177</v>
      </c>
      <c r="C21" s="381">
        <f t="shared" si="2"/>
        <v>0.23027252584964225</v>
      </c>
      <c r="D21" s="381">
        <f t="shared" si="2"/>
        <v>0.22722862994502532</v>
      </c>
      <c r="E21" s="381">
        <f t="shared" si="2"/>
        <v>0.22748541089797997</v>
      </c>
      <c r="F21" s="381">
        <f t="shared" si="2"/>
        <v>0.22918985087914534</v>
      </c>
      <c r="G21" s="381">
        <f t="shared" si="2"/>
        <v>0.23609037764759547</v>
      </c>
      <c r="H21" s="381">
        <f t="shared" si="2"/>
        <v>0.2371570740088105</v>
      </c>
      <c r="I21" s="381">
        <f t="shared" si="2"/>
        <v>0.24198206498229155</v>
      </c>
      <c r="J21" s="381">
        <f t="shared" si="3"/>
        <v>0.23668292819860889</v>
      </c>
      <c r="K21" s="381">
        <f t="shared" si="3"/>
        <v>0.23772162722066262</v>
      </c>
      <c r="L21" s="381">
        <f t="shared" si="3"/>
        <v>0.23499999999999999</v>
      </c>
      <c r="M21" s="398"/>
      <c r="N21" s="398"/>
      <c r="O21" s="384">
        <f>+O14/O7</f>
        <v>0.2311711046257213</v>
      </c>
    </row>
    <row r="22" spans="1:15" ht="16" thickBot="1" x14ac:dyDescent="0.25">
      <c r="A22" s="273" t="s">
        <v>180</v>
      </c>
      <c r="B22" s="400" t="s">
        <v>177</v>
      </c>
      <c r="C22" s="380">
        <f t="shared" si="2"/>
        <v>0.20961060480530241</v>
      </c>
      <c r="D22" s="380">
        <f t="shared" si="2"/>
        <v>0.20110041265474554</v>
      </c>
      <c r="E22" s="380">
        <f t="shared" si="2"/>
        <v>0.20792430514488469</v>
      </c>
      <c r="F22" s="380">
        <f t="shared" si="2"/>
        <v>0.21785861926415875</v>
      </c>
      <c r="G22" s="380">
        <f t="shared" si="2"/>
        <v>0.23075893454691473</v>
      </c>
      <c r="H22" s="380">
        <f t="shared" si="2"/>
        <v>0.23495863661140862</v>
      </c>
      <c r="I22" s="380">
        <f t="shared" si="2"/>
        <v>0.23035060975609756</v>
      </c>
      <c r="J22" s="380">
        <f t="shared" si="3"/>
        <v>0.21871323408590493</v>
      </c>
      <c r="K22" s="380">
        <f t="shared" si="3"/>
        <v>0.22371158109526026</v>
      </c>
      <c r="L22" s="380">
        <f t="shared" si="3"/>
        <v>0.21999999999999997</v>
      </c>
      <c r="M22" s="403"/>
      <c r="N22" s="403"/>
      <c r="O22" s="385">
        <f>+O15/O8</f>
        <v>0.21662830541083286</v>
      </c>
    </row>
    <row r="23" spans="1:15" x14ac:dyDescent="0.2">
      <c r="A23" s="273" t="s">
        <v>38</v>
      </c>
      <c r="C23" s="386">
        <f>IFERROR(+C16/C9,"")</f>
        <v>0.20505145368433944</v>
      </c>
      <c r="D23" s="386">
        <f t="shared" ref="D23:O23" si="4">IFERROR(+D16/D9,"")</f>
        <v>0.20622474273397304</v>
      </c>
      <c r="E23" s="386">
        <f t="shared" si="4"/>
        <v>0.20866269405192009</v>
      </c>
      <c r="F23" s="386">
        <f t="shared" si="4"/>
        <v>0.21274054865565717</v>
      </c>
      <c r="G23" s="386">
        <f t="shared" si="4"/>
        <v>0.22180940280736369</v>
      </c>
      <c r="H23" s="386">
        <f t="shared" si="4"/>
        <v>0.2292016776738062</v>
      </c>
      <c r="I23" s="386">
        <f t="shared" si="4"/>
        <v>0.23029169312344211</v>
      </c>
      <c r="J23" s="386">
        <f t="shared" si="4"/>
        <v>0.223066734902856</v>
      </c>
      <c r="K23" s="386">
        <f t="shared" si="4"/>
        <v>0.2244797678655493</v>
      </c>
      <c r="L23" s="386">
        <f t="shared" si="4"/>
        <v>0.22175472040668118</v>
      </c>
      <c r="M23" s="386" t="str">
        <f t="shared" si="4"/>
        <v/>
      </c>
      <c r="N23" s="386" t="str">
        <f t="shared" si="4"/>
        <v/>
      </c>
      <c r="O23" s="386">
        <f t="shared" si="4"/>
        <v>0.21330168861460502</v>
      </c>
    </row>
  </sheetData>
  <pageMargins left="0.7" right="0.7" top="0.75" bottom="0.75" header="0.3" footer="0.3"/>
  <pageSetup orientation="portrait" horizontalDpi="0" verticalDpi="0"/>
  <ignoredErrors>
    <ignoredError sqref="O5:O15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A7ED-B2CE-CA4F-A226-56F3DFF1D40D}">
  <dimension ref="A1:N13"/>
  <sheetViews>
    <sheetView tabSelected="1" workbookViewId="0">
      <selection activeCell="H14" sqref="H14"/>
    </sheetView>
  </sheetViews>
  <sheetFormatPr baseColWidth="10" defaultRowHeight="15" x14ac:dyDescent="0.2"/>
  <sheetData>
    <row r="1" spans="1:14" x14ac:dyDescent="0.2">
      <c r="B1" t="str">
        <f>+'ACUMULADO 2025'!A5</f>
        <v>Codazzi</v>
      </c>
      <c r="C1" s="75" t="str">
        <f>+'ACUMULADO 2025'!A6</f>
        <v>MLB</v>
      </c>
      <c r="D1" t="str">
        <f>+'ACUMULADO 2025'!A7</f>
        <v>A&amp;G</v>
      </c>
      <c r="E1" t="str">
        <f>+'ACUMULADO 2025'!A8</f>
        <v>Sinu</v>
      </c>
    </row>
    <row r="2" spans="1:14" x14ac:dyDescent="0.2">
      <c r="A2" s="369" t="s">
        <v>181</v>
      </c>
      <c r="B2" s="75">
        <f>+HLOOKUP($A2,'ACUMULADO 2025'!$C$4:$O$8,2,0)</f>
        <v>23942</v>
      </c>
      <c r="C2" s="75">
        <f>+HLOOKUP($A2,'ACUMULADO 2025'!$C$4:$O$8,3,0)</f>
        <v>11997</v>
      </c>
      <c r="D2" s="75">
        <f>+HLOOKUP($A2,'ACUMULADO 2025'!$C$4:$O$8,4,0)</f>
        <v>16844.236999999997</v>
      </c>
      <c r="E2" s="75">
        <f>+HLOOKUP($A2,'ACUMULADO 2025'!$C$4:$O$8,5,0)</f>
        <v>6035</v>
      </c>
    </row>
    <row r="3" spans="1:14" x14ac:dyDescent="0.2">
      <c r="A3" s="369" t="s">
        <v>182</v>
      </c>
      <c r="B3" s="75">
        <f>+HLOOKUP($A3,'ACUMULADO 2025'!$C$4:$O$8,2,0)</f>
        <v>20911</v>
      </c>
      <c r="C3" s="75">
        <f>+HLOOKUP($A3,'ACUMULADO 2025'!$C$4:$O$8,3,0)</f>
        <v>10793</v>
      </c>
      <c r="D3" s="75">
        <f>+HLOOKUP($A3,'ACUMULADO 2025'!$C$4:$O$8,4,0)</f>
        <v>18554</v>
      </c>
      <c r="E3" s="75">
        <f>+HLOOKUP($A3,'ACUMULADO 2025'!$C$4:$O$8,5,0)</f>
        <v>7270</v>
      </c>
    </row>
    <row r="4" spans="1:14" x14ac:dyDescent="0.2">
      <c r="A4" s="369" t="s">
        <v>183</v>
      </c>
      <c r="B4" s="75">
        <f>+HLOOKUP($A4,'ACUMULADO 2025'!$C$4:$O$8,2,0)</f>
        <v>23306</v>
      </c>
      <c r="C4" s="75">
        <f>+HLOOKUP($A4,'ACUMULADO 2025'!$C$4:$O$8,3,0)</f>
        <v>12894.880000000001</v>
      </c>
      <c r="D4" s="75">
        <f>+HLOOKUP($A4,'ACUMULADO 2025'!$C$4:$O$8,4,0)</f>
        <v>18827.580999999998</v>
      </c>
      <c r="E4" s="75">
        <f>+HLOOKUP($A4,'ACUMULADO 2025'!$C$4:$O$8,5,0)</f>
        <v>8455</v>
      </c>
    </row>
    <row r="5" spans="1:14" x14ac:dyDescent="0.2">
      <c r="A5" s="369" t="s">
        <v>184</v>
      </c>
      <c r="B5" s="75">
        <f>+HLOOKUP($A5,'ACUMULADO 2025'!$C$4:$O$8,2,0)</f>
        <v>22844</v>
      </c>
      <c r="C5" s="75">
        <f>+HLOOKUP($A5,'ACUMULADO 2025'!$C$4:$O$8,3,0)</f>
        <v>10543</v>
      </c>
      <c r="D5" s="75">
        <f>+HLOOKUP($A5,'ACUMULADO 2025'!$C$4:$O$8,4,0)</f>
        <v>17972</v>
      </c>
      <c r="E5" s="75">
        <f>+HLOOKUP($A5,'ACUMULADO 2025'!$C$4:$O$8,5,0)</f>
        <v>7257</v>
      </c>
      <c r="F5" s="369"/>
      <c r="G5" s="369"/>
      <c r="H5" s="369"/>
      <c r="I5" s="369"/>
      <c r="J5" s="369"/>
      <c r="K5" s="369"/>
      <c r="L5" s="369"/>
      <c r="M5" s="369"/>
      <c r="N5" s="369"/>
    </row>
    <row r="6" spans="1:14" x14ac:dyDescent="0.2">
      <c r="A6" s="369" t="s">
        <v>185</v>
      </c>
      <c r="B6" s="75">
        <f>+HLOOKUP($A6,'ACUMULADO 2025'!$C$4:$O$8,2,0)</f>
        <v>19765</v>
      </c>
      <c r="C6" s="75">
        <f>+HLOOKUP($A6,'ACUMULADO 2025'!$C$4:$O$8,3,0)</f>
        <v>9879</v>
      </c>
      <c r="D6" s="75">
        <f>+HLOOKUP($A6,'ACUMULADO 2025'!$C$4:$O$8,4,0)</f>
        <v>18658.109</v>
      </c>
      <c r="E6" s="75">
        <f>+HLOOKUP($A6,'ACUMULADO 2025'!$C$4:$O$8,5,0)</f>
        <v>7471</v>
      </c>
    </row>
    <row r="7" spans="1:14" x14ac:dyDescent="0.2">
      <c r="A7" s="369" t="s">
        <v>186</v>
      </c>
      <c r="B7" s="75">
        <f>+HLOOKUP($A7,'ACUMULADO 2025'!$C$4:$O$8,2,0)</f>
        <v>16856.57</v>
      </c>
      <c r="C7" s="75">
        <f>+HLOOKUP($A7,'ACUMULADO 2025'!$C$4:$O$8,3,0)</f>
        <v>6822.47</v>
      </c>
      <c r="D7" s="75">
        <f>+HLOOKUP($A7,'ACUMULADO 2025'!$C$4:$O$8,4,0)</f>
        <v>16956.319</v>
      </c>
      <c r="E7" s="75">
        <f>+HLOOKUP($A7,'ACUMULADO 2025'!$C$4:$O$8,5,0)</f>
        <v>6237.4</v>
      </c>
    </row>
    <row r="8" spans="1:14" x14ac:dyDescent="0.2">
      <c r="A8" s="369" t="s">
        <v>187</v>
      </c>
      <c r="B8" s="75">
        <f>+HLOOKUP($A8,'ACUMULADO 2025'!$C$4:$O$8,2,0)</f>
        <v>20885.8</v>
      </c>
      <c r="C8" s="75">
        <f>+HLOOKUP($A8,'ACUMULADO 2025'!$C$4:$O$8,3,0)</f>
        <v>7206.91</v>
      </c>
      <c r="D8" s="75">
        <f>+HLOOKUP($A8,'ACUMULADO 2025'!$C$4:$O$8,4,0)</f>
        <v>21020.219000000001</v>
      </c>
      <c r="E8" s="75">
        <f>+HLOOKUP($A8,'ACUMULADO 2025'!$C$4:$O$8,5,0)</f>
        <v>6035.2</v>
      </c>
    </row>
    <row r="9" spans="1:14" x14ac:dyDescent="0.2">
      <c r="A9" s="369" t="s">
        <v>188</v>
      </c>
      <c r="B9" s="75">
        <f>+HLOOKUP($A9,'ACUMULADO 2025'!$C$4:$O$8,2,0)</f>
        <v>22286</v>
      </c>
      <c r="C9" s="75">
        <f>+HLOOKUP($A9,'ACUMULADO 2025'!$C$4:$O$8,3,0)</f>
        <v>7738.57</v>
      </c>
      <c r="D9" s="75">
        <f>+HLOOKUP($A9,'ACUMULADO 2025'!$C$4:$O$8,4,0)</f>
        <v>19236.605</v>
      </c>
      <c r="E9" s="75">
        <f>+HLOOKUP($A9,'ACUMULADO 2025'!$C$4:$O$8,5,0)</f>
        <v>6085.7999999999993</v>
      </c>
    </row>
    <row r="10" spans="1:14" x14ac:dyDescent="0.2">
      <c r="A10" s="369" t="s">
        <v>189</v>
      </c>
      <c r="B10" s="75">
        <f>+HLOOKUP($A10,'ACUMULADO 2025'!$C$4:$O$8,2,0)</f>
        <v>21258.25</v>
      </c>
      <c r="C10" s="75">
        <f>+HLOOKUP($A10,'ACUMULADO 2025'!$C$4:$O$8,3,0)</f>
        <v>7317.06</v>
      </c>
      <c r="D10" s="75">
        <f>+HLOOKUP($A10,'ACUMULADO 2025'!$C$4:$O$8,4,0)</f>
        <v>22461.803</v>
      </c>
      <c r="E10" s="75">
        <f>+HLOOKUP($A10,'ACUMULADO 2025'!$C$4:$O$8,5,0)</f>
        <v>6505.8</v>
      </c>
    </row>
    <row r="11" spans="1:14" x14ac:dyDescent="0.2">
      <c r="A11" s="369" t="s">
        <v>190</v>
      </c>
      <c r="B11" s="75">
        <f>+HLOOKUP($A11,'ACUMULADO 2025'!$C$4:$O$8,2,0)</f>
        <v>17000</v>
      </c>
      <c r="C11" s="75">
        <f>+HLOOKUP($A11,'ACUMULADO 2025'!$C$4:$O$8,3,0)</f>
        <v>8300</v>
      </c>
      <c r="D11" s="75">
        <f>+HLOOKUP($A11,'ACUMULADO 2025'!$C$4:$O$8,4,0)</f>
        <v>23150</v>
      </c>
      <c r="E11" s="75">
        <f>+HLOOKUP($A11,'ACUMULADO 2025'!$C$4:$O$8,5,0)</f>
        <v>6630</v>
      </c>
    </row>
    <row r="12" spans="1:14" x14ac:dyDescent="0.2">
      <c r="A12" s="369" t="s">
        <v>191</v>
      </c>
      <c r="B12" s="75">
        <f>+HLOOKUP($A12,'ACUMULADO 2025'!$C$4:$O$8,2,0)</f>
        <v>0</v>
      </c>
      <c r="C12" s="75">
        <f>+HLOOKUP($A12,'ACUMULADO 2025'!$C$4:$O$8,3,0)</f>
        <v>0</v>
      </c>
      <c r="D12" s="75">
        <f>+HLOOKUP($A12,'ACUMULADO 2025'!$C$4:$O$8,4,0)</f>
        <v>0</v>
      </c>
      <c r="E12" s="75">
        <f>+HLOOKUP($A12,'ACUMULADO 2025'!$C$4:$O$8,5,0)</f>
        <v>0</v>
      </c>
    </row>
    <row r="13" spans="1:14" x14ac:dyDescent="0.2">
      <c r="A13" s="369" t="s">
        <v>192</v>
      </c>
      <c r="B13" s="75">
        <f>+HLOOKUP($A13,'ACUMULADO 2025'!$C$4:$O$8,2,0)</f>
        <v>0</v>
      </c>
      <c r="C13" s="75">
        <f>+HLOOKUP($A13,'ACUMULADO 2025'!$C$4:$O$8,3,0)</f>
        <v>0</v>
      </c>
      <c r="D13" s="75">
        <f>+HLOOKUP($A13,'ACUMULADO 2025'!$C$4:$O$8,4,0)</f>
        <v>0</v>
      </c>
      <c r="E13" s="75">
        <f>+HLOOKUP($A13,'ACUMULADO 2025'!$C$4:$O$8,5,0)</f>
        <v>0</v>
      </c>
    </row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UPSTREAM</vt:lpstr>
      <vt:lpstr>Resumen UPSTREAM</vt:lpstr>
      <vt:lpstr>DOWNSTREAM</vt:lpstr>
      <vt:lpstr>DOWNSTREAM (2)</vt:lpstr>
      <vt:lpstr>DOWNSTREAM mod</vt:lpstr>
      <vt:lpstr>Resumen DOWNSTREAM</vt:lpstr>
      <vt:lpstr>Lista</vt:lpstr>
      <vt:lpstr>PLANEACIÓN DICIEMBRE</vt:lpstr>
      <vt:lpstr>CENSO Y COSTOS</vt:lpstr>
      <vt:lpstr>ACUMULADO 2025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Parra</dc:creator>
  <cp:lastModifiedBy>Enrique Pabon</cp:lastModifiedBy>
  <dcterms:created xsi:type="dcterms:W3CDTF">2021-01-04T20:31:14Z</dcterms:created>
  <dcterms:modified xsi:type="dcterms:W3CDTF">2025-12-03T16:25:35Z</dcterms:modified>
</cp:coreProperties>
</file>